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5497983-7E0E-3143-935F-592E58BE825D}"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66" i="19" l="1"/>
  <c r="D366" i="19" s="1"/>
  <c r="B365" i="19"/>
  <c r="D365" i="19" s="1"/>
  <c r="C364" i="19"/>
  <c r="B364" i="19"/>
  <c r="B363" i="19"/>
  <c r="D362" i="19"/>
  <c r="C362" i="19"/>
  <c r="B362" i="19"/>
  <c r="B361" i="19"/>
  <c r="C360" i="19"/>
  <c r="B360" i="19"/>
  <c r="C361" i="19" s="1"/>
  <c r="B359" i="19"/>
  <c r="C359" i="19" s="1"/>
  <c r="B358" i="19"/>
  <c r="D358" i="19" s="1"/>
  <c r="D357" i="19"/>
  <c r="B357" i="19"/>
  <c r="C357" i="19" s="1"/>
  <c r="C356" i="19"/>
  <c r="B356" i="19"/>
  <c r="B355" i="19"/>
  <c r="D354" i="19"/>
  <c r="C354" i="19"/>
  <c r="B354" i="19"/>
  <c r="B353" i="19"/>
  <c r="B352" i="19"/>
  <c r="B351" i="19"/>
  <c r="C351" i="19" s="1"/>
  <c r="B350" i="19"/>
  <c r="D350" i="19" s="1"/>
  <c r="D349" i="19"/>
  <c r="B349" i="19"/>
  <c r="D361" i="19" s="1"/>
  <c r="B348" i="19"/>
  <c r="B347" i="19"/>
  <c r="D346" i="19"/>
  <c r="C346" i="19"/>
  <c r="B346" i="19"/>
  <c r="B345" i="19"/>
  <c r="B344" i="19"/>
  <c r="B343" i="19"/>
  <c r="B342" i="19"/>
  <c r="D342" i="19" s="1"/>
  <c r="D341" i="19"/>
  <c r="B341" i="19"/>
  <c r="D353" i="19" s="1"/>
  <c r="B340" i="19"/>
  <c r="B339" i="19"/>
  <c r="D338" i="19"/>
  <c r="C338" i="19"/>
  <c r="B338" i="19"/>
  <c r="B337" i="19"/>
  <c r="B336" i="19"/>
  <c r="B335" i="19"/>
  <c r="B334" i="19"/>
  <c r="D334" i="19" s="1"/>
  <c r="D333" i="19"/>
  <c r="B333" i="19"/>
  <c r="D345" i="19" s="1"/>
  <c r="B332" i="19"/>
  <c r="B331" i="19"/>
  <c r="D330" i="19"/>
  <c r="C330" i="19"/>
  <c r="B330" i="19"/>
  <c r="B329" i="19"/>
  <c r="B328" i="19"/>
  <c r="B327" i="19"/>
  <c r="C327" i="19" s="1"/>
  <c r="B326" i="19"/>
  <c r="D326" i="19" s="1"/>
  <c r="D325" i="19"/>
  <c r="B325" i="19"/>
  <c r="B324" i="19"/>
  <c r="B323" i="19"/>
  <c r="D322" i="19"/>
  <c r="C322" i="19"/>
  <c r="B322" i="19"/>
  <c r="B321" i="19"/>
  <c r="B320" i="19"/>
  <c r="B319" i="19"/>
  <c r="B318" i="19"/>
  <c r="D318" i="19" s="1"/>
  <c r="B317" i="19"/>
  <c r="B316" i="19"/>
  <c r="B315" i="19"/>
  <c r="D314" i="19"/>
  <c r="C314" i="19"/>
  <c r="B314" i="19"/>
  <c r="B313" i="19"/>
  <c r="B312" i="19"/>
  <c r="B311" i="19"/>
  <c r="C311" i="19" s="1"/>
  <c r="B310" i="19"/>
  <c r="D310" i="19" s="1"/>
  <c r="D309" i="19"/>
  <c r="B309" i="19"/>
  <c r="B308" i="19"/>
  <c r="B307" i="19"/>
  <c r="D306" i="19"/>
  <c r="C306" i="19"/>
  <c r="B306" i="19"/>
  <c r="B305" i="19"/>
  <c r="B304" i="19"/>
  <c r="B303" i="19"/>
  <c r="B302" i="19"/>
  <c r="D302" i="19" s="1"/>
  <c r="B301" i="19"/>
  <c r="B300" i="19"/>
  <c r="B299" i="19"/>
  <c r="D298" i="19"/>
  <c r="C298" i="19"/>
  <c r="B298" i="19"/>
  <c r="B297" i="19"/>
  <c r="B296" i="19"/>
  <c r="B295" i="19"/>
  <c r="C295" i="19" s="1"/>
  <c r="B294" i="19"/>
  <c r="D294" i="19" s="1"/>
  <c r="D293" i="19"/>
  <c r="B293" i="19"/>
  <c r="B292" i="19"/>
  <c r="B291" i="19"/>
  <c r="D290" i="19"/>
  <c r="C290" i="19"/>
  <c r="B290" i="19"/>
  <c r="B289" i="19"/>
  <c r="B288" i="19"/>
  <c r="B287" i="19"/>
  <c r="B286" i="19"/>
  <c r="D286" i="19" s="1"/>
  <c r="B285" i="19"/>
  <c r="B284" i="19"/>
  <c r="B283" i="19"/>
  <c r="D282" i="19"/>
  <c r="C282" i="19"/>
  <c r="B282" i="19"/>
  <c r="B281" i="19"/>
  <c r="B280" i="19"/>
  <c r="B279" i="19"/>
  <c r="C279" i="19" s="1"/>
  <c r="B278" i="19"/>
  <c r="D278" i="19" s="1"/>
  <c r="D277" i="19"/>
  <c r="B277" i="19"/>
  <c r="B276" i="19"/>
  <c r="B275" i="19"/>
  <c r="D274" i="19"/>
  <c r="C274" i="19"/>
  <c r="B274" i="19"/>
  <c r="B273" i="19"/>
  <c r="B272" i="19"/>
  <c r="B271" i="19"/>
  <c r="B270" i="19"/>
  <c r="D270" i="19" s="1"/>
  <c r="B269" i="19"/>
  <c r="B268" i="19"/>
  <c r="B267" i="19"/>
  <c r="D266" i="19"/>
  <c r="C266" i="19"/>
  <c r="B266" i="19"/>
  <c r="B265" i="19"/>
  <c r="B264" i="19"/>
  <c r="B263" i="19"/>
  <c r="C263" i="19" s="1"/>
  <c r="B262" i="19"/>
  <c r="D262" i="19" s="1"/>
  <c r="D261" i="19"/>
  <c r="B261" i="19"/>
  <c r="B260" i="19"/>
  <c r="B259" i="19"/>
  <c r="D258" i="19"/>
  <c r="C258" i="19"/>
  <c r="B258" i="19"/>
  <c r="B257" i="19"/>
  <c r="B256" i="19"/>
  <c r="B255" i="19"/>
  <c r="B254" i="19"/>
  <c r="D254" i="19" s="1"/>
  <c r="B253" i="19"/>
  <c r="B252" i="19"/>
  <c r="B251" i="19"/>
  <c r="D250" i="19"/>
  <c r="C250" i="19"/>
  <c r="B250" i="19"/>
  <c r="B249" i="19"/>
  <c r="B248" i="19"/>
  <c r="B247" i="19"/>
  <c r="C247" i="19" s="1"/>
  <c r="B246" i="19"/>
  <c r="D246" i="19" s="1"/>
  <c r="D245" i="19"/>
  <c r="B245" i="19"/>
  <c r="B244" i="19"/>
  <c r="B243" i="19"/>
  <c r="D242" i="19"/>
  <c r="C242" i="19"/>
  <c r="B242" i="19"/>
  <c r="B241" i="19"/>
  <c r="B240" i="19"/>
  <c r="B239" i="19"/>
  <c r="B238" i="19"/>
  <c r="D238" i="19" s="1"/>
  <c r="B237" i="19"/>
  <c r="B236" i="19"/>
  <c r="B235" i="19"/>
  <c r="D234" i="19"/>
  <c r="C234" i="19"/>
  <c r="B234" i="19"/>
  <c r="B233" i="19"/>
  <c r="B232" i="19"/>
  <c r="B231" i="19"/>
  <c r="C231" i="19" s="1"/>
  <c r="B230" i="19"/>
  <c r="D230" i="19" s="1"/>
  <c r="D229" i="19"/>
  <c r="B229" i="19"/>
  <c r="B228" i="19"/>
  <c r="B227" i="19"/>
  <c r="D226" i="19"/>
  <c r="C226" i="19"/>
  <c r="B226" i="19"/>
  <c r="B225" i="19"/>
  <c r="B224" i="19"/>
  <c r="B223" i="19"/>
  <c r="B222" i="19"/>
  <c r="D222" i="19" s="1"/>
  <c r="B221" i="19"/>
  <c r="B220" i="19"/>
  <c r="B219" i="19"/>
  <c r="D218" i="19"/>
  <c r="C218" i="19"/>
  <c r="B218" i="19"/>
  <c r="B217" i="19"/>
  <c r="B216" i="19"/>
  <c r="B215" i="19"/>
  <c r="C215" i="19" s="1"/>
  <c r="B214" i="19"/>
  <c r="D214" i="19" s="1"/>
  <c r="D213" i="19"/>
  <c r="B213" i="19"/>
  <c r="B212" i="19"/>
  <c r="B211" i="19"/>
  <c r="D210" i="19"/>
  <c r="C210" i="19"/>
  <c r="B210" i="19"/>
  <c r="B209" i="19"/>
  <c r="B208" i="19"/>
  <c r="B207" i="19"/>
  <c r="B206" i="19"/>
  <c r="D206" i="19" s="1"/>
  <c r="B205" i="19"/>
  <c r="B204" i="19"/>
  <c r="B203" i="19"/>
  <c r="D202" i="19"/>
  <c r="C202" i="19"/>
  <c r="B202" i="19"/>
  <c r="B201" i="19"/>
  <c r="B200" i="19"/>
  <c r="B199" i="19"/>
  <c r="C199" i="19" s="1"/>
  <c r="B198" i="19"/>
  <c r="D198" i="19" s="1"/>
  <c r="D197" i="19"/>
  <c r="B197" i="19"/>
  <c r="B196" i="19"/>
  <c r="B195" i="19"/>
  <c r="D194" i="19"/>
  <c r="C194" i="19"/>
  <c r="B194" i="19"/>
  <c r="B193" i="19"/>
  <c r="B192" i="19"/>
  <c r="B191" i="19"/>
  <c r="B190" i="19"/>
  <c r="D190" i="19" s="1"/>
  <c r="B189" i="19"/>
  <c r="B188" i="19"/>
  <c r="B187" i="19"/>
  <c r="D186" i="19"/>
  <c r="C186" i="19"/>
  <c r="B186" i="19"/>
  <c r="B185" i="19"/>
  <c r="B184" i="19"/>
  <c r="B183" i="19"/>
  <c r="C183" i="19" s="1"/>
  <c r="B182" i="19"/>
  <c r="D182" i="19" s="1"/>
  <c r="D181" i="19"/>
  <c r="B181" i="19"/>
  <c r="B180" i="19"/>
  <c r="B179" i="19"/>
  <c r="D178" i="19"/>
  <c r="C178" i="19"/>
  <c r="B178" i="19"/>
  <c r="B177" i="19"/>
  <c r="B176" i="19"/>
  <c r="B175" i="19"/>
  <c r="B174" i="19"/>
  <c r="D174" i="19" s="1"/>
  <c r="B173" i="19"/>
  <c r="B172" i="19"/>
  <c r="B171" i="19"/>
  <c r="D170" i="19"/>
  <c r="C170" i="19"/>
  <c r="B170" i="19"/>
  <c r="B169" i="19"/>
  <c r="B168" i="19"/>
  <c r="B167" i="19"/>
  <c r="C167" i="19" s="1"/>
  <c r="B166" i="19"/>
  <c r="D166" i="19" s="1"/>
  <c r="D165" i="19"/>
  <c r="B165" i="19"/>
  <c r="B164" i="19"/>
  <c r="B163" i="19"/>
  <c r="D162" i="19"/>
  <c r="C162" i="19"/>
  <c r="B162" i="19"/>
  <c r="B161" i="19"/>
  <c r="B160" i="19"/>
  <c r="B159" i="19"/>
  <c r="B158" i="19"/>
  <c r="D158" i="19" s="1"/>
  <c r="B157" i="19"/>
  <c r="B156" i="19"/>
  <c r="B155" i="19"/>
  <c r="D154" i="19"/>
  <c r="C154" i="19"/>
  <c r="B154" i="19"/>
  <c r="B153" i="19"/>
  <c r="B152" i="19"/>
  <c r="B151" i="19"/>
  <c r="C151" i="19" s="1"/>
  <c r="B150" i="19"/>
  <c r="D150" i="19" s="1"/>
  <c r="D149" i="19"/>
  <c r="B149" i="19"/>
  <c r="B148" i="19"/>
  <c r="B147" i="19"/>
  <c r="D146" i="19"/>
  <c r="C146" i="19"/>
  <c r="B146" i="19"/>
  <c r="B145" i="19"/>
  <c r="B144" i="19"/>
  <c r="B143" i="19"/>
  <c r="B142" i="19"/>
  <c r="D142" i="19" s="1"/>
  <c r="B141" i="19"/>
  <c r="B140" i="19"/>
  <c r="B139" i="19"/>
  <c r="D138" i="19"/>
  <c r="C138" i="19"/>
  <c r="B138" i="19"/>
  <c r="B137" i="19"/>
  <c r="B136" i="19"/>
  <c r="B135" i="19"/>
  <c r="C135" i="19" s="1"/>
  <c r="B134" i="19"/>
  <c r="D134" i="19" s="1"/>
  <c r="D133" i="19"/>
  <c r="B133" i="19"/>
  <c r="B132" i="19"/>
  <c r="B131" i="19"/>
  <c r="C130" i="19"/>
  <c r="B130" i="19"/>
  <c r="B129" i="19"/>
  <c r="B128" i="19"/>
  <c r="B127" i="19"/>
  <c r="B126" i="19"/>
  <c r="D126" i="19" s="1"/>
  <c r="B125" i="19"/>
  <c r="B124" i="19"/>
  <c r="B123" i="19"/>
  <c r="C122" i="19"/>
  <c r="B122" i="19"/>
  <c r="D121" i="19"/>
  <c r="B121" i="19"/>
  <c r="B120" i="19"/>
  <c r="C119" i="19"/>
  <c r="B119" i="19"/>
  <c r="B118" i="19"/>
  <c r="B117" i="19"/>
  <c r="D116" i="19"/>
  <c r="C116" i="19"/>
  <c r="B116" i="19"/>
  <c r="B115" i="19"/>
  <c r="C114" i="19"/>
  <c r="B114" i="19"/>
  <c r="B113" i="19"/>
  <c r="B112" i="19"/>
  <c r="B111" i="19"/>
  <c r="B110" i="19"/>
  <c r="D109" i="19"/>
  <c r="C109" i="19"/>
  <c r="B109" i="19"/>
  <c r="D108" i="19"/>
  <c r="B108" i="19"/>
  <c r="B107" i="19"/>
  <c r="D106" i="19"/>
  <c r="C106" i="19"/>
  <c r="B106" i="19"/>
  <c r="D105" i="19"/>
  <c r="B105" i="19"/>
  <c r="D104" i="19"/>
  <c r="B104" i="19"/>
  <c r="D103" i="19"/>
  <c r="B103" i="19"/>
  <c r="B102" i="19"/>
  <c r="C101" i="19"/>
  <c r="B101" i="19"/>
  <c r="D100" i="19"/>
  <c r="C100" i="19"/>
  <c r="B100" i="19"/>
  <c r="B99" i="19"/>
  <c r="B98" i="19"/>
  <c r="B97" i="19"/>
  <c r="B96" i="19"/>
  <c r="C95" i="19"/>
  <c r="B95" i="19"/>
  <c r="B94" i="19"/>
  <c r="D93" i="19"/>
  <c r="C93" i="19"/>
  <c r="B93" i="19"/>
  <c r="D92" i="19"/>
  <c r="B92" i="19"/>
  <c r="C91" i="19"/>
  <c r="B91" i="19"/>
  <c r="C90" i="19"/>
  <c r="B90" i="19"/>
  <c r="D89" i="19"/>
  <c r="B89" i="19"/>
  <c r="D88" i="19"/>
  <c r="C88" i="19"/>
  <c r="B88" i="19"/>
  <c r="C89" i="19" s="1"/>
  <c r="B87" i="19"/>
  <c r="B86" i="19"/>
  <c r="B85" i="19"/>
  <c r="D84" i="19"/>
  <c r="B84" i="19"/>
  <c r="B83" i="19"/>
  <c r="B82" i="19"/>
  <c r="D82" i="19" s="1"/>
  <c r="D81" i="19"/>
  <c r="B81" i="19"/>
  <c r="D80" i="19"/>
  <c r="B80" i="19"/>
  <c r="B79" i="19"/>
  <c r="B78" i="19"/>
  <c r="D77" i="19"/>
  <c r="C77" i="19"/>
  <c r="B77" i="19"/>
  <c r="D76" i="19"/>
  <c r="B76" i="19"/>
  <c r="B75" i="19"/>
  <c r="D74" i="19"/>
  <c r="C74" i="19"/>
  <c r="B74" i="19"/>
  <c r="D73" i="19"/>
  <c r="B73" i="19"/>
  <c r="B72" i="19"/>
  <c r="C73" i="19" s="1"/>
  <c r="D71" i="19"/>
  <c r="C71" i="19"/>
  <c r="B71" i="19"/>
  <c r="B70" i="19"/>
  <c r="C69" i="19"/>
  <c r="B69" i="19"/>
  <c r="D69" i="19" s="1"/>
  <c r="D68" i="19"/>
  <c r="B68" i="19"/>
  <c r="B67" i="19"/>
  <c r="B66" i="19"/>
  <c r="D65" i="19"/>
  <c r="C65" i="19"/>
  <c r="B65" i="19"/>
  <c r="B64" i="19"/>
  <c r="D64" i="19" s="1"/>
  <c r="B63" i="19"/>
  <c r="D62" i="19"/>
  <c r="B62" i="19"/>
  <c r="B61" i="19"/>
  <c r="D61" i="19" s="1"/>
  <c r="D60" i="19"/>
  <c r="B60" i="19"/>
  <c r="C59" i="19"/>
  <c r="B59" i="19"/>
  <c r="B58" i="19"/>
  <c r="C57" i="19"/>
  <c r="B57" i="19"/>
  <c r="C56" i="19"/>
  <c r="B56" i="19"/>
  <c r="B55" i="19"/>
  <c r="D55" i="19" s="1"/>
  <c r="D54" i="19"/>
  <c r="B54" i="19"/>
  <c r="C54" i="19" s="1"/>
  <c r="D53" i="19"/>
  <c r="C53" i="19"/>
  <c r="B53" i="19"/>
  <c r="B52" i="19"/>
  <c r="D52" i="19" s="1"/>
  <c r="B51" i="19"/>
  <c r="D51" i="19" s="1"/>
  <c r="C50" i="19"/>
  <c r="B50" i="19"/>
  <c r="B49" i="19"/>
  <c r="D48" i="19"/>
  <c r="B48" i="19"/>
  <c r="C49" i="19" s="1"/>
  <c r="B47" i="19"/>
  <c r="C47" i="19" s="1"/>
  <c r="B46" i="19"/>
  <c r="B45" i="19"/>
  <c r="B44" i="19"/>
  <c r="B43" i="19"/>
  <c r="B42" i="19"/>
  <c r="D41" i="19"/>
  <c r="B41" i="19"/>
  <c r="D40" i="19"/>
  <c r="C40" i="19"/>
  <c r="B40" i="19"/>
  <c r="C41" i="19" s="1"/>
  <c r="B39" i="19"/>
  <c r="B38" i="19"/>
  <c r="B37" i="19"/>
  <c r="B36" i="19"/>
  <c r="D36" i="19" s="1"/>
  <c r="B35" i="19"/>
  <c r="B34" i="19"/>
  <c r="C34" i="19" s="1"/>
  <c r="D33" i="19"/>
  <c r="B33" i="19"/>
  <c r="B32" i="19"/>
  <c r="D31" i="19"/>
  <c r="B31" i="19"/>
  <c r="C31" i="19" s="1"/>
  <c r="D30" i="19"/>
  <c r="B30" i="19"/>
  <c r="B29" i="19"/>
  <c r="C28" i="19"/>
  <c r="B28" i="19"/>
  <c r="D27" i="19"/>
  <c r="B27" i="19"/>
  <c r="B26" i="19"/>
  <c r="D25" i="19"/>
  <c r="B25" i="19"/>
  <c r="C25" i="19" s="1"/>
  <c r="B24" i="19"/>
  <c r="B23" i="19"/>
  <c r="D22" i="19"/>
  <c r="B22" i="19"/>
  <c r="C22" i="19" s="1"/>
  <c r="C21" i="19"/>
  <c r="B21" i="19"/>
  <c r="B20" i="19"/>
  <c r="D19" i="19"/>
  <c r="C19" i="19"/>
  <c r="B19" i="19"/>
  <c r="C18" i="19"/>
  <c r="B18" i="19"/>
  <c r="B17" i="19"/>
  <c r="C17" i="19" s="1"/>
  <c r="C16" i="19"/>
  <c r="B16" i="19"/>
  <c r="D28" i="19" s="1"/>
  <c r="C15" i="19"/>
  <c r="B15" i="19"/>
  <c r="C14" i="19"/>
  <c r="B14" i="19"/>
  <c r="B13" i="19"/>
  <c r="B12" i="19"/>
  <c r="C11" i="19"/>
  <c r="B11" i="19"/>
  <c r="C10" i="19"/>
  <c r="B10" i="19"/>
  <c r="B9" i="19"/>
  <c r="B8" i="19"/>
  <c r="C8" i="19" s="1"/>
  <c r="B7" i="19"/>
  <c r="B366" i="18"/>
  <c r="D366" i="18" s="1"/>
  <c r="B365" i="18"/>
  <c r="C364" i="18"/>
  <c r="B364" i="18"/>
  <c r="D363" i="18"/>
  <c r="C363" i="18"/>
  <c r="B363" i="18"/>
  <c r="B362" i="18"/>
  <c r="B361" i="18"/>
  <c r="C361" i="18" s="1"/>
  <c r="D360" i="18"/>
  <c r="B360" i="18"/>
  <c r="B359" i="18"/>
  <c r="C358" i="18"/>
  <c r="B358" i="18"/>
  <c r="D357" i="18"/>
  <c r="C357" i="18"/>
  <c r="B357" i="18"/>
  <c r="B356" i="18"/>
  <c r="B355" i="18"/>
  <c r="D354" i="18"/>
  <c r="B354" i="18"/>
  <c r="B353" i="18"/>
  <c r="B352" i="18"/>
  <c r="C352" i="18" s="1"/>
  <c r="B351" i="18"/>
  <c r="C351" i="18" s="1"/>
  <c r="B350" i="18"/>
  <c r="B349" i="18"/>
  <c r="C349" i="18" s="1"/>
  <c r="B348" i="18"/>
  <c r="B347" i="18"/>
  <c r="C346" i="18"/>
  <c r="B346" i="18"/>
  <c r="B345" i="18"/>
  <c r="B344" i="18"/>
  <c r="B343" i="18"/>
  <c r="B342" i="18"/>
  <c r="D341" i="18"/>
  <c r="C341" i="18"/>
  <c r="B341" i="18"/>
  <c r="B340" i="18"/>
  <c r="B339" i="18"/>
  <c r="D351" i="18" s="1"/>
  <c r="B338" i="18"/>
  <c r="D337" i="18"/>
  <c r="B337" i="18"/>
  <c r="B336" i="18"/>
  <c r="D336" i="18" s="1"/>
  <c r="B335" i="18"/>
  <c r="B334" i="18"/>
  <c r="D333" i="18"/>
  <c r="C333" i="18"/>
  <c r="B333" i="18"/>
  <c r="B332" i="18"/>
  <c r="B331" i="18"/>
  <c r="B330" i="18"/>
  <c r="D329" i="18"/>
  <c r="B329" i="18"/>
  <c r="B328" i="18"/>
  <c r="D328" i="18" s="1"/>
  <c r="B327" i="18"/>
  <c r="B326" i="18"/>
  <c r="D325" i="18"/>
  <c r="C325" i="18"/>
  <c r="B325" i="18"/>
  <c r="B324" i="18"/>
  <c r="B323" i="18"/>
  <c r="B322" i="18"/>
  <c r="D321" i="18"/>
  <c r="B321" i="18"/>
  <c r="B320" i="18"/>
  <c r="D320" i="18" s="1"/>
  <c r="B319" i="18"/>
  <c r="B318" i="18"/>
  <c r="D317" i="18"/>
  <c r="C317" i="18"/>
  <c r="B317" i="18"/>
  <c r="B316" i="18"/>
  <c r="B315" i="18"/>
  <c r="B314" i="18"/>
  <c r="D313" i="18"/>
  <c r="B313" i="18"/>
  <c r="B312" i="18"/>
  <c r="D312" i="18" s="1"/>
  <c r="B311" i="18"/>
  <c r="B310" i="18"/>
  <c r="D309" i="18"/>
  <c r="C309" i="18"/>
  <c r="B309" i="18"/>
  <c r="B308" i="18"/>
  <c r="B307" i="18"/>
  <c r="B306" i="18"/>
  <c r="D305" i="18"/>
  <c r="B305" i="18"/>
  <c r="B304" i="18"/>
  <c r="D304" i="18" s="1"/>
  <c r="B303" i="18"/>
  <c r="D303" i="18" s="1"/>
  <c r="B302" i="18"/>
  <c r="D301" i="18"/>
  <c r="C301" i="18"/>
  <c r="B301" i="18"/>
  <c r="B300" i="18"/>
  <c r="B299" i="18"/>
  <c r="B298" i="18"/>
  <c r="D297" i="18"/>
  <c r="B297" i="18"/>
  <c r="B296" i="18"/>
  <c r="D296" i="18" s="1"/>
  <c r="B295" i="18"/>
  <c r="B294" i="18"/>
  <c r="D293" i="18"/>
  <c r="C293" i="18"/>
  <c r="B293" i="18"/>
  <c r="B292" i="18"/>
  <c r="B291" i="18"/>
  <c r="B290" i="18"/>
  <c r="D289" i="18"/>
  <c r="B289" i="18"/>
  <c r="B288" i="18"/>
  <c r="D288" i="18" s="1"/>
  <c r="B287" i="18"/>
  <c r="B286" i="18"/>
  <c r="D285" i="18"/>
  <c r="C285" i="18"/>
  <c r="B285" i="18"/>
  <c r="B284" i="18"/>
  <c r="B283" i="18"/>
  <c r="B282" i="18"/>
  <c r="D281" i="18"/>
  <c r="B281" i="18"/>
  <c r="B280" i="18"/>
  <c r="D280" i="18" s="1"/>
  <c r="B279" i="18"/>
  <c r="B278" i="18"/>
  <c r="D277" i="18"/>
  <c r="C277" i="18"/>
  <c r="B277" i="18"/>
  <c r="B276" i="18"/>
  <c r="B275" i="18"/>
  <c r="B274" i="18"/>
  <c r="D273" i="18"/>
  <c r="B273" i="18"/>
  <c r="B272" i="18"/>
  <c r="D272" i="18" s="1"/>
  <c r="B271" i="18"/>
  <c r="B270" i="18"/>
  <c r="D269" i="18"/>
  <c r="C269" i="18"/>
  <c r="B269" i="18"/>
  <c r="B268" i="18"/>
  <c r="B267" i="18"/>
  <c r="B266" i="18"/>
  <c r="D265" i="18"/>
  <c r="B265" i="18"/>
  <c r="B264" i="18"/>
  <c r="D264" i="18" s="1"/>
  <c r="B263" i="18"/>
  <c r="B262" i="18"/>
  <c r="D261" i="18"/>
  <c r="C261" i="18"/>
  <c r="B261" i="18"/>
  <c r="B260" i="18"/>
  <c r="B259" i="18"/>
  <c r="B258" i="18"/>
  <c r="D257" i="18"/>
  <c r="B257" i="18"/>
  <c r="B256" i="18"/>
  <c r="D256" i="18" s="1"/>
  <c r="B255" i="18"/>
  <c r="B254" i="18"/>
  <c r="D253" i="18"/>
  <c r="C253" i="18"/>
  <c r="B253" i="18"/>
  <c r="B252" i="18"/>
  <c r="B251" i="18"/>
  <c r="B250" i="18"/>
  <c r="D249" i="18"/>
  <c r="B249" i="18"/>
  <c r="B248" i="18"/>
  <c r="D248" i="18" s="1"/>
  <c r="B247" i="18"/>
  <c r="B246" i="18"/>
  <c r="D245" i="18"/>
  <c r="C245" i="18"/>
  <c r="B245" i="18"/>
  <c r="B244" i="18"/>
  <c r="B243" i="18"/>
  <c r="B242" i="18"/>
  <c r="D241" i="18"/>
  <c r="B241" i="18"/>
  <c r="B240" i="18"/>
  <c r="D240" i="18" s="1"/>
  <c r="B239" i="18"/>
  <c r="B238" i="18"/>
  <c r="D237" i="18"/>
  <c r="C237" i="18"/>
  <c r="B237" i="18"/>
  <c r="B236" i="18"/>
  <c r="B235" i="18"/>
  <c r="B234" i="18"/>
  <c r="D233" i="18"/>
  <c r="B233" i="18"/>
  <c r="B232" i="18"/>
  <c r="D232" i="18" s="1"/>
  <c r="B231" i="18"/>
  <c r="B230" i="18"/>
  <c r="D229" i="18"/>
  <c r="C229" i="18"/>
  <c r="B229" i="18"/>
  <c r="B228" i="18"/>
  <c r="B227" i="18"/>
  <c r="B226" i="18"/>
  <c r="D225" i="18"/>
  <c r="B225" i="18"/>
  <c r="B224" i="18"/>
  <c r="D224" i="18" s="1"/>
  <c r="B223" i="18"/>
  <c r="B222" i="18"/>
  <c r="D221" i="18"/>
  <c r="C221" i="18"/>
  <c r="B221" i="18"/>
  <c r="B220" i="18"/>
  <c r="B219" i="18"/>
  <c r="B218" i="18"/>
  <c r="D217" i="18"/>
  <c r="B217" i="18"/>
  <c r="B216" i="18"/>
  <c r="D216" i="18" s="1"/>
  <c r="B215" i="18"/>
  <c r="B214" i="18"/>
  <c r="D213" i="18"/>
  <c r="C213" i="18"/>
  <c r="B213" i="18"/>
  <c r="B212" i="18"/>
  <c r="B211" i="18"/>
  <c r="B210" i="18"/>
  <c r="D209" i="18"/>
  <c r="B209" i="18"/>
  <c r="B208" i="18"/>
  <c r="D208" i="18" s="1"/>
  <c r="B207" i="18"/>
  <c r="B206" i="18"/>
  <c r="D205" i="18"/>
  <c r="C205" i="18"/>
  <c r="B205" i="18"/>
  <c r="B204" i="18"/>
  <c r="B203" i="18"/>
  <c r="B202" i="18"/>
  <c r="D201" i="18"/>
  <c r="B201" i="18"/>
  <c r="B200" i="18"/>
  <c r="D200" i="18" s="1"/>
  <c r="B199" i="18"/>
  <c r="B198" i="18"/>
  <c r="D197" i="18"/>
  <c r="C197" i="18"/>
  <c r="B197" i="18"/>
  <c r="C196" i="18"/>
  <c r="B196" i="18"/>
  <c r="C195" i="18"/>
  <c r="B195" i="18"/>
  <c r="D195" i="18" s="1"/>
  <c r="D194" i="18"/>
  <c r="B194" i="18"/>
  <c r="C194" i="18" s="1"/>
  <c r="D193" i="18"/>
  <c r="B193" i="18"/>
  <c r="B192" i="18"/>
  <c r="B191" i="18"/>
  <c r="B190" i="18"/>
  <c r="D189" i="18"/>
  <c r="C189" i="18"/>
  <c r="B189" i="18"/>
  <c r="D188" i="18"/>
  <c r="C188" i="18"/>
  <c r="B188" i="18"/>
  <c r="C187" i="18"/>
  <c r="B187" i="18"/>
  <c r="D187" i="18" s="1"/>
  <c r="B186" i="18"/>
  <c r="C186" i="18" s="1"/>
  <c r="D185" i="18"/>
  <c r="B185" i="18"/>
  <c r="B184" i="18"/>
  <c r="C183" i="18"/>
  <c r="B183" i="18"/>
  <c r="B182" i="18"/>
  <c r="D181" i="18"/>
  <c r="C181" i="18"/>
  <c r="B181" i="18"/>
  <c r="C180" i="18"/>
  <c r="B180" i="18"/>
  <c r="B179" i="18"/>
  <c r="B178" i="18"/>
  <c r="C178" i="18" s="1"/>
  <c r="D177" i="18"/>
  <c r="B177" i="18"/>
  <c r="C177" i="18" s="1"/>
  <c r="D176" i="18"/>
  <c r="C176" i="18"/>
  <c r="B176" i="18"/>
  <c r="B175" i="18"/>
  <c r="B174" i="18"/>
  <c r="D173" i="18"/>
  <c r="C173" i="18"/>
  <c r="B173" i="18"/>
  <c r="D172" i="18"/>
  <c r="B172" i="18"/>
  <c r="B171" i="18"/>
  <c r="D171" i="18" s="1"/>
  <c r="D170" i="18"/>
  <c r="B170" i="18"/>
  <c r="C170" i="18" s="1"/>
  <c r="D169" i="18"/>
  <c r="B169" i="18"/>
  <c r="C169" i="18" s="1"/>
  <c r="B168" i="18"/>
  <c r="D168" i="18" s="1"/>
  <c r="B167" i="18"/>
  <c r="B166" i="18"/>
  <c r="D165" i="18"/>
  <c r="C165" i="18"/>
  <c r="B165" i="18"/>
  <c r="B164" i="18"/>
  <c r="B163" i="18"/>
  <c r="D162" i="18"/>
  <c r="B162" i="18"/>
  <c r="B161" i="18"/>
  <c r="B160" i="18"/>
  <c r="D160" i="18" s="1"/>
  <c r="B159" i="18"/>
  <c r="D158" i="18"/>
  <c r="C158" i="18"/>
  <c r="B158" i="18"/>
  <c r="C157" i="18"/>
  <c r="B157" i="18"/>
  <c r="B156" i="18"/>
  <c r="D156" i="18" s="1"/>
  <c r="D155" i="18"/>
  <c r="B155" i="18"/>
  <c r="C155" i="18" s="1"/>
  <c r="D154" i="18"/>
  <c r="B154" i="18"/>
  <c r="C154" i="18" s="1"/>
  <c r="B153" i="18"/>
  <c r="B152" i="18"/>
  <c r="B151" i="18"/>
  <c r="D150" i="18"/>
  <c r="C150" i="18"/>
  <c r="B150" i="18"/>
  <c r="C149" i="18"/>
  <c r="B149" i="18"/>
  <c r="B148" i="18"/>
  <c r="D148" i="18" s="1"/>
  <c r="D147" i="18"/>
  <c r="B147" i="18"/>
  <c r="C147" i="18" s="1"/>
  <c r="D146" i="18"/>
  <c r="B146" i="18"/>
  <c r="C146" i="18" s="1"/>
  <c r="B145" i="18"/>
  <c r="B144" i="18"/>
  <c r="D144" i="18" s="1"/>
  <c r="B143" i="18"/>
  <c r="D142" i="18"/>
  <c r="C142" i="18"/>
  <c r="B142" i="18"/>
  <c r="D141" i="18"/>
  <c r="C141" i="18"/>
  <c r="B141" i="18"/>
  <c r="B140" i="18"/>
  <c r="B139" i="18"/>
  <c r="C139" i="18" s="1"/>
  <c r="D138" i="18"/>
  <c r="B138" i="18"/>
  <c r="B137" i="18"/>
  <c r="C136" i="18"/>
  <c r="B136" i="18"/>
  <c r="D136" i="18" s="1"/>
  <c r="B135" i="18"/>
  <c r="D134" i="18"/>
  <c r="C134" i="18"/>
  <c r="B134" i="18"/>
  <c r="C133" i="18"/>
  <c r="B133" i="18"/>
  <c r="B132" i="18"/>
  <c r="B131" i="18"/>
  <c r="C131" i="18" s="1"/>
  <c r="D130" i="18"/>
  <c r="B130" i="18"/>
  <c r="C130" i="18" s="1"/>
  <c r="B129" i="18"/>
  <c r="B128" i="18"/>
  <c r="D128" i="18" s="1"/>
  <c r="B127" i="18"/>
  <c r="D126" i="18"/>
  <c r="C126" i="18"/>
  <c r="B126" i="18"/>
  <c r="C125" i="18"/>
  <c r="B125" i="18"/>
  <c r="B124" i="18"/>
  <c r="D124" i="18" s="1"/>
  <c r="B123" i="18"/>
  <c r="C123" i="18" s="1"/>
  <c r="D122" i="18"/>
  <c r="B122" i="18"/>
  <c r="C122" i="18" s="1"/>
  <c r="B121" i="18"/>
  <c r="D133" i="18" s="1"/>
  <c r="B120" i="18"/>
  <c r="B119" i="18"/>
  <c r="D119" i="18" s="1"/>
  <c r="D118" i="18"/>
  <c r="C118" i="18"/>
  <c r="B118" i="18"/>
  <c r="D117" i="18"/>
  <c r="C117" i="18"/>
  <c r="B117" i="18"/>
  <c r="B116" i="18"/>
  <c r="D116" i="18" s="1"/>
  <c r="D115" i="18"/>
  <c r="B115" i="18"/>
  <c r="C115" i="18" s="1"/>
  <c r="D114" i="18"/>
  <c r="B114" i="18"/>
  <c r="B113" i="18"/>
  <c r="D125" i="18" s="1"/>
  <c r="C112" i="18"/>
  <c r="B112" i="18"/>
  <c r="D112" i="18" s="1"/>
  <c r="B111" i="18"/>
  <c r="D110" i="18"/>
  <c r="C110" i="18"/>
  <c r="B110" i="18"/>
  <c r="C109" i="18"/>
  <c r="B109" i="18"/>
  <c r="B108" i="18"/>
  <c r="D107" i="18"/>
  <c r="B107" i="18"/>
  <c r="C107" i="18" s="1"/>
  <c r="D106" i="18"/>
  <c r="B106" i="18"/>
  <c r="B105" i="18"/>
  <c r="C104" i="18"/>
  <c r="B104" i="18"/>
  <c r="B103" i="18"/>
  <c r="D102" i="18"/>
  <c r="C102" i="18"/>
  <c r="B102" i="18"/>
  <c r="C101" i="18"/>
  <c r="B101" i="18"/>
  <c r="B100" i="18"/>
  <c r="B99" i="18"/>
  <c r="D98" i="18"/>
  <c r="B98" i="18"/>
  <c r="B97" i="18"/>
  <c r="D97" i="18" s="1"/>
  <c r="B96" i="18"/>
  <c r="B95" i="18"/>
  <c r="D94" i="18"/>
  <c r="C94" i="18"/>
  <c r="B94" i="18"/>
  <c r="B93" i="18"/>
  <c r="B92" i="18"/>
  <c r="B91" i="18"/>
  <c r="D90" i="18"/>
  <c r="B90" i="18"/>
  <c r="B89" i="18"/>
  <c r="D89" i="18" s="1"/>
  <c r="B88" i="18"/>
  <c r="B87" i="18"/>
  <c r="D86" i="18"/>
  <c r="C86" i="18"/>
  <c r="B86" i="18"/>
  <c r="B85" i="18"/>
  <c r="B84" i="18"/>
  <c r="B83" i="18"/>
  <c r="D82" i="18"/>
  <c r="B82" i="18"/>
  <c r="B81" i="18"/>
  <c r="D81" i="18" s="1"/>
  <c r="B80" i="18"/>
  <c r="B79" i="18"/>
  <c r="D78" i="18"/>
  <c r="C78" i="18"/>
  <c r="B78" i="18"/>
  <c r="B77" i="18"/>
  <c r="B76" i="18"/>
  <c r="B75" i="18"/>
  <c r="D74" i="18"/>
  <c r="B74" i="18"/>
  <c r="B73" i="18"/>
  <c r="D73" i="18" s="1"/>
  <c r="B72" i="18"/>
  <c r="B71" i="18"/>
  <c r="D70" i="18"/>
  <c r="C70" i="18"/>
  <c r="B70" i="18"/>
  <c r="B69" i="18"/>
  <c r="B68" i="18"/>
  <c r="B67" i="18"/>
  <c r="D66" i="18"/>
  <c r="B66" i="18"/>
  <c r="B65" i="18"/>
  <c r="D65" i="18" s="1"/>
  <c r="B64" i="18"/>
  <c r="B63" i="18"/>
  <c r="D62" i="18"/>
  <c r="C62" i="18"/>
  <c r="B62" i="18"/>
  <c r="B61" i="18"/>
  <c r="B60" i="18"/>
  <c r="B59" i="18"/>
  <c r="D58" i="18"/>
  <c r="B58" i="18"/>
  <c r="B57" i="18"/>
  <c r="D57" i="18" s="1"/>
  <c r="B56" i="18"/>
  <c r="B55" i="18"/>
  <c r="D54" i="18"/>
  <c r="C54" i="18"/>
  <c r="B54" i="18"/>
  <c r="B53" i="18"/>
  <c r="B52" i="18"/>
  <c r="B51" i="18"/>
  <c r="D50" i="18"/>
  <c r="B50" i="18"/>
  <c r="B49" i="18"/>
  <c r="D49" i="18" s="1"/>
  <c r="B48" i="18"/>
  <c r="B47" i="18"/>
  <c r="D46" i="18"/>
  <c r="C46" i="18"/>
  <c r="B46" i="18"/>
  <c r="B45" i="18"/>
  <c r="B44" i="18"/>
  <c r="B43" i="18"/>
  <c r="D42" i="18"/>
  <c r="B42" i="18"/>
  <c r="B41" i="18"/>
  <c r="D41" i="18" s="1"/>
  <c r="B40" i="18"/>
  <c r="B39" i="18"/>
  <c r="D38" i="18"/>
  <c r="C38" i="18"/>
  <c r="B38" i="18"/>
  <c r="B37" i="18"/>
  <c r="B36" i="18"/>
  <c r="B35" i="18"/>
  <c r="D34" i="18"/>
  <c r="B34" i="18"/>
  <c r="B33" i="18"/>
  <c r="D33" i="18" s="1"/>
  <c r="B32" i="18"/>
  <c r="B31" i="18"/>
  <c r="D30" i="18"/>
  <c r="C30" i="18"/>
  <c r="B30" i="18"/>
  <c r="D29" i="18"/>
  <c r="B29" i="18"/>
  <c r="B28" i="18"/>
  <c r="B27" i="18"/>
  <c r="D26" i="18"/>
  <c r="B26" i="18"/>
  <c r="B25" i="18"/>
  <c r="D25" i="18" s="1"/>
  <c r="B24" i="18"/>
  <c r="D24" i="18" s="1"/>
  <c r="B23" i="18"/>
  <c r="D22" i="18"/>
  <c r="C22" i="18"/>
  <c r="B22" i="18"/>
  <c r="D21" i="18"/>
  <c r="B21" i="18"/>
  <c r="B20" i="18"/>
  <c r="B19" i="18"/>
  <c r="C18" i="18"/>
  <c r="B18" i="18"/>
  <c r="B17" i="18"/>
  <c r="B16" i="18"/>
  <c r="C16" i="18" s="1"/>
  <c r="B15" i="18"/>
  <c r="C15" i="18" s="1"/>
  <c r="C14" i="18"/>
  <c r="B14" i="18"/>
  <c r="B13" i="18"/>
  <c r="C13" i="18" s="1"/>
  <c r="B12" i="18"/>
  <c r="C12" i="18" s="1"/>
  <c r="B11" i="18"/>
  <c r="C11" i="18" s="1"/>
  <c r="C10" i="18"/>
  <c r="B10" i="18"/>
  <c r="B9" i="18"/>
  <c r="B8" i="18"/>
  <c r="C8" i="18" s="1"/>
  <c r="B7" i="18"/>
  <c r="B366" i="17"/>
  <c r="B365" i="17"/>
  <c r="B364" i="17"/>
  <c r="D363" i="17"/>
  <c r="B363" i="17"/>
  <c r="B362" i="17"/>
  <c r="D362" i="17" s="1"/>
  <c r="B361" i="17"/>
  <c r="B360" i="17"/>
  <c r="D359" i="17"/>
  <c r="C359" i="17"/>
  <c r="B359" i="17"/>
  <c r="B358" i="17"/>
  <c r="B357" i="17"/>
  <c r="B356" i="17"/>
  <c r="D355" i="17"/>
  <c r="B355" i="17"/>
  <c r="B354" i="17"/>
  <c r="D354" i="17" s="1"/>
  <c r="B353" i="17"/>
  <c r="B352" i="17"/>
  <c r="D351" i="17"/>
  <c r="C351" i="17"/>
  <c r="B351" i="17"/>
  <c r="B350" i="17"/>
  <c r="B349" i="17"/>
  <c r="B348" i="17"/>
  <c r="D347" i="17"/>
  <c r="B347" i="17"/>
  <c r="B346" i="17"/>
  <c r="D346" i="17" s="1"/>
  <c r="B345" i="17"/>
  <c r="B344" i="17"/>
  <c r="D343" i="17"/>
  <c r="C343" i="17"/>
  <c r="B343" i="17"/>
  <c r="B342" i="17"/>
  <c r="B341" i="17"/>
  <c r="B340" i="17"/>
  <c r="D339" i="17"/>
  <c r="B339" i="17"/>
  <c r="B338" i="17"/>
  <c r="D338" i="17" s="1"/>
  <c r="B337" i="17"/>
  <c r="B336" i="17"/>
  <c r="D335" i="17"/>
  <c r="C335" i="17"/>
  <c r="B335" i="17"/>
  <c r="B334" i="17"/>
  <c r="B333" i="17"/>
  <c r="B332" i="17"/>
  <c r="D331" i="17"/>
  <c r="B331" i="17"/>
  <c r="B330" i="17"/>
  <c r="D330" i="17" s="1"/>
  <c r="B329" i="17"/>
  <c r="B328" i="17"/>
  <c r="D327" i="17"/>
  <c r="C327" i="17"/>
  <c r="B327" i="17"/>
  <c r="B326" i="17"/>
  <c r="B325" i="17"/>
  <c r="B324" i="17"/>
  <c r="D323" i="17"/>
  <c r="B323" i="17"/>
  <c r="B322" i="17"/>
  <c r="D322" i="17" s="1"/>
  <c r="B321" i="17"/>
  <c r="B320" i="17"/>
  <c r="D319" i="17"/>
  <c r="C319" i="17"/>
  <c r="B319" i="17"/>
  <c r="B318" i="17"/>
  <c r="B317" i="17"/>
  <c r="B316" i="17"/>
  <c r="D315" i="17"/>
  <c r="B315" i="17"/>
  <c r="B314" i="17"/>
  <c r="D314" i="17" s="1"/>
  <c r="B313" i="17"/>
  <c r="B312" i="17"/>
  <c r="D311" i="17"/>
  <c r="C311" i="17"/>
  <c r="B311" i="17"/>
  <c r="C310" i="17"/>
  <c r="B310" i="17"/>
  <c r="C309" i="17"/>
  <c r="B309" i="17"/>
  <c r="D309" i="17" s="1"/>
  <c r="D308" i="17"/>
  <c r="B308" i="17"/>
  <c r="C308" i="17" s="1"/>
  <c r="D307" i="17"/>
  <c r="B307" i="17"/>
  <c r="B306" i="17"/>
  <c r="B305" i="17"/>
  <c r="B304" i="17"/>
  <c r="D303" i="17"/>
  <c r="C303" i="17"/>
  <c r="B303" i="17"/>
  <c r="D302" i="17"/>
  <c r="B302" i="17"/>
  <c r="C301" i="17"/>
  <c r="B301" i="17"/>
  <c r="D301" i="17" s="1"/>
  <c r="B300" i="17"/>
  <c r="C300" i="17" s="1"/>
  <c r="D299" i="17"/>
  <c r="B299" i="17"/>
  <c r="B298" i="17"/>
  <c r="C297" i="17"/>
  <c r="B297" i="17"/>
  <c r="B296" i="17"/>
  <c r="D295" i="17"/>
  <c r="C295" i="17"/>
  <c r="B295" i="17"/>
  <c r="C294" i="17"/>
  <c r="B294" i="17"/>
  <c r="B293" i="17"/>
  <c r="B292" i="17"/>
  <c r="C292" i="17" s="1"/>
  <c r="D291" i="17"/>
  <c r="B291" i="17"/>
  <c r="C291" i="17" s="1"/>
  <c r="D290" i="17"/>
  <c r="C290" i="17"/>
  <c r="B290" i="17"/>
  <c r="B289" i="17"/>
  <c r="D289" i="17" s="1"/>
  <c r="B288" i="17"/>
  <c r="D287" i="17"/>
  <c r="C287" i="17"/>
  <c r="B287" i="17"/>
  <c r="D286" i="17"/>
  <c r="B286" i="17"/>
  <c r="B285" i="17"/>
  <c r="B284" i="17"/>
  <c r="C284" i="17" s="1"/>
  <c r="D283" i="17"/>
  <c r="B283" i="17"/>
  <c r="C283" i="17" s="1"/>
  <c r="B282" i="17"/>
  <c r="D282" i="17" s="1"/>
  <c r="B281" i="17"/>
  <c r="B280" i="17"/>
  <c r="D279" i="17"/>
  <c r="C279" i="17"/>
  <c r="B279" i="17"/>
  <c r="C278" i="17"/>
  <c r="B278" i="17"/>
  <c r="C277" i="17"/>
  <c r="B277" i="17"/>
  <c r="D277" i="17" s="1"/>
  <c r="B276" i="17"/>
  <c r="C276" i="17" s="1"/>
  <c r="D275" i="17"/>
  <c r="B275" i="17"/>
  <c r="B274" i="17"/>
  <c r="B273" i="17"/>
  <c r="B272" i="17"/>
  <c r="D271" i="17"/>
  <c r="C271" i="17"/>
  <c r="B271" i="17"/>
  <c r="D270" i="17"/>
  <c r="B270" i="17"/>
  <c r="B269" i="17"/>
  <c r="B268" i="17"/>
  <c r="C268" i="17" s="1"/>
  <c r="D267" i="17"/>
  <c r="B267" i="17"/>
  <c r="B266" i="17"/>
  <c r="C265" i="17"/>
  <c r="B265" i="17"/>
  <c r="B264" i="17"/>
  <c r="C263" i="17"/>
  <c r="B263" i="17"/>
  <c r="C262" i="17"/>
  <c r="B262" i="17"/>
  <c r="B261" i="17"/>
  <c r="D261" i="17" s="1"/>
  <c r="B260" i="17"/>
  <c r="C260" i="17" s="1"/>
  <c r="D259" i="17"/>
  <c r="B259" i="17"/>
  <c r="C259" i="17" s="1"/>
  <c r="D258" i="17"/>
  <c r="C258" i="17"/>
  <c r="B258" i="17"/>
  <c r="B257" i="17"/>
  <c r="B256" i="17"/>
  <c r="D255" i="17"/>
  <c r="C255" i="17"/>
  <c r="B255" i="17"/>
  <c r="B254" i="17"/>
  <c r="C253" i="17"/>
  <c r="B253" i="17"/>
  <c r="C254" i="17" s="1"/>
  <c r="D252" i="17"/>
  <c r="C252" i="17"/>
  <c r="B252" i="17"/>
  <c r="B251" i="17"/>
  <c r="C251" i="17" s="1"/>
  <c r="D250" i="17"/>
  <c r="C250" i="17"/>
  <c r="B250" i="17"/>
  <c r="D262" i="17" s="1"/>
  <c r="D249" i="17"/>
  <c r="C249" i="17"/>
  <c r="B249" i="17"/>
  <c r="B248" i="17"/>
  <c r="C247" i="17"/>
  <c r="B247" i="17"/>
  <c r="D246" i="17"/>
  <c r="C246" i="17"/>
  <c r="B246" i="17"/>
  <c r="B245" i="17"/>
  <c r="D245" i="17" s="1"/>
  <c r="D244" i="17"/>
  <c r="B244" i="17"/>
  <c r="C244" i="17" s="1"/>
  <c r="D243" i="17"/>
  <c r="B243" i="17"/>
  <c r="B242" i="17"/>
  <c r="D254" i="17" s="1"/>
  <c r="B241" i="17"/>
  <c r="C240" i="17"/>
  <c r="B240" i="17"/>
  <c r="B239" i="17"/>
  <c r="C238" i="17"/>
  <c r="B238" i="17"/>
  <c r="D237" i="17"/>
  <c r="B237" i="17"/>
  <c r="B236" i="17"/>
  <c r="D236" i="17" s="1"/>
  <c r="B235" i="17"/>
  <c r="D234" i="17"/>
  <c r="B234" i="17"/>
  <c r="C234" i="17" s="1"/>
  <c r="C233" i="17"/>
  <c r="B233" i="17"/>
  <c r="D233" i="17" s="1"/>
  <c r="B232" i="17"/>
  <c r="D231" i="17"/>
  <c r="B231" i="17"/>
  <c r="C231" i="17" s="1"/>
  <c r="D230" i="17"/>
  <c r="C230" i="17"/>
  <c r="B230" i="17"/>
  <c r="C229" i="17"/>
  <c r="B229" i="17"/>
  <c r="D229" i="17" s="1"/>
  <c r="B228" i="17"/>
  <c r="D228" i="17" s="1"/>
  <c r="B227" i="17"/>
  <c r="C227" i="17" s="1"/>
  <c r="C226" i="17"/>
  <c r="B226" i="17"/>
  <c r="D226" i="17" s="1"/>
  <c r="B225" i="17"/>
  <c r="D225" i="17" s="1"/>
  <c r="C224" i="17"/>
  <c r="B224" i="17"/>
  <c r="C223" i="17"/>
  <c r="B223" i="17"/>
  <c r="D223" i="17" s="1"/>
  <c r="B222" i="17"/>
  <c r="C221" i="17"/>
  <c r="B221" i="17"/>
  <c r="C222" i="17" s="1"/>
  <c r="D220" i="17"/>
  <c r="C220" i="17"/>
  <c r="B220" i="17"/>
  <c r="B219" i="17"/>
  <c r="C219" i="17" s="1"/>
  <c r="D218" i="17"/>
  <c r="C218" i="17"/>
  <c r="B218" i="17"/>
  <c r="D217" i="17"/>
  <c r="C217" i="17"/>
  <c r="B217" i="17"/>
  <c r="B216" i="17"/>
  <c r="C215" i="17"/>
  <c r="B215" i="17"/>
  <c r="D214" i="17"/>
  <c r="C214" i="17"/>
  <c r="B214" i="17"/>
  <c r="B213" i="17"/>
  <c r="B212" i="17"/>
  <c r="C212" i="17" s="1"/>
  <c r="D211" i="17"/>
  <c r="B211" i="17"/>
  <c r="B210" i="17"/>
  <c r="D209" i="17"/>
  <c r="B209" i="17"/>
  <c r="B208" i="17"/>
  <c r="B207" i="17"/>
  <c r="D206" i="17"/>
  <c r="C206" i="17"/>
  <c r="B206" i="17"/>
  <c r="B205" i="17"/>
  <c r="C205" i="17" s="1"/>
  <c r="B204" i="17"/>
  <c r="D204" i="17" s="1"/>
  <c r="B203" i="17"/>
  <c r="D202" i="17"/>
  <c r="B202" i="17"/>
  <c r="B201" i="17"/>
  <c r="B200" i="17"/>
  <c r="D199" i="17"/>
  <c r="B199" i="17"/>
  <c r="C199" i="17" s="1"/>
  <c r="D198" i="17"/>
  <c r="C198" i="17"/>
  <c r="B198" i="17"/>
  <c r="B197" i="17"/>
  <c r="B196" i="17"/>
  <c r="D196" i="17" s="1"/>
  <c r="D195" i="17"/>
  <c r="C195" i="17"/>
  <c r="B195" i="17"/>
  <c r="D194" i="17"/>
  <c r="B194" i="17"/>
  <c r="B193" i="17"/>
  <c r="D192" i="17"/>
  <c r="B192" i="17"/>
  <c r="C192" i="17" s="1"/>
  <c r="D191" i="17"/>
  <c r="B191" i="17"/>
  <c r="B190" i="17"/>
  <c r="D190" i="17" s="1"/>
  <c r="B189" i="17"/>
  <c r="B188" i="17"/>
  <c r="D188" i="17" s="1"/>
  <c r="D187" i="17"/>
  <c r="C187" i="17"/>
  <c r="B187" i="17"/>
  <c r="D186" i="17"/>
  <c r="B186" i="17"/>
  <c r="B185" i="17"/>
  <c r="D184" i="17"/>
  <c r="B184" i="17"/>
  <c r="C184" i="17" s="1"/>
  <c r="D183" i="17"/>
  <c r="B183" i="17"/>
  <c r="B182" i="17"/>
  <c r="D182" i="17" s="1"/>
  <c r="B181" i="17"/>
  <c r="B180" i="17"/>
  <c r="D180" i="17" s="1"/>
  <c r="D179" i="17"/>
  <c r="C179" i="17"/>
  <c r="B179" i="17"/>
  <c r="B178" i="17"/>
  <c r="B177" i="17"/>
  <c r="D176" i="17"/>
  <c r="B176" i="17"/>
  <c r="C176" i="17" s="1"/>
  <c r="D175" i="17"/>
  <c r="B175" i="17"/>
  <c r="B174" i="17"/>
  <c r="D174" i="17" s="1"/>
  <c r="B173" i="17"/>
  <c r="B172" i="17"/>
  <c r="D172" i="17" s="1"/>
  <c r="D171" i="17"/>
  <c r="C171" i="17"/>
  <c r="B171" i="17"/>
  <c r="D170" i="17"/>
  <c r="B170" i="17"/>
  <c r="B169" i="17"/>
  <c r="D168" i="17"/>
  <c r="B168" i="17"/>
  <c r="C168" i="17" s="1"/>
  <c r="D167" i="17"/>
  <c r="B167" i="17"/>
  <c r="B166" i="17"/>
  <c r="B165" i="17"/>
  <c r="B164" i="17"/>
  <c r="D164" i="17" s="1"/>
  <c r="D163" i="17"/>
  <c r="C163" i="17"/>
  <c r="B163" i="17"/>
  <c r="C162" i="17"/>
  <c r="B162" i="17"/>
  <c r="B161" i="17"/>
  <c r="D160" i="17"/>
  <c r="B160" i="17"/>
  <c r="C160" i="17" s="1"/>
  <c r="D159" i="17"/>
  <c r="B159" i="17"/>
  <c r="B158" i="17"/>
  <c r="D158" i="17" s="1"/>
  <c r="B157" i="17"/>
  <c r="B156" i="17"/>
  <c r="D156" i="17" s="1"/>
  <c r="D155" i="17"/>
  <c r="C155" i="17"/>
  <c r="B155" i="17"/>
  <c r="B154" i="17"/>
  <c r="B153" i="17"/>
  <c r="D152" i="17"/>
  <c r="B152" i="17"/>
  <c r="C152" i="17" s="1"/>
  <c r="D151" i="17"/>
  <c r="B151" i="17"/>
  <c r="B150" i="17"/>
  <c r="D150" i="17" s="1"/>
  <c r="B149" i="17"/>
  <c r="B148" i="17"/>
  <c r="D148" i="17" s="1"/>
  <c r="D147" i="17"/>
  <c r="C147" i="17"/>
  <c r="B147" i="17"/>
  <c r="C146" i="17"/>
  <c r="B146" i="17"/>
  <c r="B145" i="17"/>
  <c r="D144" i="17"/>
  <c r="B144" i="17"/>
  <c r="C144" i="17" s="1"/>
  <c r="D143" i="17"/>
  <c r="B143" i="17"/>
  <c r="C142" i="17"/>
  <c r="B142" i="17"/>
  <c r="D142" i="17" s="1"/>
  <c r="B141" i="17"/>
  <c r="B140" i="17"/>
  <c r="D140" i="17" s="1"/>
  <c r="D139" i="17"/>
  <c r="C139" i="17"/>
  <c r="B139" i="17"/>
  <c r="C138" i="17"/>
  <c r="B138" i="17"/>
  <c r="B137" i="17"/>
  <c r="D136" i="17"/>
  <c r="B136" i="17"/>
  <c r="C136" i="17" s="1"/>
  <c r="D135" i="17"/>
  <c r="B135" i="17"/>
  <c r="B134" i="17"/>
  <c r="D134" i="17" s="1"/>
  <c r="B133" i="17"/>
  <c r="B132" i="17"/>
  <c r="D132" i="17" s="1"/>
  <c r="D131" i="17"/>
  <c r="C131" i="17"/>
  <c r="B131" i="17"/>
  <c r="B130" i="17"/>
  <c r="B129" i="17"/>
  <c r="D128" i="17"/>
  <c r="B128" i="17"/>
  <c r="C128" i="17" s="1"/>
  <c r="D127" i="17"/>
  <c r="B127" i="17"/>
  <c r="B126" i="17"/>
  <c r="D126" i="17" s="1"/>
  <c r="B125" i="17"/>
  <c r="B124" i="17"/>
  <c r="D124" i="17" s="1"/>
  <c r="D123" i="17"/>
  <c r="C123" i="17"/>
  <c r="B123" i="17"/>
  <c r="B122" i="17"/>
  <c r="B121" i="17"/>
  <c r="D120" i="17"/>
  <c r="B120" i="17"/>
  <c r="C120" i="17" s="1"/>
  <c r="D119" i="17"/>
  <c r="B119" i="17"/>
  <c r="B118" i="17"/>
  <c r="D118" i="17" s="1"/>
  <c r="B117" i="17"/>
  <c r="B116" i="17"/>
  <c r="D116" i="17" s="1"/>
  <c r="D115" i="17"/>
  <c r="C115" i="17"/>
  <c r="B115" i="17"/>
  <c r="D114" i="17"/>
  <c r="B114" i="17"/>
  <c r="B113" i="17"/>
  <c r="D112" i="17"/>
  <c r="B112" i="17"/>
  <c r="C112" i="17" s="1"/>
  <c r="D111" i="17"/>
  <c r="B111" i="17"/>
  <c r="C110" i="17"/>
  <c r="B110" i="17"/>
  <c r="D110" i="17" s="1"/>
  <c r="B109" i="17"/>
  <c r="B108" i="17"/>
  <c r="D108" i="17" s="1"/>
  <c r="D107" i="17"/>
  <c r="C107" i="17"/>
  <c r="B107" i="17"/>
  <c r="C106" i="17"/>
  <c r="B106" i="17"/>
  <c r="B105" i="17"/>
  <c r="D104" i="17"/>
  <c r="B104" i="17"/>
  <c r="C104" i="17" s="1"/>
  <c r="D103" i="17"/>
  <c r="B103" i="17"/>
  <c r="B102" i="17"/>
  <c r="B101" i="17"/>
  <c r="B100" i="17"/>
  <c r="D100" i="17" s="1"/>
  <c r="D99" i="17"/>
  <c r="C99" i="17"/>
  <c r="B99" i="17"/>
  <c r="C98" i="17"/>
  <c r="B98" i="17"/>
  <c r="B97" i="17"/>
  <c r="D96" i="17"/>
  <c r="B96" i="17"/>
  <c r="C96" i="17" s="1"/>
  <c r="D95" i="17"/>
  <c r="B95" i="17"/>
  <c r="B94" i="17"/>
  <c r="D94" i="17" s="1"/>
  <c r="B93" i="17"/>
  <c r="B92" i="17"/>
  <c r="D92" i="17" s="1"/>
  <c r="D91" i="17"/>
  <c r="C91" i="17"/>
  <c r="B91" i="17"/>
  <c r="B90" i="17"/>
  <c r="B89" i="17"/>
  <c r="D88" i="17"/>
  <c r="B88" i="17"/>
  <c r="C88" i="17" s="1"/>
  <c r="D87" i="17"/>
  <c r="B87" i="17"/>
  <c r="C86" i="17"/>
  <c r="B86" i="17"/>
  <c r="D86" i="17" s="1"/>
  <c r="B85" i="17"/>
  <c r="B84" i="17"/>
  <c r="D84" i="17" s="1"/>
  <c r="D83" i="17"/>
  <c r="C83" i="17"/>
  <c r="B83" i="17"/>
  <c r="C82" i="17"/>
  <c r="B82" i="17"/>
  <c r="B81" i="17"/>
  <c r="D80" i="17"/>
  <c r="B80" i="17"/>
  <c r="C80" i="17" s="1"/>
  <c r="D79" i="17"/>
  <c r="B79" i="17"/>
  <c r="C78" i="17"/>
  <c r="B78" i="17"/>
  <c r="D78" i="17" s="1"/>
  <c r="B77" i="17"/>
  <c r="B76" i="17"/>
  <c r="D76" i="17" s="1"/>
  <c r="D75" i="17"/>
  <c r="C75" i="17"/>
  <c r="B75" i="17"/>
  <c r="B74" i="17"/>
  <c r="B73" i="17"/>
  <c r="D72" i="17"/>
  <c r="B72" i="17"/>
  <c r="C72" i="17" s="1"/>
  <c r="D71" i="17"/>
  <c r="B71" i="17"/>
  <c r="B70" i="17"/>
  <c r="D70" i="17" s="1"/>
  <c r="B69" i="17"/>
  <c r="B68" i="17"/>
  <c r="D68" i="17" s="1"/>
  <c r="D67" i="17"/>
  <c r="C67" i="17"/>
  <c r="B67" i="17"/>
  <c r="B66" i="17"/>
  <c r="B65" i="17"/>
  <c r="D64" i="17"/>
  <c r="B64" i="17"/>
  <c r="C64" i="17" s="1"/>
  <c r="D63" i="17"/>
  <c r="B63" i="17"/>
  <c r="B62" i="17"/>
  <c r="D62" i="17" s="1"/>
  <c r="B61" i="17"/>
  <c r="B60" i="17"/>
  <c r="D60" i="17" s="1"/>
  <c r="D59" i="17"/>
  <c r="C59" i="17"/>
  <c r="B59" i="17"/>
  <c r="B58" i="17"/>
  <c r="B57" i="17"/>
  <c r="D56" i="17"/>
  <c r="B56" i="17"/>
  <c r="C56" i="17" s="1"/>
  <c r="D55" i="17"/>
  <c r="B55" i="17"/>
  <c r="B54" i="17"/>
  <c r="D54" i="17" s="1"/>
  <c r="B53" i="17"/>
  <c r="B52" i="17"/>
  <c r="D52" i="17" s="1"/>
  <c r="D51" i="17"/>
  <c r="C51" i="17"/>
  <c r="B51" i="17"/>
  <c r="B50" i="17"/>
  <c r="B49" i="17"/>
  <c r="D48" i="17"/>
  <c r="B48" i="17"/>
  <c r="C48" i="17" s="1"/>
  <c r="D47" i="17"/>
  <c r="B47" i="17"/>
  <c r="C46" i="17"/>
  <c r="B46" i="17"/>
  <c r="D46" i="17" s="1"/>
  <c r="B45" i="17"/>
  <c r="B44" i="17"/>
  <c r="D44" i="17" s="1"/>
  <c r="D43" i="17"/>
  <c r="C43" i="17"/>
  <c r="B43" i="17"/>
  <c r="C42" i="17"/>
  <c r="B42" i="17"/>
  <c r="B41" i="17"/>
  <c r="D40" i="17"/>
  <c r="B40" i="17"/>
  <c r="C40" i="17" s="1"/>
  <c r="D39" i="17"/>
  <c r="B39" i="17"/>
  <c r="B38" i="17"/>
  <c r="B37" i="17"/>
  <c r="B36" i="17"/>
  <c r="D36" i="17" s="1"/>
  <c r="D35" i="17"/>
  <c r="C35" i="17"/>
  <c r="B35" i="17"/>
  <c r="C34" i="17"/>
  <c r="B34" i="17"/>
  <c r="B33" i="17"/>
  <c r="D32" i="17"/>
  <c r="B32" i="17"/>
  <c r="C32" i="17" s="1"/>
  <c r="D31" i="17"/>
  <c r="B31" i="17"/>
  <c r="B30" i="17"/>
  <c r="B29" i="17"/>
  <c r="B28" i="17"/>
  <c r="D27" i="17"/>
  <c r="C27" i="17"/>
  <c r="B27" i="17"/>
  <c r="D26" i="17"/>
  <c r="B26" i="17"/>
  <c r="B25" i="17"/>
  <c r="B24" i="17"/>
  <c r="C24" i="17" s="1"/>
  <c r="D23" i="17"/>
  <c r="B23" i="17"/>
  <c r="C22" i="17"/>
  <c r="B22" i="17"/>
  <c r="D22" i="17" s="1"/>
  <c r="B21" i="17"/>
  <c r="B20" i="17"/>
  <c r="D20" i="17" s="1"/>
  <c r="B19" i="17"/>
  <c r="B18" i="17"/>
  <c r="C19" i="17" s="1"/>
  <c r="B17" i="17"/>
  <c r="B16" i="17"/>
  <c r="C16" i="17" s="1"/>
  <c r="C15" i="17"/>
  <c r="B15" i="17"/>
  <c r="B14" i="17"/>
  <c r="C14" i="17" s="1"/>
  <c r="B13" i="17"/>
  <c r="B12" i="17"/>
  <c r="C12" i="17" s="1"/>
  <c r="B11" i="17"/>
  <c r="C10" i="17"/>
  <c r="B10" i="17"/>
  <c r="C11" i="17" s="1"/>
  <c r="B9" i="17"/>
  <c r="B8" i="17"/>
  <c r="B7" i="17"/>
  <c r="D19" i="17" s="1"/>
  <c r="C366" i="16"/>
  <c r="B366" i="16"/>
  <c r="B365" i="16"/>
  <c r="D365" i="16" s="1"/>
  <c r="D364" i="16"/>
  <c r="C364" i="16"/>
  <c r="B364" i="16"/>
  <c r="C363" i="16"/>
  <c r="B363" i="16"/>
  <c r="B362" i="16"/>
  <c r="B361" i="16"/>
  <c r="C361" i="16" s="1"/>
  <c r="D360" i="16"/>
  <c r="B360" i="16"/>
  <c r="B359" i="16"/>
  <c r="C358" i="16"/>
  <c r="B358" i="16"/>
  <c r="B357" i="16"/>
  <c r="D356" i="16"/>
  <c r="C356" i="16"/>
  <c r="B356" i="16"/>
  <c r="C355" i="16"/>
  <c r="B355" i="16"/>
  <c r="B354" i="16"/>
  <c r="D353" i="16"/>
  <c r="B353" i="16"/>
  <c r="C353" i="16" s="1"/>
  <c r="D352" i="16"/>
  <c r="B352" i="16"/>
  <c r="B351" i="16"/>
  <c r="C350" i="16"/>
  <c r="B350" i="16"/>
  <c r="B349" i="16"/>
  <c r="D348" i="16"/>
  <c r="C348" i="16"/>
  <c r="B348" i="16"/>
  <c r="C347" i="16"/>
  <c r="B347" i="16"/>
  <c r="B346" i="16"/>
  <c r="D345" i="16"/>
  <c r="B345" i="16"/>
  <c r="C345" i="16" s="1"/>
  <c r="D344" i="16"/>
  <c r="B344" i="16"/>
  <c r="B343" i="16"/>
  <c r="C342" i="16"/>
  <c r="B342" i="16"/>
  <c r="B341" i="16"/>
  <c r="D341" i="16" s="1"/>
  <c r="D340" i="16"/>
  <c r="C340" i="16"/>
  <c r="B340" i="16"/>
  <c r="C339" i="16"/>
  <c r="B339" i="16"/>
  <c r="B338" i="16"/>
  <c r="D337" i="16"/>
  <c r="B337" i="16"/>
  <c r="C337" i="16" s="1"/>
  <c r="D336" i="16"/>
  <c r="B336" i="16"/>
  <c r="B335" i="16"/>
  <c r="C334" i="16"/>
  <c r="B334" i="16"/>
  <c r="B333" i="16"/>
  <c r="D333" i="16" s="1"/>
  <c r="D332" i="16"/>
  <c r="C332" i="16"/>
  <c r="B332" i="16"/>
  <c r="C331" i="16"/>
  <c r="B331" i="16"/>
  <c r="B330" i="16"/>
  <c r="D329" i="16"/>
  <c r="B329" i="16"/>
  <c r="C329" i="16" s="1"/>
  <c r="D328" i="16"/>
  <c r="B328" i="16"/>
  <c r="D327" i="16"/>
  <c r="C327" i="16"/>
  <c r="B327" i="16"/>
  <c r="D339" i="16" s="1"/>
  <c r="B326" i="16"/>
  <c r="D326" i="16" s="1"/>
  <c r="B325" i="16"/>
  <c r="D324" i="16"/>
  <c r="C324" i="16"/>
  <c r="B324" i="16"/>
  <c r="D323" i="16"/>
  <c r="B323" i="16"/>
  <c r="C322" i="16"/>
  <c r="B322" i="16"/>
  <c r="C323" i="16" s="1"/>
  <c r="B321" i="16"/>
  <c r="C321" i="16" s="1"/>
  <c r="D320" i="16"/>
  <c r="B320" i="16"/>
  <c r="C320" i="16" s="1"/>
  <c r="C319" i="16"/>
  <c r="B319" i="16"/>
  <c r="C318" i="16"/>
  <c r="B318" i="16"/>
  <c r="B317" i="16"/>
  <c r="D316" i="16"/>
  <c r="C316" i="16"/>
  <c r="B316" i="16"/>
  <c r="C315" i="16"/>
  <c r="B315" i="16"/>
  <c r="B314" i="16"/>
  <c r="B313" i="16"/>
  <c r="C313" i="16" s="1"/>
  <c r="D312" i="16"/>
  <c r="B312" i="16"/>
  <c r="C312" i="16" s="1"/>
  <c r="D311" i="16"/>
  <c r="B311" i="16"/>
  <c r="B310" i="16"/>
  <c r="B309" i="16"/>
  <c r="D308" i="16"/>
  <c r="C308" i="16"/>
  <c r="B308" i="16"/>
  <c r="D307" i="16"/>
  <c r="B307" i="16"/>
  <c r="B306" i="16"/>
  <c r="B305" i="16"/>
  <c r="D304" i="16"/>
  <c r="B304" i="16"/>
  <c r="B303" i="16"/>
  <c r="C302" i="16"/>
  <c r="B302" i="16"/>
  <c r="B301" i="16"/>
  <c r="D300" i="16"/>
  <c r="C300" i="16"/>
  <c r="B300" i="16"/>
  <c r="B299" i="16"/>
  <c r="B298" i="16"/>
  <c r="D297" i="16"/>
  <c r="B297" i="16"/>
  <c r="C297" i="16" s="1"/>
  <c r="D296" i="16"/>
  <c r="B296" i="16"/>
  <c r="D295" i="16"/>
  <c r="B295" i="16"/>
  <c r="C294" i="16"/>
  <c r="B294" i="16"/>
  <c r="D294" i="16" s="1"/>
  <c r="B293" i="16"/>
  <c r="D292" i="16"/>
  <c r="C292" i="16"/>
  <c r="B292" i="16"/>
  <c r="D291" i="16"/>
  <c r="B291" i="16"/>
  <c r="C290" i="16"/>
  <c r="B290" i="16"/>
  <c r="C291" i="16" s="1"/>
  <c r="B289" i="16"/>
  <c r="C289" i="16" s="1"/>
  <c r="D288" i="16"/>
  <c r="B288" i="16"/>
  <c r="B287" i="16"/>
  <c r="C286" i="16"/>
  <c r="B286" i="16"/>
  <c r="B285" i="16"/>
  <c r="D284" i="16"/>
  <c r="C284" i="16"/>
  <c r="B284" i="16"/>
  <c r="C283" i="16"/>
  <c r="B283" i="16"/>
  <c r="B282" i="16"/>
  <c r="D281" i="16"/>
  <c r="B281" i="16"/>
  <c r="C281" i="16" s="1"/>
  <c r="D280" i="16"/>
  <c r="B280" i="16"/>
  <c r="C280" i="16" s="1"/>
  <c r="D279" i="16"/>
  <c r="B279" i="16"/>
  <c r="B278" i="16"/>
  <c r="B277" i="16"/>
  <c r="D276" i="16"/>
  <c r="C276" i="16"/>
  <c r="B276" i="16"/>
  <c r="D275" i="16"/>
  <c r="B275" i="16"/>
  <c r="B274" i="16"/>
  <c r="B273" i="16"/>
  <c r="D272" i="16"/>
  <c r="B272" i="16"/>
  <c r="B271" i="16"/>
  <c r="B270" i="16"/>
  <c r="B269" i="16"/>
  <c r="D268" i="16"/>
  <c r="C268" i="16"/>
  <c r="B268" i="16"/>
  <c r="C267" i="16"/>
  <c r="B267" i="16"/>
  <c r="B266" i="16"/>
  <c r="D265" i="16"/>
  <c r="B265" i="16"/>
  <c r="C265" i="16" s="1"/>
  <c r="D264" i="16"/>
  <c r="B264" i="16"/>
  <c r="D263" i="16"/>
  <c r="C263" i="16"/>
  <c r="B263" i="16"/>
  <c r="B262" i="16"/>
  <c r="D262" i="16" s="1"/>
  <c r="B261" i="16"/>
  <c r="D260" i="16"/>
  <c r="C260" i="16"/>
  <c r="B260" i="16"/>
  <c r="D259" i="16"/>
  <c r="B259" i="16"/>
  <c r="C258" i="16"/>
  <c r="B258" i="16"/>
  <c r="C259" i="16" s="1"/>
  <c r="B257" i="16"/>
  <c r="C257" i="16" s="1"/>
  <c r="D256" i="16"/>
  <c r="B256" i="16"/>
  <c r="C256" i="16" s="1"/>
  <c r="C255" i="16"/>
  <c r="B255" i="16"/>
  <c r="C254" i="16"/>
  <c r="B254" i="16"/>
  <c r="B253" i="16"/>
  <c r="D252" i="16"/>
  <c r="C252" i="16"/>
  <c r="B252" i="16"/>
  <c r="D251" i="16"/>
  <c r="C251" i="16"/>
  <c r="B251" i="16"/>
  <c r="B250" i="16"/>
  <c r="B249" i="16"/>
  <c r="C249" i="16" s="1"/>
  <c r="D248" i="16"/>
  <c r="B248" i="16"/>
  <c r="C248" i="16" s="1"/>
  <c r="D247" i="16"/>
  <c r="B247" i="16"/>
  <c r="B246" i="16"/>
  <c r="B245" i="16"/>
  <c r="D244" i="16"/>
  <c r="C244" i="16"/>
  <c r="B244" i="16"/>
  <c r="D243" i="16"/>
  <c r="B243" i="16"/>
  <c r="B242" i="16"/>
  <c r="B241" i="16"/>
  <c r="D240" i="16"/>
  <c r="B240" i="16"/>
  <c r="B239" i="16"/>
  <c r="C238" i="16"/>
  <c r="B238" i="16"/>
  <c r="B237" i="16"/>
  <c r="D236" i="16"/>
  <c r="C236" i="16"/>
  <c r="B236" i="16"/>
  <c r="B235" i="16"/>
  <c r="B234" i="16"/>
  <c r="D233" i="16"/>
  <c r="B233" i="16"/>
  <c r="C233" i="16" s="1"/>
  <c r="D232" i="16"/>
  <c r="B232" i="16"/>
  <c r="D231" i="16"/>
  <c r="B231" i="16"/>
  <c r="C230" i="16"/>
  <c r="B230" i="16"/>
  <c r="B229" i="16"/>
  <c r="D228" i="16"/>
  <c r="C228" i="16"/>
  <c r="B228" i="16"/>
  <c r="D227" i="16"/>
  <c r="B227" i="16"/>
  <c r="C226" i="16"/>
  <c r="B226" i="16"/>
  <c r="C227" i="16" s="1"/>
  <c r="B225" i="16"/>
  <c r="C225" i="16" s="1"/>
  <c r="D224" i="16"/>
  <c r="B224" i="16"/>
  <c r="B223" i="16"/>
  <c r="C222" i="16"/>
  <c r="B222" i="16"/>
  <c r="B221" i="16"/>
  <c r="D220" i="16"/>
  <c r="C220" i="16"/>
  <c r="B220" i="16"/>
  <c r="C219" i="16"/>
  <c r="B219" i="16"/>
  <c r="B218" i="16"/>
  <c r="D217" i="16"/>
  <c r="B217" i="16"/>
  <c r="C217" i="16" s="1"/>
  <c r="D216" i="16"/>
  <c r="B216" i="16"/>
  <c r="C216" i="16" s="1"/>
  <c r="D215" i="16"/>
  <c r="B215" i="16"/>
  <c r="B214" i="16"/>
  <c r="B213" i="16"/>
  <c r="D212" i="16"/>
  <c r="C212" i="16"/>
  <c r="B212" i="16"/>
  <c r="B211" i="16"/>
  <c r="B210" i="16"/>
  <c r="B209" i="16"/>
  <c r="D208" i="16"/>
  <c r="B208" i="16"/>
  <c r="B207" i="16"/>
  <c r="C206" i="16"/>
  <c r="B206" i="16"/>
  <c r="D206" i="16" s="1"/>
  <c r="B205" i="16"/>
  <c r="D204" i="16"/>
  <c r="C204" i="16"/>
  <c r="B204" i="16"/>
  <c r="B203" i="16"/>
  <c r="B202" i="16"/>
  <c r="C201" i="16"/>
  <c r="B201" i="16"/>
  <c r="D200" i="16"/>
  <c r="B200" i="16"/>
  <c r="C200" i="16" s="1"/>
  <c r="D199" i="16"/>
  <c r="B199" i="16"/>
  <c r="D198" i="16"/>
  <c r="C198" i="16"/>
  <c r="B198" i="16"/>
  <c r="B197" i="16"/>
  <c r="D196" i="16"/>
  <c r="C196" i="16"/>
  <c r="B196" i="16"/>
  <c r="D195" i="16"/>
  <c r="C195" i="16"/>
  <c r="B195" i="16"/>
  <c r="B194" i="16"/>
  <c r="D194" i="16" s="1"/>
  <c r="D193" i="16"/>
  <c r="C193" i="16"/>
  <c r="B193" i="16"/>
  <c r="D192" i="16"/>
  <c r="B192" i="16"/>
  <c r="C192" i="16" s="1"/>
  <c r="D191" i="16"/>
  <c r="B191" i="16"/>
  <c r="C191" i="16" s="1"/>
  <c r="D190" i="16"/>
  <c r="B190" i="16"/>
  <c r="B189" i="16"/>
  <c r="D188" i="16"/>
  <c r="C188" i="16"/>
  <c r="B188" i="16"/>
  <c r="B187" i="16"/>
  <c r="B186" i="16"/>
  <c r="C185" i="16"/>
  <c r="B185" i="16"/>
  <c r="B184" i="16"/>
  <c r="C184" i="16" s="1"/>
  <c r="D183" i="16"/>
  <c r="B183" i="16"/>
  <c r="C183" i="16" s="1"/>
  <c r="D182" i="16"/>
  <c r="C182" i="16"/>
  <c r="B182" i="16"/>
  <c r="B181" i="16"/>
  <c r="D180" i="16"/>
  <c r="C180" i="16"/>
  <c r="B180" i="16"/>
  <c r="D179" i="16"/>
  <c r="C179" i="16"/>
  <c r="B179" i="16"/>
  <c r="B178" i="16"/>
  <c r="D177" i="16"/>
  <c r="C177" i="16"/>
  <c r="B177" i="16"/>
  <c r="D176" i="16"/>
  <c r="B176" i="16"/>
  <c r="C176" i="16" s="1"/>
  <c r="D175" i="16"/>
  <c r="B175" i="16"/>
  <c r="C175" i="16" s="1"/>
  <c r="B174" i="16"/>
  <c r="B173" i="16"/>
  <c r="B172" i="16"/>
  <c r="C172" i="16" s="1"/>
  <c r="C171" i="16"/>
  <c r="B171" i="16"/>
  <c r="D170" i="16"/>
  <c r="B170" i="16"/>
  <c r="B169" i="16"/>
  <c r="B168" i="16"/>
  <c r="D167" i="16"/>
  <c r="B167" i="16"/>
  <c r="B166" i="16"/>
  <c r="C165" i="16"/>
  <c r="B165" i="16"/>
  <c r="D164" i="16"/>
  <c r="C164" i="16"/>
  <c r="B164" i="16"/>
  <c r="B163" i="16"/>
  <c r="B162" i="16"/>
  <c r="D161" i="16"/>
  <c r="B161" i="16"/>
  <c r="B160" i="16"/>
  <c r="B159" i="16"/>
  <c r="C159" i="16" s="1"/>
  <c r="D158" i="16"/>
  <c r="B158" i="16"/>
  <c r="B157" i="16"/>
  <c r="B156" i="16"/>
  <c r="D155" i="16"/>
  <c r="B155" i="16"/>
  <c r="B154" i="16"/>
  <c r="B153" i="16"/>
  <c r="D153" i="16" s="1"/>
  <c r="D152" i="16"/>
  <c r="B152" i="16"/>
  <c r="B151" i="16"/>
  <c r="B150" i="16"/>
  <c r="B149" i="16"/>
  <c r="C148" i="16"/>
  <c r="B148" i="16"/>
  <c r="C147" i="16"/>
  <c r="B147" i="16"/>
  <c r="B146" i="16"/>
  <c r="C146" i="16" s="1"/>
  <c r="D145" i="16"/>
  <c r="C145" i="16"/>
  <c r="B145" i="16"/>
  <c r="D144" i="16"/>
  <c r="B144" i="16"/>
  <c r="C144" i="16" s="1"/>
  <c r="D143" i="16"/>
  <c r="B143" i="16"/>
  <c r="C143" i="16" s="1"/>
  <c r="B142" i="16"/>
  <c r="C141" i="16"/>
  <c r="B141" i="16"/>
  <c r="B140" i="16"/>
  <c r="C140" i="16" s="1"/>
  <c r="D139" i="16"/>
  <c r="C139" i="16"/>
  <c r="B139" i="16"/>
  <c r="D138" i="16"/>
  <c r="C138" i="16"/>
  <c r="B138" i="16"/>
  <c r="B137" i="16"/>
  <c r="B136" i="16"/>
  <c r="D135" i="16"/>
  <c r="B135" i="16"/>
  <c r="D147" i="16" s="1"/>
  <c r="B134" i="16"/>
  <c r="C133" i="16"/>
  <c r="B133" i="16"/>
  <c r="D132" i="16"/>
  <c r="C132" i="16"/>
  <c r="B132" i="16"/>
  <c r="B131" i="16"/>
  <c r="B130" i="16"/>
  <c r="D129" i="16"/>
  <c r="B129" i="16"/>
  <c r="B128" i="16"/>
  <c r="D127" i="16"/>
  <c r="B127" i="16"/>
  <c r="C127" i="16" s="1"/>
  <c r="D126" i="16"/>
  <c r="B126" i="16"/>
  <c r="B125" i="16"/>
  <c r="B124" i="16"/>
  <c r="D123" i="16"/>
  <c r="B123" i="16"/>
  <c r="B122" i="16"/>
  <c r="B121" i="16"/>
  <c r="D120" i="16"/>
  <c r="B120" i="16"/>
  <c r="B119" i="16"/>
  <c r="B118" i="16"/>
  <c r="D118" i="16" s="1"/>
  <c r="B117" i="16"/>
  <c r="C116" i="16"/>
  <c r="B116" i="16"/>
  <c r="C115" i="16"/>
  <c r="B115" i="16"/>
  <c r="B114" i="16"/>
  <c r="C114" i="16" s="1"/>
  <c r="D113" i="16"/>
  <c r="B113" i="16"/>
  <c r="B112" i="16"/>
  <c r="D111" i="16"/>
  <c r="B111" i="16"/>
  <c r="C111" i="16" s="1"/>
  <c r="D110" i="16"/>
  <c r="B110" i="16"/>
  <c r="B109" i="16"/>
  <c r="B108" i="16"/>
  <c r="C108" i="16" s="1"/>
  <c r="D107" i="16"/>
  <c r="C107" i="16"/>
  <c r="B107" i="16"/>
  <c r="D106" i="16"/>
  <c r="B106" i="16"/>
  <c r="B105" i="16"/>
  <c r="D104" i="16"/>
  <c r="B104" i="16"/>
  <c r="D103" i="16"/>
  <c r="C103" i="16"/>
  <c r="B103" i="16"/>
  <c r="D115" i="16" s="1"/>
  <c r="B102" i="16"/>
  <c r="C101" i="16"/>
  <c r="B101" i="16"/>
  <c r="D100" i="16"/>
  <c r="C100" i="16"/>
  <c r="B100" i="16"/>
  <c r="B99" i="16"/>
  <c r="B98" i="16"/>
  <c r="D97" i="16"/>
  <c r="B97" i="16"/>
  <c r="B96" i="16"/>
  <c r="D95" i="16"/>
  <c r="B95" i="16"/>
  <c r="C95" i="16" s="1"/>
  <c r="D94" i="16"/>
  <c r="B94" i="16"/>
  <c r="B93" i="16"/>
  <c r="B92" i="16"/>
  <c r="D91" i="16"/>
  <c r="B91" i="16"/>
  <c r="B90" i="16"/>
  <c r="B89" i="16"/>
  <c r="D89" i="16" s="1"/>
  <c r="D88" i="16"/>
  <c r="B88" i="16"/>
  <c r="B87" i="16"/>
  <c r="B86" i="16"/>
  <c r="B85" i="16"/>
  <c r="B84" i="16"/>
  <c r="C83" i="16"/>
  <c r="B83" i="16"/>
  <c r="B82" i="16"/>
  <c r="C82" i="16" s="1"/>
  <c r="D81" i="16"/>
  <c r="C81" i="16"/>
  <c r="B81" i="16"/>
  <c r="B80" i="16"/>
  <c r="C80" i="16" s="1"/>
  <c r="B79" i="16"/>
  <c r="C79" i="16" s="1"/>
  <c r="D78" i="16"/>
  <c r="C78" i="16"/>
  <c r="B78" i="16"/>
  <c r="C77" i="16"/>
  <c r="B77" i="16"/>
  <c r="D77" i="16" s="1"/>
  <c r="B76" i="16"/>
  <c r="C76" i="16" s="1"/>
  <c r="D75" i="16"/>
  <c r="C75" i="16"/>
  <c r="B75" i="16"/>
  <c r="D74" i="16"/>
  <c r="C74" i="16"/>
  <c r="B74" i="16"/>
  <c r="B73" i="16"/>
  <c r="D72" i="16"/>
  <c r="B72" i="16"/>
  <c r="D71" i="16"/>
  <c r="C71" i="16"/>
  <c r="B71" i="16"/>
  <c r="D83" i="16" s="1"/>
  <c r="B70" i="16"/>
  <c r="D69" i="16"/>
  <c r="B69" i="16"/>
  <c r="C69" i="16" s="1"/>
  <c r="D68" i="16"/>
  <c r="B68" i="16"/>
  <c r="C67" i="16"/>
  <c r="B67" i="16"/>
  <c r="C66" i="16"/>
  <c r="B66" i="16"/>
  <c r="B65" i="16"/>
  <c r="C65" i="16" s="1"/>
  <c r="D64" i="16"/>
  <c r="C64" i="16"/>
  <c r="B64" i="16"/>
  <c r="D76" i="16" s="1"/>
  <c r="D63" i="16"/>
  <c r="C63" i="16"/>
  <c r="B63" i="16"/>
  <c r="B62" i="16"/>
  <c r="D61" i="16"/>
  <c r="B61" i="16"/>
  <c r="C61" i="16" s="1"/>
  <c r="D60" i="16"/>
  <c r="B60" i="16"/>
  <c r="C59" i="16"/>
  <c r="B59" i="16"/>
  <c r="C58" i="16"/>
  <c r="B58" i="16"/>
  <c r="B57" i="16"/>
  <c r="C57" i="16" s="1"/>
  <c r="D56" i="16"/>
  <c r="C56" i="16"/>
  <c r="B56" i="16"/>
  <c r="D55" i="16"/>
  <c r="C55" i="16"/>
  <c r="B55" i="16"/>
  <c r="B54" i="16"/>
  <c r="D53" i="16"/>
  <c r="B53" i="16"/>
  <c r="D52" i="16"/>
  <c r="B52" i="16"/>
  <c r="C51" i="16"/>
  <c r="B51" i="16"/>
  <c r="C50" i="16"/>
  <c r="B50" i="16"/>
  <c r="B49" i="16"/>
  <c r="C49" i="16" s="1"/>
  <c r="D48" i="16"/>
  <c r="C48" i="16"/>
  <c r="B48" i="16"/>
  <c r="D47" i="16"/>
  <c r="C47" i="16"/>
  <c r="B47" i="16"/>
  <c r="B46" i="16"/>
  <c r="D45" i="16"/>
  <c r="B45" i="16"/>
  <c r="D44" i="16"/>
  <c r="B44" i="16"/>
  <c r="C43" i="16"/>
  <c r="B43" i="16"/>
  <c r="C42" i="16"/>
  <c r="B42" i="16"/>
  <c r="B41" i="16"/>
  <c r="C41" i="16" s="1"/>
  <c r="D40" i="16"/>
  <c r="C40" i="16"/>
  <c r="B40" i="16"/>
  <c r="D39" i="16"/>
  <c r="C39" i="16"/>
  <c r="B39" i="16"/>
  <c r="B38" i="16"/>
  <c r="D37" i="16"/>
  <c r="B37" i="16"/>
  <c r="D36" i="16"/>
  <c r="B36" i="16"/>
  <c r="C35" i="16"/>
  <c r="B35" i="16"/>
  <c r="C34" i="16"/>
  <c r="B34" i="16"/>
  <c r="B33" i="16"/>
  <c r="C33" i="16" s="1"/>
  <c r="D32" i="16"/>
  <c r="C32" i="16"/>
  <c r="B32" i="16"/>
  <c r="D31" i="16"/>
  <c r="C31" i="16"/>
  <c r="B31" i="16"/>
  <c r="B30" i="16"/>
  <c r="D29" i="16"/>
  <c r="B29" i="16"/>
  <c r="D28" i="16"/>
  <c r="B28" i="16"/>
  <c r="C27" i="16"/>
  <c r="B27" i="16"/>
  <c r="C26" i="16"/>
  <c r="B26" i="16"/>
  <c r="B25" i="16"/>
  <c r="C25" i="16" s="1"/>
  <c r="D24" i="16"/>
  <c r="C24" i="16"/>
  <c r="B24" i="16"/>
  <c r="D23" i="16"/>
  <c r="C23" i="16"/>
  <c r="B23" i="16"/>
  <c r="B22" i="16"/>
  <c r="D21" i="16"/>
  <c r="B21" i="16"/>
  <c r="D20" i="16"/>
  <c r="B20" i="16"/>
  <c r="C19" i="16"/>
  <c r="B19" i="16"/>
  <c r="B18" i="16"/>
  <c r="C18" i="16" s="1"/>
  <c r="C17" i="16"/>
  <c r="B17" i="16"/>
  <c r="B16" i="16"/>
  <c r="B15" i="16"/>
  <c r="B14" i="16"/>
  <c r="C14" i="16" s="1"/>
  <c r="C13" i="16"/>
  <c r="B13" i="16"/>
  <c r="D25" i="16" s="1"/>
  <c r="B12" i="16"/>
  <c r="C12" i="16" s="1"/>
  <c r="C11" i="16"/>
  <c r="B11" i="16"/>
  <c r="B10" i="16"/>
  <c r="C10" i="16" s="1"/>
  <c r="C9" i="16"/>
  <c r="B9" i="16"/>
  <c r="B8" i="16"/>
  <c r="C8" i="16" s="1"/>
  <c r="B7" i="16"/>
  <c r="B366" i="15"/>
  <c r="D365" i="15"/>
  <c r="B365" i="15"/>
  <c r="B364" i="15"/>
  <c r="B363" i="15"/>
  <c r="B362" i="15"/>
  <c r="C362" i="15" s="1"/>
  <c r="D361" i="15"/>
  <c r="C361" i="15"/>
  <c r="B361" i="15"/>
  <c r="B360" i="15"/>
  <c r="B359" i="15"/>
  <c r="B358" i="15"/>
  <c r="D357" i="15"/>
  <c r="B357" i="15"/>
  <c r="B356" i="15"/>
  <c r="C355" i="15"/>
  <c r="B355" i="15"/>
  <c r="B354" i="15"/>
  <c r="C354" i="15" s="1"/>
  <c r="D353" i="15"/>
  <c r="C353" i="15"/>
  <c r="B353" i="15"/>
  <c r="B352" i="15"/>
  <c r="B351" i="15"/>
  <c r="B350" i="15"/>
  <c r="D349" i="15"/>
  <c r="B349" i="15"/>
  <c r="B348" i="15"/>
  <c r="C347" i="15"/>
  <c r="B347" i="15"/>
  <c r="D347" i="15" s="1"/>
  <c r="B346" i="15"/>
  <c r="C346" i="15" s="1"/>
  <c r="D345" i="15"/>
  <c r="C345" i="15"/>
  <c r="B345" i="15"/>
  <c r="B344" i="15"/>
  <c r="B343" i="15"/>
  <c r="B342" i="15"/>
  <c r="D341" i="15"/>
  <c r="B341" i="15"/>
  <c r="B340" i="15"/>
  <c r="B339" i="15"/>
  <c r="B338" i="15"/>
  <c r="C338" i="15" s="1"/>
  <c r="D337" i="15"/>
  <c r="C337" i="15"/>
  <c r="B337" i="15"/>
  <c r="C336" i="15"/>
  <c r="B336" i="15"/>
  <c r="B335" i="15"/>
  <c r="B334" i="15"/>
  <c r="D333" i="15"/>
  <c r="B333" i="15"/>
  <c r="B332" i="15"/>
  <c r="B331" i="15"/>
  <c r="B330" i="15"/>
  <c r="C330" i="15" s="1"/>
  <c r="D329" i="15"/>
  <c r="C329" i="15"/>
  <c r="B329" i="15"/>
  <c r="B328" i="15"/>
  <c r="B327" i="15"/>
  <c r="B326" i="15"/>
  <c r="D325" i="15"/>
  <c r="B325" i="15"/>
  <c r="B324" i="15"/>
  <c r="B323" i="15"/>
  <c r="D323" i="15" s="1"/>
  <c r="B322" i="15"/>
  <c r="C322" i="15" s="1"/>
  <c r="D321" i="15"/>
  <c r="C321" i="15"/>
  <c r="B321" i="15"/>
  <c r="B320" i="15"/>
  <c r="B319" i="15"/>
  <c r="B318" i="15"/>
  <c r="D317" i="15"/>
  <c r="B317" i="15"/>
  <c r="B316" i="15"/>
  <c r="B315" i="15"/>
  <c r="B314" i="15"/>
  <c r="C314" i="15" s="1"/>
  <c r="D313" i="15"/>
  <c r="C313" i="15"/>
  <c r="B313" i="15"/>
  <c r="C312" i="15"/>
  <c r="B312" i="15"/>
  <c r="B311" i="15"/>
  <c r="B310" i="15"/>
  <c r="D309" i="15"/>
  <c r="B309" i="15"/>
  <c r="B308" i="15"/>
  <c r="B307" i="15"/>
  <c r="D307" i="15" s="1"/>
  <c r="B306" i="15"/>
  <c r="C306" i="15" s="1"/>
  <c r="D305" i="15"/>
  <c r="C305" i="15"/>
  <c r="B305" i="15"/>
  <c r="C304" i="15"/>
  <c r="B304" i="15"/>
  <c r="B303" i="15"/>
  <c r="B302" i="15"/>
  <c r="D301" i="15"/>
  <c r="B301" i="15"/>
  <c r="B300" i="15"/>
  <c r="B299" i="15"/>
  <c r="B298" i="15"/>
  <c r="C298" i="15" s="1"/>
  <c r="D297" i="15"/>
  <c r="C297" i="15"/>
  <c r="B297" i="15"/>
  <c r="B296" i="15"/>
  <c r="B295" i="15"/>
  <c r="B294" i="15"/>
  <c r="D293" i="15"/>
  <c r="B293" i="15"/>
  <c r="B292" i="15"/>
  <c r="C291" i="15"/>
  <c r="B291" i="15"/>
  <c r="B290" i="15"/>
  <c r="C290" i="15" s="1"/>
  <c r="D289" i="15"/>
  <c r="C289" i="15"/>
  <c r="B289" i="15"/>
  <c r="B288" i="15"/>
  <c r="B287" i="15"/>
  <c r="B286" i="15"/>
  <c r="D285" i="15"/>
  <c r="B285" i="15"/>
  <c r="B284" i="15"/>
  <c r="C283" i="15"/>
  <c r="B283" i="15"/>
  <c r="D283" i="15" s="1"/>
  <c r="B282" i="15"/>
  <c r="C282" i="15" s="1"/>
  <c r="D281" i="15"/>
  <c r="C281" i="15"/>
  <c r="B281" i="15"/>
  <c r="B280" i="15"/>
  <c r="B279" i="15"/>
  <c r="B278" i="15"/>
  <c r="D277" i="15"/>
  <c r="B277" i="15"/>
  <c r="B276" i="15"/>
  <c r="B275" i="15"/>
  <c r="B274" i="15"/>
  <c r="C274" i="15" s="1"/>
  <c r="D273" i="15"/>
  <c r="C273" i="15"/>
  <c r="B273" i="15"/>
  <c r="C272" i="15"/>
  <c r="B272" i="15"/>
  <c r="B271" i="15"/>
  <c r="B270" i="15"/>
  <c r="D269" i="15"/>
  <c r="B269" i="15"/>
  <c r="B268" i="15"/>
  <c r="B267" i="15"/>
  <c r="B266" i="15"/>
  <c r="C266" i="15" s="1"/>
  <c r="D265" i="15"/>
  <c r="C265" i="15"/>
  <c r="B265" i="15"/>
  <c r="B264" i="15"/>
  <c r="B263" i="15"/>
  <c r="B262" i="15"/>
  <c r="D261" i="15"/>
  <c r="B261" i="15"/>
  <c r="B260" i="15"/>
  <c r="B259" i="15"/>
  <c r="D259" i="15" s="1"/>
  <c r="B258" i="15"/>
  <c r="C258" i="15" s="1"/>
  <c r="D257" i="15"/>
  <c r="C257" i="15"/>
  <c r="B257" i="15"/>
  <c r="B256" i="15"/>
  <c r="B255" i="15"/>
  <c r="B254" i="15"/>
  <c r="D253" i="15"/>
  <c r="B253" i="15"/>
  <c r="B252" i="15"/>
  <c r="B251" i="15"/>
  <c r="B250" i="15"/>
  <c r="C250" i="15" s="1"/>
  <c r="D249" i="15"/>
  <c r="C249" i="15"/>
  <c r="B249" i="15"/>
  <c r="C248" i="15"/>
  <c r="B248" i="15"/>
  <c r="B247" i="15"/>
  <c r="B246" i="15"/>
  <c r="D245" i="15"/>
  <c r="B245" i="15"/>
  <c r="B244" i="15"/>
  <c r="B243" i="15"/>
  <c r="D243" i="15" s="1"/>
  <c r="B242" i="15"/>
  <c r="C242" i="15" s="1"/>
  <c r="D241" i="15"/>
  <c r="C241" i="15"/>
  <c r="B241" i="15"/>
  <c r="C240" i="15"/>
  <c r="B240" i="15"/>
  <c r="B239" i="15"/>
  <c r="B238" i="15"/>
  <c r="D237" i="15"/>
  <c r="B237" i="15"/>
  <c r="B236" i="15"/>
  <c r="B235" i="15"/>
  <c r="B234" i="15"/>
  <c r="C234" i="15" s="1"/>
  <c r="D233" i="15"/>
  <c r="C233" i="15"/>
  <c r="B233" i="15"/>
  <c r="B232" i="15"/>
  <c r="B231" i="15"/>
  <c r="B230" i="15"/>
  <c r="D229" i="15"/>
  <c r="B229" i="15"/>
  <c r="B228" i="15"/>
  <c r="C227" i="15"/>
  <c r="B227" i="15"/>
  <c r="B226" i="15"/>
  <c r="C226" i="15" s="1"/>
  <c r="D225" i="15"/>
  <c r="C225" i="15"/>
  <c r="B225" i="15"/>
  <c r="B224" i="15"/>
  <c r="B223" i="15"/>
  <c r="B222" i="15"/>
  <c r="D221" i="15"/>
  <c r="B221" i="15"/>
  <c r="B220" i="15"/>
  <c r="C219" i="15"/>
  <c r="B219" i="15"/>
  <c r="D219" i="15" s="1"/>
  <c r="D218" i="15"/>
  <c r="B218" i="15"/>
  <c r="C218" i="15" s="1"/>
  <c r="D217" i="15"/>
  <c r="B217" i="15"/>
  <c r="D216" i="15"/>
  <c r="C216" i="15"/>
  <c r="B216" i="15"/>
  <c r="C217" i="15" s="1"/>
  <c r="B215" i="15"/>
  <c r="B214" i="15"/>
  <c r="D213" i="15"/>
  <c r="C213" i="15"/>
  <c r="B213" i="15"/>
  <c r="C212" i="15"/>
  <c r="B212" i="15"/>
  <c r="C211" i="15"/>
  <c r="B211" i="15"/>
  <c r="D210" i="15"/>
  <c r="B210" i="15"/>
  <c r="C210" i="15" s="1"/>
  <c r="D209" i="15"/>
  <c r="C209" i="15"/>
  <c r="B209" i="15"/>
  <c r="C208" i="15"/>
  <c r="B208" i="15"/>
  <c r="B207" i="15"/>
  <c r="C206" i="15"/>
  <c r="B206" i="15"/>
  <c r="D206" i="15" s="1"/>
  <c r="C205" i="15"/>
  <c r="B205" i="15"/>
  <c r="B204" i="15"/>
  <c r="D204" i="15" s="1"/>
  <c r="B203" i="15"/>
  <c r="D203" i="15" s="1"/>
  <c r="D202" i="15"/>
  <c r="B202" i="15"/>
  <c r="C202" i="15" s="1"/>
  <c r="D201" i="15"/>
  <c r="B201" i="15"/>
  <c r="B200" i="15"/>
  <c r="B199" i="15"/>
  <c r="D198" i="15"/>
  <c r="C198" i="15"/>
  <c r="B198" i="15"/>
  <c r="B197" i="15"/>
  <c r="B196" i="15"/>
  <c r="C195" i="15"/>
  <c r="B195" i="15"/>
  <c r="D194" i="15"/>
  <c r="B194" i="15"/>
  <c r="B193" i="15"/>
  <c r="D193" i="15" s="1"/>
  <c r="C192" i="15"/>
  <c r="B192" i="15"/>
  <c r="B191" i="15"/>
  <c r="B190" i="15"/>
  <c r="D190" i="15" s="1"/>
  <c r="C189" i="15"/>
  <c r="B189" i="15"/>
  <c r="B188" i="15"/>
  <c r="D188" i="15" s="1"/>
  <c r="C187" i="15"/>
  <c r="B187" i="15"/>
  <c r="D187" i="15" s="1"/>
  <c r="B186" i="15"/>
  <c r="C186" i="15" s="1"/>
  <c r="D185" i="15"/>
  <c r="B185" i="15"/>
  <c r="B184" i="15"/>
  <c r="B183" i="15"/>
  <c r="D182" i="15"/>
  <c r="C182" i="15"/>
  <c r="B182" i="15"/>
  <c r="B181" i="15"/>
  <c r="B180" i="15"/>
  <c r="C179" i="15"/>
  <c r="B179" i="15"/>
  <c r="D178" i="15"/>
  <c r="B178" i="15"/>
  <c r="D177" i="15"/>
  <c r="B177" i="15"/>
  <c r="D189" i="15" s="1"/>
  <c r="C176" i="15"/>
  <c r="B176" i="15"/>
  <c r="B175" i="15"/>
  <c r="B174" i="15"/>
  <c r="D173" i="15"/>
  <c r="C173" i="15"/>
  <c r="B173" i="15"/>
  <c r="B172" i="15"/>
  <c r="D172" i="15" s="1"/>
  <c r="B171" i="15"/>
  <c r="D171" i="15" s="1"/>
  <c r="B170" i="15"/>
  <c r="C170" i="15" s="1"/>
  <c r="D169" i="15"/>
  <c r="B169" i="15"/>
  <c r="B168" i="15"/>
  <c r="D168" i="15" s="1"/>
  <c r="B167" i="15"/>
  <c r="D166" i="15"/>
  <c r="C166" i="15"/>
  <c r="B166" i="15"/>
  <c r="B165" i="15"/>
  <c r="B164" i="15"/>
  <c r="C163" i="15"/>
  <c r="B163" i="15"/>
  <c r="D162" i="15"/>
  <c r="B162" i="15"/>
  <c r="D161" i="15"/>
  <c r="C161" i="15"/>
  <c r="B161" i="15"/>
  <c r="C160" i="15"/>
  <c r="B160" i="15"/>
  <c r="B159" i="15"/>
  <c r="C158" i="15"/>
  <c r="B158" i="15"/>
  <c r="D158" i="15" s="1"/>
  <c r="D157" i="15"/>
  <c r="C157" i="15"/>
  <c r="B157" i="15"/>
  <c r="B156" i="15"/>
  <c r="D156" i="15" s="1"/>
  <c r="B155" i="15"/>
  <c r="D154" i="15"/>
  <c r="B154" i="15"/>
  <c r="C154" i="15" s="1"/>
  <c r="D153" i="15"/>
  <c r="B153" i="15"/>
  <c r="C153" i="15" s="1"/>
  <c r="B152" i="15"/>
  <c r="D152" i="15" s="1"/>
  <c r="B151" i="15"/>
  <c r="D150" i="15"/>
  <c r="C150" i="15"/>
  <c r="B150" i="15"/>
  <c r="B149" i="15"/>
  <c r="C148" i="15"/>
  <c r="B148" i="15"/>
  <c r="C147" i="15"/>
  <c r="B147" i="15"/>
  <c r="D146" i="15"/>
  <c r="B146" i="15"/>
  <c r="C145" i="15"/>
  <c r="B145" i="15"/>
  <c r="D145" i="15" s="1"/>
  <c r="C144" i="15"/>
  <c r="B144" i="15"/>
  <c r="B143" i="15"/>
  <c r="C142" i="15"/>
  <c r="B142" i="15"/>
  <c r="D142" i="15" s="1"/>
  <c r="C141" i="15"/>
  <c r="B141" i="15"/>
  <c r="B140" i="15"/>
  <c r="D140" i="15" s="1"/>
  <c r="B139" i="15"/>
  <c r="D139" i="15" s="1"/>
  <c r="D138" i="15"/>
  <c r="B138" i="15"/>
  <c r="C138" i="15" s="1"/>
  <c r="D137" i="15"/>
  <c r="B137" i="15"/>
  <c r="C137" i="15" s="1"/>
  <c r="C136" i="15"/>
  <c r="B136" i="15"/>
  <c r="D136" i="15" s="1"/>
  <c r="B135" i="15"/>
  <c r="D134" i="15"/>
  <c r="C134" i="15"/>
  <c r="B134" i="15"/>
  <c r="B133" i="15"/>
  <c r="B132" i="15"/>
  <c r="C131" i="15"/>
  <c r="B131" i="15"/>
  <c r="D130" i="15"/>
  <c r="B130" i="15"/>
  <c r="D129" i="15"/>
  <c r="B129" i="15"/>
  <c r="C128" i="15"/>
  <c r="B128" i="15"/>
  <c r="B127" i="15"/>
  <c r="B126" i="15"/>
  <c r="D125" i="15"/>
  <c r="C125" i="15"/>
  <c r="B125" i="15"/>
  <c r="B124" i="15"/>
  <c r="D124" i="15" s="1"/>
  <c r="B123" i="15"/>
  <c r="D123" i="15" s="1"/>
  <c r="B122" i="15"/>
  <c r="C122" i="15" s="1"/>
  <c r="D121" i="15"/>
  <c r="B121" i="15"/>
  <c r="B120" i="15"/>
  <c r="D120" i="15" s="1"/>
  <c r="B119" i="15"/>
  <c r="D118" i="15"/>
  <c r="C118" i="15"/>
  <c r="B118" i="15"/>
  <c r="B117" i="15"/>
  <c r="B116" i="15"/>
  <c r="C115" i="15"/>
  <c r="B115" i="15"/>
  <c r="D114" i="15"/>
  <c r="B114" i="15"/>
  <c r="D113" i="15"/>
  <c r="C113" i="15"/>
  <c r="B113" i="15"/>
  <c r="C112" i="15"/>
  <c r="B112" i="15"/>
  <c r="B111" i="15"/>
  <c r="B110" i="15"/>
  <c r="D110" i="15" s="1"/>
  <c r="D109" i="15"/>
  <c r="C109" i="15"/>
  <c r="B109" i="15"/>
  <c r="B108" i="15"/>
  <c r="C107" i="15"/>
  <c r="B107" i="15"/>
  <c r="D106" i="15"/>
  <c r="B106" i="15"/>
  <c r="C106" i="15" s="1"/>
  <c r="D105" i="15"/>
  <c r="B105" i="15"/>
  <c r="B104" i="15"/>
  <c r="B103" i="15"/>
  <c r="D102" i="15"/>
  <c r="C102" i="15"/>
  <c r="B102" i="15"/>
  <c r="B101" i="15"/>
  <c r="D100" i="15"/>
  <c r="C100" i="15"/>
  <c r="B100" i="15"/>
  <c r="C101" i="15" s="1"/>
  <c r="D99" i="15"/>
  <c r="B99" i="15"/>
  <c r="B98" i="15"/>
  <c r="D97" i="15"/>
  <c r="C97" i="15"/>
  <c r="B97" i="15"/>
  <c r="D96" i="15"/>
  <c r="B96" i="15"/>
  <c r="B95" i="15"/>
  <c r="C94" i="15"/>
  <c r="B94" i="15"/>
  <c r="D93" i="15"/>
  <c r="B93" i="15"/>
  <c r="B92" i="15"/>
  <c r="D91" i="15"/>
  <c r="B91" i="15"/>
  <c r="C91" i="15" s="1"/>
  <c r="B90" i="15"/>
  <c r="B89" i="15"/>
  <c r="D88" i="15"/>
  <c r="B88" i="15"/>
  <c r="C88" i="15" s="1"/>
  <c r="B87" i="15"/>
  <c r="C86" i="15"/>
  <c r="B86" i="15"/>
  <c r="D85" i="15"/>
  <c r="C85" i="15"/>
  <c r="B85" i="15"/>
  <c r="B84" i="15"/>
  <c r="B83" i="15"/>
  <c r="B82" i="15"/>
  <c r="B81" i="15"/>
  <c r="D81" i="15" s="1"/>
  <c r="B80" i="15"/>
  <c r="B79" i="15"/>
  <c r="C78" i="15"/>
  <c r="B78" i="15"/>
  <c r="D78" i="15" s="1"/>
  <c r="D77" i="15"/>
  <c r="C77" i="15"/>
  <c r="B77" i="15"/>
  <c r="D76" i="15"/>
  <c r="C76" i="15"/>
  <c r="B76" i="15"/>
  <c r="B75" i="15"/>
  <c r="D74" i="15"/>
  <c r="B74" i="15"/>
  <c r="C74" i="15" s="1"/>
  <c r="D73" i="15"/>
  <c r="B73" i="15"/>
  <c r="B72" i="15"/>
  <c r="B71" i="15"/>
  <c r="D70" i="15"/>
  <c r="C70" i="15"/>
  <c r="B70" i="15"/>
  <c r="B69" i="15"/>
  <c r="C68" i="15"/>
  <c r="B68" i="15"/>
  <c r="C69" i="15" s="1"/>
  <c r="D67" i="15"/>
  <c r="B67" i="15"/>
  <c r="C67" i="15" s="1"/>
  <c r="B66" i="15"/>
  <c r="D65" i="15"/>
  <c r="C65" i="15"/>
  <c r="B65" i="15"/>
  <c r="D64" i="15"/>
  <c r="B64" i="15"/>
  <c r="B63" i="15"/>
  <c r="C62" i="15"/>
  <c r="B62" i="15"/>
  <c r="D61" i="15"/>
  <c r="B61" i="15"/>
  <c r="C60" i="15"/>
  <c r="B60" i="15"/>
  <c r="D59" i="15"/>
  <c r="B59" i="15"/>
  <c r="C59" i="15" s="1"/>
  <c r="B58" i="15"/>
  <c r="B57" i="15"/>
  <c r="D56" i="15"/>
  <c r="B56" i="15"/>
  <c r="C56" i="15" s="1"/>
  <c r="B55" i="15"/>
  <c r="B54" i="15"/>
  <c r="D53" i="15"/>
  <c r="C53" i="15"/>
  <c r="B53" i="15"/>
  <c r="B52" i="15"/>
  <c r="D51" i="15"/>
  <c r="B51" i="15"/>
  <c r="B50" i="15"/>
  <c r="B49" i="15"/>
  <c r="D49" i="15" s="1"/>
  <c r="B48" i="15"/>
  <c r="B47" i="15"/>
  <c r="C46" i="15"/>
  <c r="B46" i="15"/>
  <c r="D46" i="15" s="1"/>
  <c r="D45" i="15"/>
  <c r="C45" i="15"/>
  <c r="B45" i="15"/>
  <c r="D44" i="15"/>
  <c r="C44" i="15"/>
  <c r="B44" i="15"/>
  <c r="B43" i="15"/>
  <c r="B42" i="15"/>
  <c r="C42" i="15" s="1"/>
  <c r="D41" i="15"/>
  <c r="B41" i="15"/>
  <c r="B40" i="15"/>
  <c r="C39" i="15"/>
  <c r="B39" i="15"/>
  <c r="D38" i="15"/>
  <c r="C38" i="15"/>
  <c r="B38" i="15"/>
  <c r="B37" i="15"/>
  <c r="C36" i="15"/>
  <c r="B36" i="15"/>
  <c r="C37" i="15" s="1"/>
  <c r="D35" i="15"/>
  <c r="B35" i="15"/>
  <c r="B34" i="15"/>
  <c r="D33" i="15"/>
  <c r="C33" i="15"/>
  <c r="B33" i="15"/>
  <c r="D32" i="15"/>
  <c r="B32" i="15"/>
  <c r="C32" i="15" s="1"/>
  <c r="B31" i="15"/>
  <c r="D30" i="15"/>
  <c r="C30" i="15"/>
  <c r="B30" i="15"/>
  <c r="D29" i="15"/>
  <c r="B29" i="15"/>
  <c r="B28" i="15"/>
  <c r="B27" i="15"/>
  <c r="B26" i="15"/>
  <c r="B25" i="15"/>
  <c r="B24" i="15"/>
  <c r="B23" i="15"/>
  <c r="B22" i="15"/>
  <c r="D21" i="15"/>
  <c r="C21" i="15"/>
  <c r="B21" i="15"/>
  <c r="B20" i="15"/>
  <c r="C19" i="15"/>
  <c r="B19" i="15"/>
  <c r="C20" i="15" s="1"/>
  <c r="C18" i="15"/>
  <c r="B18" i="15"/>
  <c r="B17" i="15"/>
  <c r="B16" i="15"/>
  <c r="B15" i="15"/>
  <c r="C15" i="15" s="1"/>
  <c r="C14" i="15"/>
  <c r="B14" i="15"/>
  <c r="B13" i="15"/>
  <c r="C13" i="15" s="1"/>
  <c r="B12" i="15"/>
  <c r="C12" i="15" s="1"/>
  <c r="B11" i="15"/>
  <c r="C11" i="15" s="1"/>
  <c r="C10" i="15"/>
  <c r="B10" i="15"/>
  <c r="B9" i="15"/>
  <c r="C9" i="15" s="1"/>
  <c r="B8" i="15"/>
  <c r="B7" i="15"/>
  <c r="D19" i="15" s="1"/>
  <c r="D366" i="14"/>
  <c r="C366" i="14"/>
  <c r="B366" i="14"/>
  <c r="B365" i="14"/>
  <c r="D365" i="14" s="1"/>
  <c r="D364" i="14"/>
  <c r="C364" i="14"/>
  <c r="B364" i="14"/>
  <c r="C365" i="14" s="1"/>
  <c r="C363" i="14"/>
  <c r="B363" i="14"/>
  <c r="B362" i="14"/>
  <c r="D361" i="14"/>
  <c r="C361" i="14"/>
  <c r="B361" i="14"/>
  <c r="D360" i="14"/>
  <c r="B360" i="14"/>
  <c r="B359" i="14"/>
  <c r="D359" i="14" s="1"/>
  <c r="B358" i="14"/>
  <c r="C358" i="14" s="1"/>
  <c r="B357" i="14"/>
  <c r="D357" i="14" s="1"/>
  <c r="D356" i="14"/>
  <c r="C356" i="14"/>
  <c r="B356" i="14"/>
  <c r="C357" i="14" s="1"/>
  <c r="C355" i="14"/>
  <c r="B355" i="14"/>
  <c r="B354" i="14"/>
  <c r="D353" i="14"/>
  <c r="C353" i="14"/>
  <c r="B353" i="14"/>
  <c r="D352" i="14"/>
  <c r="B352" i="14"/>
  <c r="B351" i="14"/>
  <c r="B350" i="14"/>
  <c r="C350" i="14" s="1"/>
  <c r="B349" i="14"/>
  <c r="D349" i="14" s="1"/>
  <c r="D348" i="14"/>
  <c r="C348" i="14"/>
  <c r="B348" i="14"/>
  <c r="C349" i="14" s="1"/>
  <c r="C347" i="14"/>
  <c r="B347" i="14"/>
  <c r="B346" i="14"/>
  <c r="D345" i="14"/>
  <c r="C345" i="14"/>
  <c r="B345" i="14"/>
  <c r="D344" i="14"/>
  <c r="B344" i="14"/>
  <c r="B343" i="14"/>
  <c r="B342" i="14"/>
  <c r="C342" i="14" s="1"/>
  <c r="B341" i="14"/>
  <c r="D341" i="14" s="1"/>
  <c r="D340" i="14"/>
  <c r="C340" i="14"/>
  <c r="B340" i="14"/>
  <c r="C341" i="14" s="1"/>
  <c r="C339" i="14"/>
  <c r="B339" i="14"/>
  <c r="B338" i="14"/>
  <c r="D337" i="14"/>
  <c r="C337" i="14"/>
  <c r="B337" i="14"/>
  <c r="D336" i="14"/>
  <c r="B336" i="14"/>
  <c r="B335" i="14"/>
  <c r="B334" i="14"/>
  <c r="C334" i="14" s="1"/>
  <c r="B333" i="14"/>
  <c r="D333" i="14" s="1"/>
  <c r="D332" i="14"/>
  <c r="C332" i="14"/>
  <c r="B332" i="14"/>
  <c r="C333" i="14" s="1"/>
  <c r="C331" i="14"/>
  <c r="B331" i="14"/>
  <c r="B330" i="14"/>
  <c r="D329" i="14"/>
  <c r="C329" i="14"/>
  <c r="B329" i="14"/>
  <c r="D328" i="14"/>
  <c r="B328" i="14"/>
  <c r="C327" i="14"/>
  <c r="B327" i="14"/>
  <c r="B326" i="14"/>
  <c r="C326" i="14" s="1"/>
  <c r="B325" i="14"/>
  <c r="D324" i="14"/>
  <c r="C324" i="14"/>
  <c r="B324" i="14"/>
  <c r="C325" i="14" s="1"/>
  <c r="C323" i="14"/>
  <c r="B323" i="14"/>
  <c r="B322" i="14"/>
  <c r="D321" i="14"/>
  <c r="C321" i="14"/>
  <c r="B321" i="14"/>
  <c r="D320" i="14"/>
  <c r="B320" i="14"/>
  <c r="B319" i="14"/>
  <c r="B318" i="14"/>
  <c r="C318" i="14" s="1"/>
  <c r="B317" i="14"/>
  <c r="D316" i="14"/>
  <c r="C316" i="14"/>
  <c r="B316" i="14"/>
  <c r="C317" i="14" s="1"/>
  <c r="C315" i="14"/>
  <c r="B315" i="14"/>
  <c r="B314" i="14"/>
  <c r="B313" i="14"/>
  <c r="D313" i="14" s="1"/>
  <c r="B312" i="14"/>
  <c r="C312" i="14" s="1"/>
  <c r="B311" i="14"/>
  <c r="B310" i="14"/>
  <c r="C309" i="14"/>
  <c r="B309" i="14"/>
  <c r="D308" i="14"/>
  <c r="C308" i="14"/>
  <c r="B308" i="14"/>
  <c r="D307" i="14"/>
  <c r="B307" i="14"/>
  <c r="D306" i="14"/>
  <c r="B306" i="14"/>
  <c r="C306" i="14" s="1"/>
  <c r="D305" i="14"/>
  <c r="C305" i="14"/>
  <c r="B305" i="14"/>
  <c r="B304" i="14"/>
  <c r="B303" i="14"/>
  <c r="D303" i="14" s="1"/>
  <c r="B302" i="14"/>
  <c r="B301" i="14"/>
  <c r="B300" i="14"/>
  <c r="C299" i="14"/>
  <c r="B299" i="14"/>
  <c r="B298" i="14"/>
  <c r="B297" i="14"/>
  <c r="B296" i="14"/>
  <c r="B295" i="14"/>
  <c r="D295" i="14" s="1"/>
  <c r="B294" i="14"/>
  <c r="C293" i="14"/>
  <c r="B293" i="14"/>
  <c r="D292" i="14"/>
  <c r="C292" i="14"/>
  <c r="B292" i="14"/>
  <c r="D304" i="14" s="1"/>
  <c r="B291" i="14"/>
  <c r="B290" i="14"/>
  <c r="C290" i="14" s="1"/>
  <c r="D289" i="14"/>
  <c r="C289" i="14"/>
  <c r="B289" i="14"/>
  <c r="B288" i="14"/>
  <c r="B287" i="14"/>
  <c r="B286" i="14"/>
  <c r="D286" i="14" s="1"/>
  <c r="B285" i="14"/>
  <c r="B284" i="14"/>
  <c r="C283" i="14"/>
  <c r="B283" i="14"/>
  <c r="B282" i="14"/>
  <c r="B281" i="14"/>
  <c r="D281" i="14" s="1"/>
  <c r="B280" i="14"/>
  <c r="B279" i="14"/>
  <c r="D279" i="14" s="1"/>
  <c r="B278" i="14"/>
  <c r="C277" i="14"/>
  <c r="B277" i="14"/>
  <c r="D276" i="14"/>
  <c r="C276" i="14"/>
  <c r="B276" i="14"/>
  <c r="D288" i="14" s="1"/>
  <c r="B275" i="14"/>
  <c r="D274" i="14"/>
  <c r="B274" i="14"/>
  <c r="C274" i="14" s="1"/>
  <c r="D273" i="14"/>
  <c r="C273" i="14"/>
  <c r="B273" i="14"/>
  <c r="B272" i="14"/>
  <c r="B271" i="14"/>
  <c r="B270" i="14"/>
  <c r="B269" i="14"/>
  <c r="B268" i="14"/>
  <c r="C267" i="14"/>
  <c r="B267" i="14"/>
  <c r="B266" i="14"/>
  <c r="B265" i="14"/>
  <c r="D265" i="14" s="1"/>
  <c r="B264" i="14"/>
  <c r="B263" i="14"/>
  <c r="D263" i="14" s="1"/>
  <c r="B262" i="14"/>
  <c r="C261" i="14"/>
  <c r="B261" i="14"/>
  <c r="D260" i="14"/>
  <c r="C260" i="14"/>
  <c r="B260" i="14"/>
  <c r="D272" i="14" s="1"/>
  <c r="B259" i="14"/>
  <c r="B258" i="14"/>
  <c r="C258" i="14" s="1"/>
  <c r="D257" i="14"/>
  <c r="C257" i="14"/>
  <c r="B257" i="14"/>
  <c r="B256" i="14"/>
  <c r="B255" i="14"/>
  <c r="B254" i="14"/>
  <c r="B253" i="14"/>
  <c r="B252" i="14"/>
  <c r="C251" i="14"/>
  <c r="B251" i="14"/>
  <c r="B250" i="14"/>
  <c r="B249" i="14"/>
  <c r="D249" i="14" s="1"/>
  <c r="B248" i="14"/>
  <c r="B247" i="14"/>
  <c r="D247" i="14" s="1"/>
  <c r="B246" i="14"/>
  <c r="C245" i="14"/>
  <c r="B245" i="14"/>
  <c r="C244" i="14"/>
  <c r="B244" i="14"/>
  <c r="D256" i="14" s="1"/>
  <c r="D243" i="14"/>
  <c r="B243" i="14"/>
  <c r="D242" i="14"/>
  <c r="B242" i="14"/>
  <c r="C242" i="14" s="1"/>
  <c r="C241" i="14"/>
  <c r="B241" i="14"/>
  <c r="D240" i="14"/>
  <c r="B240" i="14"/>
  <c r="B239" i="14"/>
  <c r="B238" i="14"/>
  <c r="B237" i="14"/>
  <c r="C236" i="14"/>
  <c r="B236" i="14"/>
  <c r="D235" i="14"/>
  <c r="C235" i="14"/>
  <c r="B235" i="14"/>
  <c r="B234" i="14"/>
  <c r="B233" i="14"/>
  <c r="C234" i="14" s="1"/>
  <c r="D232" i="14"/>
  <c r="B232" i="14"/>
  <c r="C232" i="14" s="1"/>
  <c r="B231" i="14"/>
  <c r="D230" i="14"/>
  <c r="B230" i="14"/>
  <c r="C231" i="14" s="1"/>
  <c r="B229" i="14"/>
  <c r="D229" i="14" s="1"/>
  <c r="C228" i="14"/>
  <c r="B228" i="14"/>
  <c r="D227" i="14"/>
  <c r="C227" i="14"/>
  <c r="B227" i="14"/>
  <c r="B226" i="14"/>
  <c r="B225" i="14"/>
  <c r="B224" i="14"/>
  <c r="D223" i="14"/>
  <c r="B223" i="14"/>
  <c r="B222" i="14"/>
  <c r="C221" i="14"/>
  <c r="B221" i="14"/>
  <c r="B220" i="14"/>
  <c r="D219" i="14"/>
  <c r="C219" i="14"/>
  <c r="B219" i="14"/>
  <c r="D231" i="14" s="1"/>
  <c r="B218" i="14"/>
  <c r="B217" i="14"/>
  <c r="B216" i="14"/>
  <c r="D215" i="14"/>
  <c r="B215" i="14"/>
  <c r="B214" i="14"/>
  <c r="C213" i="14"/>
  <c r="B213" i="14"/>
  <c r="B212" i="14"/>
  <c r="D211" i="14"/>
  <c r="C211" i="14"/>
  <c r="B211" i="14"/>
  <c r="C212" i="14" s="1"/>
  <c r="B210" i="14"/>
  <c r="B209" i="14"/>
  <c r="B208" i="14"/>
  <c r="D207" i="14"/>
  <c r="B207" i="14"/>
  <c r="B206" i="14"/>
  <c r="B205" i="14"/>
  <c r="B204" i="14"/>
  <c r="D203" i="14"/>
  <c r="C203" i="14"/>
  <c r="B203" i="14"/>
  <c r="C204" i="14" s="1"/>
  <c r="B202" i="14"/>
  <c r="B201" i="14"/>
  <c r="B200" i="14"/>
  <c r="D199" i="14"/>
  <c r="B199" i="14"/>
  <c r="B198" i="14"/>
  <c r="B197" i="14"/>
  <c r="B196" i="14"/>
  <c r="D195" i="14"/>
  <c r="C195" i="14"/>
  <c r="B195" i="14"/>
  <c r="C196" i="14" s="1"/>
  <c r="B194" i="14"/>
  <c r="B193" i="14"/>
  <c r="B192" i="14"/>
  <c r="D191" i="14"/>
  <c r="B191" i="14"/>
  <c r="B190" i="14"/>
  <c r="B189" i="14"/>
  <c r="B188" i="14"/>
  <c r="D187" i="14"/>
  <c r="C187" i="14"/>
  <c r="B187" i="14"/>
  <c r="C188" i="14" s="1"/>
  <c r="B186" i="14"/>
  <c r="B185" i="14"/>
  <c r="B184" i="14"/>
  <c r="D183" i="14"/>
  <c r="B183" i="14"/>
  <c r="B182" i="14"/>
  <c r="B181" i="14"/>
  <c r="B180" i="14"/>
  <c r="D179" i="14"/>
  <c r="C179" i="14"/>
  <c r="B179" i="14"/>
  <c r="C180" i="14" s="1"/>
  <c r="B178" i="14"/>
  <c r="B177" i="14"/>
  <c r="B176" i="14"/>
  <c r="D175" i="14"/>
  <c r="B175" i="14"/>
  <c r="B174" i="14"/>
  <c r="B173" i="14"/>
  <c r="B172" i="14"/>
  <c r="D171" i="14"/>
  <c r="C171" i="14"/>
  <c r="B171" i="14"/>
  <c r="C172" i="14" s="1"/>
  <c r="B170" i="14"/>
  <c r="B169" i="14"/>
  <c r="B168" i="14"/>
  <c r="D167" i="14"/>
  <c r="B167" i="14"/>
  <c r="B166" i="14"/>
  <c r="B165" i="14"/>
  <c r="D165" i="14" s="1"/>
  <c r="B164" i="14"/>
  <c r="D163" i="14"/>
  <c r="C163" i="14"/>
  <c r="B163" i="14"/>
  <c r="C164" i="14" s="1"/>
  <c r="B162" i="14"/>
  <c r="B161" i="14"/>
  <c r="B160" i="14"/>
  <c r="D159" i="14"/>
  <c r="B159" i="14"/>
  <c r="B158" i="14"/>
  <c r="B157" i="14"/>
  <c r="B156" i="14"/>
  <c r="D155" i="14"/>
  <c r="C155" i="14"/>
  <c r="B155" i="14"/>
  <c r="C156" i="14" s="1"/>
  <c r="B154" i="14"/>
  <c r="B153" i="14"/>
  <c r="B152" i="14"/>
  <c r="D151" i="14"/>
  <c r="B151" i="14"/>
  <c r="B150" i="14"/>
  <c r="B149" i="14"/>
  <c r="B148" i="14"/>
  <c r="D147" i="14"/>
  <c r="C147" i="14"/>
  <c r="B147" i="14"/>
  <c r="C148" i="14" s="1"/>
  <c r="B146" i="14"/>
  <c r="B145" i="14"/>
  <c r="B144" i="14"/>
  <c r="D143" i="14"/>
  <c r="B143" i="14"/>
  <c r="B142" i="14"/>
  <c r="B141" i="14"/>
  <c r="B140" i="14"/>
  <c r="D139" i="14"/>
  <c r="C139" i="14"/>
  <c r="B139" i="14"/>
  <c r="C140" i="14" s="1"/>
  <c r="B138" i="14"/>
  <c r="B137" i="14"/>
  <c r="B136" i="14"/>
  <c r="D135" i="14"/>
  <c r="B135" i="14"/>
  <c r="B134" i="14"/>
  <c r="B133" i="14"/>
  <c r="B132" i="14"/>
  <c r="D131" i="14"/>
  <c r="C131" i="14"/>
  <c r="B131" i="14"/>
  <c r="C132" i="14" s="1"/>
  <c r="B130" i="14"/>
  <c r="B129" i="14"/>
  <c r="B128" i="14"/>
  <c r="D127" i="14"/>
  <c r="B127" i="14"/>
  <c r="B126" i="14"/>
  <c r="B125" i="14"/>
  <c r="B124" i="14"/>
  <c r="D123" i="14"/>
  <c r="C123" i="14"/>
  <c r="B123" i="14"/>
  <c r="C124" i="14" s="1"/>
  <c r="B122" i="14"/>
  <c r="B121" i="14"/>
  <c r="B120" i="14"/>
  <c r="D119" i="14"/>
  <c r="B119" i="14"/>
  <c r="B118" i="14"/>
  <c r="B117" i="14"/>
  <c r="B116" i="14"/>
  <c r="D115" i="14"/>
  <c r="C115" i="14"/>
  <c r="B115" i="14"/>
  <c r="C116" i="14" s="1"/>
  <c r="B114" i="14"/>
  <c r="B113" i="14"/>
  <c r="B112" i="14"/>
  <c r="D111" i="14"/>
  <c r="B111" i="14"/>
  <c r="B110" i="14"/>
  <c r="B109" i="14"/>
  <c r="B108" i="14"/>
  <c r="D107" i="14"/>
  <c r="C107" i="14"/>
  <c r="B107" i="14"/>
  <c r="C108" i="14" s="1"/>
  <c r="B106" i="14"/>
  <c r="B105" i="14"/>
  <c r="B104" i="14"/>
  <c r="D103" i="14"/>
  <c r="B103" i="14"/>
  <c r="B102" i="14"/>
  <c r="B101" i="14"/>
  <c r="B100" i="14"/>
  <c r="D99" i="14"/>
  <c r="C99" i="14"/>
  <c r="B99" i="14"/>
  <c r="C100" i="14" s="1"/>
  <c r="B98" i="14"/>
  <c r="B97" i="14"/>
  <c r="B96" i="14"/>
  <c r="D95" i="14"/>
  <c r="B95" i="14"/>
  <c r="B94" i="14"/>
  <c r="B93" i="14"/>
  <c r="B92" i="14"/>
  <c r="D91" i="14"/>
  <c r="C91" i="14"/>
  <c r="B91" i="14"/>
  <c r="C92" i="14" s="1"/>
  <c r="B90" i="14"/>
  <c r="B89" i="14"/>
  <c r="B88" i="14"/>
  <c r="D87" i="14"/>
  <c r="B87" i="14"/>
  <c r="B86" i="14"/>
  <c r="B85" i="14"/>
  <c r="B84" i="14"/>
  <c r="D83" i="14"/>
  <c r="C83" i="14"/>
  <c r="B83" i="14"/>
  <c r="C84" i="14" s="1"/>
  <c r="B82" i="14"/>
  <c r="B81" i="14"/>
  <c r="B80" i="14"/>
  <c r="D79" i="14"/>
  <c r="B79" i="14"/>
  <c r="B78" i="14"/>
  <c r="B77" i="14"/>
  <c r="B76" i="14"/>
  <c r="D75" i="14"/>
  <c r="C75" i="14"/>
  <c r="B75" i="14"/>
  <c r="C76" i="14" s="1"/>
  <c r="B74" i="14"/>
  <c r="B73" i="14"/>
  <c r="B72" i="14"/>
  <c r="D71" i="14"/>
  <c r="B71" i="14"/>
  <c r="B70" i="14"/>
  <c r="B69" i="14"/>
  <c r="B68" i="14"/>
  <c r="D67" i="14"/>
  <c r="C67" i="14"/>
  <c r="B67" i="14"/>
  <c r="C68" i="14" s="1"/>
  <c r="B66" i="14"/>
  <c r="B65" i="14"/>
  <c r="B64" i="14"/>
  <c r="D63" i="14"/>
  <c r="B63" i="14"/>
  <c r="B62" i="14"/>
  <c r="B61" i="14"/>
  <c r="B60" i="14"/>
  <c r="D59" i="14"/>
  <c r="C59" i="14"/>
  <c r="B59" i="14"/>
  <c r="C60" i="14" s="1"/>
  <c r="B58" i="14"/>
  <c r="B57" i="14"/>
  <c r="B56" i="14"/>
  <c r="D55" i="14"/>
  <c r="B55" i="14"/>
  <c r="B54" i="14"/>
  <c r="B53" i="14"/>
  <c r="B52" i="14"/>
  <c r="D51" i="14"/>
  <c r="C51" i="14"/>
  <c r="B51" i="14"/>
  <c r="C52" i="14" s="1"/>
  <c r="B50" i="14"/>
  <c r="B49" i="14"/>
  <c r="B48" i="14"/>
  <c r="D47" i="14"/>
  <c r="B47" i="14"/>
  <c r="B46" i="14"/>
  <c r="B45" i="14"/>
  <c r="B44" i="14"/>
  <c r="D43" i="14"/>
  <c r="C43" i="14"/>
  <c r="B43" i="14"/>
  <c r="C44" i="14" s="1"/>
  <c r="B42" i="14"/>
  <c r="B41" i="14"/>
  <c r="B40" i="14"/>
  <c r="D39" i="14"/>
  <c r="B39" i="14"/>
  <c r="B38" i="14"/>
  <c r="B37" i="14"/>
  <c r="B36" i="14"/>
  <c r="D35" i="14"/>
  <c r="C35" i="14"/>
  <c r="B35" i="14"/>
  <c r="C36" i="14" s="1"/>
  <c r="B34" i="14"/>
  <c r="B33" i="14"/>
  <c r="B32" i="14"/>
  <c r="D31" i="14"/>
  <c r="B31" i="14"/>
  <c r="B30" i="14"/>
  <c r="B29" i="14"/>
  <c r="B28" i="14"/>
  <c r="D27" i="14"/>
  <c r="C27" i="14"/>
  <c r="B27" i="14"/>
  <c r="C28" i="14" s="1"/>
  <c r="D26" i="14"/>
  <c r="B26" i="14"/>
  <c r="B25" i="14"/>
  <c r="B24" i="14"/>
  <c r="D23" i="14"/>
  <c r="B23" i="14"/>
  <c r="B22" i="14"/>
  <c r="B21" i="14"/>
  <c r="B20" i="14"/>
  <c r="D19" i="14"/>
  <c r="C19" i="14"/>
  <c r="B19" i="14"/>
  <c r="C20" i="14" s="1"/>
  <c r="B18" i="14"/>
  <c r="C18" i="14" s="1"/>
  <c r="B17" i="14"/>
  <c r="B16" i="14"/>
  <c r="C15" i="14"/>
  <c r="B15" i="14"/>
  <c r="C14" i="14"/>
  <c r="B14" i="14"/>
  <c r="B13" i="14"/>
  <c r="B12" i="14"/>
  <c r="B11" i="14"/>
  <c r="B10" i="14"/>
  <c r="B9" i="14"/>
  <c r="B8" i="14"/>
  <c r="B7" i="14"/>
  <c r="B366" i="13"/>
  <c r="B365" i="13"/>
  <c r="D364" i="13"/>
  <c r="C364" i="13"/>
  <c r="B364" i="13"/>
  <c r="C365" i="13" s="1"/>
  <c r="B363" i="13"/>
  <c r="B362" i="13"/>
  <c r="D361" i="13"/>
  <c r="B361" i="13"/>
  <c r="C361" i="13" s="1"/>
  <c r="D360" i="13"/>
  <c r="B360" i="13"/>
  <c r="B359" i="13"/>
  <c r="B358" i="13"/>
  <c r="B357" i="13"/>
  <c r="D356" i="13"/>
  <c r="C356" i="13"/>
  <c r="B356" i="13"/>
  <c r="C357" i="13" s="1"/>
  <c r="B355" i="13"/>
  <c r="B354" i="13"/>
  <c r="D353" i="13"/>
  <c r="B353" i="13"/>
  <c r="D352" i="13"/>
  <c r="B352" i="13"/>
  <c r="B351" i="13"/>
  <c r="B350" i="13"/>
  <c r="D350" i="13" s="1"/>
  <c r="B349" i="13"/>
  <c r="D348" i="13"/>
  <c r="C348" i="13"/>
  <c r="B348" i="13"/>
  <c r="C349" i="13" s="1"/>
  <c r="B347" i="13"/>
  <c r="B346" i="13"/>
  <c r="D345" i="13"/>
  <c r="B345" i="13"/>
  <c r="D344" i="13"/>
  <c r="B344" i="13"/>
  <c r="B343" i="13"/>
  <c r="B342" i="13"/>
  <c r="B341" i="13"/>
  <c r="D340" i="13"/>
  <c r="C340" i="13"/>
  <c r="B340" i="13"/>
  <c r="C341" i="13" s="1"/>
  <c r="B339" i="13"/>
  <c r="B338" i="13"/>
  <c r="D337" i="13"/>
  <c r="B337" i="13"/>
  <c r="D336" i="13"/>
  <c r="B336" i="13"/>
  <c r="B335" i="13"/>
  <c r="B334" i="13"/>
  <c r="B333" i="13"/>
  <c r="D332" i="13"/>
  <c r="C332" i="13"/>
  <c r="B332" i="13"/>
  <c r="C333" i="13" s="1"/>
  <c r="B331" i="13"/>
  <c r="B330" i="13"/>
  <c r="D329" i="13"/>
  <c r="B329" i="13"/>
  <c r="D328" i="13"/>
  <c r="B328" i="13"/>
  <c r="B327" i="13"/>
  <c r="B326" i="13"/>
  <c r="B325" i="13"/>
  <c r="D324" i="13"/>
  <c r="C324" i="13"/>
  <c r="B324" i="13"/>
  <c r="C325" i="13" s="1"/>
  <c r="B323" i="13"/>
  <c r="B322" i="13"/>
  <c r="D321" i="13"/>
  <c r="B321" i="13"/>
  <c r="D320" i="13"/>
  <c r="B320" i="13"/>
  <c r="B319" i="13"/>
  <c r="B318" i="13"/>
  <c r="B317" i="13"/>
  <c r="D316" i="13"/>
  <c r="C316" i="13"/>
  <c r="B316" i="13"/>
  <c r="C317" i="13" s="1"/>
  <c r="B315" i="13"/>
  <c r="B314" i="13"/>
  <c r="D313" i="13"/>
  <c r="B313" i="13"/>
  <c r="D312" i="13"/>
  <c r="B312" i="13"/>
  <c r="B311" i="13"/>
  <c r="B310" i="13"/>
  <c r="B309" i="13"/>
  <c r="D308" i="13"/>
  <c r="C308" i="13"/>
  <c r="B308" i="13"/>
  <c r="C309" i="13" s="1"/>
  <c r="B307" i="13"/>
  <c r="B306" i="13"/>
  <c r="D305" i="13"/>
  <c r="B305" i="13"/>
  <c r="D304" i="13"/>
  <c r="B304" i="13"/>
  <c r="B303" i="13"/>
  <c r="B302" i="13"/>
  <c r="B301" i="13"/>
  <c r="D300" i="13"/>
  <c r="C300" i="13"/>
  <c r="B300" i="13"/>
  <c r="C301" i="13" s="1"/>
  <c r="B299" i="13"/>
  <c r="B298" i="13"/>
  <c r="D297" i="13"/>
  <c r="B297" i="13"/>
  <c r="D296" i="13"/>
  <c r="B296" i="13"/>
  <c r="B295" i="13"/>
  <c r="B294" i="13"/>
  <c r="B293" i="13"/>
  <c r="D292" i="13"/>
  <c r="C292" i="13"/>
  <c r="B292" i="13"/>
  <c r="C293" i="13" s="1"/>
  <c r="B291" i="13"/>
  <c r="B290" i="13"/>
  <c r="D289" i="13"/>
  <c r="B289" i="13"/>
  <c r="D288" i="13"/>
  <c r="B288" i="13"/>
  <c r="B287" i="13"/>
  <c r="B286" i="13"/>
  <c r="B285" i="13"/>
  <c r="D284" i="13"/>
  <c r="C284" i="13"/>
  <c r="B284" i="13"/>
  <c r="C285" i="13" s="1"/>
  <c r="B283" i="13"/>
  <c r="B282" i="13"/>
  <c r="D281" i="13"/>
  <c r="B281" i="13"/>
  <c r="D280" i="13"/>
  <c r="B280" i="13"/>
  <c r="B279" i="13"/>
  <c r="B278" i="13"/>
  <c r="B277" i="13"/>
  <c r="D276" i="13"/>
  <c r="C276" i="13"/>
  <c r="B276" i="13"/>
  <c r="C277" i="13" s="1"/>
  <c r="B275" i="13"/>
  <c r="B274" i="13"/>
  <c r="D273" i="13"/>
  <c r="B273" i="13"/>
  <c r="D272" i="13"/>
  <c r="B272" i="13"/>
  <c r="B271" i="13"/>
  <c r="B270" i="13"/>
  <c r="B269" i="13"/>
  <c r="D268" i="13"/>
  <c r="C268" i="13"/>
  <c r="B268" i="13"/>
  <c r="C269" i="13" s="1"/>
  <c r="B267" i="13"/>
  <c r="B266" i="13"/>
  <c r="D265" i="13"/>
  <c r="B265" i="13"/>
  <c r="D264" i="13"/>
  <c r="B264" i="13"/>
  <c r="B263" i="13"/>
  <c r="B262" i="13"/>
  <c r="B261" i="13"/>
  <c r="D260" i="13"/>
  <c r="C260" i="13"/>
  <c r="B260" i="13"/>
  <c r="C261" i="13" s="1"/>
  <c r="B259" i="13"/>
  <c r="B258" i="13"/>
  <c r="D257" i="13"/>
  <c r="B257" i="13"/>
  <c r="D256" i="13"/>
  <c r="B256" i="13"/>
  <c r="B255" i="13"/>
  <c r="B254" i="13"/>
  <c r="B253" i="13"/>
  <c r="D252" i="13"/>
  <c r="C252" i="13"/>
  <c r="B252" i="13"/>
  <c r="C253" i="13" s="1"/>
  <c r="B251" i="13"/>
  <c r="B250" i="13"/>
  <c r="D249" i="13"/>
  <c r="B249" i="13"/>
  <c r="D248" i="13"/>
  <c r="B248" i="13"/>
  <c r="B247" i="13"/>
  <c r="B246" i="13"/>
  <c r="B245" i="13"/>
  <c r="D244" i="13"/>
  <c r="C244" i="13"/>
  <c r="B244" i="13"/>
  <c r="C245" i="13" s="1"/>
  <c r="B243" i="13"/>
  <c r="B242" i="13"/>
  <c r="D241" i="13"/>
  <c r="B241" i="13"/>
  <c r="D240" i="13"/>
  <c r="B240" i="13"/>
  <c r="B239" i="13"/>
  <c r="B238" i="13"/>
  <c r="B237" i="13"/>
  <c r="D236" i="13"/>
  <c r="C236" i="13"/>
  <c r="B236" i="13"/>
  <c r="C237" i="13" s="1"/>
  <c r="B235" i="13"/>
  <c r="B234" i="13"/>
  <c r="D233" i="13"/>
  <c r="B233" i="13"/>
  <c r="D232" i="13"/>
  <c r="B232" i="13"/>
  <c r="B231" i="13"/>
  <c r="B230" i="13"/>
  <c r="B229" i="13"/>
  <c r="D228" i="13"/>
  <c r="C228" i="13"/>
  <c r="B228" i="13"/>
  <c r="C229" i="13" s="1"/>
  <c r="B227" i="13"/>
  <c r="B226" i="13"/>
  <c r="D225" i="13"/>
  <c r="B225" i="13"/>
  <c r="D224" i="13"/>
  <c r="B224" i="13"/>
  <c r="B223" i="13"/>
  <c r="B222" i="13"/>
  <c r="B221" i="13"/>
  <c r="D220" i="13"/>
  <c r="C220" i="13"/>
  <c r="B220" i="13"/>
  <c r="C221" i="13" s="1"/>
  <c r="B219" i="13"/>
  <c r="B218" i="13"/>
  <c r="D217" i="13"/>
  <c r="B217" i="13"/>
  <c r="D216" i="13"/>
  <c r="B216" i="13"/>
  <c r="B215" i="13"/>
  <c r="B214" i="13"/>
  <c r="B213" i="13"/>
  <c r="D212" i="13"/>
  <c r="C212" i="13"/>
  <c r="B212" i="13"/>
  <c r="C213" i="13" s="1"/>
  <c r="B211" i="13"/>
  <c r="B210" i="13"/>
  <c r="D209" i="13"/>
  <c r="B209" i="13"/>
  <c r="D208" i="13"/>
  <c r="B208" i="13"/>
  <c r="B207" i="13"/>
  <c r="B206" i="13"/>
  <c r="B205" i="13"/>
  <c r="D204" i="13"/>
  <c r="C204" i="13"/>
  <c r="B204" i="13"/>
  <c r="C205" i="13" s="1"/>
  <c r="B203" i="13"/>
  <c r="B202" i="13"/>
  <c r="D201" i="13"/>
  <c r="B201" i="13"/>
  <c r="D200" i="13"/>
  <c r="B200" i="13"/>
  <c r="B199" i="13"/>
  <c r="B198" i="13"/>
  <c r="B197" i="13"/>
  <c r="D196" i="13"/>
  <c r="C196" i="13"/>
  <c r="B196" i="13"/>
  <c r="C197" i="13" s="1"/>
  <c r="B195" i="13"/>
  <c r="B194" i="13"/>
  <c r="D193" i="13"/>
  <c r="B193" i="13"/>
  <c r="D192" i="13"/>
  <c r="B192" i="13"/>
  <c r="B191" i="13"/>
  <c r="B190" i="13"/>
  <c r="B189" i="13"/>
  <c r="D188" i="13"/>
  <c r="C188" i="13"/>
  <c r="B188" i="13"/>
  <c r="C189" i="13" s="1"/>
  <c r="B187" i="13"/>
  <c r="B186" i="13"/>
  <c r="D185" i="13"/>
  <c r="B185" i="13"/>
  <c r="B184" i="13"/>
  <c r="B183" i="13"/>
  <c r="C182" i="13"/>
  <c r="B182" i="13"/>
  <c r="C183" i="13" s="1"/>
  <c r="B181" i="13"/>
  <c r="D180" i="13"/>
  <c r="B180" i="13"/>
  <c r="C181" i="13" s="1"/>
  <c r="C179" i="13"/>
  <c r="B179" i="13"/>
  <c r="B178" i="13"/>
  <c r="D177" i="13"/>
  <c r="C177" i="13"/>
  <c r="B177" i="13"/>
  <c r="D189" i="13" s="1"/>
  <c r="B176" i="13"/>
  <c r="C175" i="13"/>
  <c r="B175" i="13"/>
  <c r="B174" i="13"/>
  <c r="D174" i="13" s="1"/>
  <c r="B173" i="13"/>
  <c r="B172" i="13"/>
  <c r="D171" i="13"/>
  <c r="B171" i="13"/>
  <c r="B170" i="13"/>
  <c r="C169" i="13"/>
  <c r="B169" i="13"/>
  <c r="D181" i="13" s="1"/>
  <c r="B168" i="13"/>
  <c r="B167" i="13"/>
  <c r="D166" i="13"/>
  <c r="B166" i="13"/>
  <c r="C166" i="13" s="1"/>
  <c r="B165" i="13"/>
  <c r="D164" i="13"/>
  <c r="C164" i="13"/>
  <c r="B164" i="13"/>
  <c r="C165" i="13" s="1"/>
  <c r="C163" i="13"/>
  <c r="B163" i="13"/>
  <c r="B162" i="13"/>
  <c r="C161" i="13"/>
  <c r="B161" i="13"/>
  <c r="B160" i="13"/>
  <c r="B159" i="13"/>
  <c r="B158" i="13"/>
  <c r="B157" i="13"/>
  <c r="B156" i="13"/>
  <c r="B155" i="13"/>
  <c r="B154" i="13"/>
  <c r="D153" i="13"/>
  <c r="B153" i="13"/>
  <c r="D152" i="13"/>
  <c r="B152" i="13"/>
  <c r="B151" i="13"/>
  <c r="B150" i="13"/>
  <c r="C150" i="13" s="1"/>
  <c r="B149" i="13"/>
  <c r="B148" i="13"/>
  <c r="B147" i="13"/>
  <c r="C147" i="13" s="1"/>
  <c r="B146" i="13"/>
  <c r="C145" i="13"/>
  <c r="B145" i="13"/>
  <c r="D157" i="13" s="1"/>
  <c r="B144" i="13"/>
  <c r="C143" i="13"/>
  <c r="B143" i="13"/>
  <c r="C142" i="13"/>
  <c r="B142" i="13"/>
  <c r="D142" i="13" s="1"/>
  <c r="D141" i="13"/>
  <c r="B141" i="13"/>
  <c r="C140" i="13"/>
  <c r="B140" i="13"/>
  <c r="B139" i="13"/>
  <c r="D139" i="13" s="1"/>
  <c r="B138" i="13"/>
  <c r="B137" i="13"/>
  <c r="B136" i="13"/>
  <c r="B135" i="13"/>
  <c r="B134" i="13"/>
  <c r="D133" i="13"/>
  <c r="B133" i="13"/>
  <c r="B132" i="13"/>
  <c r="B131" i="13"/>
  <c r="B130" i="13"/>
  <c r="C129" i="13"/>
  <c r="B129" i="13"/>
  <c r="D129" i="13" s="1"/>
  <c r="D128" i="13"/>
  <c r="C128" i="13"/>
  <c r="B128" i="13"/>
  <c r="B127" i="13"/>
  <c r="C126" i="13"/>
  <c r="B126" i="13"/>
  <c r="D125" i="13"/>
  <c r="B125" i="13"/>
  <c r="B124" i="13"/>
  <c r="B123" i="13"/>
  <c r="B122" i="13"/>
  <c r="D121" i="13"/>
  <c r="B121" i="13"/>
  <c r="C121" i="13" s="1"/>
  <c r="D120" i="13"/>
  <c r="B120" i="13"/>
  <c r="B119" i="13"/>
  <c r="D118" i="13"/>
  <c r="B118" i="13"/>
  <c r="C118" i="13" s="1"/>
  <c r="B117" i="13"/>
  <c r="B116" i="13"/>
  <c r="D115" i="13"/>
  <c r="B115" i="13"/>
  <c r="B114" i="13"/>
  <c r="C113" i="13"/>
  <c r="B113" i="13"/>
  <c r="D113" i="13" s="1"/>
  <c r="B112" i="13"/>
  <c r="C111" i="13"/>
  <c r="B111" i="13"/>
  <c r="C110" i="13"/>
  <c r="B110" i="13"/>
  <c r="D110" i="13" s="1"/>
  <c r="D109" i="13"/>
  <c r="B109" i="13"/>
  <c r="C108" i="13"/>
  <c r="B108" i="13"/>
  <c r="B107" i="13"/>
  <c r="D107" i="13" s="1"/>
  <c r="B106" i="13"/>
  <c r="D105" i="13"/>
  <c r="B105" i="13"/>
  <c r="B104" i="13"/>
  <c r="B103" i="13"/>
  <c r="B102" i="13"/>
  <c r="D101" i="13"/>
  <c r="B101" i="13"/>
  <c r="B100" i="13"/>
  <c r="B99" i="13"/>
  <c r="B98" i="13"/>
  <c r="C97" i="13"/>
  <c r="B97" i="13"/>
  <c r="D97" i="13" s="1"/>
  <c r="D96" i="13"/>
  <c r="C96" i="13"/>
  <c r="B96" i="13"/>
  <c r="B95" i="13"/>
  <c r="C94" i="13"/>
  <c r="B94" i="13"/>
  <c r="D94" i="13" s="1"/>
  <c r="D93" i="13"/>
  <c r="B93" i="13"/>
  <c r="B92" i="13"/>
  <c r="B91" i="13"/>
  <c r="D91" i="13" s="1"/>
  <c r="B90" i="13"/>
  <c r="D89" i="13"/>
  <c r="B89" i="13"/>
  <c r="C89" i="13" s="1"/>
  <c r="D88" i="13"/>
  <c r="B88" i="13"/>
  <c r="B87" i="13"/>
  <c r="D86" i="13"/>
  <c r="B86" i="13"/>
  <c r="C86" i="13" s="1"/>
  <c r="D85" i="13"/>
  <c r="B85" i="13"/>
  <c r="B84" i="13"/>
  <c r="B83" i="13"/>
  <c r="C83" i="13" s="1"/>
  <c r="D82" i="13"/>
  <c r="B82" i="13"/>
  <c r="B81" i="13"/>
  <c r="B80" i="13"/>
  <c r="C80" i="13" s="1"/>
  <c r="B79" i="13"/>
  <c r="B78" i="13"/>
  <c r="C77" i="13"/>
  <c r="B77" i="13"/>
  <c r="D76" i="13"/>
  <c r="B76" i="13"/>
  <c r="B75" i="13"/>
  <c r="B74" i="13"/>
  <c r="D73" i="13"/>
  <c r="B73" i="13"/>
  <c r="C73" i="13" s="1"/>
  <c r="B72" i="13"/>
  <c r="D72" i="13" s="1"/>
  <c r="B71" i="13"/>
  <c r="D70" i="13"/>
  <c r="B70" i="13"/>
  <c r="C70" i="13" s="1"/>
  <c r="C69" i="13"/>
  <c r="B69" i="13"/>
  <c r="C68" i="13"/>
  <c r="B68" i="13"/>
  <c r="D68" i="13" s="1"/>
  <c r="B67" i="13"/>
  <c r="D67" i="13" s="1"/>
  <c r="D66" i="13"/>
  <c r="B66" i="13"/>
  <c r="C65" i="13"/>
  <c r="B65" i="13"/>
  <c r="D65" i="13" s="1"/>
  <c r="B64" i="13"/>
  <c r="D64" i="13" s="1"/>
  <c r="C63" i="13"/>
  <c r="B63" i="13"/>
  <c r="B62" i="13"/>
  <c r="D62" i="13" s="1"/>
  <c r="B61" i="13"/>
  <c r="D60" i="13"/>
  <c r="C60" i="13"/>
  <c r="B60" i="13"/>
  <c r="C61" i="13" s="1"/>
  <c r="D59" i="13"/>
  <c r="C59" i="13"/>
  <c r="B59" i="13"/>
  <c r="B58" i="13"/>
  <c r="D57" i="13"/>
  <c r="C57" i="13"/>
  <c r="B57" i="13"/>
  <c r="D69" i="13" s="1"/>
  <c r="D56" i="13"/>
  <c r="C56" i="13"/>
  <c r="B56" i="13"/>
  <c r="B55" i="13"/>
  <c r="D54" i="13"/>
  <c r="C54" i="13"/>
  <c r="B54" i="13"/>
  <c r="C55" i="13" s="1"/>
  <c r="D53" i="13"/>
  <c r="C53" i="13"/>
  <c r="B53" i="13"/>
  <c r="B52" i="13"/>
  <c r="B51" i="13"/>
  <c r="C51" i="13" s="1"/>
  <c r="D50" i="13"/>
  <c r="B50" i="13"/>
  <c r="B49" i="13"/>
  <c r="C48" i="13"/>
  <c r="B48" i="13"/>
  <c r="B47" i="13"/>
  <c r="D46" i="13"/>
  <c r="C46" i="13"/>
  <c r="B46" i="13"/>
  <c r="D58" i="13" s="1"/>
  <c r="D45" i="13"/>
  <c r="C45" i="13"/>
  <c r="B45" i="13"/>
  <c r="B44" i="13"/>
  <c r="B43" i="13"/>
  <c r="C43" i="13" s="1"/>
  <c r="D42" i="13"/>
  <c r="B42" i="13"/>
  <c r="B41" i="13"/>
  <c r="C40" i="13"/>
  <c r="B40" i="13"/>
  <c r="B39" i="13"/>
  <c r="D38" i="13"/>
  <c r="C38" i="13"/>
  <c r="B38" i="13"/>
  <c r="C39" i="13" s="1"/>
  <c r="D37" i="13"/>
  <c r="C37" i="13"/>
  <c r="B37" i="13"/>
  <c r="B36" i="13"/>
  <c r="B35" i="13"/>
  <c r="C35" i="13" s="1"/>
  <c r="D34" i="13"/>
  <c r="B34" i="13"/>
  <c r="B33" i="13"/>
  <c r="D33" i="13" s="1"/>
  <c r="C32" i="13"/>
  <c r="B32" i="13"/>
  <c r="B31" i="13"/>
  <c r="D30" i="13"/>
  <c r="C30" i="13"/>
  <c r="B30" i="13"/>
  <c r="C31" i="13" s="1"/>
  <c r="D29" i="13"/>
  <c r="C29" i="13"/>
  <c r="B29" i="13"/>
  <c r="B28" i="13"/>
  <c r="B27" i="13"/>
  <c r="C27" i="13" s="1"/>
  <c r="D26" i="13"/>
  <c r="B26" i="13"/>
  <c r="B25" i="13"/>
  <c r="D25" i="13" s="1"/>
  <c r="C24" i="13"/>
  <c r="B24" i="13"/>
  <c r="B23" i="13"/>
  <c r="D22" i="13"/>
  <c r="C22" i="13"/>
  <c r="B22" i="13"/>
  <c r="C23" i="13" s="1"/>
  <c r="D21" i="13"/>
  <c r="C21" i="13"/>
  <c r="B21" i="13"/>
  <c r="B20" i="13"/>
  <c r="B19" i="13"/>
  <c r="C19" i="13" s="1"/>
  <c r="C18" i="13"/>
  <c r="B18" i="13"/>
  <c r="B17" i="13"/>
  <c r="B16" i="13"/>
  <c r="C17" i="13" s="1"/>
  <c r="B15" i="13"/>
  <c r="C15" i="13" s="1"/>
  <c r="C14" i="13"/>
  <c r="B14" i="13"/>
  <c r="B13" i="13"/>
  <c r="C12" i="13"/>
  <c r="B12" i="13"/>
  <c r="B11" i="13"/>
  <c r="C11" i="13" s="1"/>
  <c r="C10" i="13"/>
  <c r="B10" i="13"/>
  <c r="B9" i="13"/>
  <c r="C8" i="13"/>
  <c r="B8" i="13"/>
  <c r="B7" i="13"/>
  <c r="C366" i="12"/>
  <c r="B366" i="12"/>
  <c r="B365" i="12"/>
  <c r="B364" i="12"/>
  <c r="C364" i="12" s="1"/>
  <c r="D363" i="12"/>
  <c r="B363" i="12"/>
  <c r="C363" i="12" s="1"/>
  <c r="C362" i="12"/>
  <c r="B362" i="12"/>
  <c r="D362" i="12" s="1"/>
  <c r="C361" i="12"/>
  <c r="B361" i="12"/>
  <c r="B360" i="12"/>
  <c r="D359" i="12"/>
  <c r="C359" i="12"/>
  <c r="B359" i="12"/>
  <c r="D358" i="12"/>
  <c r="C358" i="12"/>
  <c r="B358" i="12"/>
  <c r="B357" i="12"/>
  <c r="B356" i="12"/>
  <c r="C356" i="12" s="1"/>
  <c r="D355" i="12"/>
  <c r="B355" i="12"/>
  <c r="C355" i="12" s="1"/>
  <c r="B354" i="12"/>
  <c r="D354" i="12" s="1"/>
  <c r="C353" i="12"/>
  <c r="B353" i="12"/>
  <c r="B352" i="12"/>
  <c r="D351" i="12"/>
  <c r="C351" i="12"/>
  <c r="B351" i="12"/>
  <c r="C350" i="12"/>
  <c r="B350" i="12"/>
  <c r="B349" i="12"/>
  <c r="B348" i="12"/>
  <c r="C348" i="12" s="1"/>
  <c r="D347" i="12"/>
  <c r="B347" i="12"/>
  <c r="C347" i="12" s="1"/>
  <c r="C346" i="12"/>
  <c r="B346" i="12"/>
  <c r="D346" i="12" s="1"/>
  <c r="C345" i="12"/>
  <c r="B345" i="12"/>
  <c r="C344" i="12"/>
  <c r="B344" i="12"/>
  <c r="D343" i="12"/>
  <c r="C343" i="12"/>
  <c r="B343" i="12"/>
  <c r="D342" i="12"/>
  <c r="C342" i="12"/>
  <c r="B342" i="12"/>
  <c r="B341" i="12"/>
  <c r="D340" i="12"/>
  <c r="B340" i="12"/>
  <c r="C340" i="12" s="1"/>
  <c r="D339" i="12"/>
  <c r="B339" i="12"/>
  <c r="C339" i="12" s="1"/>
  <c r="B338" i="12"/>
  <c r="D338" i="12" s="1"/>
  <c r="B337" i="12"/>
  <c r="D337" i="12" s="1"/>
  <c r="C336" i="12"/>
  <c r="B336" i="12"/>
  <c r="D335" i="12"/>
  <c r="C335" i="12"/>
  <c r="B335" i="12"/>
  <c r="D334" i="12"/>
  <c r="B334" i="12"/>
  <c r="B333" i="12"/>
  <c r="B332" i="12"/>
  <c r="D331" i="12"/>
  <c r="B331" i="12"/>
  <c r="C331" i="12" s="1"/>
  <c r="C330" i="12"/>
  <c r="B330" i="12"/>
  <c r="D330" i="12" s="1"/>
  <c r="B329" i="12"/>
  <c r="C328" i="12"/>
  <c r="B328" i="12"/>
  <c r="D327" i="12"/>
  <c r="C327" i="12"/>
  <c r="B327" i="12"/>
  <c r="C326" i="12"/>
  <c r="B326" i="12"/>
  <c r="B325" i="12"/>
  <c r="D324" i="12"/>
  <c r="B324" i="12"/>
  <c r="C324" i="12" s="1"/>
  <c r="D323" i="12"/>
  <c r="B323" i="12"/>
  <c r="C323" i="12" s="1"/>
  <c r="B322" i="12"/>
  <c r="D322" i="12" s="1"/>
  <c r="C321" i="12"/>
  <c r="B321" i="12"/>
  <c r="C320" i="12"/>
  <c r="B320" i="12"/>
  <c r="D319" i="12"/>
  <c r="C319" i="12"/>
  <c r="B319" i="12"/>
  <c r="D318" i="12"/>
  <c r="B318" i="12"/>
  <c r="B317" i="12"/>
  <c r="B316" i="12"/>
  <c r="C316" i="12" s="1"/>
  <c r="D315" i="12"/>
  <c r="B315" i="12"/>
  <c r="B314" i="12"/>
  <c r="D314" i="12" s="1"/>
  <c r="B313" i="12"/>
  <c r="C312" i="12"/>
  <c r="B312" i="12"/>
  <c r="D312" i="12" s="1"/>
  <c r="D311" i="12"/>
  <c r="C311" i="12"/>
  <c r="B311" i="12"/>
  <c r="B310" i="12"/>
  <c r="B309" i="12"/>
  <c r="B308" i="12"/>
  <c r="D307" i="12"/>
  <c r="B307" i="12"/>
  <c r="C307" i="12" s="1"/>
  <c r="B306" i="12"/>
  <c r="D306" i="12" s="1"/>
  <c r="B305" i="12"/>
  <c r="C304" i="12"/>
  <c r="B304" i="12"/>
  <c r="D304" i="12" s="1"/>
  <c r="D303" i="12"/>
  <c r="C303" i="12"/>
  <c r="B303" i="12"/>
  <c r="C302" i="12"/>
  <c r="B302" i="12"/>
  <c r="B301" i="12"/>
  <c r="D300" i="12"/>
  <c r="B300" i="12"/>
  <c r="C300" i="12" s="1"/>
  <c r="D299" i="12"/>
  <c r="B299" i="12"/>
  <c r="B298" i="12"/>
  <c r="C297" i="12"/>
  <c r="B297" i="12"/>
  <c r="D297" i="12" s="1"/>
  <c r="C296" i="12"/>
  <c r="B296" i="12"/>
  <c r="D295" i="12"/>
  <c r="C295" i="12"/>
  <c r="B295" i="12"/>
  <c r="C294" i="12"/>
  <c r="B294" i="12"/>
  <c r="B293" i="12"/>
  <c r="B292" i="12"/>
  <c r="C292" i="12" s="1"/>
  <c r="D291" i="12"/>
  <c r="B291" i="12"/>
  <c r="C290" i="12"/>
  <c r="B290" i="12"/>
  <c r="C289" i="12"/>
  <c r="B289" i="12"/>
  <c r="D289" i="12" s="1"/>
  <c r="C288" i="12"/>
  <c r="B288" i="12"/>
  <c r="D288" i="12" s="1"/>
  <c r="D287" i="12"/>
  <c r="C287" i="12"/>
  <c r="B287" i="12"/>
  <c r="C286" i="12"/>
  <c r="B286" i="12"/>
  <c r="B285" i="12"/>
  <c r="B284" i="12"/>
  <c r="C284" i="12" s="1"/>
  <c r="D283" i="12"/>
  <c r="B283" i="12"/>
  <c r="C283" i="12" s="1"/>
  <c r="C282" i="12"/>
  <c r="B282" i="12"/>
  <c r="D282" i="12" s="1"/>
  <c r="C281" i="12"/>
  <c r="B281" i="12"/>
  <c r="C280" i="12"/>
  <c r="B280" i="12"/>
  <c r="D279" i="12"/>
  <c r="C279" i="12"/>
  <c r="B279" i="12"/>
  <c r="D278" i="12"/>
  <c r="C278" i="12"/>
  <c r="B278" i="12"/>
  <c r="B277" i="12"/>
  <c r="D276" i="12"/>
  <c r="B276" i="12"/>
  <c r="C276" i="12" s="1"/>
  <c r="D275" i="12"/>
  <c r="B275" i="12"/>
  <c r="C275" i="12" s="1"/>
  <c r="B274" i="12"/>
  <c r="D274" i="12" s="1"/>
  <c r="B273" i="12"/>
  <c r="D273" i="12" s="1"/>
  <c r="C272" i="12"/>
  <c r="B272" i="12"/>
  <c r="D271" i="12"/>
  <c r="C271" i="12"/>
  <c r="B271" i="12"/>
  <c r="D270" i="12"/>
  <c r="B270" i="12"/>
  <c r="B269" i="12"/>
  <c r="B268" i="12"/>
  <c r="D267" i="12"/>
  <c r="B267" i="12"/>
  <c r="C267" i="12" s="1"/>
  <c r="C266" i="12"/>
  <c r="B266" i="12"/>
  <c r="D266" i="12" s="1"/>
  <c r="B265" i="12"/>
  <c r="C264" i="12"/>
  <c r="B264" i="12"/>
  <c r="D263" i="12"/>
  <c r="C263" i="12"/>
  <c r="B263" i="12"/>
  <c r="C262" i="12"/>
  <c r="B262" i="12"/>
  <c r="B261" i="12"/>
  <c r="D260" i="12"/>
  <c r="B260" i="12"/>
  <c r="C260" i="12" s="1"/>
  <c r="D259" i="12"/>
  <c r="B259" i="12"/>
  <c r="C259" i="12" s="1"/>
  <c r="B258" i="12"/>
  <c r="D258" i="12" s="1"/>
  <c r="C257" i="12"/>
  <c r="B257" i="12"/>
  <c r="C256" i="12"/>
  <c r="B256" i="12"/>
  <c r="D255" i="12"/>
  <c r="C255" i="12"/>
  <c r="B255" i="12"/>
  <c r="D254" i="12"/>
  <c r="B254" i="12"/>
  <c r="B253" i="12"/>
  <c r="B252" i="12"/>
  <c r="C252" i="12" s="1"/>
  <c r="D251" i="12"/>
  <c r="B251" i="12"/>
  <c r="B250" i="12"/>
  <c r="D250" i="12" s="1"/>
  <c r="B249" i="12"/>
  <c r="C248" i="12"/>
  <c r="B248" i="12"/>
  <c r="D248" i="12" s="1"/>
  <c r="D247" i="12"/>
  <c r="C247" i="12"/>
  <c r="B247" i="12"/>
  <c r="B246" i="12"/>
  <c r="B245" i="12"/>
  <c r="B244" i="12"/>
  <c r="D243" i="12"/>
  <c r="B243" i="12"/>
  <c r="C243" i="12" s="1"/>
  <c r="B242" i="12"/>
  <c r="D242" i="12" s="1"/>
  <c r="B241" i="12"/>
  <c r="C240" i="12"/>
  <c r="B240" i="12"/>
  <c r="D240" i="12" s="1"/>
  <c r="D239" i="12"/>
  <c r="C239" i="12"/>
  <c r="B239" i="12"/>
  <c r="C238" i="12"/>
  <c r="B238" i="12"/>
  <c r="B237" i="12"/>
  <c r="D236" i="12"/>
  <c r="B236" i="12"/>
  <c r="C236" i="12" s="1"/>
  <c r="D235" i="12"/>
  <c r="B235" i="12"/>
  <c r="B234" i="12"/>
  <c r="C233" i="12"/>
  <c r="B233" i="12"/>
  <c r="D233" i="12" s="1"/>
  <c r="C232" i="12"/>
  <c r="B232" i="12"/>
  <c r="D231" i="12"/>
  <c r="C231" i="12"/>
  <c r="B231" i="12"/>
  <c r="C230" i="12"/>
  <c r="B230" i="12"/>
  <c r="B229" i="12"/>
  <c r="B228" i="12"/>
  <c r="C228" i="12" s="1"/>
  <c r="D227" i="12"/>
  <c r="B227" i="12"/>
  <c r="C226" i="12"/>
  <c r="B226" i="12"/>
  <c r="C225" i="12"/>
  <c r="B225" i="12"/>
  <c r="D225" i="12" s="1"/>
  <c r="C224" i="12"/>
  <c r="B224" i="12"/>
  <c r="D224" i="12" s="1"/>
  <c r="D223" i="12"/>
  <c r="C223" i="12"/>
  <c r="B223" i="12"/>
  <c r="C222" i="12"/>
  <c r="B222" i="12"/>
  <c r="B221" i="12"/>
  <c r="B220" i="12"/>
  <c r="C220" i="12" s="1"/>
  <c r="D219" i="12"/>
  <c r="B219" i="12"/>
  <c r="C219" i="12" s="1"/>
  <c r="C218" i="12"/>
  <c r="B218" i="12"/>
  <c r="D218" i="12" s="1"/>
  <c r="C217" i="12"/>
  <c r="B217" i="12"/>
  <c r="C216" i="12"/>
  <c r="B216" i="12"/>
  <c r="D215" i="12"/>
  <c r="C215" i="12"/>
  <c r="B215" i="12"/>
  <c r="D214" i="12"/>
  <c r="C214" i="12"/>
  <c r="B214" i="12"/>
  <c r="B213" i="12"/>
  <c r="D212" i="12"/>
  <c r="B212" i="12"/>
  <c r="C212" i="12" s="1"/>
  <c r="D211" i="12"/>
  <c r="B211" i="12"/>
  <c r="C211" i="12" s="1"/>
  <c r="B210" i="12"/>
  <c r="D210" i="12" s="1"/>
  <c r="B209" i="12"/>
  <c r="D209" i="12" s="1"/>
  <c r="C208" i="12"/>
  <c r="B208" i="12"/>
  <c r="D207" i="12"/>
  <c r="C207" i="12"/>
  <c r="B207" i="12"/>
  <c r="D206" i="12"/>
  <c r="B206" i="12"/>
  <c r="B205" i="12"/>
  <c r="B204" i="12"/>
  <c r="D203" i="12"/>
  <c r="B203" i="12"/>
  <c r="C203" i="12" s="1"/>
  <c r="C202" i="12"/>
  <c r="B202" i="12"/>
  <c r="D202" i="12" s="1"/>
  <c r="B201" i="12"/>
  <c r="C200" i="12"/>
  <c r="B200" i="12"/>
  <c r="D199" i="12"/>
  <c r="C199" i="12"/>
  <c r="B199" i="12"/>
  <c r="C198" i="12"/>
  <c r="B198" i="12"/>
  <c r="B197" i="12"/>
  <c r="D196" i="12"/>
  <c r="B196" i="12"/>
  <c r="C196" i="12" s="1"/>
  <c r="D195" i="12"/>
  <c r="B195" i="12"/>
  <c r="C195" i="12" s="1"/>
  <c r="B194" i="12"/>
  <c r="D194" i="12" s="1"/>
  <c r="C193" i="12"/>
  <c r="B193" i="12"/>
  <c r="C192" i="12"/>
  <c r="B192" i="12"/>
  <c r="D191" i="12"/>
  <c r="C191" i="12"/>
  <c r="B191" i="12"/>
  <c r="D190" i="12"/>
  <c r="B190" i="12"/>
  <c r="B189" i="12"/>
  <c r="B188" i="12"/>
  <c r="C188" i="12" s="1"/>
  <c r="D187" i="12"/>
  <c r="B187" i="12"/>
  <c r="B186" i="12"/>
  <c r="D186" i="12" s="1"/>
  <c r="B185" i="12"/>
  <c r="C184" i="12"/>
  <c r="B184" i="12"/>
  <c r="D184" i="12" s="1"/>
  <c r="D183" i="12"/>
  <c r="C183" i="12"/>
  <c r="B183" i="12"/>
  <c r="D182" i="12"/>
  <c r="B182" i="12"/>
  <c r="B181" i="12"/>
  <c r="D180" i="12"/>
  <c r="B180" i="12"/>
  <c r="C180" i="12" s="1"/>
  <c r="D179" i="12"/>
  <c r="B179" i="12"/>
  <c r="C179" i="12" s="1"/>
  <c r="B178" i="12"/>
  <c r="D178" i="12" s="1"/>
  <c r="B177" i="12"/>
  <c r="C176" i="12"/>
  <c r="B176" i="12"/>
  <c r="D176" i="12" s="1"/>
  <c r="D175" i="12"/>
  <c r="C175" i="12"/>
  <c r="B175" i="12"/>
  <c r="B174" i="12"/>
  <c r="B173" i="12"/>
  <c r="D172" i="12"/>
  <c r="B172" i="12"/>
  <c r="C172" i="12" s="1"/>
  <c r="D171" i="12"/>
  <c r="B171" i="12"/>
  <c r="C171" i="12" s="1"/>
  <c r="B170" i="12"/>
  <c r="B169" i="12"/>
  <c r="D169" i="12" s="1"/>
  <c r="C168" i="12"/>
  <c r="B168" i="12"/>
  <c r="D167" i="12"/>
  <c r="C167" i="12"/>
  <c r="B167" i="12"/>
  <c r="B166" i="12"/>
  <c r="B165" i="12"/>
  <c r="B164" i="12"/>
  <c r="C164" i="12" s="1"/>
  <c r="D163" i="12"/>
  <c r="B163" i="12"/>
  <c r="B162" i="12"/>
  <c r="B161" i="12"/>
  <c r="D161" i="12" s="1"/>
  <c r="C160" i="12"/>
  <c r="B160" i="12"/>
  <c r="D160" i="12" s="1"/>
  <c r="D159" i="12"/>
  <c r="C159" i="12"/>
  <c r="B159" i="12"/>
  <c r="C158" i="12"/>
  <c r="B158" i="12"/>
  <c r="B157" i="12"/>
  <c r="B156" i="12"/>
  <c r="D155" i="12"/>
  <c r="B155" i="12"/>
  <c r="C154" i="12"/>
  <c r="B154" i="12"/>
  <c r="D154" i="12" s="1"/>
  <c r="C153" i="12"/>
  <c r="B153" i="12"/>
  <c r="C152" i="12"/>
  <c r="B152" i="12"/>
  <c r="D152" i="12" s="1"/>
  <c r="D151" i="12"/>
  <c r="C151" i="12"/>
  <c r="B151" i="12"/>
  <c r="D150" i="12"/>
  <c r="C150" i="12"/>
  <c r="B150" i="12"/>
  <c r="B149" i="12"/>
  <c r="D148" i="12"/>
  <c r="B148" i="12"/>
  <c r="C148" i="12" s="1"/>
  <c r="D147" i="12"/>
  <c r="B147" i="12"/>
  <c r="C147" i="12" s="1"/>
  <c r="B146" i="12"/>
  <c r="D146" i="12" s="1"/>
  <c r="B145" i="12"/>
  <c r="C144" i="12"/>
  <c r="B144" i="12"/>
  <c r="D143" i="12"/>
  <c r="C143" i="12"/>
  <c r="B143" i="12"/>
  <c r="B142" i="12"/>
  <c r="B141" i="12"/>
  <c r="B140" i="12"/>
  <c r="D139" i="12"/>
  <c r="B139" i="12"/>
  <c r="C139" i="12" s="1"/>
  <c r="B138" i="12"/>
  <c r="D138" i="12" s="1"/>
  <c r="B137" i="12"/>
  <c r="C136" i="12"/>
  <c r="B136" i="12"/>
  <c r="D136" i="12" s="1"/>
  <c r="D135" i="12"/>
  <c r="C135" i="12"/>
  <c r="B135" i="12"/>
  <c r="B134" i="12"/>
  <c r="B133" i="12"/>
  <c r="B132" i="12"/>
  <c r="C132" i="12" s="1"/>
  <c r="D131" i="12"/>
  <c r="B131" i="12"/>
  <c r="B130" i="12"/>
  <c r="B129" i="12"/>
  <c r="C128" i="12"/>
  <c r="B128" i="12"/>
  <c r="D128" i="12" s="1"/>
  <c r="C127" i="12"/>
  <c r="B127" i="12"/>
  <c r="D126" i="12"/>
  <c r="B126" i="12"/>
  <c r="D125" i="12"/>
  <c r="B125" i="12"/>
  <c r="D124" i="12"/>
  <c r="B124" i="12"/>
  <c r="B123" i="12"/>
  <c r="B122" i="12"/>
  <c r="B121" i="12"/>
  <c r="C120" i="12"/>
  <c r="B120" i="12"/>
  <c r="C119" i="12"/>
  <c r="B119" i="12"/>
  <c r="D118" i="12"/>
  <c r="C118" i="12"/>
  <c r="B118" i="12"/>
  <c r="D117" i="12"/>
  <c r="B117" i="12"/>
  <c r="B116" i="12"/>
  <c r="B115" i="12"/>
  <c r="D127" i="12" s="1"/>
  <c r="B114" i="12"/>
  <c r="D114" i="12" s="1"/>
  <c r="C113" i="12"/>
  <c r="B113" i="12"/>
  <c r="C112" i="12"/>
  <c r="B112" i="12"/>
  <c r="D112" i="12" s="1"/>
  <c r="C111" i="12"/>
  <c r="B111" i="12"/>
  <c r="B110" i="12"/>
  <c r="B109" i="12"/>
  <c r="B108" i="12"/>
  <c r="D107" i="12"/>
  <c r="B107" i="12"/>
  <c r="B106" i="12"/>
  <c r="D106" i="12" s="1"/>
  <c r="B105" i="12"/>
  <c r="C104" i="12"/>
  <c r="B104" i="12"/>
  <c r="D104" i="12" s="1"/>
  <c r="D103" i="12"/>
  <c r="C103" i="12"/>
  <c r="B103" i="12"/>
  <c r="B102" i="12"/>
  <c r="B101" i="12"/>
  <c r="B100" i="12"/>
  <c r="C100" i="12" s="1"/>
  <c r="D99" i="12"/>
  <c r="B99" i="12"/>
  <c r="D111" i="12" s="1"/>
  <c r="B98" i="12"/>
  <c r="B97" i="12"/>
  <c r="C96" i="12"/>
  <c r="B96" i="12"/>
  <c r="D95" i="12"/>
  <c r="C95" i="12"/>
  <c r="B95" i="12"/>
  <c r="B94" i="12"/>
  <c r="B93" i="12"/>
  <c r="D92" i="12"/>
  <c r="B92" i="12"/>
  <c r="B91" i="12"/>
  <c r="B90" i="12"/>
  <c r="B89" i="12"/>
  <c r="D89" i="12" s="1"/>
  <c r="C88" i="12"/>
  <c r="B88" i="12"/>
  <c r="C87" i="12"/>
  <c r="B87" i="12"/>
  <c r="D86" i="12"/>
  <c r="C86" i="12"/>
  <c r="B86" i="12"/>
  <c r="B85" i="12"/>
  <c r="B84" i="12"/>
  <c r="B83" i="12"/>
  <c r="B82" i="12"/>
  <c r="C81" i="12"/>
  <c r="B81" i="12"/>
  <c r="C80" i="12"/>
  <c r="B80" i="12"/>
  <c r="C79" i="12"/>
  <c r="B79" i="12"/>
  <c r="D78" i="12"/>
  <c r="C78" i="12"/>
  <c r="B78" i="12"/>
  <c r="B77" i="12"/>
  <c r="B76" i="12"/>
  <c r="B75" i="12"/>
  <c r="B74" i="12"/>
  <c r="D74" i="12" s="1"/>
  <c r="B73" i="12"/>
  <c r="C72" i="12"/>
  <c r="B72" i="12"/>
  <c r="D72" i="12" s="1"/>
  <c r="D71" i="12"/>
  <c r="C71" i="12"/>
  <c r="B71" i="12"/>
  <c r="B70" i="12"/>
  <c r="B69" i="12"/>
  <c r="D68" i="12"/>
  <c r="B68" i="12"/>
  <c r="C68" i="12" s="1"/>
  <c r="D67" i="12"/>
  <c r="B67" i="12"/>
  <c r="D79" i="12" s="1"/>
  <c r="B66" i="12"/>
  <c r="B65" i="12"/>
  <c r="C64" i="12"/>
  <c r="B64" i="12"/>
  <c r="D64" i="12" s="1"/>
  <c r="D63" i="12"/>
  <c r="C63" i="12"/>
  <c r="B63" i="12"/>
  <c r="D62" i="12"/>
  <c r="B62" i="12"/>
  <c r="D61" i="12"/>
  <c r="B61" i="12"/>
  <c r="D60" i="12"/>
  <c r="B60" i="12"/>
  <c r="B59" i="12"/>
  <c r="B58" i="12"/>
  <c r="C57" i="12"/>
  <c r="B57" i="12"/>
  <c r="C56" i="12"/>
  <c r="B56" i="12"/>
  <c r="C55" i="12"/>
  <c r="B55" i="12"/>
  <c r="D54" i="12"/>
  <c r="C54" i="12"/>
  <c r="B54" i="12"/>
  <c r="B53" i="12"/>
  <c r="B52" i="12"/>
  <c r="B51" i="12"/>
  <c r="C50" i="12"/>
  <c r="B50" i="12"/>
  <c r="D50" i="12" s="1"/>
  <c r="C49" i="12"/>
  <c r="B49" i="12"/>
  <c r="C48" i="12"/>
  <c r="B48" i="12"/>
  <c r="C47" i="12"/>
  <c r="B47" i="12"/>
  <c r="D46" i="12"/>
  <c r="C46" i="12"/>
  <c r="B46" i="12"/>
  <c r="B45" i="12"/>
  <c r="B44" i="12"/>
  <c r="D43" i="12"/>
  <c r="B43" i="12"/>
  <c r="B42" i="12"/>
  <c r="D42" i="12" s="1"/>
  <c r="B41" i="12"/>
  <c r="C40" i="12"/>
  <c r="B40" i="12"/>
  <c r="D40" i="12" s="1"/>
  <c r="C39" i="12"/>
  <c r="B39" i="12"/>
  <c r="B38" i="12"/>
  <c r="B37" i="12"/>
  <c r="B36" i="12"/>
  <c r="D35" i="12"/>
  <c r="B35" i="12"/>
  <c r="D47" i="12" s="1"/>
  <c r="B34" i="12"/>
  <c r="B33" i="12"/>
  <c r="C32" i="12"/>
  <c r="B32" i="12"/>
  <c r="D32" i="12" s="1"/>
  <c r="D31" i="12"/>
  <c r="B31" i="12"/>
  <c r="C31" i="12" s="1"/>
  <c r="D30" i="12"/>
  <c r="B30" i="12"/>
  <c r="B29" i="12"/>
  <c r="C30" i="12" s="1"/>
  <c r="C28" i="12"/>
  <c r="B28" i="12"/>
  <c r="D28" i="12" s="1"/>
  <c r="B27" i="12"/>
  <c r="D26" i="12"/>
  <c r="B26" i="12"/>
  <c r="D38" i="12" s="1"/>
  <c r="B25" i="12"/>
  <c r="D25" i="12" s="1"/>
  <c r="B24" i="12"/>
  <c r="D23" i="12"/>
  <c r="C23" i="12"/>
  <c r="B23" i="12"/>
  <c r="B22" i="12"/>
  <c r="B21" i="12"/>
  <c r="D21" i="12" s="1"/>
  <c r="D20" i="12"/>
  <c r="C20" i="12"/>
  <c r="B20" i="12"/>
  <c r="D19" i="12"/>
  <c r="B19" i="12"/>
  <c r="B18" i="12"/>
  <c r="C18" i="12" s="1"/>
  <c r="B17" i="12"/>
  <c r="D29" i="12" s="1"/>
  <c r="B16" i="12"/>
  <c r="B15" i="12"/>
  <c r="C15" i="12" s="1"/>
  <c r="C14" i="12"/>
  <c r="B14" i="12"/>
  <c r="B13" i="12"/>
  <c r="B12" i="12"/>
  <c r="B11" i="12"/>
  <c r="B10" i="12"/>
  <c r="B9" i="12"/>
  <c r="C9" i="12" s="1"/>
  <c r="C8" i="12"/>
  <c r="B8" i="12"/>
  <c r="B7" i="12"/>
  <c r="B366" i="11"/>
  <c r="D366" i="11" s="1"/>
  <c r="B365" i="11"/>
  <c r="B364" i="11"/>
  <c r="C364" i="11" s="1"/>
  <c r="B363" i="11"/>
  <c r="D363" i="11" s="1"/>
  <c r="B362" i="11"/>
  <c r="B361" i="11"/>
  <c r="B360" i="11"/>
  <c r="D360" i="11" s="1"/>
  <c r="C359" i="11"/>
  <c r="B359" i="11"/>
  <c r="D358" i="11"/>
  <c r="C358" i="11"/>
  <c r="B358" i="11"/>
  <c r="D357" i="11"/>
  <c r="B357" i="11"/>
  <c r="B356" i="11"/>
  <c r="D355" i="11"/>
  <c r="C355" i="11"/>
  <c r="B355" i="11"/>
  <c r="D354" i="11"/>
  <c r="B354" i="11"/>
  <c r="B353" i="11"/>
  <c r="B352" i="11"/>
  <c r="D351" i="11"/>
  <c r="B351" i="11"/>
  <c r="B350" i="11"/>
  <c r="D349" i="11"/>
  <c r="B349" i="11"/>
  <c r="C349" i="11" s="1"/>
  <c r="B348" i="11"/>
  <c r="B347" i="11"/>
  <c r="D346" i="11"/>
  <c r="C346" i="11"/>
  <c r="B346" i="11"/>
  <c r="B345" i="11"/>
  <c r="B344" i="11"/>
  <c r="C343" i="11"/>
  <c r="B343" i="11"/>
  <c r="B342" i="11"/>
  <c r="B341" i="11"/>
  <c r="B340" i="11"/>
  <c r="D339" i="11"/>
  <c r="B339" i="11"/>
  <c r="B338" i="11"/>
  <c r="D338" i="11" s="1"/>
  <c r="C337" i="11"/>
  <c r="B337" i="11"/>
  <c r="D337" i="11" s="1"/>
  <c r="B336" i="11"/>
  <c r="B335" i="11"/>
  <c r="B334" i="11"/>
  <c r="B333" i="11"/>
  <c r="B332" i="11"/>
  <c r="B331" i="11"/>
  <c r="B330" i="11"/>
  <c r="C329" i="11"/>
  <c r="B329" i="11"/>
  <c r="B328" i="11"/>
  <c r="D328" i="11" s="1"/>
  <c r="C327" i="11"/>
  <c r="B327" i="11"/>
  <c r="D326" i="11"/>
  <c r="C326" i="11"/>
  <c r="B326" i="11"/>
  <c r="D325" i="11"/>
  <c r="B325" i="11"/>
  <c r="B324" i="11"/>
  <c r="D323" i="11"/>
  <c r="C323" i="11"/>
  <c r="B323" i="11"/>
  <c r="D335" i="11" s="1"/>
  <c r="B322" i="11"/>
  <c r="B321" i="11"/>
  <c r="D320" i="11"/>
  <c r="C320" i="11"/>
  <c r="B320" i="11"/>
  <c r="D319" i="11"/>
  <c r="B319" i="11"/>
  <c r="D318" i="11"/>
  <c r="B318" i="11"/>
  <c r="C319" i="11" s="1"/>
  <c r="B317" i="11"/>
  <c r="C317" i="11" s="1"/>
  <c r="B316" i="11"/>
  <c r="B315" i="11"/>
  <c r="D314" i="11"/>
  <c r="B314" i="11"/>
  <c r="C314" i="11" s="1"/>
  <c r="B313" i="11"/>
  <c r="D312" i="11"/>
  <c r="C312" i="11"/>
  <c r="B312" i="11"/>
  <c r="C313" i="11" s="1"/>
  <c r="D311" i="11"/>
  <c r="B311" i="11"/>
  <c r="B310" i="11"/>
  <c r="B309" i="11"/>
  <c r="D308" i="11"/>
  <c r="B308" i="11"/>
  <c r="C308" i="11" s="1"/>
  <c r="D307" i="11"/>
  <c r="B307" i="11"/>
  <c r="B306" i="11"/>
  <c r="D306" i="11" s="1"/>
  <c r="B305" i="11"/>
  <c r="C304" i="11"/>
  <c r="B304" i="11"/>
  <c r="D316" i="11" s="1"/>
  <c r="C303" i="11"/>
  <c r="B303" i="11"/>
  <c r="D302" i="11"/>
  <c r="C302" i="11"/>
  <c r="B302" i="11"/>
  <c r="B301" i="11"/>
  <c r="D301" i="11" s="1"/>
  <c r="D300" i="11"/>
  <c r="B300" i="11"/>
  <c r="C300" i="11" s="1"/>
  <c r="D299" i="11"/>
  <c r="C299" i="11"/>
  <c r="B299" i="11"/>
  <c r="B298" i="11"/>
  <c r="B297" i="11"/>
  <c r="D296" i="11"/>
  <c r="C296" i="11"/>
  <c r="B296" i="11"/>
  <c r="B295" i="11"/>
  <c r="C294" i="11"/>
  <c r="B294" i="11"/>
  <c r="C295" i="11" s="1"/>
  <c r="D293" i="11"/>
  <c r="B293" i="11"/>
  <c r="C293" i="11" s="1"/>
  <c r="B292" i="11"/>
  <c r="D291" i="11"/>
  <c r="C291" i="11"/>
  <c r="B291" i="11"/>
  <c r="D303" i="11" s="1"/>
  <c r="D290" i="11"/>
  <c r="B290" i="11"/>
  <c r="C290" i="11" s="1"/>
  <c r="B289" i="11"/>
  <c r="C288" i="11"/>
  <c r="B288" i="11"/>
  <c r="D287" i="11"/>
  <c r="B287" i="11"/>
  <c r="B286" i="11"/>
  <c r="C285" i="11"/>
  <c r="B285" i="11"/>
  <c r="D285" i="11" s="1"/>
  <c r="B284" i="11"/>
  <c r="B283" i="11"/>
  <c r="D282" i="11"/>
  <c r="B282" i="11"/>
  <c r="C282" i="11" s="1"/>
  <c r="B281" i="11"/>
  <c r="B280" i="11"/>
  <c r="D279" i="11"/>
  <c r="C279" i="11"/>
  <c r="B279" i="11"/>
  <c r="B278" i="11"/>
  <c r="B277" i="11"/>
  <c r="B276" i="11"/>
  <c r="D275" i="11"/>
  <c r="B275" i="11"/>
  <c r="B274" i="11"/>
  <c r="B273" i="11"/>
  <c r="D273" i="11" s="1"/>
  <c r="C272" i="11"/>
  <c r="B272" i="11"/>
  <c r="C271" i="11"/>
  <c r="B271" i="11"/>
  <c r="D270" i="11"/>
  <c r="C270" i="11"/>
  <c r="B270" i="11"/>
  <c r="B269" i="11"/>
  <c r="D269" i="11" s="1"/>
  <c r="B268" i="11"/>
  <c r="D267" i="11"/>
  <c r="C267" i="11"/>
  <c r="B267" i="11"/>
  <c r="B266" i="11"/>
  <c r="D278" i="11" s="1"/>
  <c r="B265" i="11"/>
  <c r="D265" i="11" s="1"/>
  <c r="D264" i="11"/>
  <c r="C264" i="11"/>
  <c r="B264" i="11"/>
  <c r="B263" i="11"/>
  <c r="C262" i="11"/>
  <c r="B262" i="11"/>
  <c r="C263" i="11" s="1"/>
  <c r="D261" i="11"/>
  <c r="B261" i="11"/>
  <c r="C261" i="11" s="1"/>
  <c r="B260" i="11"/>
  <c r="D259" i="11"/>
  <c r="C259" i="11"/>
  <c r="B259" i="11"/>
  <c r="D271" i="11" s="1"/>
  <c r="D258" i="11"/>
  <c r="B258" i="11"/>
  <c r="C258" i="11" s="1"/>
  <c r="B257" i="11"/>
  <c r="C256" i="11"/>
  <c r="B256" i="11"/>
  <c r="D256" i="11" s="1"/>
  <c r="D255" i="11"/>
  <c r="B255" i="11"/>
  <c r="B254" i="11"/>
  <c r="C253" i="11"/>
  <c r="B253" i="11"/>
  <c r="B252" i="11"/>
  <c r="B251" i="11"/>
  <c r="B250" i="11"/>
  <c r="B249" i="11"/>
  <c r="B248" i="11"/>
  <c r="D247" i="11"/>
  <c r="C247" i="11"/>
  <c r="B247" i="11"/>
  <c r="B246" i="11"/>
  <c r="B245" i="11"/>
  <c r="B244" i="11"/>
  <c r="C244" i="11" s="1"/>
  <c r="D243" i="11"/>
  <c r="B243" i="11"/>
  <c r="B242" i="11"/>
  <c r="B241" i="11"/>
  <c r="C240" i="11"/>
  <c r="B240" i="11"/>
  <c r="C239" i="11"/>
  <c r="B239" i="11"/>
  <c r="D238" i="11"/>
  <c r="C238" i="11"/>
  <c r="B238" i="11"/>
  <c r="B237" i="11"/>
  <c r="D237" i="11" s="1"/>
  <c r="B236" i="11"/>
  <c r="C236" i="11" s="1"/>
  <c r="D235" i="11"/>
  <c r="C235" i="11"/>
  <c r="B235" i="11"/>
  <c r="B234" i="11"/>
  <c r="D246" i="11" s="1"/>
  <c r="B233" i="11"/>
  <c r="D232" i="11"/>
  <c r="C232" i="11"/>
  <c r="B232" i="11"/>
  <c r="B231" i="11"/>
  <c r="D230" i="11"/>
  <c r="C230" i="11"/>
  <c r="B230" i="11"/>
  <c r="C231" i="11" s="1"/>
  <c r="D229" i="11"/>
  <c r="B229" i="11"/>
  <c r="C229" i="11" s="1"/>
  <c r="B228" i="11"/>
  <c r="C227" i="11"/>
  <c r="B227" i="11"/>
  <c r="D239" i="11" s="1"/>
  <c r="D226" i="11"/>
  <c r="B226" i="11"/>
  <c r="C226" i="11" s="1"/>
  <c r="B225" i="11"/>
  <c r="C224" i="11"/>
  <c r="B224" i="11"/>
  <c r="D224" i="11" s="1"/>
  <c r="D223" i="11"/>
  <c r="B223" i="11"/>
  <c r="B222" i="11"/>
  <c r="C221" i="11"/>
  <c r="B221" i="11"/>
  <c r="B220" i="11"/>
  <c r="B219" i="11"/>
  <c r="D218" i="11"/>
  <c r="C218" i="11"/>
  <c r="B218" i="11"/>
  <c r="B217" i="11"/>
  <c r="B216" i="11"/>
  <c r="D215" i="11"/>
  <c r="C215" i="11"/>
  <c r="B215" i="11"/>
  <c r="B214" i="11"/>
  <c r="B213" i="11"/>
  <c r="B212" i="11"/>
  <c r="D211" i="11"/>
  <c r="B211" i="11"/>
  <c r="B210" i="11"/>
  <c r="C209" i="11"/>
  <c r="B209" i="11"/>
  <c r="D209" i="11" s="1"/>
  <c r="C208" i="11"/>
  <c r="B208" i="11"/>
  <c r="C207" i="11"/>
  <c r="B207" i="11"/>
  <c r="D206" i="11"/>
  <c r="C206" i="11"/>
  <c r="B206" i="11"/>
  <c r="B205" i="11"/>
  <c r="B204" i="11"/>
  <c r="D203" i="11"/>
  <c r="C203" i="11"/>
  <c r="B203" i="11"/>
  <c r="B202" i="11"/>
  <c r="D214" i="11" s="1"/>
  <c r="C201" i="11"/>
  <c r="B201" i="11"/>
  <c r="D201" i="11" s="1"/>
  <c r="C200" i="11"/>
  <c r="B200" i="11"/>
  <c r="B199" i="11"/>
  <c r="C198" i="11"/>
  <c r="B198" i="11"/>
  <c r="C199" i="11" s="1"/>
  <c r="B197" i="11"/>
  <c r="B196" i="11"/>
  <c r="C195" i="11"/>
  <c r="B195" i="11"/>
  <c r="D207" i="11" s="1"/>
  <c r="B194" i="11"/>
  <c r="C193" i="11"/>
  <c r="B193" i="11"/>
  <c r="C192" i="11"/>
  <c r="B192" i="11"/>
  <c r="B191" i="11"/>
  <c r="D191" i="11" s="1"/>
  <c r="C190" i="11"/>
  <c r="B190" i="11"/>
  <c r="D190" i="11" s="1"/>
  <c r="B189" i="11"/>
  <c r="B188" i="11"/>
  <c r="C187" i="11"/>
  <c r="B187" i="11"/>
  <c r="D199" i="11" s="1"/>
  <c r="B186" i="11"/>
  <c r="C185" i="11"/>
  <c r="B185" i="11"/>
  <c r="C184" i="11"/>
  <c r="B184" i="11"/>
  <c r="B183" i="11"/>
  <c r="D183" i="11" s="1"/>
  <c r="C182" i="11"/>
  <c r="B182" i="11"/>
  <c r="D194" i="11" s="1"/>
  <c r="B181" i="11"/>
  <c r="B180" i="11"/>
  <c r="C179" i="11"/>
  <c r="B179" i="11"/>
  <c r="D179" i="11" s="1"/>
  <c r="B178" i="11"/>
  <c r="C177" i="11"/>
  <c r="B177" i="11"/>
  <c r="C176" i="11"/>
  <c r="B176" i="11"/>
  <c r="B175" i="11"/>
  <c r="D175" i="11" s="1"/>
  <c r="C174" i="11"/>
  <c r="B174" i="11"/>
  <c r="D186" i="11" s="1"/>
  <c r="B173" i="11"/>
  <c r="B172" i="11"/>
  <c r="C171" i="11"/>
  <c r="B171" i="11"/>
  <c r="D171" i="11" s="1"/>
  <c r="B170" i="11"/>
  <c r="C169" i="11"/>
  <c r="B169" i="11"/>
  <c r="C168" i="11"/>
  <c r="B168" i="11"/>
  <c r="B167" i="11"/>
  <c r="D167" i="11" s="1"/>
  <c r="C166" i="11"/>
  <c r="B166" i="11"/>
  <c r="D178" i="11" s="1"/>
  <c r="B165" i="11"/>
  <c r="B164" i="11"/>
  <c r="C163" i="11"/>
  <c r="B163" i="11"/>
  <c r="D163" i="11" s="1"/>
  <c r="B162" i="11"/>
  <c r="C161" i="11"/>
  <c r="B161" i="11"/>
  <c r="C160" i="11"/>
  <c r="B160" i="11"/>
  <c r="B159" i="11"/>
  <c r="D159" i="11" s="1"/>
  <c r="C158" i="11"/>
  <c r="B158" i="11"/>
  <c r="D170" i="11" s="1"/>
  <c r="B157" i="11"/>
  <c r="B156" i="11"/>
  <c r="C155" i="11"/>
  <c r="B155" i="11"/>
  <c r="D155" i="11" s="1"/>
  <c r="B154" i="11"/>
  <c r="C153" i="11"/>
  <c r="B153" i="11"/>
  <c r="C152" i="11"/>
  <c r="B152" i="11"/>
  <c r="B151" i="11"/>
  <c r="D151" i="11" s="1"/>
  <c r="C150" i="11"/>
  <c r="B150" i="11"/>
  <c r="D162" i="11" s="1"/>
  <c r="B149" i="11"/>
  <c r="B148" i="11"/>
  <c r="C147" i="11"/>
  <c r="B147" i="11"/>
  <c r="D147" i="11" s="1"/>
  <c r="B146" i="11"/>
  <c r="C145" i="11"/>
  <c r="B145" i="11"/>
  <c r="C144" i="11"/>
  <c r="B144" i="11"/>
  <c r="B143" i="11"/>
  <c r="D143" i="11" s="1"/>
  <c r="B142" i="11"/>
  <c r="B141" i="11"/>
  <c r="B140" i="11"/>
  <c r="C139" i="11"/>
  <c r="B139" i="11"/>
  <c r="D139" i="11" s="1"/>
  <c r="B138" i="11"/>
  <c r="C137" i="11"/>
  <c r="B137" i="11"/>
  <c r="C136" i="11"/>
  <c r="B136" i="11"/>
  <c r="B135" i="11"/>
  <c r="D135" i="11" s="1"/>
  <c r="C134" i="11"/>
  <c r="B134" i="11"/>
  <c r="D133" i="11"/>
  <c r="B133" i="11"/>
  <c r="B132" i="11"/>
  <c r="C131" i="11"/>
  <c r="B131" i="11"/>
  <c r="D131" i="11" s="1"/>
  <c r="B130" i="11"/>
  <c r="C129" i="11"/>
  <c r="B129" i="11"/>
  <c r="C128" i="11"/>
  <c r="B128" i="11"/>
  <c r="B127" i="11"/>
  <c r="D127" i="11" s="1"/>
  <c r="C126" i="11"/>
  <c r="B126" i="11"/>
  <c r="D125" i="11"/>
  <c r="B125" i="11"/>
  <c r="B124" i="11"/>
  <c r="C123" i="11"/>
  <c r="B123" i="11"/>
  <c r="D123" i="11" s="1"/>
  <c r="B122" i="11"/>
  <c r="C121" i="11"/>
  <c r="B121" i="11"/>
  <c r="C120" i="11"/>
  <c r="B120" i="11"/>
  <c r="B119" i="11"/>
  <c r="D119" i="11" s="1"/>
  <c r="C118" i="11"/>
  <c r="B118" i="11"/>
  <c r="D117" i="11"/>
  <c r="B117" i="11"/>
  <c r="B116" i="11"/>
  <c r="C115" i="11"/>
  <c r="B115" i="11"/>
  <c r="D115" i="11" s="1"/>
  <c r="B114" i="11"/>
  <c r="C113" i="11"/>
  <c r="B113" i="11"/>
  <c r="C112" i="11"/>
  <c r="B112" i="11"/>
  <c r="B111" i="11"/>
  <c r="D111" i="11" s="1"/>
  <c r="C110" i="11"/>
  <c r="B110" i="11"/>
  <c r="B109" i="11"/>
  <c r="B108" i="11"/>
  <c r="C107" i="11"/>
  <c r="B107" i="11"/>
  <c r="D107" i="11" s="1"/>
  <c r="B106" i="11"/>
  <c r="C105" i="11"/>
  <c r="B105" i="11"/>
  <c r="C104" i="11"/>
  <c r="B104" i="11"/>
  <c r="B103" i="11"/>
  <c r="D103" i="11" s="1"/>
  <c r="B102" i="11"/>
  <c r="B101" i="11"/>
  <c r="B100" i="11"/>
  <c r="C99" i="11"/>
  <c r="B99" i="11"/>
  <c r="D99" i="11" s="1"/>
  <c r="B98" i="11"/>
  <c r="B97" i="11"/>
  <c r="C96" i="11"/>
  <c r="B96" i="11"/>
  <c r="B95" i="11"/>
  <c r="B94" i="11"/>
  <c r="B93" i="11"/>
  <c r="B92" i="11"/>
  <c r="C91" i="11"/>
  <c r="B91" i="11"/>
  <c r="D91" i="11" s="1"/>
  <c r="B90" i="11"/>
  <c r="B89" i="11"/>
  <c r="C88" i="11"/>
  <c r="B88" i="11"/>
  <c r="B87" i="11"/>
  <c r="C86" i="11"/>
  <c r="B86" i="11"/>
  <c r="B85" i="11"/>
  <c r="B84" i="11"/>
  <c r="B83" i="11"/>
  <c r="D83" i="11" s="1"/>
  <c r="B82" i="11"/>
  <c r="C81" i="11"/>
  <c r="B81" i="11"/>
  <c r="C80" i="11"/>
  <c r="B80" i="11"/>
  <c r="B79" i="11"/>
  <c r="C78" i="11"/>
  <c r="B78" i="11"/>
  <c r="B77" i="11"/>
  <c r="B76" i="11"/>
  <c r="B75" i="11"/>
  <c r="D75" i="11" s="1"/>
  <c r="B74" i="11"/>
  <c r="B73" i="11"/>
  <c r="C72" i="11"/>
  <c r="B72" i="11"/>
  <c r="B71" i="11"/>
  <c r="C70" i="11"/>
  <c r="B70" i="11"/>
  <c r="B69" i="11"/>
  <c r="B68" i="11"/>
  <c r="B67" i="11"/>
  <c r="D67" i="11" s="1"/>
  <c r="B66" i="11"/>
  <c r="C65" i="11"/>
  <c r="B65" i="11"/>
  <c r="C64" i="11"/>
  <c r="B64" i="11"/>
  <c r="B63" i="11"/>
  <c r="C62" i="11"/>
  <c r="B62" i="11"/>
  <c r="B61" i="11"/>
  <c r="B60" i="11"/>
  <c r="B59" i="11"/>
  <c r="D59" i="11" s="1"/>
  <c r="B58" i="11"/>
  <c r="B57" i="11"/>
  <c r="C56" i="11"/>
  <c r="B56" i="11"/>
  <c r="B55" i="11"/>
  <c r="C54" i="11"/>
  <c r="B54" i="11"/>
  <c r="B53" i="11"/>
  <c r="B52" i="11"/>
  <c r="B51" i="11"/>
  <c r="D51" i="11" s="1"/>
  <c r="B50" i="11"/>
  <c r="C49" i="11"/>
  <c r="B49" i="11"/>
  <c r="C48" i="11"/>
  <c r="B48" i="11"/>
  <c r="B47" i="11"/>
  <c r="C46" i="11"/>
  <c r="B46" i="11"/>
  <c r="B45" i="11"/>
  <c r="B44" i="11"/>
  <c r="B43" i="11"/>
  <c r="D43" i="11" s="1"/>
  <c r="B42" i="11"/>
  <c r="B41" i="11"/>
  <c r="C40" i="11"/>
  <c r="B40" i="11"/>
  <c r="B39" i="11"/>
  <c r="C38" i="11"/>
  <c r="B38" i="11"/>
  <c r="B37" i="11"/>
  <c r="B36" i="11"/>
  <c r="B35" i="11"/>
  <c r="D35" i="11" s="1"/>
  <c r="B34" i="11"/>
  <c r="C33" i="11"/>
  <c r="B33" i="11"/>
  <c r="C32" i="11"/>
  <c r="B32" i="11"/>
  <c r="B31" i="11"/>
  <c r="C30" i="11"/>
  <c r="B30" i="11"/>
  <c r="D29" i="11"/>
  <c r="B29" i="11"/>
  <c r="B28" i="11"/>
  <c r="B27" i="11"/>
  <c r="D27" i="11" s="1"/>
  <c r="B26" i="11"/>
  <c r="B25" i="11"/>
  <c r="C24" i="11"/>
  <c r="B24" i="11"/>
  <c r="B23" i="11"/>
  <c r="D23" i="11" s="1"/>
  <c r="C22" i="11"/>
  <c r="B22" i="11"/>
  <c r="D21" i="11"/>
  <c r="B21" i="11"/>
  <c r="B20" i="11"/>
  <c r="B19" i="11"/>
  <c r="B18" i="11"/>
  <c r="C18" i="11" s="1"/>
  <c r="B17" i="11"/>
  <c r="C17" i="11" s="1"/>
  <c r="C16" i="11"/>
  <c r="B16" i="11"/>
  <c r="C15" i="11"/>
  <c r="B15" i="11"/>
  <c r="B14" i="11"/>
  <c r="D26" i="11" s="1"/>
  <c r="B13" i="11"/>
  <c r="B12" i="11"/>
  <c r="C11" i="11"/>
  <c r="B11" i="11"/>
  <c r="B10" i="11"/>
  <c r="C10" i="11" s="1"/>
  <c r="B9" i="11"/>
  <c r="B8" i="11"/>
  <c r="C8" i="11" s="1"/>
  <c r="B7" i="11"/>
  <c r="D366" i="10"/>
  <c r="B366" i="10"/>
  <c r="C366" i="10" s="1"/>
  <c r="B365" i="10"/>
  <c r="D364" i="10"/>
  <c r="B364" i="10"/>
  <c r="C364" i="10" s="1"/>
  <c r="B363" i="10"/>
  <c r="C362" i="10"/>
  <c r="B362" i="10"/>
  <c r="D361" i="10"/>
  <c r="C361" i="10"/>
  <c r="B361" i="10"/>
  <c r="B360" i="10"/>
  <c r="B359" i="10"/>
  <c r="B358" i="10"/>
  <c r="C358" i="10" s="1"/>
  <c r="B357" i="10"/>
  <c r="D356" i="10"/>
  <c r="B356" i="10"/>
  <c r="C356" i="10" s="1"/>
  <c r="B355" i="10"/>
  <c r="C354" i="10"/>
  <c r="B354" i="10"/>
  <c r="D353" i="10"/>
  <c r="C353" i="10"/>
  <c r="B353" i="10"/>
  <c r="B352" i="10"/>
  <c r="B351" i="10"/>
  <c r="B350" i="10"/>
  <c r="C350" i="10" s="1"/>
  <c r="B349" i="10"/>
  <c r="D348" i="10"/>
  <c r="B348" i="10"/>
  <c r="C348" i="10" s="1"/>
  <c r="B347" i="10"/>
  <c r="B346" i="10"/>
  <c r="D345" i="10"/>
  <c r="C345" i="10"/>
  <c r="B345" i="10"/>
  <c r="B344" i="10"/>
  <c r="B343" i="10"/>
  <c r="B342" i="10"/>
  <c r="C342" i="10" s="1"/>
  <c r="B341" i="10"/>
  <c r="D340" i="10"/>
  <c r="B340" i="10"/>
  <c r="C340" i="10" s="1"/>
  <c r="B339" i="10"/>
  <c r="B338" i="10"/>
  <c r="D337" i="10"/>
  <c r="C337" i="10"/>
  <c r="B337" i="10"/>
  <c r="B336" i="10"/>
  <c r="B335" i="10"/>
  <c r="B334" i="10"/>
  <c r="C334" i="10" s="1"/>
  <c r="B333" i="10"/>
  <c r="D332" i="10"/>
  <c r="B332" i="10"/>
  <c r="D344" i="10" s="1"/>
  <c r="B331" i="10"/>
  <c r="C330" i="10"/>
  <c r="B330" i="10"/>
  <c r="D329" i="10"/>
  <c r="C329" i="10"/>
  <c r="B329" i="10"/>
  <c r="B328" i="10"/>
  <c r="B327" i="10"/>
  <c r="D326" i="10"/>
  <c r="B326" i="10"/>
  <c r="C326" i="10" s="1"/>
  <c r="B325" i="10"/>
  <c r="D324" i="10"/>
  <c r="B324" i="10"/>
  <c r="C324" i="10" s="1"/>
  <c r="B323" i="10"/>
  <c r="B322" i="10"/>
  <c r="D334" i="10" s="1"/>
  <c r="D321" i="10"/>
  <c r="C321" i="10"/>
  <c r="B321" i="10"/>
  <c r="B320" i="10"/>
  <c r="B319" i="10"/>
  <c r="D318" i="10"/>
  <c r="B318" i="10"/>
  <c r="C318" i="10" s="1"/>
  <c r="B317" i="10"/>
  <c r="D316" i="10"/>
  <c r="B316" i="10"/>
  <c r="C316" i="10" s="1"/>
  <c r="B315" i="10"/>
  <c r="C314" i="10"/>
  <c r="B314" i="10"/>
  <c r="D313" i="10"/>
  <c r="C313" i="10"/>
  <c r="B313" i="10"/>
  <c r="B312" i="10"/>
  <c r="B311" i="10"/>
  <c r="D310" i="10"/>
  <c r="B310" i="10"/>
  <c r="C310" i="10" s="1"/>
  <c r="B309" i="10"/>
  <c r="D308" i="10"/>
  <c r="B308" i="10"/>
  <c r="C308" i="10" s="1"/>
  <c r="B307" i="10"/>
  <c r="C306" i="10"/>
  <c r="B306" i="10"/>
  <c r="D305" i="10"/>
  <c r="C305" i="10"/>
  <c r="B305" i="10"/>
  <c r="B304" i="10"/>
  <c r="B303" i="10"/>
  <c r="D302" i="10"/>
  <c r="B302" i="10"/>
  <c r="C302" i="10" s="1"/>
  <c r="B301" i="10"/>
  <c r="D300" i="10"/>
  <c r="B300" i="10"/>
  <c r="D312" i="10" s="1"/>
  <c r="B299" i="10"/>
  <c r="C298" i="10"/>
  <c r="B298" i="10"/>
  <c r="D297" i="10"/>
  <c r="C297" i="10"/>
  <c r="B297" i="10"/>
  <c r="B296" i="10"/>
  <c r="B295" i="10"/>
  <c r="B294" i="10"/>
  <c r="C294" i="10" s="1"/>
  <c r="B293" i="10"/>
  <c r="D292" i="10"/>
  <c r="B292" i="10"/>
  <c r="D304" i="10" s="1"/>
  <c r="B291" i="10"/>
  <c r="C290" i="10"/>
  <c r="B290" i="10"/>
  <c r="D289" i="10"/>
  <c r="C289" i="10"/>
  <c r="B289" i="10"/>
  <c r="B288" i="10"/>
  <c r="B287" i="10"/>
  <c r="B286" i="10"/>
  <c r="C286" i="10" s="1"/>
  <c r="B285" i="10"/>
  <c r="D284" i="10"/>
  <c r="B284" i="10"/>
  <c r="D296" i="10" s="1"/>
  <c r="B283" i="10"/>
  <c r="B282" i="10"/>
  <c r="D281" i="10"/>
  <c r="C281" i="10"/>
  <c r="B281" i="10"/>
  <c r="B280" i="10"/>
  <c r="B279" i="10"/>
  <c r="B278" i="10"/>
  <c r="C278" i="10" s="1"/>
  <c r="B277" i="10"/>
  <c r="D276" i="10"/>
  <c r="B276" i="10"/>
  <c r="D288" i="10" s="1"/>
  <c r="B275" i="10"/>
  <c r="B274" i="10"/>
  <c r="D273" i="10"/>
  <c r="C273" i="10"/>
  <c r="B273" i="10"/>
  <c r="B272" i="10"/>
  <c r="B271" i="10"/>
  <c r="B270" i="10"/>
  <c r="C270" i="10" s="1"/>
  <c r="B269" i="10"/>
  <c r="D268" i="10"/>
  <c r="B268" i="10"/>
  <c r="D280" i="10" s="1"/>
  <c r="B267" i="10"/>
  <c r="C266" i="10"/>
  <c r="B266" i="10"/>
  <c r="D265" i="10"/>
  <c r="C265" i="10"/>
  <c r="B265" i="10"/>
  <c r="B264" i="10"/>
  <c r="B263" i="10"/>
  <c r="D262" i="10"/>
  <c r="B262" i="10"/>
  <c r="C262" i="10" s="1"/>
  <c r="B261" i="10"/>
  <c r="D260" i="10"/>
  <c r="B260" i="10"/>
  <c r="D272" i="10" s="1"/>
  <c r="B259" i="10"/>
  <c r="B258" i="10"/>
  <c r="D270" i="10" s="1"/>
  <c r="D257" i="10"/>
  <c r="C257" i="10"/>
  <c r="B257" i="10"/>
  <c r="B256" i="10"/>
  <c r="B255" i="10"/>
  <c r="D254" i="10"/>
  <c r="B254" i="10"/>
  <c r="C254" i="10" s="1"/>
  <c r="B253" i="10"/>
  <c r="D252" i="10"/>
  <c r="B252" i="10"/>
  <c r="D264" i="10" s="1"/>
  <c r="B251" i="10"/>
  <c r="C250" i="10"/>
  <c r="B250" i="10"/>
  <c r="D249" i="10"/>
  <c r="C249" i="10"/>
  <c r="B249" i="10"/>
  <c r="B248" i="10"/>
  <c r="B247" i="10"/>
  <c r="D246" i="10"/>
  <c r="B246" i="10"/>
  <c r="C246" i="10" s="1"/>
  <c r="B245" i="10"/>
  <c r="D244" i="10"/>
  <c r="B244" i="10"/>
  <c r="D256" i="10" s="1"/>
  <c r="B243" i="10"/>
  <c r="C242" i="10"/>
  <c r="B242" i="10"/>
  <c r="D241" i="10"/>
  <c r="C241" i="10"/>
  <c r="B241" i="10"/>
  <c r="B240" i="10"/>
  <c r="B239" i="10"/>
  <c r="D238" i="10"/>
  <c r="B238" i="10"/>
  <c r="C238" i="10" s="1"/>
  <c r="B237" i="10"/>
  <c r="D236" i="10"/>
  <c r="B236" i="10"/>
  <c r="D248" i="10" s="1"/>
  <c r="B235" i="10"/>
  <c r="C234" i="10"/>
  <c r="B234" i="10"/>
  <c r="D233" i="10"/>
  <c r="C233" i="10"/>
  <c r="B233" i="10"/>
  <c r="B232" i="10"/>
  <c r="B231" i="10"/>
  <c r="B230" i="10"/>
  <c r="C230" i="10" s="1"/>
  <c r="B229" i="10"/>
  <c r="D228" i="10"/>
  <c r="B228" i="10"/>
  <c r="D240" i="10" s="1"/>
  <c r="B227" i="10"/>
  <c r="C226" i="10"/>
  <c r="B226" i="10"/>
  <c r="D225" i="10"/>
  <c r="C225" i="10"/>
  <c r="B225" i="10"/>
  <c r="B224" i="10"/>
  <c r="B223" i="10"/>
  <c r="B222" i="10"/>
  <c r="C222" i="10" s="1"/>
  <c r="B221" i="10"/>
  <c r="D220" i="10"/>
  <c r="B220" i="10"/>
  <c r="D232" i="10" s="1"/>
  <c r="B219" i="10"/>
  <c r="B218" i="10"/>
  <c r="D217" i="10"/>
  <c r="C217" i="10"/>
  <c r="B217" i="10"/>
  <c r="B216" i="10"/>
  <c r="B215" i="10"/>
  <c r="B214" i="10"/>
  <c r="C214" i="10" s="1"/>
  <c r="B213" i="10"/>
  <c r="D212" i="10"/>
  <c r="B212" i="10"/>
  <c r="D224" i="10" s="1"/>
  <c r="B211" i="10"/>
  <c r="B210" i="10"/>
  <c r="D209" i="10"/>
  <c r="C209" i="10"/>
  <c r="B209" i="10"/>
  <c r="B208" i="10"/>
  <c r="B207" i="10"/>
  <c r="B206" i="10"/>
  <c r="C206" i="10" s="1"/>
  <c r="B205" i="10"/>
  <c r="D204" i="10"/>
  <c r="B204" i="10"/>
  <c r="D216" i="10" s="1"/>
  <c r="B203" i="10"/>
  <c r="C202" i="10"/>
  <c r="B202" i="10"/>
  <c r="D201" i="10"/>
  <c r="C201" i="10"/>
  <c r="B201" i="10"/>
  <c r="B200" i="10"/>
  <c r="B199" i="10"/>
  <c r="D198" i="10"/>
  <c r="B198" i="10"/>
  <c r="C198" i="10" s="1"/>
  <c r="B197" i="10"/>
  <c r="D196" i="10"/>
  <c r="B196" i="10"/>
  <c r="D208" i="10" s="1"/>
  <c r="B195" i="10"/>
  <c r="B194" i="10"/>
  <c r="D206" i="10" s="1"/>
  <c r="D193" i="10"/>
  <c r="C193" i="10"/>
  <c r="B193" i="10"/>
  <c r="B192" i="10"/>
  <c r="B191" i="10"/>
  <c r="D190" i="10"/>
  <c r="B190" i="10"/>
  <c r="C190" i="10" s="1"/>
  <c r="B189" i="10"/>
  <c r="D188" i="10"/>
  <c r="B188" i="10"/>
  <c r="D200" i="10" s="1"/>
  <c r="B187" i="10"/>
  <c r="C186" i="10"/>
  <c r="B186" i="10"/>
  <c r="D185" i="10"/>
  <c r="C185" i="10"/>
  <c r="B185" i="10"/>
  <c r="B184" i="10"/>
  <c r="B183" i="10"/>
  <c r="D182" i="10"/>
  <c r="B182" i="10"/>
  <c r="C182" i="10" s="1"/>
  <c r="B181" i="10"/>
  <c r="D180" i="10"/>
  <c r="B180" i="10"/>
  <c r="D192" i="10" s="1"/>
  <c r="B179" i="10"/>
  <c r="B178" i="10"/>
  <c r="D177" i="10"/>
  <c r="C177" i="10"/>
  <c r="B177" i="10"/>
  <c r="B176" i="10"/>
  <c r="B175" i="10"/>
  <c r="D174" i="10"/>
  <c r="B174" i="10"/>
  <c r="C174" i="10" s="1"/>
  <c r="B173" i="10"/>
  <c r="D172" i="10"/>
  <c r="B172" i="10"/>
  <c r="D184" i="10" s="1"/>
  <c r="B171" i="10"/>
  <c r="C170" i="10"/>
  <c r="B170" i="10"/>
  <c r="D169" i="10"/>
  <c r="C169" i="10"/>
  <c r="B169" i="10"/>
  <c r="B168" i="10"/>
  <c r="B167" i="10"/>
  <c r="B166" i="10"/>
  <c r="C166" i="10" s="1"/>
  <c r="B165" i="10"/>
  <c r="D164" i="10"/>
  <c r="B164" i="10"/>
  <c r="D176" i="10" s="1"/>
  <c r="B163" i="10"/>
  <c r="C162" i="10"/>
  <c r="B162" i="10"/>
  <c r="D161" i="10"/>
  <c r="C161" i="10"/>
  <c r="B161" i="10"/>
  <c r="B160" i="10"/>
  <c r="B159" i="10"/>
  <c r="B158" i="10"/>
  <c r="C158" i="10" s="1"/>
  <c r="B157" i="10"/>
  <c r="D156" i="10"/>
  <c r="B156" i="10"/>
  <c r="D168" i="10" s="1"/>
  <c r="B155" i="10"/>
  <c r="B154" i="10"/>
  <c r="D153" i="10"/>
  <c r="C153" i="10"/>
  <c r="B153" i="10"/>
  <c r="B152" i="10"/>
  <c r="B151" i="10"/>
  <c r="B150" i="10"/>
  <c r="C150" i="10" s="1"/>
  <c r="B149" i="10"/>
  <c r="D148" i="10"/>
  <c r="B148" i="10"/>
  <c r="D160" i="10" s="1"/>
  <c r="B147" i="10"/>
  <c r="B146" i="10"/>
  <c r="D145" i="10"/>
  <c r="C145" i="10"/>
  <c r="B145" i="10"/>
  <c r="B144" i="10"/>
  <c r="B143" i="10"/>
  <c r="B142" i="10"/>
  <c r="C142" i="10" s="1"/>
  <c r="B141" i="10"/>
  <c r="D140" i="10"/>
  <c r="B140" i="10"/>
  <c r="D152" i="10" s="1"/>
  <c r="B139" i="10"/>
  <c r="C138" i="10"/>
  <c r="B138" i="10"/>
  <c r="D137" i="10"/>
  <c r="C137" i="10"/>
  <c r="B137" i="10"/>
  <c r="B136" i="10"/>
  <c r="B135" i="10"/>
  <c r="D134" i="10"/>
  <c r="B134" i="10"/>
  <c r="C134" i="10" s="1"/>
  <c r="B133" i="10"/>
  <c r="D132" i="10"/>
  <c r="B132" i="10"/>
  <c r="D144" i="10" s="1"/>
  <c r="B131" i="10"/>
  <c r="B130" i="10"/>
  <c r="D142" i="10" s="1"/>
  <c r="D129" i="10"/>
  <c r="C129" i="10"/>
  <c r="B129" i="10"/>
  <c r="B128" i="10"/>
  <c r="B127" i="10"/>
  <c r="B126" i="10"/>
  <c r="C126" i="10" s="1"/>
  <c r="B125" i="10"/>
  <c r="D124" i="10"/>
  <c r="B124" i="10"/>
  <c r="D136" i="10" s="1"/>
  <c r="B123" i="10"/>
  <c r="C122" i="10"/>
  <c r="B122" i="10"/>
  <c r="D121" i="10"/>
  <c r="C121" i="10"/>
  <c r="B121" i="10"/>
  <c r="B120" i="10"/>
  <c r="B119" i="10"/>
  <c r="D118" i="10"/>
  <c r="B118" i="10"/>
  <c r="C118" i="10" s="1"/>
  <c r="B117" i="10"/>
  <c r="D116" i="10"/>
  <c r="B116" i="10"/>
  <c r="D128" i="10" s="1"/>
  <c r="B115" i="10"/>
  <c r="B114" i="10"/>
  <c r="D113" i="10"/>
  <c r="C113" i="10"/>
  <c r="B113" i="10"/>
  <c r="B112" i="10"/>
  <c r="B111" i="10"/>
  <c r="D110" i="10"/>
  <c r="B110" i="10"/>
  <c r="C110" i="10" s="1"/>
  <c r="B109" i="10"/>
  <c r="D108" i="10"/>
  <c r="B108" i="10"/>
  <c r="D120" i="10" s="1"/>
  <c r="B107" i="10"/>
  <c r="C106" i="10"/>
  <c r="B106" i="10"/>
  <c r="D105" i="10"/>
  <c r="C105" i="10"/>
  <c r="B105" i="10"/>
  <c r="B104" i="10"/>
  <c r="B103" i="10"/>
  <c r="B102" i="10"/>
  <c r="B101" i="10"/>
  <c r="B100" i="10"/>
  <c r="C99" i="10"/>
  <c r="B99" i="10"/>
  <c r="B98" i="10"/>
  <c r="C97" i="10"/>
  <c r="B97" i="10"/>
  <c r="D96" i="10"/>
  <c r="B96" i="10"/>
  <c r="B95" i="10"/>
  <c r="B94" i="10"/>
  <c r="C94" i="10" s="1"/>
  <c r="B93" i="10"/>
  <c r="C92" i="10"/>
  <c r="B92" i="10"/>
  <c r="D104" i="10" s="1"/>
  <c r="C91" i="10"/>
  <c r="B91" i="10"/>
  <c r="C90" i="10"/>
  <c r="B90" i="10"/>
  <c r="D90" i="10" s="1"/>
  <c r="D89" i="10"/>
  <c r="C89" i="10"/>
  <c r="B89" i="10"/>
  <c r="B88" i="10"/>
  <c r="B87" i="10"/>
  <c r="D99" i="10" s="1"/>
  <c r="B86" i="10"/>
  <c r="C85" i="10"/>
  <c r="B85" i="10"/>
  <c r="D85" i="10" s="1"/>
  <c r="B84" i="10"/>
  <c r="C84" i="10" s="1"/>
  <c r="B83" i="10"/>
  <c r="C82" i="10"/>
  <c r="B82" i="10"/>
  <c r="C83" i="10" s="1"/>
  <c r="D81" i="10"/>
  <c r="B81" i="10"/>
  <c r="B80" i="10"/>
  <c r="D79" i="10"/>
  <c r="C79" i="10"/>
  <c r="B79" i="10"/>
  <c r="D91" i="10" s="1"/>
  <c r="D78" i="10"/>
  <c r="B78" i="10"/>
  <c r="B77" i="10"/>
  <c r="D77" i="10" s="1"/>
  <c r="B76" i="10"/>
  <c r="C75" i="10"/>
  <c r="B75" i="10"/>
  <c r="C74" i="10"/>
  <c r="B74" i="10"/>
  <c r="D74" i="10" s="1"/>
  <c r="D73" i="10"/>
  <c r="B73" i="10"/>
  <c r="B72" i="10"/>
  <c r="B71" i="10"/>
  <c r="D83" i="10" s="1"/>
  <c r="B70" i="10"/>
  <c r="C69" i="10"/>
  <c r="B69" i="10"/>
  <c r="D69" i="10" s="1"/>
  <c r="D68" i="10"/>
  <c r="B68" i="10"/>
  <c r="C68" i="10" s="1"/>
  <c r="B67" i="10"/>
  <c r="C66" i="10"/>
  <c r="B66" i="10"/>
  <c r="C67" i="10" s="1"/>
  <c r="D65" i="10"/>
  <c r="B65" i="10"/>
  <c r="B64" i="10"/>
  <c r="D63" i="10"/>
  <c r="C63" i="10"/>
  <c r="B63" i="10"/>
  <c r="D75" i="10" s="1"/>
  <c r="D62" i="10"/>
  <c r="B62" i="10"/>
  <c r="B61" i="10"/>
  <c r="D61" i="10" s="1"/>
  <c r="C60" i="10"/>
  <c r="B60" i="10"/>
  <c r="C61" i="10" s="1"/>
  <c r="C59" i="10"/>
  <c r="B59" i="10"/>
  <c r="C58" i="10"/>
  <c r="B58" i="10"/>
  <c r="D58" i="10" s="1"/>
  <c r="D57" i="10"/>
  <c r="C57" i="10"/>
  <c r="B57" i="10"/>
  <c r="B56" i="10"/>
  <c r="B55" i="10"/>
  <c r="D67" i="10" s="1"/>
  <c r="B54" i="10"/>
  <c r="C53" i="10"/>
  <c r="B53" i="10"/>
  <c r="D53" i="10" s="1"/>
  <c r="D52" i="10"/>
  <c r="B52" i="10"/>
  <c r="C52" i="10" s="1"/>
  <c r="B51" i="10"/>
  <c r="D50" i="10"/>
  <c r="C50" i="10"/>
  <c r="B50" i="10"/>
  <c r="C51" i="10" s="1"/>
  <c r="D49" i="10"/>
  <c r="B49" i="10"/>
  <c r="B48" i="10"/>
  <c r="D47" i="10"/>
  <c r="C47" i="10"/>
  <c r="B47" i="10"/>
  <c r="D59" i="10" s="1"/>
  <c r="D46" i="10"/>
  <c r="B46" i="10"/>
  <c r="B45" i="10"/>
  <c r="D45" i="10" s="1"/>
  <c r="C44" i="10"/>
  <c r="B44" i="10"/>
  <c r="C45" i="10" s="1"/>
  <c r="C43" i="10"/>
  <c r="B43" i="10"/>
  <c r="C42" i="10"/>
  <c r="B42" i="10"/>
  <c r="D42" i="10" s="1"/>
  <c r="D41" i="10"/>
  <c r="C41" i="10"/>
  <c r="B41" i="10"/>
  <c r="B40" i="10"/>
  <c r="B39" i="10"/>
  <c r="D51" i="10" s="1"/>
  <c r="D38" i="10"/>
  <c r="B38" i="10"/>
  <c r="C37" i="10"/>
  <c r="B37" i="10"/>
  <c r="D37" i="10" s="1"/>
  <c r="D36" i="10"/>
  <c r="B36" i="10"/>
  <c r="C36" i="10" s="1"/>
  <c r="B35" i="10"/>
  <c r="D34" i="10"/>
  <c r="C34" i="10"/>
  <c r="B34" i="10"/>
  <c r="C35" i="10" s="1"/>
  <c r="B33" i="10"/>
  <c r="B32" i="10"/>
  <c r="D31" i="10"/>
  <c r="C31" i="10"/>
  <c r="B31" i="10"/>
  <c r="D43" i="10" s="1"/>
  <c r="D30" i="10"/>
  <c r="B30" i="10"/>
  <c r="B29" i="10"/>
  <c r="D29" i="10" s="1"/>
  <c r="D28" i="10"/>
  <c r="C28" i="10"/>
  <c r="B28" i="10"/>
  <c r="C29" i="10" s="1"/>
  <c r="D27" i="10"/>
  <c r="C27" i="10"/>
  <c r="B27" i="10"/>
  <c r="B26" i="10"/>
  <c r="D25" i="10"/>
  <c r="C25" i="10"/>
  <c r="B25" i="10"/>
  <c r="D24" i="10"/>
  <c r="B24" i="10"/>
  <c r="B23" i="10"/>
  <c r="D22" i="10"/>
  <c r="B22" i="10"/>
  <c r="B21" i="10"/>
  <c r="C20" i="10"/>
  <c r="B20" i="10"/>
  <c r="D20" i="10" s="1"/>
  <c r="C19" i="10"/>
  <c r="B19" i="10"/>
  <c r="C18" i="10"/>
  <c r="B18" i="10"/>
  <c r="C17" i="10"/>
  <c r="B17" i="10"/>
  <c r="C16" i="10"/>
  <c r="B16" i="10"/>
  <c r="C15" i="10"/>
  <c r="B15" i="10"/>
  <c r="C14" i="10"/>
  <c r="B14" i="10"/>
  <c r="C13" i="10"/>
  <c r="B13" i="10"/>
  <c r="C12" i="10"/>
  <c r="B12" i="10"/>
  <c r="C11" i="10"/>
  <c r="B11" i="10"/>
  <c r="C10" i="10"/>
  <c r="B10" i="10"/>
  <c r="C9" i="10"/>
  <c r="B9" i="10"/>
  <c r="B8" i="10"/>
  <c r="B7" i="10"/>
  <c r="C366" i="9"/>
  <c r="B366" i="9"/>
  <c r="C365" i="9"/>
  <c r="B365" i="9"/>
  <c r="B364" i="9"/>
  <c r="D363" i="9"/>
  <c r="C363" i="9"/>
  <c r="B363" i="9"/>
  <c r="C364" i="9" s="1"/>
  <c r="D362" i="9"/>
  <c r="B362" i="9"/>
  <c r="C362" i="9" s="1"/>
  <c r="B361" i="9"/>
  <c r="D360" i="9"/>
  <c r="C360" i="9"/>
  <c r="B360" i="9"/>
  <c r="D359" i="9"/>
  <c r="B359" i="9"/>
  <c r="C359" i="9" s="1"/>
  <c r="B358" i="9"/>
  <c r="C357" i="9"/>
  <c r="B357" i="9"/>
  <c r="D356" i="9"/>
  <c r="B356" i="9"/>
  <c r="C355" i="9"/>
  <c r="B355" i="9"/>
  <c r="B354" i="9"/>
  <c r="C354" i="9" s="1"/>
  <c r="B353" i="9"/>
  <c r="D365" i="9" s="1"/>
  <c r="B352" i="9"/>
  <c r="D351" i="9"/>
  <c r="B351" i="9"/>
  <c r="C351" i="9" s="1"/>
  <c r="B350" i="9"/>
  <c r="B349" i="9"/>
  <c r="D348" i="9"/>
  <c r="C348" i="9"/>
  <c r="B348" i="9"/>
  <c r="B347" i="9"/>
  <c r="D347" i="9" s="1"/>
  <c r="C346" i="9"/>
  <c r="B346" i="9"/>
  <c r="C347" i="9" s="1"/>
  <c r="B345" i="9"/>
  <c r="B344" i="9"/>
  <c r="D344" i="9" s="1"/>
  <c r="B343" i="9"/>
  <c r="B342" i="9"/>
  <c r="C341" i="9"/>
  <c r="B341" i="9"/>
  <c r="D340" i="9"/>
  <c r="C340" i="9"/>
  <c r="B340" i="9"/>
  <c r="D339" i="9"/>
  <c r="B339" i="9"/>
  <c r="B338" i="9"/>
  <c r="B337" i="9"/>
  <c r="C337" i="9" s="1"/>
  <c r="D336" i="9"/>
  <c r="C336" i="9"/>
  <c r="B336" i="9"/>
  <c r="B335" i="9"/>
  <c r="B334" i="9"/>
  <c r="D334" i="9" s="1"/>
  <c r="D333" i="9"/>
  <c r="C333" i="9"/>
  <c r="B333" i="9"/>
  <c r="B332" i="9"/>
  <c r="D331" i="9"/>
  <c r="C331" i="9"/>
  <c r="B331" i="9"/>
  <c r="C332" i="9" s="1"/>
  <c r="B330" i="9"/>
  <c r="B329" i="9"/>
  <c r="D328" i="9"/>
  <c r="C328" i="9"/>
  <c r="B328" i="9"/>
  <c r="B327" i="9"/>
  <c r="B326" i="9"/>
  <c r="D325" i="9"/>
  <c r="C325" i="9"/>
  <c r="B325" i="9"/>
  <c r="D324" i="9"/>
  <c r="B324" i="9"/>
  <c r="B323" i="9"/>
  <c r="B322" i="9"/>
  <c r="C322" i="9" s="1"/>
  <c r="B321" i="9"/>
  <c r="D321" i="9" s="1"/>
  <c r="D320" i="9"/>
  <c r="C320" i="9"/>
  <c r="B320" i="9"/>
  <c r="B319" i="9"/>
  <c r="B318" i="9"/>
  <c r="D317" i="9"/>
  <c r="C317" i="9"/>
  <c r="B317" i="9"/>
  <c r="D316" i="9"/>
  <c r="B316" i="9"/>
  <c r="B315" i="9"/>
  <c r="D315" i="9" s="1"/>
  <c r="B314" i="9"/>
  <c r="C314" i="9" s="1"/>
  <c r="B313" i="9"/>
  <c r="D313" i="9" s="1"/>
  <c r="D312" i="9"/>
  <c r="C312" i="9"/>
  <c r="B312" i="9"/>
  <c r="C313" i="9" s="1"/>
  <c r="B311" i="9"/>
  <c r="B310" i="9"/>
  <c r="D309" i="9"/>
  <c r="C309" i="9"/>
  <c r="B309" i="9"/>
  <c r="D308" i="9"/>
  <c r="B308" i="9"/>
  <c r="B307" i="9"/>
  <c r="B306" i="9"/>
  <c r="C306" i="9" s="1"/>
  <c r="B305" i="9"/>
  <c r="D305" i="9" s="1"/>
  <c r="D304" i="9"/>
  <c r="C304" i="9"/>
  <c r="B304" i="9"/>
  <c r="C305" i="9" s="1"/>
  <c r="B303" i="9"/>
  <c r="B302" i="9"/>
  <c r="D301" i="9"/>
  <c r="C301" i="9"/>
  <c r="B301" i="9"/>
  <c r="D300" i="9"/>
  <c r="B300" i="9"/>
  <c r="B299" i="9"/>
  <c r="B298" i="9"/>
  <c r="C298" i="9" s="1"/>
  <c r="B297" i="9"/>
  <c r="D297" i="9" s="1"/>
  <c r="D296" i="9"/>
  <c r="C296" i="9"/>
  <c r="B296" i="9"/>
  <c r="C297" i="9" s="1"/>
  <c r="B295" i="9"/>
  <c r="B294" i="9"/>
  <c r="D293" i="9"/>
  <c r="C293" i="9"/>
  <c r="B293" i="9"/>
  <c r="D292" i="9"/>
  <c r="B292" i="9"/>
  <c r="B291" i="9"/>
  <c r="B290" i="9"/>
  <c r="C290" i="9" s="1"/>
  <c r="B289" i="9"/>
  <c r="D289" i="9" s="1"/>
  <c r="D288" i="9"/>
  <c r="C288" i="9"/>
  <c r="B288" i="9"/>
  <c r="C289" i="9" s="1"/>
  <c r="B287" i="9"/>
  <c r="B286" i="9"/>
  <c r="D285" i="9"/>
  <c r="C285" i="9"/>
  <c r="B285" i="9"/>
  <c r="D284" i="9"/>
  <c r="B284" i="9"/>
  <c r="B283" i="9"/>
  <c r="B282" i="9"/>
  <c r="C282" i="9" s="1"/>
  <c r="B281" i="9"/>
  <c r="D281" i="9" s="1"/>
  <c r="D280" i="9"/>
  <c r="C280" i="9"/>
  <c r="B280" i="9"/>
  <c r="C281" i="9" s="1"/>
  <c r="B279" i="9"/>
  <c r="B278" i="9"/>
  <c r="D277" i="9"/>
  <c r="C277" i="9"/>
  <c r="B277" i="9"/>
  <c r="D276" i="9"/>
  <c r="B276" i="9"/>
  <c r="B275" i="9"/>
  <c r="B274" i="9"/>
  <c r="C274" i="9" s="1"/>
  <c r="B273" i="9"/>
  <c r="D273" i="9" s="1"/>
  <c r="D272" i="9"/>
  <c r="C272" i="9"/>
  <c r="B272" i="9"/>
  <c r="C273" i="9" s="1"/>
  <c r="B271" i="9"/>
  <c r="B270" i="9"/>
  <c r="D269" i="9"/>
  <c r="C269" i="9"/>
  <c r="B269" i="9"/>
  <c r="D268" i="9"/>
  <c r="B268" i="9"/>
  <c r="B267" i="9"/>
  <c r="D266" i="9"/>
  <c r="B266" i="9"/>
  <c r="C266" i="9" s="1"/>
  <c r="B265" i="9"/>
  <c r="D265" i="9" s="1"/>
  <c r="D264" i="9"/>
  <c r="C264" i="9"/>
  <c r="B264" i="9"/>
  <c r="C265" i="9" s="1"/>
  <c r="B263" i="9"/>
  <c r="B262" i="9"/>
  <c r="D261" i="9"/>
  <c r="C261" i="9"/>
  <c r="B261" i="9"/>
  <c r="D260" i="9"/>
  <c r="B260" i="9"/>
  <c r="B259" i="9"/>
  <c r="D258" i="9"/>
  <c r="B258" i="9"/>
  <c r="C258" i="9" s="1"/>
  <c r="B257" i="9"/>
  <c r="D257" i="9" s="1"/>
  <c r="C256" i="9"/>
  <c r="B256" i="9"/>
  <c r="C257" i="9" s="1"/>
  <c r="B255" i="9"/>
  <c r="B254" i="9"/>
  <c r="D253" i="9"/>
  <c r="C253" i="9"/>
  <c r="B253" i="9"/>
  <c r="D252" i="9"/>
  <c r="B252" i="9"/>
  <c r="B251" i="9"/>
  <c r="D250" i="9"/>
  <c r="B250" i="9"/>
  <c r="C250" i="9" s="1"/>
  <c r="B249" i="9"/>
  <c r="D249" i="9" s="1"/>
  <c r="C248" i="9"/>
  <c r="B248" i="9"/>
  <c r="C249" i="9" s="1"/>
  <c r="C247" i="9"/>
  <c r="B247" i="9"/>
  <c r="B246" i="9"/>
  <c r="D245" i="9"/>
  <c r="C245" i="9"/>
  <c r="B245" i="9"/>
  <c r="D244" i="9"/>
  <c r="B244" i="9"/>
  <c r="C243" i="9"/>
  <c r="B243" i="9"/>
  <c r="B242" i="9"/>
  <c r="C242" i="9" s="1"/>
  <c r="B241" i="9"/>
  <c r="D241" i="9" s="1"/>
  <c r="C240" i="9"/>
  <c r="B240" i="9"/>
  <c r="C241" i="9" s="1"/>
  <c r="C239" i="9"/>
  <c r="B239" i="9"/>
  <c r="B238" i="9"/>
  <c r="D237" i="9"/>
  <c r="C237" i="9"/>
  <c r="B237" i="9"/>
  <c r="D236" i="9"/>
  <c r="B236" i="9"/>
  <c r="C235" i="9"/>
  <c r="B235" i="9"/>
  <c r="B234" i="9"/>
  <c r="C234" i="9" s="1"/>
  <c r="B233" i="9"/>
  <c r="D233" i="9" s="1"/>
  <c r="C232" i="9"/>
  <c r="B232" i="9"/>
  <c r="C233" i="9" s="1"/>
  <c r="B231" i="9"/>
  <c r="B230" i="9"/>
  <c r="D229" i="9"/>
  <c r="C229" i="9"/>
  <c r="B229" i="9"/>
  <c r="D228" i="9"/>
  <c r="B228" i="9"/>
  <c r="B227" i="9"/>
  <c r="B226" i="9"/>
  <c r="C226" i="9" s="1"/>
  <c r="B225" i="9"/>
  <c r="D225" i="9" s="1"/>
  <c r="C224" i="9"/>
  <c r="B224" i="9"/>
  <c r="C225" i="9" s="1"/>
  <c r="B223" i="9"/>
  <c r="B222" i="9"/>
  <c r="D221" i="9"/>
  <c r="C221" i="9"/>
  <c r="B221" i="9"/>
  <c r="D220" i="9"/>
  <c r="B220" i="9"/>
  <c r="C219" i="9"/>
  <c r="B219" i="9"/>
  <c r="B218" i="9"/>
  <c r="C218" i="9" s="1"/>
  <c r="B217" i="9"/>
  <c r="D217" i="9" s="1"/>
  <c r="C216" i="9"/>
  <c r="B216" i="9"/>
  <c r="C217" i="9" s="1"/>
  <c r="C215" i="9"/>
  <c r="B215" i="9"/>
  <c r="B214" i="9"/>
  <c r="D226" i="9" s="1"/>
  <c r="D213" i="9"/>
  <c r="C213" i="9"/>
  <c r="B213" i="9"/>
  <c r="D212" i="9"/>
  <c r="B212" i="9"/>
  <c r="C211" i="9"/>
  <c r="B211" i="9"/>
  <c r="B210" i="9"/>
  <c r="C210" i="9" s="1"/>
  <c r="B209" i="9"/>
  <c r="D209" i="9" s="1"/>
  <c r="C208" i="9"/>
  <c r="B208" i="9"/>
  <c r="C209" i="9" s="1"/>
  <c r="B207" i="9"/>
  <c r="B206" i="9"/>
  <c r="D218" i="9" s="1"/>
  <c r="D205" i="9"/>
  <c r="C205" i="9"/>
  <c r="B205" i="9"/>
  <c r="D204" i="9"/>
  <c r="B204" i="9"/>
  <c r="B203" i="9"/>
  <c r="D202" i="9"/>
  <c r="B202" i="9"/>
  <c r="C202" i="9" s="1"/>
  <c r="B201" i="9"/>
  <c r="D201" i="9" s="1"/>
  <c r="C200" i="9"/>
  <c r="B200" i="9"/>
  <c r="C201" i="9" s="1"/>
  <c r="B199" i="9"/>
  <c r="B198" i="9"/>
  <c r="D210" i="9" s="1"/>
  <c r="D197" i="9"/>
  <c r="C197" i="9"/>
  <c r="B197" i="9"/>
  <c r="D196" i="9"/>
  <c r="B196" i="9"/>
  <c r="B195" i="9"/>
  <c r="D194" i="9"/>
  <c r="B194" i="9"/>
  <c r="C194" i="9" s="1"/>
  <c r="B193" i="9"/>
  <c r="D193" i="9" s="1"/>
  <c r="C192" i="9"/>
  <c r="B192" i="9"/>
  <c r="C193" i="9" s="1"/>
  <c r="B191" i="9"/>
  <c r="B190" i="9"/>
  <c r="D189" i="9"/>
  <c r="C189" i="9"/>
  <c r="B189" i="9"/>
  <c r="D188" i="9"/>
  <c r="B188" i="9"/>
  <c r="B187" i="9"/>
  <c r="D186" i="9"/>
  <c r="B186" i="9"/>
  <c r="C186" i="9" s="1"/>
  <c r="B185" i="9"/>
  <c r="D185" i="9" s="1"/>
  <c r="C184" i="9"/>
  <c r="B184" i="9"/>
  <c r="C185" i="9" s="1"/>
  <c r="C183" i="9"/>
  <c r="B183" i="9"/>
  <c r="B182" i="9"/>
  <c r="D181" i="9"/>
  <c r="C181" i="9"/>
  <c r="B181" i="9"/>
  <c r="D180" i="9"/>
  <c r="B180" i="9"/>
  <c r="C179" i="9"/>
  <c r="B179" i="9"/>
  <c r="B178" i="9"/>
  <c r="C178" i="9" s="1"/>
  <c r="B177" i="9"/>
  <c r="D177" i="9" s="1"/>
  <c r="C176" i="9"/>
  <c r="B176" i="9"/>
  <c r="C177" i="9" s="1"/>
  <c r="C175" i="9"/>
  <c r="B175" i="9"/>
  <c r="B174" i="9"/>
  <c r="D173" i="9"/>
  <c r="C173" i="9"/>
  <c r="B173" i="9"/>
  <c r="D172" i="9"/>
  <c r="B172" i="9"/>
  <c r="C171" i="9"/>
  <c r="B171" i="9"/>
  <c r="B170" i="9"/>
  <c r="C170" i="9" s="1"/>
  <c r="B169" i="9"/>
  <c r="D169" i="9" s="1"/>
  <c r="C168" i="9"/>
  <c r="B168" i="9"/>
  <c r="C169" i="9" s="1"/>
  <c r="C167" i="9"/>
  <c r="B167" i="9"/>
  <c r="B166" i="9"/>
  <c r="D165" i="9"/>
  <c r="C165" i="9"/>
  <c r="B165" i="9"/>
  <c r="D164" i="9"/>
  <c r="B164" i="9"/>
  <c r="B163" i="9"/>
  <c r="B162" i="9"/>
  <c r="C162" i="9" s="1"/>
  <c r="B161" i="9"/>
  <c r="D161" i="9" s="1"/>
  <c r="C160" i="9"/>
  <c r="B160" i="9"/>
  <c r="C161" i="9" s="1"/>
  <c r="B159" i="9"/>
  <c r="B158" i="9"/>
  <c r="D157" i="9"/>
  <c r="C157" i="9"/>
  <c r="B157" i="9"/>
  <c r="D156" i="9"/>
  <c r="B156" i="9"/>
  <c r="C155" i="9"/>
  <c r="B155" i="9"/>
  <c r="B154" i="9"/>
  <c r="C154" i="9" s="1"/>
  <c r="B153" i="9"/>
  <c r="D153" i="9" s="1"/>
  <c r="C152" i="9"/>
  <c r="B152" i="9"/>
  <c r="C153" i="9" s="1"/>
  <c r="C151" i="9"/>
  <c r="B151" i="9"/>
  <c r="B150" i="9"/>
  <c r="D162" i="9" s="1"/>
  <c r="D149" i="9"/>
  <c r="C149" i="9"/>
  <c r="B149" i="9"/>
  <c r="D148" i="9"/>
  <c r="B148" i="9"/>
  <c r="C147" i="9"/>
  <c r="B147" i="9"/>
  <c r="B146" i="9"/>
  <c r="C146" i="9" s="1"/>
  <c r="B145" i="9"/>
  <c r="D145" i="9" s="1"/>
  <c r="C144" i="9"/>
  <c r="B144" i="9"/>
  <c r="C145" i="9" s="1"/>
  <c r="B143" i="9"/>
  <c r="B142" i="9"/>
  <c r="D154" i="9" s="1"/>
  <c r="D141" i="9"/>
  <c r="C141" i="9"/>
  <c r="B141" i="9"/>
  <c r="D140" i="9"/>
  <c r="B140" i="9"/>
  <c r="B139" i="9"/>
  <c r="D138" i="9"/>
  <c r="B138" i="9"/>
  <c r="C138" i="9" s="1"/>
  <c r="B137" i="9"/>
  <c r="D137" i="9" s="1"/>
  <c r="C136" i="9"/>
  <c r="B136" i="9"/>
  <c r="C137" i="9" s="1"/>
  <c r="B135" i="9"/>
  <c r="B134" i="9"/>
  <c r="D146" i="9" s="1"/>
  <c r="D133" i="9"/>
  <c r="C133" i="9"/>
  <c r="B133" i="9"/>
  <c r="D132" i="9"/>
  <c r="B132" i="9"/>
  <c r="B131" i="9"/>
  <c r="D130" i="9"/>
  <c r="B130" i="9"/>
  <c r="C130" i="9" s="1"/>
  <c r="B129" i="9"/>
  <c r="D129" i="9" s="1"/>
  <c r="C128" i="9"/>
  <c r="B128" i="9"/>
  <c r="C129" i="9" s="1"/>
  <c r="B127" i="9"/>
  <c r="B126" i="9"/>
  <c r="D125" i="9"/>
  <c r="C125" i="9"/>
  <c r="B125" i="9"/>
  <c r="D124" i="9"/>
  <c r="B124" i="9"/>
  <c r="B123" i="9"/>
  <c r="B122" i="9"/>
  <c r="C122" i="9" s="1"/>
  <c r="B121" i="9"/>
  <c r="D121" i="9" s="1"/>
  <c r="C120" i="9"/>
  <c r="B120" i="9"/>
  <c r="C121" i="9" s="1"/>
  <c r="C119" i="9"/>
  <c r="B119" i="9"/>
  <c r="B118" i="9"/>
  <c r="D117" i="9"/>
  <c r="C117" i="9"/>
  <c r="B117" i="9"/>
  <c r="D116" i="9"/>
  <c r="B116" i="9"/>
  <c r="C115" i="9"/>
  <c r="B115" i="9"/>
  <c r="B114" i="9"/>
  <c r="C114" i="9" s="1"/>
  <c r="B113" i="9"/>
  <c r="D113" i="9" s="1"/>
  <c r="C112" i="9"/>
  <c r="B112" i="9"/>
  <c r="C113" i="9" s="1"/>
  <c r="C111" i="9"/>
  <c r="B111" i="9"/>
  <c r="B110" i="9"/>
  <c r="D109" i="9"/>
  <c r="C109" i="9"/>
  <c r="B109" i="9"/>
  <c r="D108" i="9"/>
  <c r="B108" i="9"/>
  <c r="C107" i="9"/>
  <c r="B107" i="9"/>
  <c r="B106" i="9"/>
  <c r="C106" i="9" s="1"/>
  <c r="B105" i="9"/>
  <c r="D105" i="9" s="1"/>
  <c r="C104" i="9"/>
  <c r="B104" i="9"/>
  <c r="C105" i="9" s="1"/>
  <c r="C103" i="9"/>
  <c r="B103" i="9"/>
  <c r="B102" i="9"/>
  <c r="D101" i="9"/>
  <c r="C101" i="9"/>
  <c r="B101" i="9"/>
  <c r="D100" i="9"/>
  <c r="B100" i="9"/>
  <c r="B99" i="9"/>
  <c r="B98" i="9"/>
  <c r="C98" i="9" s="1"/>
  <c r="B97" i="9"/>
  <c r="D97" i="9" s="1"/>
  <c r="C96" i="9"/>
  <c r="B96" i="9"/>
  <c r="C97" i="9" s="1"/>
  <c r="B95" i="9"/>
  <c r="B94" i="9"/>
  <c r="D93" i="9"/>
  <c r="C93" i="9"/>
  <c r="B93" i="9"/>
  <c r="D92" i="9"/>
  <c r="B92" i="9"/>
  <c r="C91" i="9"/>
  <c r="B91" i="9"/>
  <c r="B90" i="9"/>
  <c r="C90" i="9" s="1"/>
  <c r="B89" i="9"/>
  <c r="D89" i="9" s="1"/>
  <c r="C88" i="9"/>
  <c r="B88" i="9"/>
  <c r="C89" i="9" s="1"/>
  <c r="C87" i="9"/>
  <c r="B87" i="9"/>
  <c r="B86" i="9"/>
  <c r="D98" i="9" s="1"/>
  <c r="D85" i="9"/>
  <c r="C85" i="9"/>
  <c r="B85" i="9"/>
  <c r="D84" i="9"/>
  <c r="B84" i="9"/>
  <c r="C83" i="9"/>
  <c r="B83" i="9"/>
  <c r="B82" i="9"/>
  <c r="C82" i="9" s="1"/>
  <c r="B81" i="9"/>
  <c r="D81" i="9" s="1"/>
  <c r="C80" i="9"/>
  <c r="B80" i="9"/>
  <c r="C81" i="9" s="1"/>
  <c r="B79" i="9"/>
  <c r="B78" i="9"/>
  <c r="D90" i="9" s="1"/>
  <c r="D77" i="9"/>
  <c r="C77" i="9"/>
  <c r="B77" i="9"/>
  <c r="D76" i="9"/>
  <c r="B76" i="9"/>
  <c r="B75" i="9"/>
  <c r="D74" i="9"/>
  <c r="B74" i="9"/>
  <c r="C74" i="9" s="1"/>
  <c r="B73" i="9"/>
  <c r="D73" i="9" s="1"/>
  <c r="C72" i="9"/>
  <c r="B72" i="9"/>
  <c r="C73" i="9" s="1"/>
  <c r="B71" i="9"/>
  <c r="B70" i="9"/>
  <c r="D69" i="9"/>
  <c r="C69" i="9"/>
  <c r="B69" i="9"/>
  <c r="D68" i="9"/>
  <c r="B68" i="9"/>
  <c r="B67" i="9"/>
  <c r="D66" i="9"/>
  <c r="B66" i="9"/>
  <c r="C66" i="9" s="1"/>
  <c r="B65" i="9"/>
  <c r="D65" i="9" s="1"/>
  <c r="C64" i="9"/>
  <c r="B64" i="9"/>
  <c r="C65" i="9" s="1"/>
  <c r="B63" i="9"/>
  <c r="B62" i="9"/>
  <c r="D61" i="9"/>
  <c r="C61" i="9"/>
  <c r="B61" i="9"/>
  <c r="D60" i="9"/>
  <c r="B60" i="9"/>
  <c r="B59" i="9"/>
  <c r="B58" i="9"/>
  <c r="C58" i="9" s="1"/>
  <c r="B57" i="9"/>
  <c r="D57" i="9" s="1"/>
  <c r="C56" i="9"/>
  <c r="B56" i="9"/>
  <c r="C57" i="9" s="1"/>
  <c r="C55" i="9"/>
  <c r="B55" i="9"/>
  <c r="B54" i="9"/>
  <c r="D53" i="9"/>
  <c r="C53" i="9"/>
  <c r="B53" i="9"/>
  <c r="D52" i="9"/>
  <c r="B52" i="9"/>
  <c r="C51" i="9"/>
  <c r="B51" i="9"/>
  <c r="B50" i="9"/>
  <c r="C50" i="9" s="1"/>
  <c r="B49" i="9"/>
  <c r="D49" i="9" s="1"/>
  <c r="C48" i="9"/>
  <c r="B48" i="9"/>
  <c r="C49" i="9" s="1"/>
  <c r="C47" i="9"/>
  <c r="B47" i="9"/>
  <c r="B46" i="9"/>
  <c r="D45" i="9"/>
  <c r="C45" i="9"/>
  <c r="B45" i="9"/>
  <c r="D44" i="9"/>
  <c r="B44" i="9"/>
  <c r="C43" i="9"/>
  <c r="B43" i="9"/>
  <c r="B42" i="9"/>
  <c r="C42" i="9" s="1"/>
  <c r="B41" i="9"/>
  <c r="D41" i="9" s="1"/>
  <c r="C40" i="9"/>
  <c r="B40" i="9"/>
  <c r="C41" i="9" s="1"/>
  <c r="C39" i="9"/>
  <c r="B39" i="9"/>
  <c r="B38" i="9"/>
  <c r="D37" i="9"/>
  <c r="C37" i="9"/>
  <c r="B37" i="9"/>
  <c r="D36" i="9"/>
  <c r="B36" i="9"/>
  <c r="B35" i="9"/>
  <c r="B34" i="9"/>
  <c r="C34" i="9" s="1"/>
  <c r="B33" i="9"/>
  <c r="D33" i="9" s="1"/>
  <c r="C32" i="9"/>
  <c r="B32" i="9"/>
  <c r="C33" i="9" s="1"/>
  <c r="B31" i="9"/>
  <c r="B30" i="9"/>
  <c r="D29" i="9"/>
  <c r="C29" i="9"/>
  <c r="B29" i="9"/>
  <c r="D28" i="9"/>
  <c r="B28" i="9"/>
  <c r="C27" i="9"/>
  <c r="B27" i="9"/>
  <c r="D26" i="9"/>
  <c r="B26" i="9"/>
  <c r="C26" i="9" s="1"/>
  <c r="B25" i="9"/>
  <c r="D25" i="9" s="1"/>
  <c r="C24" i="9"/>
  <c r="B24" i="9"/>
  <c r="C25" i="9" s="1"/>
  <c r="C23" i="9"/>
  <c r="B23" i="9"/>
  <c r="B22" i="9"/>
  <c r="D34" i="9" s="1"/>
  <c r="D21" i="9"/>
  <c r="C21" i="9"/>
  <c r="B21" i="9"/>
  <c r="D20" i="9"/>
  <c r="B20" i="9"/>
  <c r="C19" i="9"/>
  <c r="B19" i="9"/>
  <c r="C18" i="9"/>
  <c r="B18" i="9"/>
  <c r="C17" i="9"/>
  <c r="B17" i="9"/>
  <c r="B16" i="9"/>
  <c r="B15" i="9"/>
  <c r="C14" i="9"/>
  <c r="B14" i="9"/>
  <c r="C13" i="9"/>
  <c r="B13" i="9"/>
  <c r="B12" i="9"/>
  <c r="C11" i="9"/>
  <c r="B11" i="9"/>
  <c r="C10" i="9"/>
  <c r="B10" i="9"/>
  <c r="C9" i="9"/>
  <c r="B9" i="9"/>
  <c r="B8" i="9"/>
  <c r="B7" i="9"/>
  <c r="C8" i="9" s="1"/>
  <c r="D366" i="8"/>
  <c r="C366" i="8"/>
  <c r="B366" i="8"/>
  <c r="D365" i="8"/>
  <c r="B365" i="8"/>
  <c r="C365" i="8" s="1"/>
  <c r="C364" i="8"/>
  <c r="B364" i="8"/>
  <c r="D364" i="8" s="1"/>
  <c r="B363" i="8"/>
  <c r="B362" i="8"/>
  <c r="D362" i="8" s="1"/>
  <c r="B361" i="8"/>
  <c r="C362" i="8" s="1"/>
  <c r="C360" i="8"/>
  <c r="B360" i="8"/>
  <c r="B359" i="8"/>
  <c r="D358" i="8"/>
  <c r="C358" i="8"/>
  <c r="B358" i="8"/>
  <c r="D357" i="8"/>
  <c r="B357" i="8"/>
  <c r="C357" i="8" s="1"/>
  <c r="B356" i="8"/>
  <c r="D356" i="8" s="1"/>
  <c r="B355" i="8"/>
  <c r="B354" i="8"/>
  <c r="D354" i="8" s="1"/>
  <c r="B353" i="8"/>
  <c r="C354" i="8" s="1"/>
  <c r="C352" i="8"/>
  <c r="B352" i="8"/>
  <c r="B351" i="8"/>
  <c r="D350" i="8"/>
  <c r="C350" i="8"/>
  <c r="B350" i="8"/>
  <c r="B349" i="8"/>
  <c r="C349" i="8" s="1"/>
  <c r="C348" i="8"/>
  <c r="B348" i="8"/>
  <c r="B347" i="8"/>
  <c r="B346" i="8"/>
  <c r="D345" i="8"/>
  <c r="B345" i="8"/>
  <c r="C346" i="8" s="1"/>
  <c r="C344" i="8"/>
  <c r="B344" i="8"/>
  <c r="B343" i="8"/>
  <c r="D342" i="8"/>
  <c r="C342" i="8"/>
  <c r="B342" i="8"/>
  <c r="D341" i="8"/>
  <c r="B341" i="8"/>
  <c r="C341" i="8" s="1"/>
  <c r="C340" i="8"/>
  <c r="B340" i="8"/>
  <c r="C339" i="8"/>
  <c r="B339" i="8"/>
  <c r="D339" i="8" s="1"/>
  <c r="B338" i="8"/>
  <c r="D338" i="8" s="1"/>
  <c r="D337" i="8"/>
  <c r="B337" i="8"/>
  <c r="C338" i="8" s="1"/>
  <c r="B336" i="8"/>
  <c r="B335" i="8"/>
  <c r="C336" i="8" s="1"/>
  <c r="B334" i="8"/>
  <c r="D334" i="8" s="1"/>
  <c r="D333" i="8"/>
  <c r="B333" i="8"/>
  <c r="B332" i="8"/>
  <c r="B331" i="8"/>
  <c r="D331" i="8" s="1"/>
  <c r="B330" i="8"/>
  <c r="D330" i="8" s="1"/>
  <c r="D329" i="8"/>
  <c r="C329" i="8"/>
  <c r="B329" i="8"/>
  <c r="C330" i="8" s="1"/>
  <c r="B328" i="8"/>
  <c r="B327" i="8"/>
  <c r="D326" i="8"/>
  <c r="C326" i="8"/>
  <c r="B326" i="8"/>
  <c r="B325" i="8"/>
  <c r="C325" i="8" s="1"/>
  <c r="B324" i="8"/>
  <c r="B323" i="8"/>
  <c r="D323" i="8" s="1"/>
  <c r="B322" i="8"/>
  <c r="C321" i="8"/>
  <c r="B321" i="8"/>
  <c r="C322" i="8" s="1"/>
  <c r="D320" i="8"/>
  <c r="C320" i="8"/>
  <c r="B320" i="8"/>
  <c r="B319" i="8"/>
  <c r="B318" i="8"/>
  <c r="B317" i="8"/>
  <c r="C317" i="8" s="1"/>
  <c r="B316" i="8"/>
  <c r="D316" i="8" s="1"/>
  <c r="C315" i="8"/>
  <c r="B315" i="8"/>
  <c r="B314" i="8"/>
  <c r="D314" i="8" s="1"/>
  <c r="B313" i="8"/>
  <c r="C312" i="8"/>
  <c r="B312" i="8"/>
  <c r="B311" i="8"/>
  <c r="B310" i="8"/>
  <c r="C310" i="8" s="1"/>
  <c r="D309" i="8"/>
  <c r="B309" i="8"/>
  <c r="C309" i="8" s="1"/>
  <c r="C308" i="8"/>
  <c r="B308" i="8"/>
  <c r="D308" i="8" s="1"/>
  <c r="C307" i="8"/>
  <c r="B307" i="8"/>
  <c r="B306" i="8"/>
  <c r="D306" i="8" s="1"/>
  <c r="B305" i="8"/>
  <c r="B304" i="8"/>
  <c r="B303" i="8"/>
  <c r="D315" i="8" s="1"/>
  <c r="D302" i="8"/>
  <c r="C302" i="8"/>
  <c r="B302" i="8"/>
  <c r="B301" i="8"/>
  <c r="B300" i="8"/>
  <c r="B299" i="8"/>
  <c r="D299" i="8" s="1"/>
  <c r="B298" i="8"/>
  <c r="D298" i="8" s="1"/>
  <c r="C297" i="8"/>
  <c r="B297" i="8"/>
  <c r="C298" i="8" s="1"/>
  <c r="D296" i="8"/>
  <c r="B296" i="8"/>
  <c r="B295" i="8"/>
  <c r="D294" i="8"/>
  <c r="C294" i="8"/>
  <c r="B294" i="8"/>
  <c r="B293" i="8"/>
  <c r="C292" i="8"/>
  <c r="B292" i="8"/>
  <c r="D291" i="8"/>
  <c r="C291" i="8"/>
  <c r="B291" i="8"/>
  <c r="B290" i="8"/>
  <c r="B289" i="8"/>
  <c r="D288" i="8"/>
  <c r="C288" i="8"/>
  <c r="B288" i="8"/>
  <c r="B287" i="8"/>
  <c r="B286" i="8"/>
  <c r="D286" i="8" s="1"/>
  <c r="D285" i="8"/>
  <c r="B285" i="8"/>
  <c r="C285" i="8" s="1"/>
  <c r="C284" i="8"/>
  <c r="B284" i="8"/>
  <c r="D284" i="8" s="1"/>
  <c r="C283" i="8"/>
  <c r="B283" i="8"/>
  <c r="D283" i="8" s="1"/>
  <c r="C282" i="8"/>
  <c r="B282" i="8"/>
  <c r="D281" i="8"/>
  <c r="C281" i="8"/>
  <c r="B281" i="8"/>
  <c r="D293" i="8" s="1"/>
  <c r="C280" i="8"/>
  <c r="B280" i="8"/>
  <c r="B279" i="8"/>
  <c r="C279" i="8" s="1"/>
  <c r="D278" i="8"/>
  <c r="C278" i="8"/>
  <c r="B278" i="8"/>
  <c r="B277" i="8"/>
  <c r="C276" i="8"/>
  <c r="B276" i="8"/>
  <c r="D276" i="8" s="1"/>
  <c r="B275" i="8"/>
  <c r="D287" i="8" s="1"/>
  <c r="B274" i="8"/>
  <c r="B273" i="8"/>
  <c r="C274" i="8" s="1"/>
  <c r="D272" i="8"/>
  <c r="C272" i="8"/>
  <c r="B272" i="8"/>
  <c r="B271" i="8"/>
  <c r="D270" i="8"/>
  <c r="B270" i="8"/>
  <c r="C270" i="8" s="1"/>
  <c r="D269" i="8"/>
  <c r="B269" i="8"/>
  <c r="C269" i="8" s="1"/>
  <c r="B268" i="8"/>
  <c r="D268" i="8" s="1"/>
  <c r="B267" i="8"/>
  <c r="C266" i="8"/>
  <c r="B266" i="8"/>
  <c r="D266" i="8" s="1"/>
  <c r="D265" i="8"/>
  <c r="C265" i="8"/>
  <c r="B265" i="8"/>
  <c r="B264" i="8"/>
  <c r="D263" i="8"/>
  <c r="B263" i="8"/>
  <c r="C263" i="8" s="1"/>
  <c r="D262" i="8"/>
  <c r="C262" i="8"/>
  <c r="B262" i="8"/>
  <c r="B261" i="8"/>
  <c r="B260" i="8"/>
  <c r="D260" i="8" s="1"/>
  <c r="D259" i="8"/>
  <c r="B259" i="8"/>
  <c r="D271" i="8" s="1"/>
  <c r="B258" i="8"/>
  <c r="B257" i="8"/>
  <c r="C258" i="8" s="1"/>
  <c r="C256" i="8"/>
  <c r="B256" i="8"/>
  <c r="B255" i="8"/>
  <c r="D254" i="8"/>
  <c r="C254" i="8"/>
  <c r="B254" i="8"/>
  <c r="B253" i="8"/>
  <c r="C253" i="8" s="1"/>
  <c r="C252" i="8"/>
  <c r="B252" i="8"/>
  <c r="D252" i="8" s="1"/>
  <c r="B251" i="8"/>
  <c r="D251" i="8" s="1"/>
  <c r="C250" i="8"/>
  <c r="B250" i="8"/>
  <c r="C249" i="8"/>
  <c r="B249" i="8"/>
  <c r="C248" i="8"/>
  <c r="B248" i="8"/>
  <c r="B247" i="8"/>
  <c r="C247" i="8" s="1"/>
  <c r="B246" i="8"/>
  <c r="D246" i="8" s="1"/>
  <c r="B245" i="8"/>
  <c r="B244" i="8"/>
  <c r="D244" i="8" s="1"/>
  <c r="D243" i="8"/>
  <c r="C243" i="8"/>
  <c r="B243" i="8"/>
  <c r="D255" i="8" s="1"/>
  <c r="B242" i="8"/>
  <c r="D241" i="8"/>
  <c r="B241" i="8"/>
  <c r="C242" i="8" s="1"/>
  <c r="D240" i="8"/>
  <c r="C240" i="8"/>
  <c r="B240" i="8"/>
  <c r="B239" i="8"/>
  <c r="D238" i="8"/>
  <c r="B238" i="8"/>
  <c r="C238" i="8" s="1"/>
  <c r="D237" i="8"/>
  <c r="B237" i="8"/>
  <c r="C237" i="8" s="1"/>
  <c r="B236" i="8"/>
  <c r="B235" i="8"/>
  <c r="C234" i="8"/>
  <c r="B234" i="8"/>
  <c r="D234" i="8" s="1"/>
  <c r="D233" i="8"/>
  <c r="C233" i="8"/>
  <c r="B233" i="8"/>
  <c r="B232" i="8"/>
  <c r="D231" i="8"/>
  <c r="B231" i="8"/>
  <c r="C231" i="8" s="1"/>
  <c r="D230" i="8"/>
  <c r="C230" i="8"/>
  <c r="B230" i="8"/>
  <c r="B229" i="8"/>
  <c r="B228" i="8"/>
  <c r="D228" i="8" s="1"/>
  <c r="D227" i="8"/>
  <c r="B227" i="8"/>
  <c r="D239" i="8" s="1"/>
  <c r="C226" i="8"/>
  <c r="B226" i="8"/>
  <c r="B225" i="8"/>
  <c r="D225" i="8" s="1"/>
  <c r="D224" i="8"/>
  <c r="C224" i="8"/>
  <c r="B224" i="8"/>
  <c r="D223" i="8"/>
  <c r="B223" i="8"/>
  <c r="B222" i="8"/>
  <c r="D222" i="8" s="1"/>
  <c r="D221" i="8"/>
  <c r="B221" i="8"/>
  <c r="C220" i="8"/>
  <c r="B220" i="8"/>
  <c r="C219" i="8"/>
  <c r="B219" i="8"/>
  <c r="D219" i="8" s="1"/>
  <c r="B218" i="8"/>
  <c r="D217" i="8"/>
  <c r="B217" i="8"/>
  <c r="C218" i="8" s="1"/>
  <c r="C216" i="8"/>
  <c r="B216" i="8"/>
  <c r="B215" i="8"/>
  <c r="C214" i="8"/>
  <c r="B214" i="8"/>
  <c r="D214" i="8" s="1"/>
  <c r="B213" i="8"/>
  <c r="C212" i="8"/>
  <c r="B212" i="8"/>
  <c r="D212" i="8" s="1"/>
  <c r="B211" i="8"/>
  <c r="D211" i="8" s="1"/>
  <c r="C210" i="8"/>
  <c r="B210" i="8"/>
  <c r="D209" i="8"/>
  <c r="C209" i="8"/>
  <c r="B209" i="8"/>
  <c r="C208" i="8"/>
  <c r="B208" i="8"/>
  <c r="D207" i="8"/>
  <c r="B207" i="8"/>
  <c r="D206" i="8"/>
  <c r="C206" i="8"/>
  <c r="B206" i="8"/>
  <c r="B205" i="8"/>
  <c r="B204" i="8"/>
  <c r="B203" i="8"/>
  <c r="D203" i="8" s="1"/>
  <c r="C202" i="8"/>
  <c r="B202" i="8"/>
  <c r="B201" i="8"/>
  <c r="D201" i="8" s="1"/>
  <c r="C200" i="8"/>
  <c r="B200" i="8"/>
  <c r="D199" i="8"/>
  <c r="B199" i="8"/>
  <c r="C199" i="8" s="1"/>
  <c r="D198" i="8"/>
  <c r="B198" i="8"/>
  <c r="C198" i="8" s="1"/>
  <c r="B197" i="8"/>
  <c r="C196" i="8"/>
  <c r="B196" i="8"/>
  <c r="D196" i="8" s="1"/>
  <c r="C195" i="8"/>
  <c r="B195" i="8"/>
  <c r="B194" i="8"/>
  <c r="C193" i="8"/>
  <c r="B193" i="8"/>
  <c r="C194" i="8" s="1"/>
  <c r="D192" i="8"/>
  <c r="C192" i="8"/>
  <c r="B192" i="8"/>
  <c r="B191" i="8"/>
  <c r="C190" i="8"/>
  <c r="B190" i="8"/>
  <c r="D190" i="8" s="1"/>
  <c r="D189" i="8"/>
  <c r="B189" i="8"/>
  <c r="C189" i="8" s="1"/>
  <c r="C188" i="8"/>
  <c r="B188" i="8"/>
  <c r="B187" i="8"/>
  <c r="D187" i="8" s="1"/>
  <c r="C186" i="8"/>
  <c r="B186" i="8"/>
  <c r="D186" i="8" s="1"/>
  <c r="C185" i="8"/>
  <c r="B185" i="8"/>
  <c r="B184" i="8"/>
  <c r="B183" i="8"/>
  <c r="C182" i="8"/>
  <c r="B182" i="8"/>
  <c r="D182" i="8" s="1"/>
  <c r="B181" i="8"/>
  <c r="B180" i="8"/>
  <c r="D180" i="8" s="1"/>
  <c r="C179" i="8"/>
  <c r="B179" i="8"/>
  <c r="D191" i="8" s="1"/>
  <c r="C178" i="8"/>
  <c r="B178" i="8"/>
  <c r="B177" i="8"/>
  <c r="C177" i="8" s="1"/>
  <c r="C176" i="8"/>
  <c r="B176" i="8"/>
  <c r="D175" i="8"/>
  <c r="B175" i="8"/>
  <c r="D174" i="8"/>
  <c r="B174" i="8"/>
  <c r="B173" i="8"/>
  <c r="B172" i="8"/>
  <c r="C171" i="8"/>
  <c r="B171" i="8"/>
  <c r="D171" i="8" s="1"/>
  <c r="B170" i="8"/>
  <c r="C169" i="8"/>
  <c r="B169" i="8"/>
  <c r="C170" i="8" s="1"/>
  <c r="C168" i="8"/>
  <c r="B168" i="8"/>
  <c r="B167" i="8"/>
  <c r="B166" i="8"/>
  <c r="B165" i="8"/>
  <c r="D177" i="8" s="1"/>
  <c r="C164" i="8"/>
  <c r="B164" i="8"/>
  <c r="D164" i="8" s="1"/>
  <c r="B163" i="8"/>
  <c r="C163" i="8" s="1"/>
  <c r="B162" i="8"/>
  <c r="C161" i="8"/>
  <c r="B161" i="8"/>
  <c r="C160" i="8"/>
  <c r="B160" i="8"/>
  <c r="B159" i="8"/>
  <c r="C158" i="8"/>
  <c r="B158" i="8"/>
  <c r="D158" i="8" s="1"/>
  <c r="B157" i="8"/>
  <c r="B156" i="8"/>
  <c r="C155" i="8"/>
  <c r="B155" i="8"/>
  <c r="D155" i="8" s="1"/>
  <c r="C154" i="8"/>
  <c r="B154" i="8"/>
  <c r="B153" i="8"/>
  <c r="C153" i="8" s="1"/>
  <c r="B152" i="8"/>
  <c r="B151" i="8"/>
  <c r="D150" i="8"/>
  <c r="C150" i="8"/>
  <c r="B150" i="8"/>
  <c r="B149" i="8"/>
  <c r="B148" i="8"/>
  <c r="B147" i="8"/>
  <c r="D159" i="8" s="1"/>
  <c r="B146" i="8"/>
  <c r="B145" i="8"/>
  <c r="D144" i="8"/>
  <c r="C144" i="8"/>
  <c r="B144" i="8"/>
  <c r="B143" i="8"/>
  <c r="B142" i="8"/>
  <c r="D141" i="8"/>
  <c r="B141" i="8"/>
  <c r="C140" i="8"/>
  <c r="B140" i="8"/>
  <c r="B139" i="8"/>
  <c r="D139" i="8" s="1"/>
  <c r="B138" i="8"/>
  <c r="D138" i="8" s="1"/>
  <c r="B137" i="8"/>
  <c r="C138" i="8" s="1"/>
  <c r="C136" i="8"/>
  <c r="B136" i="8"/>
  <c r="B135" i="8"/>
  <c r="C134" i="8"/>
  <c r="B134" i="8"/>
  <c r="D134" i="8" s="1"/>
  <c r="B133" i="8"/>
  <c r="B132" i="8"/>
  <c r="D132" i="8" s="1"/>
  <c r="B131" i="8"/>
  <c r="C130" i="8"/>
  <c r="B130" i="8"/>
  <c r="C129" i="8"/>
  <c r="B129" i="8"/>
  <c r="C128" i="8"/>
  <c r="B128" i="8"/>
  <c r="D127" i="8"/>
  <c r="B127" i="8"/>
  <c r="D126" i="8"/>
  <c r="C126" i="8"/>
  <c r="B126" i="8"/>
  <c r="B125" i="8"/>
  <c r="B124" i="8"/>
  <c r="C123" i="8"/>
  <c r="B123" i="8"/>
  <c r="D123" i="8" s="1"/>
  <c r="B122" i="8"/>
  <c r="B121" i="8"/>
  <c r="C120" i="8"/>
  <c r="B120" i="8"/>
  <c r="B119" i="8"/>
  <c r="C119" i="8" s="1"/>
  <c r="B118" i="8"/>
  <c r="D118" i="8" s="1"/>
  <c r="B117" i="8"/>
  <c r="B116" i="8"/>
  <c r="C115" i="8"/>
  <c r="B115" i="8"/>
  <c r="B114" i="8"/>
  <c r="D113" i="8"/>
  <c r="C113" i="8"/>
  <c r="B113" i="8"/>
  <c r="C114" i="8" s="1"/>
  <c r="D112" i="8"/>
  <c r="C112" i="8"/>
  <c r="B112" i="8"/>
  <c r="B111" i="8"/>
  <c r="D110" i="8"/>
  <c r="C110" i="8"/>
  <c r="B110" i="8"/>
  <c r="D109" i="8"/>
  <c r="B109" i="8"/>
  <c r="C109" i="8" s="1"/>
  <c r="B108" i="8"/>
  <c r="B107" i="8"/>
  <c r="D119" i="8" s="1"/>
  <c r="C106" i="8"/>
  <c r="B106" i="8"/>
  <c r="D106" i="8" s="1"/>
  <c r="C105" i="8"/>
  <c r="B105" i="8"/>
  <c r="B104" i="8"/>
  <c r="D103" i="8"/>
  <c r="B103" i="8"/>
  <c r="D102" i="8"/>
  <c r="C102" i="8"/>
  <c r="B102" i="8"/>
  <c r="B101" i="8"/>
  <c r="B100" i="8"/>
  <c r="D100" i="8" s="1"/>
  <c r="B99" i="8"/>
  <c r="D111" i="8" s="1"/>
  <c r="C98" i="8"/>
  <c r="B98" i="8"/>
  <c r="B97" i="8"/>
  <c r="D96" i="8"/>
  <c r="C96" i="8"/>
  <c r="B96" i="8"/>
  <c r="D95" i="8"/>
  <c r="B95" i="8"/>
  <c r="B94" i="8"/>
  <c r="D94" i="8" s="1"/>
  <c r="D93" i="8"/>
  <c r="B93" i="8"/>
  <c r="C93" i="8" s="1"/>
  <c r="C92" i="8"/>
  <c r="B92" i="8"/>
  <c r="C91" i="8"/>
  <c r="B91" i="8"/>
  <c r="D91" i="8" s="1"/>
  <c r="B90" i="8"/>
  <c r="D89" i="8"/>
  <c r="C89" i="8"/>
  <c r="B89" i="8"/>
  <c r="C90" i="8" s="1"/>
  <c r="C88" i="8"/>
  <c r="B88" i="8"/>
  <c r="B87" i="8"/>
  <c r="B86" i="8"/>
  <c r="D86" i="8" s="1"/>
  <c r="B85" i="8"/>
  <c r="C84" i="8"/>
  <c r="B84" i="8"/>
  <c r="D84" i="8" s="1"/>
  <c r="B83" i="8"/>
  <c r="C82" i="8"/>
  <c r="B82" i="8"/>
  <c r="D81" i="8"/>
  <c r="C81" i="8"/>
  <c r="B81" i="8"/>
  <c r="C80" i="8"/>
  <c r="B80" i="8"/>
  <c r="D79" i="8"/>
  <c r="B79" i="8"/>
  <c r="D78" i="8"/>
  <c r="C78" i="8"/>
  <c r="B78" i="8"/>
  <c r="B77" i="8"/>
  <c r="B76" i="8"/>
  <c r="C75" i="8"/>
  <c r="B75" i="8"/>
  <c r="D75" i="8" s="1"/>
  <c r="C74" i="8"/>
  <c r="B74" i="8"/>
  <c r="B73" i="8"/>
  <c r="D73" i="8" s="1"/>
  <c r="C72" i="8"/>
  <c r="B72" i="8"/>
  <c r="D71" i="8"/>
  <c r="B71" i="8"/>
  <c r="C71" i="8" s="1"/>
  <c r="D70" i="8"/>
  <c r="B70" i="8"/>
  <c r="C70" i="8" s="1"/>
  <c r="B69" i="8"/>
  <c r="B68" i="8"/>
  <c r="C67" i="8"/>
  <c r="B67" i="8"/>
  <c r="B66" i="8"/>
  <c r="B65" i="8"/>
  <c r="D64" i="8"/>
  <c r="C64" i="8"/>
  <c r="B64" i="8"/>
  <c r="B63" i="8"/>
  <c r="C62" i="8"/>
  <c r="B62" i="8"/>
  <c r="D62" i="8" s="1"/>
  <c r="B61" i="8"/>
  <c r="C61" i="8" s="1"/>
  <c r="C60" i="8"/>
  <c r="B60" i="8"/>
  <c r="B59" i="8"/>
  <c r="D59" i="8" s="1"/>
  <c r="C58" i="8"/>
  <c r="B58" i="8"/>
  <c r="D58" i="8" s="1"/>
  <c r="C57" i="8"/>
  <c r="B57" i="8"/>
  <c r="B56" i="8"/>
  <c r="B55" i="8"/>
  <c r="D67" i="8" s="1"/>
  <c r="D54" i="8"/>
  <c r="C54" i="8"/>
  <c r="B54" i="8"/>
  <c r="B53" i="8"/>
  <c r="B52" i="8"/>
  <c r="D52" i="8" s="1"/>
  <c r="B51" i="8"/>
  <c r="C50" i="8"/>
  <c r="B50" i="8"/>
  <c r="B49" i="8"/>
  <c r="C49" i="8" s="1"/>
  <c r="C48" i="8"/>
  <c r="B48" i="8"/>
  <c r="D47" i="8"/>
  <c r="B47" i="8"/>
  <c r="D46" i="8"/>
  <c r="B46" i="8"/>
  <c r="C46" i="8" s="1"/>
  <c r="B45" i="8"/>
  <c r="D57" i="8" s="1"/>
  <c r="C44" i="8"/>
  <c r="B44" i="8"/>
  <c r="C43" i="8"/>
  <c r="B43" i="8"/>
  <c r="D43" i="8" s="1"/>
  <c r="B42" i="8"/>
  <c r="B41" i="8"/>
  <c r="C40" i="8"/>
  <c r="B40" i="8"/>
  <c r="B39" i="8"/>
  <c r="B38" i="8"/>
  <c r="B37" i="8"/>
  <c r="B36" i="8"/>
  <c r="B35" i="8"/>
  <c r="C35" i="8" s="1"/>
  <c r="B34" i="8"/>
  <c r="D33" i="8"/>
  <c r="C33" i="8"/>
  <c r="B33" i="8"/>
  <c r="C34" i="8" s="1"/>
  <c r="C32" i="8"/>
  <c r="B32" i="8"/>
  <c r="B31" i="8"/>
  <c r="B30" i="8"/>
  <c r="D30" i="8" s="1"/>
  <c r="D29" i="8"/>
  <c r="B29" i="8"/>
  <c r="B28" i="8"/>
  <c r="B27" i="8"/>
  <c r="C26" i="8"/>
  <c r="B26" i="8"/>
  <c r="D26" i="8" s="1"/>
  <c r="B25" i="8"/>
  <c r="C25" i="8" s="1"/>
  <c r="B24" i="8"/>
  <c r="D23" i="8"/>
  <c r="B23" i="8"/>
  <c r="C22" i="8"/>
  <c r="B22" i="8"/>
  <c r="B21" i="8"/>
  <c r="B20" i="8"/>
  <c r="D19" i="8"/>
  <c r="C19" i="8"/>
  <c r="B19" i="8"/>
  <c r="D31" i="8" s="1"/>
  <c r="B18" i="8"/>
  <c r="C18" i="8" s="1"/>
  <c r="B17" i="8"/>
  <c r="B16" i="8"/>
  <c r="B15" i="8"/>
  <c r="C15" i="8" s="1"/>
  <c r="B14" i="8"/>
  <c r="C14" i="8" s="1"/>
  <c r="C13" i="8"/>
  <c r="B13" i="8"/>
  <c r="D25" i="8" s="1"/>
  <c r="B12" i="8"/>
  <c r="B11" i="8"/>
  <c r="B10" i="8"/>
  <c r="B9" i="8"/>
  <c r="C9" i="8" s="1"/>
  <c r="C8" i="8"/>
  <c r="B8" i="8"/>
  <c r="B7" i="8"/>
  <c r="B366" i="7"/>
  <c r="C365" i="7"/>
  <c r="B365" i="7"/>
  <c r="D365" i="7" s="1"/>
  <c r="D364" i="7"/>
  <c r="B364" i="7"/>
  <c r="C364" i="7" s="1"/>
  <c r="B363" i="7"/>
  <c r="B362" i="7"/>
  <c r="D362" i="7" s="1"/>
  <c r="D361" i="7"/>
  <c r="B361" i="7"/>
  <c r="B360" i="7"/>
  <c r="C361" i="7" s="1"/>
  <c r="C359" i="7"/>
  <c r="B359" i="7"/>
  <c r="D359" i="7" s="1"/>
  <c r="B358" i="7"/>
  <c r="D357" i="7"/>
  <c r="B357" i="7"/>
  <c r="B356" i="7"/>
  <c r="B355" i="7"/>
  <c r="C354" i="7"/>
  <c r="B354" i="7"/>
  <c r="D353" i="7"/>
  <c r="B353" i="7"/>
  <c r="B352" i="7"/>
  <c r="C351" i="7"/>
  <c r="B351" i="7"/>
  <c r="B350" i="7"/>
  <c r="B349" i="7"/>
  <c r="B348" i="7"/>
  <c r="D360" i="7" s="1"/>
  <c r="C347" i="7"/>
  <c r="B347" i="7"/>
  <c r="B346" i="7"/>
  <c r="C345" i="7"/>
  <c r="B345" i="7"/>
  <c r="D344" i="7"/>
  <c r="B344" i="7"/>
  <c r="B343" i="7"/>
  <c r="B342" i="7"/>
  <c r="C342" i="7" s="1"/>
  <c r="D341" i="7"/>
  <c r="B341" i="7"/>
  <c r="B340" i="7"/>
  <c r="B339" i="7"/>
  <c r="D339" i="7" s="1"/>
  <c r="C338" i="7"/>
  <c r="B338" i="7"/>
  <c r="D337" i="7"/>
  <c r="B337" i="7"/>
  <c r="B336" i="7"/>
  <c r="C337" i="7" s="1"/>
  <c r="B335" i="7"/>
  <c r="B334" i="7"/>
  <c r="D333" i="7"/>
  <c r="B333" i="7"/>
  <c r="D345" i="7" s="1"/>
  <c r="B332" i="7"/>
  <c r="C332" i="7" s="1"/>
  <c r="B331" i="7"/>
  <c r="C330" i="7"/>
  <c r="B330" i="7"/>
  <c r="D330" i="7" s="1"/>
  <c r="D329" i="7"/>
  <c r="B329" i="7"/>
  <c r="B328" i="7"/>
  <c r="C329" i="7" s="1"/>
  <c r="B327" i="7"/>
  <c r="D327" i="7" s="1"/>
  <c r="B326" i="7"/>
  <c r="D338" i="7" s="1"/>
  <c r="D325" i="7"/>
  <c r="B325" i="7"/>
  <c r="B324" i="7"/>
  <c r="B323" i="7"/>
  <c r="C322" i="7"/>
  <c r="B322" i="7"/>
  <c r="B321" i="7"/>
  <c r="C320" i="7"/>
  <c r="B320" i="7"/>
  <c r="C319" i="7"/>
  <c r="B319" i="7"/>
  <c r="B318" i="7"/>
  <c r="B317" i="7"/>
  <c r="D316" i="7"/>
  <c r="B316" i="7"/>
  <c r="D328" i="7" s="1"/>
  <c r="B315" i="7"/>
  <c r="B314" i="7"/>
  <c r="D313" i="7"/>
  <c r="C313" i="7"/>
  <c r="B313" i="7"/>
  <c r="D312" i="7"/>
  <c r="B312" i="7"/>
  <c r="B311" i="7"/>
  <c r="D310" i="7"/>
  <c r="B310" i="7"/>
  <c r="C310" i="7" s="1"/>
  <c r="D309" i="7"/>
  <c r="B309" i="7"/>
  <c r="D321" i="7" s="1"/>
  <c r="B308" i="7"/>
  <c r="B307" i="7"/>
  <c r="D307" i="7" s="1"/>
  <c r="D306" i="7"/>
  <c r="B306" i="7"/>
  <c r="C306" i="7" s="1"/>
  <c r="C305" i="7"/>
  <c r="B305" i="7"/>
  <c r="D304" i="7"/>
  <c r="C304" i="7"/>
  <c r="B304" i="7"/>
  <c r="B303" i="7"/>
  <c r="D303" i="7" s="1"/>
  <c r="B302" i="7"/>
  <c r="C302" i="7" s="1"/>
  <c r="D301" i="7"/>
  <c r="C301" i="7"/>
  <c r="B301" i="7"/>
  <c r="B300" i="7"/>
  <c r="B299" i="7"/>
  <c r="D299" i="7" s="1"/>
  <c r="D298" i="7"/>
  <c r="C298" i="7"/>
  <c r="B298" i="7"/>
  <c r="B297" i="7"/>
  <c r="D296" i="7"/>
  <c r="B296" i="7"/>
  <c r="C297" i="7" s="1"/>
  <c r="D295" i="7"/>
  <c r="C295" i="7"/>
  <c r="B295" i="7"/>
  <c r="B294" i="7"/>
  <c r="C293" i="7"/>
  <c r="B293" i="7"/>
  <c r="D305" i="7" s="1"/>
  <c r="D292" i="7"/>
  <c r="C292" i="7"/>
  <c r="B292" i="7"/>
  <c r="B291" i="7"/>
  <c r="B290" i="7"/>
  <c r="D290" i="7" s="1"/>
  <c r="D289" i="7"/>
  <c r="B289" i="7"/>
  <c r="B288" i="7"/>
  <c r="C287" i="7"/>
  <c r="B287" i="7"/>
  <c r="D286" i="7"/>
  <c r="B286" i="7"/>
  <c r="B285" i="7"/>
  <c r="D284" i="7"/>
  <c r="C284" i="7"/>
  <c r="B284" i="7"/>
  <c r="B283" i="7"/>
  <c r="B282" i="7"/>
  <c r="D281" i="7"/>
  <c r="C281" i="7"/>
  <c r="B281" i="7"/>
  <c r="D280" i="7"/>
  <c r="B280" i="7"/>
  <c r="C280" i="7" s="1"/>
  <c r="B279" i="7"/>
  <c r="B278" i="7"/>
  <c r="C278" i="7" s="1"/>
  <c r="D277" i="7"/>
  <c r="B277" i="7"/>
  <c r="B276" i="7"/>
  <c r="D276" i="7" s="1"/>
  <c r="B275" i="7"/>
  <c r="D275" i="7" s="1"/>
  <c r="D274" i="7"/>
  <c r="B274" i="7"/>
  <c r="C274" i="7" s="1"/>
  <c r="C273" i="7"/>
  <c r="B273" i="7"/>
  <c r="D272" i="7"/>
  <c r="C272" i="7"/>
  <c r="B272" i="7"/>
  <c r="B271" i="7"/>
  <c r="D271" i="7" s="1"/>
  <c r="B270" i="7"/>
  <c r="C270" i="7" s="1"/>
  <c r="D269" i="7"/>
  <c r="C269" i="7"/>
  <c r="B269" i="7"/>
  <c r="B268" i="7"/>
  <c r="D268" i="7" s="1"/>
  <c r="B267" i="7"/>
  <c r="D266" i="7"/>
  <c r="C266" i="7"/>
  <c r="B266" i="7"/>
  <c r="B265" i="7"/>
  <c r="D264" i="7"/>
  <c r="C264" i="7"/>
  <c r="B264" i="7"/>
  <c r="C265" i="7" s="1"/>
  <c r="D263" i="7"/>
  <c r="C263" i="7"/>
  <c r="B263" i="7"/>
  <c r="B262" i="7"/>
  <c r="B261" i="7"/>
  <c r="D273" i="7" s="1"/>
  <c r="D260" i="7"/>
  <c r="C260" i="7"/>
  <c r="B260" i="7"/>
  <c r="B259" i="7"/>
  <c r="C258" i="7"/>
  <c r="B258" i="7"/>
  <c r="D257" i="7"/>
  <c r="B257" i="7"/>
  <c r="B256" i="7"/>
  <c r="B255" i="7"/>
  <c r="D255" i="7" s="1"/>
  <c r="D254" i="7"/>
  <c r="B254" i="7"/>
  <c r="B253" i="7"/>
  <c r="D252" i="7"/>
  <c r="C252" i="7"/>
  <c r="B252" i="7"/>
  <c r="B251" i="7"/>
  <c r="B250" i="7"/>
  <c r="D249" i="7"/>
  <c r="C249" i="7"/>
  <c r="B249" i="7"/>
  <c r="B248" i="7"/>
  <c r="C248" i="7" s="1"/>
  <c r="B247" i="7"/>
  <c r="B246" i="7"/>
  <c r="C246" i="7" s="1"/>
  <c r="B245" i="7"/>
  <c r="B244" i="7"/>
  <c r="D244" i="7" s="1"/>
  <c r="B243" i="7"/>
  <c r="D243" i="7" s="1"/>
  <c r="B242" i="7"/>
  <c r="B241" i="7"/>
  <c r="D241" i="7" s="1"/>
  <c r="C240" i="7"/>
  <c r="B240" i="7"/>
  <c r="B239" i="7"/>
  <c r="D238" i="7"/>
  <c r="B238" i="7"/>
  <c r="C238" i="7" s="1"/>
  <c r="B237" i="7"/>
  <c r="B236" i="7"/>
  <c r="D235" i="7"/>
  <c r="B235" i="7"/>
  <c r="C235" i="7" s="1"/>
  <c r="B234" i="7"/>
  <c r="B233" i="7"/>
  <c r="C232" i="7"/>
  <c r="B232" i="7"/>
  <c r="B231" i="7"/>
  <c r="D230" i="7"/>
  <c r="B230" i="7"/>
  <c r="D242" i="7" s="1"/>
  <c r="B229" i="7"/>
  <c r="B228" i="7"/>
  <c r="D227" i="7"/>
  <c r="B227" i="7"/>
  <c r="C227" i="7" s="1"/>
  <c r="B226" i="7"/>
  <c r="B225" i="7"/>
  <c r="D225" i="7" s="1"/>
  <c r="C224" i="7"/>
  <c r="B224" i="7"/>
  <c r="B223" i="7"/>
  <c r="D222" i="7"/>
  <c r="B222" i="7"/>
  <c r="D234" i="7" s="1"/>
  <c r="B221" i="7"/>
  <c r="B220" i="7"/>
  <c r="D219" i="7"/>
  <c r="B219" i="7"/>
  <c r="C219" i="7" s="1"/>
  <c r="B218" i="7"/>
  <c r="B217" i="7"/>
  <c r="D217" i="7" s="1"/>
  <c r="C216" i="7"/>
  <c r="B216" i="7"/>
  <c r="B215" i="7"/>
  <c r="D214" i="7"/>
  <c r="B214" i="7"/>
  <c r="D226" i="7" s="1"/>
  <c r="B213" i="7"/>
  <c r="B212" i="7"/>
  <c r="D211" i="7"/>
  <c r="B211" i="7"/>
  <c r="C211" i="7" s="1"/>
  <c r="B210" i="7"/>
  <c r="B209" i="7"/>
  <c r="D209" i="7" s="1"/>
  <c r="C208" i="7"/>
  <c r="B208" i="7"/>
  <c r="B207" i="7"/>
  <c r="D206" i="7"/>
  <c r="B206" i="7"/>
  <c r="D218" i="7" s="1"/>
  <c r="B205" i="7"/>
  <c r="B204" i="7"/>
  <c r="D203" i="7"/>
  <c r="B203" i="7"/>
  <c r="C203" i="7" s="1"/>
  <c r="B202" i="7"/>
  <c r="B201" i="7"/>
  <c r="D201" i="7" s="1"/>
  <c r="C200" i="7"/>
  <c r="B200" i="7"/>
  <c r="B199" i="7"/>
  <c r="D198" i="7"/>
  <c r="B198" i="7"/>
  <c r="D210" i="7" s="1"/>
  <c r="B197" i="7"/>
  <c r="B196" i="7"/>
  <c r="D195" i="7"/>
  <c r="B195" i="7"/>
  <c r="C195" i="7" s="1"/>
  <c r="B194" i="7"/>
  <c r="B193" i="7"/>
  <c r="D193" i="7" s="1"/>
  <c r="C192" i="7"/>
  <c r="B192" i="7"/>
  <c r="B191" i="7"/>
  <c r="D190" i="7"/>
  <c r="B190" i="7"/>
  <c r="D202" i="7" s="1"/>
  <c r="B189" i="7"/>
  <c r="B188" i="7"/>
  <c r="D187" i="7"/>
  <c r="B187" i="7"/>
  <c r="C187" i="7" s="1"/>
  <c r="B186" i="7"/>
  <c r="B185" i="7"/>
  <c r="D185" i="7" s="1"/>
  <c r="C184" i="7"/>
  <c r="B184" i="7"/>
  <c r="B183" i="7"/>
  <c r="D182" i="7"/>
  <c r="B182" i="7"/>
  <c r="D194" i="7" s="1"/>
  <c r="B181" i="7"/>
  <c r="B180" i="7"/>
  <c r="D179" i="7"/>
  <c r="B179" i="7"/>
  <c r="C179" i="7" s="1"/>
  <c r="B178" i="7"/>
  <c r="B177" i="7"/>
  <c r="D177" i="7" s="1"/>
  <c r="C176" i="7"/>
  <c r="B176" i="7"/>
  <c r="B175" i="7"/>
  <c r="D174" i="7"/>
  <c r="B174" i="7"/>
  <c r="D186" i="7" s="1"/>
  <c r="B173" i="7"/>
  <c r="B172" i="7"/>
  <c r="D171" i="7"/>
  <c r="B171" i="7"/>
  <c r="C171" i="7" s="1"/>
  <c r="B170" i="7"/>
  <c r="B169" i="7"/>
  <c r="D169" i="7" s="1"/>
  <c r="C168" i="7"/>
  <c r="B168" i="7"/>
  <c r="B167" i="7"/>
  <c r="D166" i="7"/>
  <c r="B166" i="7"/>
  <c r="D178" i="7" s="1"/>
  <c r="B165" i="7"/>
  <c r="B164" i="7"/>
  <c r="D163" i="7"/>
  <c r="B163" i="7"/>
  <c r="C163" i="7" s="1"/>
  <c r="B162" i="7"/>
  <c r="B161" i="7"/>
  <c r="D161" i="7" s="1"/>
  <c r="C160" i="7"/>
  <c r="B160" i="7"/>
  <c r="B159" i="7"/>
  <c r="D158" i="7"/>
  <c r="B158" i="7"/>
  <c r="D170" i="7" s="1"/>
  <c r="B157" i="7"/>
  <c r="B156" i="7"/>
  <c r="D155" i="7"/>
  <c r="B155" i="7"/>
  <c r="C155" i="7" s="1"/>
  <c r="B154" i="7"/>
  <c r="B153" i="7"/>
  <c r="D153" i="7" s="1"/>
  <c r="C152" i="7"/>
  <c r="B152" i="7"/>
  <c r="B151" i="7"/>
  <c r="D150" i="7"/>
  <c r="B150" i="7"/>
  <c r="D162" i="7" s="1"/>
  <c r="B149" i="7"/>
  <c r="B148" i="7"/>
  <c r="D147" i="7"/>
  <c r="B147" i="7"/>
  <c r="C147" i="7" s="1"/>
  <c r="B146" i="7"/>
  <c r="B145" i="7"/>
  <c r="D145" i="7" s="1"/>
  <c r="C144" i="7"/>
  <c r="B144" i="7"/>
  <c r="B143" i="7"/>
  <c r="D142" i="7"/>
  <c r="B142" i="7"/>
  <c r="D154" i="7" s="1"/>
  <c r="B141" i="7"/>
  <c r="B140" i="7"/>
  <c r="D139" i="7"/>
  <c r="B139" i="7"/>
  <c r="C139" i="7" s="1"/>
  <c r="B138" i="7"/>
  <c r="B137" i="7"/>
  <c r="D137" i="7" s="1"/>
  <c r="C136" i="7"/>
  <c r="B136" i="7"/>
  <c r="B135" i="7"/>
  <c r="D134" i="7"/>
  <c r="B134" i="7"/>
  <c r="D146" i="7" s="1"/>
  <c r="B133" i="7"/>
  <c r="B132" i="7"/>
  <c r="D131" i="7"/>
  <c r="B131" i="7"/>
  <c r="C131" i="7" s="1"/>
  <c r="B130" i="7"/>
  <c r="B129" i="7"/>
  <c r="D129" i="7" s="1"/>
  <c r="C128" i="7"/>
  <c r="B128" i="7"/>
  <c r="B127" i="7"/>
  <c r="D126" i="7"/>
  <c r="B126" i="7"/>
  <c r="D138" i="7" s="1"/>
  <c r="B125" i="7"/>
  <c r="B124" i="7"/>
  <c r="D123" i="7"/>
  <c r="B123" i="7"/>
  <c r="C123" i="7" s="1"/>
  <c r="B122" i="7"/>
  <c r="B121" i="7"/>
  <c r="D121" i="7" s="1"/>
  <c r="C120" i="7"/>
  <c r="B120" i="7"/>
  <c r="B119" i="7"/>
  <c r="D118" i="7"/>
  <c r="B118" i="7"/>
  <c r="D130" i="7" s="1"/>
  <c r="B117" i="7"/>
  <c r="B116" i="7"/>
  <c r="D115" i="7"/>
  <c r="B115" i="7"/>
  <c r="C115" i="7" s="1"/>
  <c r="B114" i="7"/>
  <c r="B113" i="7"/>
  <c r="D113" i="7" s="1"/>
  <c r="C112" i="7"/>
  <c r="B112" i="7"/>
  <c r="B111" i="7"/>
  <c r="D110" i="7"/>
  <c r="B110" i="7"/>
  <c r="D122" i="7" s="1"/>
  <c r="B109" i="7"/>
  <c r="B108" i="7"/>
  <c r="D107" i="7"/>
  <c r="B107" i="7"/>
  <c r="C107" i="7" s="1"/>
  <c r="B106" i="7"/>
  <c r="B105" i="7"/>
  <c r="D105" i="7" s="1"/>
  <c r="C104" i="7"/>
  <c r="B104" i="7"/>
  <c r="B103" i="7"/>
  <c r="D103" i="7" s="1"/>
  <c r="D102" i="7"/>
  <c r="B102" i="7"/>
  <c r="D114" i="7" s="1"/>
  <c r="D101" i="7"/>
  <c r="B101" i="7"/>
  <c r="B100" i="7"/>
  <c r="D99" i="7"/>
  <c r="B99" i="7"/>
  <c r="C99" i="7" s="1"/>
  <c r="B98" i="7"/>
  <c r="B97" i="7"/>
  <c r="D97" i="7" s="1"/>
  <c r="C96" i="7"/>
  <c r="B96" i="7"/>
  <c r="D96" i="7" s="1"/>
  <c r="B95" i="7"/>
  <c r="D94" i="7"/>
  <c r="B94" i="7"/>
  <c r="D106" i="7" s="1"/>
  <c r="D93" i="7"/>
  <c r="B93" i="7"/>
  <c r="B92" i="7"/>
  <c r="D91" i="7"/>
  <c r="C91" i="7"/>
  <c r="B91" i="7"/>
  <c r="B90" i="7"/>
  <c r="C90" i="7" s="1"/>
  <c r="B89" i="7"/>
  <c r="D89" i="7" s="1"/>
  <c r="D88" i="7"/>
  <c r="B88" i="7"/>
  <c r="C88" i="7" s="1"/>
  <c r="B87" i="7"/>
  <c r="C86" i="7"/>
  <c r="B86" i="7"/>
  <c r="D98" i="7" s="1"/>
  <c r="D85" i="7"/>
  <c r="C85" i="7"/>
  <c r="B85" i="7"/>
  <c r="B84" i="7"/>
  <c r="B83" i="7"/>
  <c r="D83" i="7" s="1"/>
  <c r="D82" i="7"/>
  <c r="B82" i="7"/>
  <c r="C82" i="7" s="1"/>
  <c r="C81" i="7"/>
  <c r="B81" i="7"/>
  <c r="D81" i="7" s="1"/>
  <c r="B80" i="7"/>
  <c r="C80" i="7" s="1"/>
  <c r="B79" i="7"/>
  <c r="D79" i="7" s="1"/>
  <c r="C78" i="7"/>
  <c r="B78" i="7"/>
  <c r="D90" i="7" s="1"/>
  <c r="C77" i="7"/>
  <c r="B77" i="7"/>
  <c r="B76" i="7"/>
  <c r="D75" i="7"/>
  <c r="B75" i="7"/>
  <c r="C75" i="7" s="1"/>
  <c r="D74" i="7"/>
  <c r="B74" i="7"/>
  <c r="C74" i="7" s="1"/>
  <c r="B73" i="7"/>
  <c r="D73" i="7" s="1"/>
  <c r="C72" i="7"/>
  <c r="B72" i="7"/>
  <c r="D72" i="7" s="1"/>
  <c r="B71" i="7"/>
  <c r="D71" i="7" s="1"/>
  <c r="D70" i="7"/>
  <c r="B70" i="7"/>
  <c r="C70" i="7" s="1"/>
  <c r="B69" i="7"/>
  <c r="B68" i="7"/>
  <c r="D80" i="7" s="1"/>
  <c r="D67" i="7"/>
  <c r="C67" i="7"/>
  <c r="B67" i="7"/>
  <c r="B66" i="7"/>
  <c r="B65" i="7"/>
  <c r="D65" i="7" s="1"/>
  <c r="C64" i="7"/>
  <c r="B64" i="7"/>
  <c r="D64" i="7" s="1"/>
  <c r="B63" i="7"/>
  <c r="D62" i="7"/>
  <c r="B62" i="7"/>
  <c r="C62" i="7" s="1"/>
  <c r="D61" i="7"/>
  <c r="B61" i="7"/>
  <c r="B60" i="7"/>
  <c r="D59" i="7"/>
  <c r="C59" i="7"/>
  <c r="B59" i="7"/>
  <c r="B58" i="7"/>
  <c r="C58" i="7" s="1"/>
  <c r="B57" i="7"/>
  <c r="D57" i="7" s="1"/>
  <c r="D56" i="7"/>
  <c r="B56" i="7"/>
  <c r="C56" i="7" s="1"/>
  <c r="B55" i="7"/>
  <c r="C54" i="7"/>
  <c r="B54" i="7"/>
  <c r="D54" i="7" s="1"/>
  <c r="D53" i="7"/>
  <c r="C53" i="7"/>
  <c r="B53" i="7"/>
  <c r="B52" i="7"/>
  <c r="B51" i="7"/>
  <c r="D51" i="7" s="1"/>
  <c r="D50" i="7"/>
  <c r="B50" i="7"/>
  <c r="C50" i="7" s="1"/>
  <c r="C49" i="7"/>
  <c r="B49" i="7"/>
  <c r="D49" i="7" s="1"/>
  <c r="B48" i="7"/>
  <c r="C48" i="7" s="1"/>
  <c r="B47" i="7"/>
  <c r="D47" i="7" s="1"/>
  <c r="C46" i="7"/>
  <c r="B46" i="7"/>
  <c r="D58" i="7" s="1"/>
  <c r="C45" i="7"/>
  <c r="B45" i="7"/>
  <c r="B44" i="7"/>
  <c r="D43" i="7"/>
  <c r="B43" i="7"/>
  <c r="C43" i="7" s="1"/>
  <c r="D42" i="7"/>
  <c r="B42" i="7"/>
  <c r="C42" i="7" s="1"/>
  <c r="B41" i="7"/>
  <c r="D41" i="7" s="1"/>
  <c r="C40" i="7"/>
  <c r="B40" i="7"/>
  <c r="D40" i="7" s="1"/>
  <c r="B39" i="7"/>
  <c r="D39" i="7" s="1"/>
  <c r="D38" i="7"/>
  <c r="B38" i="7"/>
  <c r="C38" i="7" s="1"/>
  <c r="B37" i="7"/>
  <c r="B36" i="7"/>
  <c r="D48" i="7" s="1"/>
  <c r="D35" i="7"/>
  <c r="C35" i="7"/>
  <c r="B35" i="7"/>
  <c r="B34" i="7"/>
  <c r="B33" i="7"/>
  <c r="D33" i="7" s="1"/>
  <c r="C32" i="7"/>
  <c r="B32" i="7"/>
  <c r="D32" i="7" s="1"/>
  <c r="B31" i="7"/>
  <c r="D30" i="7"/>
  <c r="B30" i="7"/>
  <c r="C30" i="7" s="1"/>
  <c r="D29" i="7"/>
  <c r="B29" i="7"/>
  <c r="B28" i="7"/>
  <c r="C27" i="7"/>
  <c r="B27" i="7"/>
  <c r="D26" i="7"/>
  <c r="B26" i="7"/>
  <c r="C26" i="7" s="1"/>
  <c r="B25" i="7"/>
  <c r="D25" i="7" s="1"/>
  <c r="D24" i="7"/>
  <c r="B24" i="7"/>
  <c r="C24" i="7" s="1"/>
  <c r="B23" i="7"/>
  <c r="C22" i="7"/>
  <c r="B22" i="7"/>
  <c r="D22" i="7" s="1"/>
  <c r="D21" i="7"/>
  <c r="C21" i="7"/>
  <c r="B21" i="7"/>
  <c r="B20" i="7"/>
  <c r="B19" i="7"/>
  <c r="D19" i="7" s="1"/>
  <c r="C18" i="7"/>
  <c r="B18" i="7"/>
  <c r="B17" i="7"/>
  <c r="C17" i="7" s="1"/>
  <c r="B16" i="7"/>
  <c r="C16" i="7" s="1"/>
  <c r="B15" i="7"/>
  <c r="C15" i="7" s="1"/>
  <c r="C14" i="7"/>
  <c r="B14" i="7"/>
  <c r="B13" i="7"/>
  <c r="C13" i="7" s="1"/>
  <c r="C12" i="7"/>
  <c r="B12" i="7"/>
  <c r="C11" i="7"/>
  <c r="B11" i="7"/>
  <c r="C10" i="7"/>
  <c r="B10" i="7"/>
  <c r="B9" i="7"/>
  <c r="C8" i="7"/>
  <c r="B8" i="7"/>
  <c r="B7" i="7"/>
  <c r="B366" i="6"/>
  <c r="B365" i="6"/>
  <c r="C364" i="6"/>
  <c r="B364" i="6"/>
  <c r="D364" i="6" s="1"/>
  <c r="B363" i="6"/>
  <c r="C363" i="6" s="1"/>
  <c r="B362" i="6"/>
  <c r="D362" i="6" s="1"/>
  <c r="D361" i="6"/>
  <c r="B361" i="6"/>
  <c r="C361" i="6" s="1"/>
  <c r="B360" i="6"/>
  <c r="D359" i="6"/>
  <c r="C359" i="6"/>
  <c r="B359" i="6"/>
  <c r="C358" i="6"/>
  <c r="B358" i="6"/>
  <c r="B357" i="6"/>
  <c r="D356" i="6"/>
  <c r="B356" i="6"/>
  <c r="C356" i="6" s="1"/>
  <c r="B355" i="6"/>
  <c r="C354" i="6"/>
  <c r="B354" i="6"/>
  <c r="D354" i="6" s="1"/>
  <c r="D353" i="6"/>
  <c r="C353" i="6"/>
  <c r="B353" i="6"/>
  <c r="B352" i="6"/>
  <c r="D352" i="6" s="1"/>
  <c r="B351" i="6"/>
  <c r="D351" i="6" s="1"/>
  <c r="D41" i="4" s="1"/>
  <c r="C350" i="6"/>
  <c r="B350" i="6"/>
  <c r="B349" i="6"/>
  <c r="D349" i="6" s="1"/>
  <c r="B348" i="6"/>
  <c r="D348" i="6" s="1"/>
  <c r="B347" i="6"/>
  <c r="C347" i="6" s="1"/>
  <c r="D346" i="6"/>
  <c r="B346" i="6"/>
  <c r="D358" i="6" s="1"/>
  <c r="B345" i="6"/>
  <c r="D345" i="6" s="1"/>
  <c r="B344" i="6"/>
  <c r="D343" i="6"/>
  <c r="C343" i="6"/>
  <c r="B343" i="6"/>
  <c r="D355" i="6" s="1"/>
  <c r="D45" i="4" s="1"/>
  <c r="B342" i="6"/>
  <c r="C341" i="6"/>
  <c r="B341" i="6"/>
  <c r="D340" i="6"/>
  <c r="C340" i="6"/>
  <c r="B340" i="6"/>
  <c r="D339" i="6"/>
  <c r="B339" i="6"/>
  <c r="C338" i="6"/>
  <c r="B338" i="6"/>
  <c r="D338" i="6" s="1"/>
  <c r="D337" i="6"/>
  <c r="C337" i="6"/>
  <c r="B337" i="6"/>
  <c r="B336" i="6"/>
  <c r="B335" i="6"/>
  <c r="D335" i="6" s="1"/>
  <c r="C334" i="6"/>
  <c r="B334" i="6"/>
  <c r="B333" i="6"/>
  <c r="D333" i="6" s="1"/>
  <c r="B332" i="6"/>
  <c r="D332" i="6" s="1"/>
  <c r="B331" i="6"/>
  <c r="C331" i="6" s="1"/>
  <c r="D330" i="6"/>
  <c r="B330" i="6"/>
  <c r="C330" i="6" s="1"/>
  <c r="B329" i="6"/>
  <c r="D329" i="6" s="1"/>
  <c r="B328" i="6"/>
  <c r="D327" i="6"/>
  <c r="C327" i="6"/>
  <c r="B327" i="6"/>
  <c r="B326" i="6"/>
  <c r="C325" i="6"/>
  <c r="B325" i="6"/>
  <c r="D324" i="6"/>
  <c r="C324" i="6"/>
  <c r="B324" i="6"/>
  <c r="D323" i="6"/>
  <c r="B323" i="6"/>
  <c r="C322" i="6"/>
  <c r="B322" i="6"/>
  <c r="D322" i="6" s="1"/>
  <c r="D321" i="6"/>
  <c r="C321" i="6"/>
  <c r="B321" i="6"/>
  <c r="B320" i="6"/>
  <c r="B319" i="6"/>
  <c r="D319" i="6" s="1"/>
  <c r="C318" i="6"/>
  <c r="B318" i="6"/>
  <c r="B317" i="6"/>
  <c r="D317" i="6" s="1"/>
  <c r="B316" i="6"/>
  <c r="D316" i="6" s="1"/>
  <c r="B315" i="6"/>
  <c r="C315" i="6" s="1"/>
  <c r="D314" i="6"/>
  <c r="B314" i="6"/>
  <c r="B313" i="6"/>
  <c r="B312" i="6"/>
  <c r="D311" i="6"/>
  <c r="C311" i="6"/>
  <c r="B311" i="6"/>
  <c r="B310" i="6"/>
  <c r="C309" i="6"/>
  <c r="B309" i="6"/>
  <c r="D308" i="6"/>
  <c r="C308" i="6"/>
  <c r="B308" i="6"/>
  <c r="D307" i="6"/>
  <c r="B307" i="6"/>
  <c r="C306" i="6"/>
  <c r="B306" i="6"/>
  <c r="D306" i="6" s="1"/>
  <c r="D305" i="6"/>
  <c r="C305" i="6"/>
  <c r="B305" i="6"/>
  <c r="B304" i="6"/>
  <c r="B303" i="6"/>
  <c r="C302" i="6"/>
  <c r="B302" i="6"/>
  <c r="B301" i="6"/>
  <c r="D301" i="6" s="1"/>
  <c r="B300" i="6"/>
  <c r="B299" i="6"/>
  <c r="C299" i="6" s="1"/>
  <c r="D298" i="6"/>
  <c r="B298" i="6"/>
  <c r="C298" i="6" s="1"/>
  <c r="B297" i="6"/>
  <c r="B296" i="6"/>
  <c r="D295" i="6"/>
  <c r="C295" i="6"/>
  <c r="B295" i="6"/>
  <c r="B294" i="6"/>
  <c r="C293" i="6"/>
  <c r="B293" i="6"/>
  <c r="C292" i="6"/>
  <c r="B292" i="6"/>
  <c r="D291" i="6"/>
  <c r="B291" i="6"/>
  <c r="C290" i="6"/>
  <c r="B290" i="6"/>
  <c r="D290" i="6" s="1"/>
  <c r="C289" i="6"/>
  <c r="B289" i="6"/>
  <c r="B288" i="6"/>
  <c r="B287" i="6"/>
  <c r="C286" i="6"/>
  <c r="B286" i="6"/>
  <c r="B285" i="6"/>
  <c r="D285" i="6" s="1"/>
  <c r="B284" i="6"/>
  <c r="B283" i="6"/>
  <c r="C283" i="6" s="1"/>
  <c r="D282" i="6"/>
  <c r="B282" i="6"/>
  <c r="B281" i="6"/>
  <c r="B280" i="6"/>
  <c r="D292" i="6" s="1"/>
  <c r="D279" i="6"/>
  <c r="C279" i="6"/>
  <c r="B279" i="6"/>
  <c r="B278" i="6"/>
  <c r="C277" i="6"/>
  <c r="B277" i="6"/>
  <c r="D289" i="6" s="1"/>
  <c r="C276" i="6"/>
  <c r="B276" i="6"/>
  <c r="D275" i="6"/>
  <c r="B275" i="6"/>
  <c r="C274" i="6"/>
  <c r="B274" i="6"/>
  <c r="D274" i="6" s="1"/>
  <c r="C273" i="6"/>
  <c r="B273" i="6"/>
  <c r="B272" i="6"/>
  <c r="B271" i="6"/>
  <c r="C270" i="6"/>
  <c r="B270" i="6"/>
  <c r="B269" i="6"/>
  <c r="D269" i="6" s="1"/>
  <c r="B268" i="6"/>
  <c r="B267" i="6"/>
  <c r="C267" i="6" s="1"/>
  <c r="D266" i="6"/>
  <c r="B266" i="6"/>
  <c r="B265" i="6"/>
  <c r="B264" i="6"/>
  <c r="D276" i="6" s="1"/>
  <c r="D263" i="6"/>
  <c r="C263" i="6"/>
  <c r="B263" i="6"/>
  <c r="B262" i="6"/>
  <c r="C261" i="6"/>
  <c r="B261" i="6"/>
  <c r="D273" i="6" s="1"/>
  <c r="C260" i="6"/>
  <c r="B260" i="6"/>
  <c r="D259" i="6"/>
  <c r="B259" i="6"/>
  <c r="C258" i="6"/>
  <c r="B258" i="6"/>
  <c r="D258" i="6" s="1"/>
  <c r="C257" i="6"/>
  <c r="B257" i="6"/>
  <c r="B256" i="6"/>
  <c r="B255" i="6"/>
  <c r="C254" i="6"/>
  <c r="B254" i="6"/>
  <c r="B253" i="6"/>
  <c r="D253" i="6" s="1"/>
  <c r="B252" i="6"/>
  <c r="B251" i="6"/>
  <c r="C251" i="6" s="1"/>
  <c r="D250" i="6"/>
  <c r="B250" i="6"/>
  <c r="B249" i="6"/>
  <c r="B248" i="6"/>
  <c r="D260" i="6" s="1"/>
  <c r="D247" i="6"/>
  <c r="C247" i="6"/>
  <c r="B247" i="6"/>
  <c r="B246" i="6"/>
  <c r="C245" i="6"/>
  <c r="B245" i="6"/>
  <c r="D257" i="6" s="1"/>
  <c r="C244" i="6"/>
  <c r="B244" i="6"/>
  <c r="D243" i="6"/>
  <c r="B243" i="6"/>
  <c r="C242" i="6"/>
  <c r="B242" i="6"/>
  <c r="D242" i="6" s="1"/>
  <c r="C241" i="6"/>
  <c r="B241" i="6"/>
  <c r="B240" i="6"/>
  <c r="B239" i="6"/>
  <c r="C238" i="6"/>
  <c r="B238" i="6"/>
  <c r="B237" i="6"/>
  <c r="D237" i="6" s="1"/>
  <c r="B236" i="6"/>
  <c r="B235" i="6"/>
  <c r="C235" i="6" s="1"/>
  <c r="D234" i="6"/>
  <c r="B234" i="6"/>
  <c r="C234" i="6" s="1"/>
  <c r="B233" i="6"/>
  <c r="B232" i="6"/>
  <c r="D244" i="6" s="1"/>
  <c r="D231" i="6"/>
  <c r="C231" i="6"/>
  <c r="B231" i="6"/>
  <c r="B230" i="6"/>
  <c r="C229" i="6"/>
  <c r="B229" i="6"/>
  <c r="D229" i="6" s="1"/>
  <c r="C228" i="6"/>
  <c r="B228" i="6"/>
  <c r="D227" i="6"/>
  <c r="B227" i="6"/>
  <c r="B226" i="6"/>
  <c r="C225" i="6"/>
  <c r="B225" i="6"/>
  <c r="B224" i="6"/>
  <c r="B223" i="6"/>
  <c r="C222" i="6"/>
  <c r="B222" i="6"/>
  <c r="B221" i="6"/>
  <c r="D221" i="6" s="1"/>
  <c r="B220" i="6"/>
  <c r="D219" i="6"/>
  <c r="B219" i="6"/>
  <c r="C219" i="6" s="1"/>
  <c r="D218" i="6"/>
  <c r="B218" i="6"/>
  <c r="C218" i="6" s="1"/>
  <c r="B217" i="6"/>
  <c r="B216" i="6"/>
  <c r="D215" i="6"/>
  <c r="C215" i="6"/>
  <c r="B215" i="6"/>
  <c r="B214" i="6"/>
  <c r="C213" i="6"/>
  <c r="B213" i="6"/>
  <c r="C212" i="6"/>
  <c r="B212" i="6"/>
  <c r="D211" i="6"/>
  <c r="B211" i="6"/>
  <c r="B210" i="6"/>
  <c r="D210" i="6" s="1"/>
  <c r="C209" i="6"/>
  <c r="B209" i="6"/>
  <c r="B208" i="6"/>
  <c r="B207" i="6"/>
  <c r="C206" i="6"/>
  <c r="B206" i="6"/>
  <c r="B205" i="6"/>
  <c r="D205" i="6" s="1"/>
  <c r="B204" i="6"/>
  <c r="B203" i="6"/>
  <c r="C203" i="6" s="1"/>
  <c r="D202" i="6"/>
  <c r="B202" i="6"/>
  <c r="B201" i="6"/>
  <c r="B200" i="6"/>
  <c r="D199" i="6"/>
  <c r="C199" i="6"/>
  <c r="B199" i="6"/>
  <c r="B198" i="6"/>
  <c r="B197" i="6"/>
  <c r="C196" i="6"/>
  <c r="B196" i="6"/>
  <c r="B195" i="6"/>
  <c r="C194" i="6"/>
  <c r="B194" i="6"/>
  <c r="D194" i="6" s="1"/>
  <c r="D193" i="6"/>
  <c r="C193" i="6"/>
  <c r="B193" i="6"/>
  <c r="B192" i="6"/>
  <c r="B191" i="6"/>
  <c r="D203" i="6" s="1"/>
  <c r="D190" i="6"/>
  <c r="C190" i="6"/>
  <c r="B190" i="6"/>
  <c r="B189" i="6"/>
  <c r="D189" i="6" s="1"/>
  <c r="B188" i="6"/>
  <c r="D187" i="6"/>
  <c r="B187" i="6"/>
  <c r="C187" i="6" s="1"/>
  <c r="D186" i="6"/>
  <c r="B186" i="6"/>
  <c r="B185" i="6"/>
  <c r="C184" i="6"/>
  <c r="B184" i="6"/>
  <c r="D184" i="6" s="1"/>
  <c r="D183" i="6"/>
  <c r="B183" i="6"/>
  <c r="C183" i="6" s="1"/>
  <c r="B182" i="6"/>
  <c r="D181" i="6"/>
  <c r="C181" i="6"/>
  <c r="B181" i="6"/>
  <c r="C182" i="6" s="1"/>
  <c r="D180" i="6"/>
  <c r="B180" i="6"/>
  <c r="B179" i="6"/>
  <c r="D178" i="6"/>
  <c r="C178" i="6"/>
  <c r="B178" i="6"/>
  <c r="D177" i="6"/>
  <c r="B177" i="6"/>
  <c r="B176" i="6"/>
  <c r="D175" i="6"/>
  <c r="C175" i="6"/>
  <c r="B175" i="6"/>
  <c r="D174" i="6"/>
  <c r="B174" i="6"/>
  <c r="B173" i="6"/>
  <c r="D172" i="6"/>
  <c r="C172" i="6"/>
  <c r="B172" i="6"/>
  <c r="D171" i="6"/>
  <c r="B171" i="6"/>
  <c r="C170" i="6"/>
  <c r="B170" i="6"/>
  <c r="D169" i="6"/>
  <c r="C169" i="6"/>
  <c r="B169" i="6"/>
  <c r="B168" i="6"/>
  <c r="B167" i="6"/>
  <c r="D166" i="6"/>
  <c r="C166" i="6"/>
  <c r="B166" i="6"/>
  <c r="B165" i="6"/>
  <c r="C165" i="6" s="1"/>
  <c r="D164" i="6"/>
  <c r="C164" i="6"/>
  <c r="B164" i="6"/>
  <c r="D163" i="6"/>
  <c r="B163" i="6"/>
  <c r="C163" i="6" s="1"/>
  <c r="D162" i="6"/>
  <c r="B162" i="6"/>
  <c r="C162" i="6" s="1"/>
  <c r="D161" i="6"/>
  <c r="C161" i="6"/>
  <c r="B161" i="6"/>
  <c r="C160" i="6"/>
  <c r="B160" i="6"/>
  <c r="D160" i="6" s="1"/>
  <c r="B159" i="6"/>
  <c r="C159" i="6" s="1"/>
  <c r="D158" i="6"/>
  <c r="C158" i="6"/>
  <c r="B158" i="6"/>
  <c r="D157" i="6"/>
  <c r="B157" i="6"/>
  <c r="B156" i="6"/>
  <c r="D155" i="6"/>
  <c r="B155" i="6"/>
  <c r="C155" i="6" s="1"/>
  <c r="B154" i="6"/>
  <c r="B153" i="6"/>
  <c r="C152" i="6"/>
  <c r="B152" i="6"/>
  <c r="D152" i="6" s="1"/>
  <c r="B151" i="6"/>
  <c r="C151" i="6" s="1"/>
  <c r="B150" i="6"/>
  <c r="D149" i="6"/>
  <c r="C149" i="6"/>
  <c r="B149" i="6"/>
  <c r="C150" i="6" s="1"/>
  <c r="B148" i="6"/>
  <c r="C147" i="6"/>
  <c r="B147" i="6"/>
  <c r="C146" i="6"/>
  <c r="B146" i="6"/>
  <c r="B145" i="6"/>
  <c r="C145" i="6" s="1"/>
  <c r="D144" i="6"/>
  <c r="C144" i="6"/>
  <c r="B144" i="6"/>
  <c r="B143" i="6"/>
  <c r="C143" i="6" s="1"/>
  <c r="B142" i="6"/>
  <c r="D141" i="6"/>
  <c r="C141" i="6"/>
  <c r="B141" i="6"/>
  <c r="B140" i="6"/>
  <c r="B139" i="6"/>
  <c r="C138" i="6"/>
  <c r="B138" i="6"/>
  <c r="D150" i="6" s="1"/>
  <c r="B137" i="6"/>
  <c r="C137" i="6" s="1"/>
  <c r="D136" i="6"/>
  <c r="C136" i="6"/>
  <c r="B136" i="6"/>
  <c r="D148" i="6" s="1"/>
  <c r="B135" i="6"/>
  <c r="B134" i="6"/>
  <c r="D133" i="6"/>
  <c r="C133" i="6"/>
  <c r="B133" i="6"/>
  <c r="D145" i="6" s="1"/>
  <c r="B132" i="6"/>
  <c r="B131" i="6"/>
  <c r="C130" i="6"/>
  <c r="B130" i="6"/>
  <c r="B129" i="6"/>
  <c r="C129" i="6" s="1"/>
  <c r="D128" i="6"/>
  <c r="C128" i="6"/>
  <c r="B128" i="6"/>
  <c r="D140" i="6" s="1"/>
  <c r="B127" i="6"/>
  <c r="B126" i="6"/>
  <c r="D125" i="6"/>
  <c r="C125" i="6"/>
  <c r="B125" i="6"/>
  <c r="D137" i="6" s="1"/>
  <c r="B124" i="6"/>
  <c r="B123" i="6"/>
  <c r="C122" i="6"/>
  <c r="B122" i="6"/>
  <c r="B121" i="6"/>
  <c r="C121" i="6" s="1"/>
  <c r="D120" i="6"/>
  <c r="C120" i="6"/>
  <c r="B120" i="6"/>
  <c r="D132" i="6" s="1"/>
  <c r="B119" i="6"/>
  <c r="B118" i="6"/>
  <c r="D117" i="6"/>
  <c r="C117" i="6"/>
  <c r="B117" i="6"/>
  <c r="D129" i="6" s="1"/>
  <c r="B116" i="6"/>
  <c r="C115" i="6"/>
  <c r="B115" i="6"/>
  <c r="C114" i="6"/>
  <c r="B114" i="6"/>
  <c r="B113" i="6"/>
  <c r="C113" i="6" s="1"/>
  <c r="D112" i="6"/>
  <c r="C112" i="6"/>
  <c r="B112" i="6"/>
  <c r="D124" i="6" s="1"/>
  <c r="B111" i="6"/>
  <c r="C111" i="6" s="1"/>
  <c r="B110" i="6"/>
  <c r="D109" i="6"/>
  <c r="C109" i="6"/>
  <c r="B109" i="6"/>
  <c r="D121" i="6" s="1"/>
  <c r="B108" i="6"/>
  <c r="B107" i="6"/>
  <c r="C106" i="6"/>
  <c r="B106" i="6"/>
  <c r="B105" i="6"/>
  <c r="C105" i="6" s="1"/>
  <c r="D104" i="6"/>
  <c r="C104" i="6"/>
  <c r="B104" i="6"/>
  <c r="D116" i="6" s="1"/>
  <c r="B103" i="6"/>
  <c r="B102" i="6"/>
  <c r="D101" i="6"/>
  <c r="C101" i="6"/>
  <c r="B101" i="6"/>
  <c r="D113" i="6" s="1"/>
  <c r="B100" i="6"/>
  <c r="B99" i="6"/>
  <c r="C98" i="6"/>
  <c r="B98" i="6"/>
  <c r="B97" i="6"/>
  <c r="C97" i="6" s="1"/>
  <c r="D96" i="6"/>
  <c r="C96" i="6"/>
  <c r="B96" i="6"/>
  <c r="D108" i="6" s="1"/>
  <c r="B95" i="6"/>
  <c r="B94" i="6"/>
  <c r="D93" i="6"/>
  <c r="C93" i="6"/>
  <c r="B93" i="6"/>
  <c r="D105" i="6" s="1"/>
  <c r="B92" i="6"/>
  <c r="B91" i="6"/>
  <c r="C90" i="6"/>
  <c r="B90" i="6"/>
  <c r="B89" i="6"/>
  <c r="C89" i="6" s="1"/>
  <c r="D88" i="6"/>
  <c r="C88" i="6"/>
  <c r="B88" i="6"/>
  <c r="D100" i="6" s="1"/>
  <c r="B87" i="6"/>
  <c r="B86" i="6"/>
  <c r="D85" i="6"/>
  <c r="C85" i="6"/>
  <c r="B85" i="6"/>
  <c r="D97" i="6" s="1"/>
  <c r="B84" i="6"/>
  <c r="C83" i="6"/>
  <c r="B83" i="6"/>
  <c r="D82" i="6"/>
  <c r="C82" i="6"/>
  <c r="B82" i="6"/>
  <c r="B81" i="6"/>
  <c r="C81" i="6" s="1"/>
  <c r="D80" i="6"/>
  <c r="C80" i="6"/>
  <c r="B80" i="6"/>
  <c r="D92" i="6" s="1"/>
  <c r="B79" i="6"/>
  <c r="B78" i="6"/>
  <c r="D90" i="6" s="1"/>
  <c r="D77" i="6"/>
  <c r="C77" i="6"/>
  <c r="B77" i="6"/>
  <c r="D89" i="6" s="1"/>
  <c r="B76" i="6"/>
  <c r="C75" i="6"/>
  <c r="B75" i="6"/>
  <c r="C74" i="6"/>
  <c r="B74" i="6"/>
  <c r="B73" i="6"/>
  <c r="C73" i="6" s="1"/>
  <c r="C72" i="6"/>
  <c r="B72" i="6"/>
  <c r="D84" i="6" s="1"/>
  <c r="B71" i="6"/>
  <c r="C71" i="6" s="1"/>
  <c r="B70" i="6"/>
  <c r="D69" i="6"/>
  <c r="C69" i="6"/>
  <c r="B69" i="6"/>
  <c r="D81" i="6" s="1"/>
  <c r="B68" i="6"/>
  <c r="C67" i="6"/>
  <c r="B67" i="6"/>
  <c r="C66" i="6"/>
  <c r="B66" i="6"/>
  <c r="B65" i="6"/>
  <c r="B64" i="6"/>
  <c r="D76" i="6" s="1"/>
  <c r="B63" i="6"/>
  <c r="C63" i="6" s="1"/>
  <c r="B62" i="6"/>
  <c r="D61" i="6"/>
  <c r="C61" i="6"/>
  <c r="B61" i="6"/>
  <c r="D73" i="6" s="1"/>
  <c r="B60" i="6"/>
  <c r="B59" i="6"/>
  <c r="C58" i="6"/>
  <c r="B58" i="6"/>
  <c r="B57" i="6"/>
  <c r="C56" i="6"/>
  <c r="B56" i="6"/>
  <c r="D68" i="6" s="1"/>
  <c r="B55" i="6"/>
  <c r="C55" i="6" s="1"/>
  <c r="B54" i="6"/>
  <c r="D66" i="6" s="1"/>
  <c r="D53" i="6"/>
  <c r="C53" i="6"/>
  <c r="B53" i="6"/>
  <c r="D65" i="6" s="1"/>
  <c r="B52" i="6"/>
  <c r="C51" i="6"/>
  <c r="B51" i="6"/>
  <c r="C50" i="6"/>
  <c r="B50" i="6"/>
  <c r="B49" i="6"/>
  <c r="B48" i="6"/>
  <c r="D60" i="6" s="1"/>
  <c r="B47" i="6"/>
  <c r="B46" i="6"/>
  <c r="D58" i="6" s="1"/>
  <c r="D45" i="6"/>
  <c r="C45" i="6"/>
  <c r="B45" i="6"/>
  <c r="D57" i="6" s="1"/>
  <c r="B44" i="6"/>
  <c r="B43" i="6"/>
  <c r="C42" i="6"/>
  <c r="B42" i="6"/>
  <c r="B41" i="6"/>
  <c r="C41" i="6" s="1"/>
  <c r="B40" i="6"/>
  <c r="D52" i="6" s="1"/>
  <c r="D39" i="6"/>
  <c r="B39" i="6"/>
  <c r="B38" i="6"/>
  <c r="D37" i="6"/>
  <c r="C37" i="6"/>
  <c r="B37" i="6"/>
  <c r="D49" i="6" s="1"/>
  <c r="B36" i="6"/>
  <c r="B35" i="6"/>
  <c r="C34" i="6"/>
  <c r="B34" i="6"/>
  <c r="B33" i="6"/>
  <c r="C33" i="6" s="1"/>
  <c r="B32" i="6"/>
  <c r="D44" i="6" s="1"/>
  <c r="B31" i="6"/>
  <c r="B30" i="6"/>
  <c r="D29" i="6"/>
  <c r="C29" i="6"/>
  <c r="B29" i="6"/>
  <c r="D41" i="6" s="1"/>
  <c r="D28" i="6"/>
  <c r="B28" i="6"/>
  <c r="C27" i="6"/>
  <c r="B27" i="6"/>
  <c r="C26" i="6"/>
  <c r="B26" i="6"/>
  <c r="B25" i="6"/>
  <c r="B24" i="6"/>
  <c r="D36" i="6" s="1"/>
  <c r="D23" i="6"/>
  <c r="B23" i="6"/>
  <c r="C23" i="6" s="1"/>
  <c r="B22" i="6"/>
  <c r="D21" i="6"/>
  <c r="B21" i="6"/>
  <c r="D33" i="6" s="1"/>
  <c r="D20" i="6"/>
  <c r="B20" i="6"/>
  <c r="B19" i="6"/>
  <c r="C18" i="6"/>
  <c r="B18" i="6"/>
  <c r="B17" i="6"/>
  <c r="C17" i="6" s="1"/>
  <c r="B16" i="6"/>
  <c r="B15" i="6"/>
  <c r="C15" i="6" s="1"/>
  <c r="B14" i="6"/>
  <c r="C14" i="6" s="1"/>
  <c r="B13" i="6"/>
  <c r="C13" i="6" s="1"/>
  <c r="B12" i="6"/>
  <c r="C12" i="6" s="1"/>
  <c r="B11" i="6"/>
  <c r="C11" i="6" s="1"/>
  <c r="B10" i="6"/>
  <c r="C10" i="6" s="1"/>
  <c r="B9" i="6"/>
  <c r="C9" i="6" s="1"/>
  <c r="B8" i="6"/>
  <c r="C8" i="6" s="1"/>
  <c r="B7" i="6"/>
  <c r="D366" i="5"/>
  <c r="B366" i="5"/>
  <c r="C366" i="5" s="1"/>
  <c r="G56" i="4" s="1"/>
  <c r="B365" i="5"/>
  <c r="C364" i="5"/>
  <c r="G54" i="4" s="1"/>
  <c r="B364" i="5"/>
  <c r="D363" i="5"/>
  <c r="H53" i="4" s="1"/>
  <c r="C363" i="5"/>
  <c r="G53" i="4" s="1"/>
  <c r="B363" i="5"/>
  <c r="B362" i="5"/>
  <c r="B361" i="5"/>
  <c r="D361" i="5" s="1"/>
  <c r="H51" i="4" s="1"/>
  <c r="B360" i="5"/>
  <c r="C360" i="5" s="1"/>
  <c r="B359" i="5"/>
  <c r="B358" i="5"/>
  <c r="C358" i="5" s="1"/>
  <c r="B357" i="5"/>
  <c r="C356" i="5"/>
  <c r="B356" i="5"/>
  <c r="C355" i="5"/>
  <c r="B355" i="5"/>
  <c r="B354" i="5"/>
  <c r="B353" i="5"/>
  <c r="D365" i="5" s="1"/>
  <c r="H55" i="4" s="1"/>
  <c r="B352" i="5"/>
  <c r="C352" i="5" s="1"/>
  <c r="B351" i="5"/>
  <c r="B350" i="5"/>
  <c r="D362" i="5" s="1"/>
  <c r="B349" i="5"/>
  <c r="C348" i="5"/>
  <c r="B348" i="5"/>
  <c r="C347" i="5"/>
  <c r="B347" i="5"/>
  <c r="B346" i="5"/>
  <c r="B345" i="5"/>
  <c r="D357" i="5" s="1"/>
  <c r="H47" i="4" s="1"/>
  <c r="B344" i="5"/>
  <c r="B343" i="5"/>
  <c r="B342" i="5"/>
  <c r="D354" i="5" s="1"/>
  <c r="B341" i="5"/>
  <c r="C340" i="5"/>
  <c r="B340" i="5"/>
  <c r="C339" i="5"/>
  <c r="B339" i="5"/>
  <c r="B338" i="5"/>
  <c r="B337" i="5"/>
  <c r="D349" i="5" s="1"/>
  <c r="H39" i="4" s="1"/>
  <c r="B336" i="5"/>
  <c r="B335" i="5"/>
  <c r="B334" i="5"/>
  <c r="D346" i="5" s="1"/>
  <c r="B333" i="5"/>
  <c r="C332" i="5"/>
  <c r="B332" i="5"/>
  <c r="C331" i="5"/>
  <c r="B331" i="5"/>
  <c r="B330" i="5"/>
  <c r="B329" i="5"/>
  <c r="D341" i="5" s="1"/>
  <c r="B328" i="5"/>
  <c r="B327" i="5"/>
  <c r="B326" i="5"/>
  <c r="D338" i="5" s="1"/>
  <c r="B325" i="5"/>
  <c r="C324" i="5"/>
  <c r="B324" i="5"/>
  <c r="C323" i="5"/>
  <c r="B323" i="5"/>
  <c r="B322" i="5"/>
  <c r="B321" i="5"/>
  <c r="D333" i="5" s="1"/>
  <c r="B320" i="5"/>
  <c r="B319" i="5"/>
  <c r="B318" i="5"/>
  <c r="D330" i="5" s="1"/>
  <c r="B317" i="5"/>
  <c r="C316" i="5"/>
  <c r="B316" i="5"/>
  <c r="C315" i="5"/>
  <c r="B315" i="5"/>
  <c r="B314" i="5"/>
  <c r="B313" i="5"/>
  <c r="D325" i="5" s="1"/>
  <c r="B312" i="5"/>
  <c r="B311" i="5"/>
  <c r="B310" i="5"/>
  <c r="D322" i="5" s="1"/>
  <c r="B309" i="5"/>
  <c r="C308" i="5"/>
  <c r="B308" i="5"/>
  <c r="C307" i="5"/>
  <c r="B307" i="5"/>
  <c r="B306" i="5"/>
  <c r="B305" i="5"/>
  <c r="D317" i="5" s="1"/>
  <c r="B304" i="5"/>
  <c r="B303" i="5"/>
  <c r="B302" i="5"/>
  <c r="D314" i="5" s="1"/>
  <c r="B301" i="5"/>
  <c r="C300" i="5"/>
  <c r="B300" i="5"/>
  <c r="C299" i="5"/>
  <c r="B299" i="5"/>
  <c r="B298" i="5"/>
  <c r="B297" i="5"/>
  <c r="D309" i="5" s="1"/>
  <c r="B296" i="5"/>
  <c r="B295" i="5"/>
  <c r="B294" i="5"/>
  <c r="D306" i="5" s="1"/>
  <c r="B293" i="5"/>
  <c r="C292" i="5"/>
  <c r="B292" i="5"/>
  <c r="C291" i="5"/>
  <c r="B291" i="5"/>
  <c r="B290" i="5"/>
  <c r="B289" i="5"/>
  <c r="D301" i="5" s="1"/>
  <c r="B288" i="5"/>
  <c r="B287" i="5"/>
  <c r="B286" i="5"/>
  <c r="D298" i="5" s="1"/>
  <c r="B285" i="5"/>
  <c r="C284" i="5"/>
  <c r="B284" i="5"/>
  <c r="C283" i="5"/>
  <c r="B283" i="5"/>
  <c r="B282" i="5"/>
  <c r="B281" i="5"/>
  <c r="D293" i="5" s="1"/>
  <c r="B280" i="5"/>
  <c r="B279" i="5"/>
  <c r="B278" i="5"/>
  <c r="D290" i="5" s="1"/>
  <c r="B277" i="5"/>
  <c r="C276" i="5"/>
  <c r="B276" i="5"/>
  <c r="C275" i="5"/>
  <c r="B275" i="5"/>
  <c r="B274" i="5"/>
  <c r="B273" i="5"/>
  <c r="D285" i="5" s="1"/>
  <c r="B272" i="5"/>
  <c r="B271" i="5"/>
  <c r="B270" i="5"/>
  <c r="D282" i="5" s="1"/>
  <c r="B269" i="5"/>
  <c r="C268" i="5"/>
  <c r="B268" i="5"/>
  <c r="C267" i="5"/>
  <c r="B267" i="5"/>
  <c r="B266" i="5"/>
  <c r="B265" i="5"/>
  <c r="D277" i="5" s="1"/>
  <c r="B264" i="5"/>
  <c r="B263" i="5"/>
  <c r="B262" i="5"/>
  <c r="D274" i="5" s="1"/>
  <c r="B261" i="5"/>
  <c r="C260" i="5"/>
  <c r="B260" i="5"/>
  <c r="C259" i="5"/>
  <c r="B259" i="5"/>
  <c r="B258" i="5"/>
  <c r="B257" i="5"/>
  <c r="D269" i="5" s="1"/>
  <c r="B256" i="5"/>
  <c r="B255" i="5"/>
  <c r="B254" i="5"/>
  <c r="D266" i="5" s="1"/>
  <c r="B253" i="5"/>
  <c r="C252" i="5"/>
  <c r="B252" i="5"/>
  <c r="C251" i="5"/>
  <c r="B251" i="5"/>
  <c r="B250" i="5"/>
  <c r="B249" i="5"/>
  <c r="D261" i="5" s="1"/>
  <c r="B248" i="5"/>
  <c r="B247" i="5"/>
  <c r="B246" i="5"/>
  <c r="D258" i="5" s="1"/>
  <c r="B245" i="5"/>
  <c r="C244" i="5"/>
  <c r="B244" i="5"/>
  <c r="C243" i="5"/>
  <c r="B243" i="5"/>
  <c r="B242" i="5"/>
  <c r="B241" i="5"/>
  <c r="D253" i="5" s="1"/>
  <c r="B240" i="5"/>
  <c r="B239" i="5"/>
  <c r="B238" i="5"/>
  <c r="D250" i="5" s="1"/>
  <c r="B237" i="5"/>
  <c r="C236" i="5"/>
  <c r="B236" i="5"/>
  <c r="C235" i="5"/>
  <c r="B235" i="5"/>
  <c r="B234" i="5"/>
  <c r="B233" i="5"/>
  <c r="D245" i="5" s="1"/>
  <c r="B232" i="5"/>
  <c r="B231" i="5"/>
  <c r="B230" i="5"/>
  <c r="D242" i="5" s="1"/>
  <c r="B229" i="5"/>
  <c r="C228" i="5"/>
  <c r="B228" i="5"/>
  <c r="C227" i="5"/>
  <c r="B227" i="5"/>
  <c r="B226" i="5"/>
  <c r="B225" i="5"/>
  <c r="D237" i="5" s="1"/>
  <c r="B224" i="5"/>
  <c r="B223" i="5"/>
  <c r="B222" i="5"/>
  <c r="D234" i="5" s="1"/>
  <c r="B221" i="5"/>
  <c r="C220" i="5"/>
  <c r="B220" i="5"/>
  <c r="C219" i="5"/>
  <c r="B219" i="5"/>
  <c r="B218" i="5"/>
  <c r="B217" i="5"/>
  <c r="D229" i="5" s="1"/>
  <c r="B216" i="5"/>
  <c r="B215" i="5"/>
  <c r="B214" i="5"/>
  <c r="D226" i="5" s="1"/>
  <c r="B213" i="5"/>
  <c r="C212" i="5"/>
  <c r="B212" i="5"/>
  <c r="C211" i="5"/>
  <c r="B211" i="5"/>
  <c r="B210" i="5"/>
  <c r="B209" i="5"/>
  <c r="D221" i="5" s="1"/>
  <c r="B208" i="5"/>
  <c r="B207" i="5"/>
  <c r="B206" i="5"/>
  <c r="D218" i="5" s="1"/>
  <c r="B205" i="5"/>
  <c r="C204" i="5"/>
  <c r="B204" i="5"/>
  <c r="C203" i="5"/>
  <c r="B203" i="5"/>
  <c r="B202" i="5"/>
  <c r="B201" i="5"/>
  <c r="D213" i="5" s="1"/>
  <c r="B200" i="5"/>
  <c r="B199" i="5"/>
  <c r="B198" i="5"/>
  <c r="D210" i="5" s="1"/>
  <c r="B197" i="5"/>
  <c r="C196" i="5"/>
  <c r="B196" i="5"/>
  <c r="C195" i="5"/>
  <c r="B195" i="5"/>
  <c r="B194" i="5"/>
  <c r="B193" i="5"/>
  <c r="D205" i="5" s="1"/>
  <c r="B192" i="5"/>
  <c r="B191" i="5"/>
  <c r="B190" i="5"/>
  <c r="D202" i="5" s="1"/>
  <c r="B189" i="5"/>
  <c r="C188" i="5"/>
  <c r="B188" i="5"/>
  <c r="C187" i="5"/>
  <c r="B187" i="5"/>
  <c r="B186" i="5"/>
  <c r="B185" i="5"/>
  <c r="D197" i="5" s="1"/>
  <c r="B184" i="5"/>
  <c r="B183" i="5"/>
  <c r="B182" i="5"/>
  <c r="D194" i="5" s="1"/>
  <c r="B181" i="5"/>
  <c r="C180" i="5"/>
  <c r="B180" i="5"/>
  <c r="C179" i="5"/>
  <c r="B179" i="5"/>
  <c r="B178" i="5"/>
  <c r="B177" i="5"/>
  <c r="D189" i="5" s="1"/>
  <c r="B176" i="5"/>
  <c r="B175" i="5"/>
  <c r="B174" i="5"/>
  <c r="D186" i="5" s="1"/>
  <c r="B173" i="5"/>
  <c r="C172" i="5"/>
  <c r="B172" i="5"/>
  <c r="C171" i="5"/>
  <c r="B171" i="5"/>
  <c r="B170" i="5"/>
  <c r="B169" i="5"/>
  <c r="D181" i="5" s="1"/>
  <c r="B168" i="5"/>
  <c r="B167" i="5"/>
  <c r="B166" i="5"/>
  <c r="D178" i="5" s="1"/>
  <c r="B165" i="5"/>
  <c r="C164" i="5"/>
  <c r="B164" i="5"/>
  <c r="C163" i="5"/>
  <c r="B163" i="5"/>
  <c r="B162" i="5"/>
  <c r="B161" i="5"/>
  <c r="D173" i="5" s="1"/>
  <c r="B160" i="5"/>
  <c r="B159" i="5"/>
  <c r="B158" i="5"/>
  <c r="D170" i="5" s="1"/>
  <c r="B157" i="5"/>
  <c r="C156" i="5"/>
  <c r="B156" i="5"/>
  <c r="C155" i="5"/>
  <c r="B155" i="5"/>
  <c r="B154" i="5"/>
  <c r="B153" i="5"/>
  <c r="D165" i="5" s="1"/>
  <c r="B152" i="5"/>
  <c r="B151" i="5"/>
  <c r="B150" i="5"/>
  <c r="D162" i="5" s="1"/>
  <c r="B149" i="5"/>
  <c r="C148" i="5"/>
  <c r="B148" i="5"/>
  <c r="C147" i="5"/>
  <c r="B147" i="5"/>
  <c r="B146" i="5"/>
  <c r="B145" i="5"/>
  <c r="D157" i="5" s="1"/>
  <c r="B144" i="5"/>
  <c r="B143" i="5"/>
  <c r="B142" i="5"/>
  <c r="D154" i="5" s="1"/>
  <c r="B141" i="5"/>
  <c r="C140" i="5"/>
  <c r="B140" i="5"/>
  <c r="C139" i="5"/>
  <c r="B139" i="5"/>
  <c r="B138" i="5"/>
  <c r="B137" i="5"/>
  <c r="D149" i="5" s="1"/>
  <c r="B136" i="5"/>
  <c r="B135" i="5"/>
  <c r="B134" i="5"/>
  <c r="D146" i="5" s="1"/>
  <c r="B133" i="5"/>
  <c r="C132" i="5"/>
  <c r="B132" i="5"/>
  <c r="C131" i="5"/>
  <c r="B131" i="5"/>
  <c r="B130" i="5"/>
  <c r="B129" i="5"/>
  <c r="D141" i="5" s="1"/>
  <c r="B128" i="5"/>
  <c r="B127" i="5"/>
  <c r="B126" i="5"/>
  <c r="D138" i="5" s="1"/>
  <c r="B125" i="5"/>
  <c r="C124" i="5"/>
  <c r="B124" i="5"/>
  <c r="C123" i="5"/>
  <c r="B123" i="5"/>
  <c r="B122" i="5"/>
  <c r="B121" i="5"/>
  <c r="D133" i="5" s="1"/>
  <c r="B120" i="5"/>
  <c r="B119" i="5"/>
  <c r="B118" i="5"/>
  <c r="D130" i="5" s="1"/>
  <c r="B117" i="5"/>
  <c r="C116" i="5"/>
  <c r="B116" i="5"/>
  <c r="C115" i="5"/>
  <c r="B115" i="5"/>
  <c r="B114" i="5"/>
  <c r="B113" i="5"/>
  <c r="D125" i="5" s="1"/>
  <c r="B112" i="5"/>
  <c r="B111" i="5"/>
  <c r="B110" i="5"/>
  <c r="D122" i="5" s="1"/>
  <c r="B109" i="5"/>
  <c r="C108" i="5"/>
  <c r="B108" i="5"/>
  <c r="C107" i="5"/>
  <c r="B107" i="5"/>
  <c r="B106" i="5"/>
  <c r="B105" i="5"/>
  <c r="D117" i="5" s="1"/>
  <c r="B104" i="5"/>
  <c r="B103" i="5"/>
  <c r="B102" i="5"/>
  <c r="D114" i="5" s="1"/>
  <c r="B101" i="5"/>
  <c r="C100" i="5"/>
  <c r="B100" i="5"/>
  <c r="C99" i="5"/>
  <c r="B99" i="5"/>
  <c r="B98" i="5"/>
  <c r="B97" i="5"/>
  <c r="D109" i="5" s="1"/>
  <c r="B96" i="5"/>
  <c r="B95" i="5"/>
  <c r="B94" i="5"/>
  <c r="D106" i="5" s="1"/>
  <c r="B93" i="5"/>
  <c r="C92" i="5"/>
  <c r="B92" i="5"/>
  <c r="C91" i="5"/>
  <c r="B91" i="5"/>
  <c r="B90" i="5"/>
  <c r="B89" i="5"/>
  <c r="D101" i="5" s="1"/>
  <c r="B88" i="5"/>
  <c r="B87" i="5"/>
  <c r="B86" i="5"/>
  <c r="D98" i="5" s="1"/>
  <c r="B85" i="5"/>
  <c r="C84" i="5"/>
  <c r="B84" i="5"/>
  <c r="C83" i="5"/>
  <c r="B83" i="5"/>
  <c r="B82" i="5"/>
  <c r="B81" i="5"/>
  <c r="D93" i="5" s="1"/>
  <c r="B80" i="5"/>
  <c r="B79" i="5"/>
  <c r="B78" i="5"/>
  <c r="D90" i="5" s="1"/>
  <c r="B77" i="5"/>
  <c r="C76" i="5"/>
  <c r="B76" i="5"/>
  <c r="C75" i="5"/>
  <c r="B75" i="5"/>
  <c r="B74" i="5"/>
  <c r="B73" i="5"/>
  <c r="D85" i="5" s="1"/>
  <c r="B72" i="5"/>
  <c r="B71" i="5"/>
  <c r="B70" i="5"/>
  <c r="D82" i="5" s="1"/>
  <c r="B69" i="5"/>
  <c r="C68" i="5"/>
  <c r="B68" i="5"/>
  <c r="C67" i="5"/>
  <c r="B67" i="5"/>
  <c r="B66" i="5"/>
  <c r="B65" i="5"/>
  <c r="D77" i="5" s="1"/>
  <c r="B64" i="5"/>
  <c r="B63" i="5"/>
  <c r="B62" i="5"/>
  <c r="D74" i="5" s="1"/>
  <c r="B61" i="5"/>
  <c r="C60" i="5"/>
  <c r="B60" i="5"/>
  <c r="C59" i="5"/>
  <c r="B59" i="5"/>
  <c r="B58" i="5"/>
  <c r="B57" i="5"/>
  <c r="D69" i="5" s="1"/>
  <c r="B56" i="5"/>
  <c r="B55" i="5"/>
  <c r="B54" i="5"/>
  <c r="D66" i="5" s="1"/>
  <c r="B53" i="5"/>
  <c r="C52" i="5"/>
  <c r="B52" i="5"/>
  <c r="C51" i="5"/>
  <c r="B51" i="5"/>
  <c r="B50" i="5"/>
  <c r="B49" i="5"/>
  <c r="D61" i="5" s="1"/>
  <c r="B48" i="5"/>
  <c r="B47" i="5"/>
  <c r="B46" i="5"/>
  <c r="D58" i="5" s="1"/>
  <c r="B45" i="5"/>
  <c r="C44" i="5"/>
  <c r="B44" i="5"/>
  <c r="C43" i="5"/>
  <c r="B43" i="5"/>
  <c r="B42" i="5"/>
  <c r="B41" i="5"/>
  <c r="D53" i="5" s="1"/>
  <c r="B40" i="5"/>
  <c r="B39" i="5"/>
  <c r="B38" i="5"/>
  <c r="D50" i="5" s="1"/>
  <c r="B37" i="5"/>
  <c r="C36" i="5"/>
  <c r="B36" i="5"/>
  <c r="D35" i="5"/>
  <c r="C35" i="5"/>
  <c r="B35" i="5"/>
  <c r="B34" i="5"/>
  <c r="B33" i="5"/>
  <c r="D45" i="5" s="1"/>
  <c r="D32" i="5"/>
  <c r="B32" i="5"/>
  <c r="B31" i="5"/>
  <c r="B30" i="5"/>
  <c r="D42" i="5" s="1"/>
  <c r="B29" i="5"/>
  <c r="C28" i="5"/>
  <c r="B28" i="5"/>
  <c r="D27" i="5"/>
  <c r="C27" i="5"/>
  <c r="B27" i="5"/>
  <c r="D26" i="5"/>
  <c r="B26" i="5"/>
  <c r="C25" i="5"/>
  <c r="B25" i="5"/>
  <c r="D37" i="5" s="1"/>
  <c r="D24" i="5"/>
  <c r="B24" i="5"/>
  <c r="C24" i="5" s="1"/>
  <c r="B23" i="5"/>
  <c r="C22" i="5"/>
  <c r="B22" i="5"/>
  <c r="D34" i="5" s="1"/>
  <c r="B21" i="5"/>
  <c r="C20" i="5"/>
  <c r="B20" i="5"/>
  <c r="D19" i="5"/>
  <c r="C19" i="5"/>
  <c r="B19" i="5"/>
  <c r="B18" i="5"/>
  <c r="B17" i="5"/>
  <c r="C16" i="5"/>
  <c r="B16" i="5"/>
  <c r="C15" i="5"/>
  <c r="B15" i="5"/>
  <c r="B14" i="5"/>
  <c r="B13" i="5"/>
  <c r="C12" i="5"/>
  <c r="B12" i="5"/>
  <c r="C11" i="5"/>
  <c r="B11" i="5"/>
  <c r="B10" i="5"/>
  <c r="B9" i="5"/>
  <c r="B8" i="5"/>
  <c r="B7" i="5"/>
  <c r="C8" i="5" s="1"/>
  <c r="AF56" i="4"/>
  <c r="AD56" i="4"/>
  <c r="Z56" i="4"/>
  <c r="X56" i="4"/>
  <c r="W56" i="4"/>
  <c r="U56" i="4"/>
  <c r="T56" i="4"/>
  <c r="S56" i="4"/>
  <c r="Q56" i="4"/>
  <c r="N56" i="4"/>
  <c r="M56" i="4"/>
  <c r="K56" i="4"/>
  <c r="H56" i="4"/>
  <c r="Z55" i="4"/>
  <c r="V55" i="4"/>
  <c r="T55" i="4"/>
  <c r="S55" i="4"/>
  <c r="O55" i="4"/>
  <c r="N55" i="4"/>
  <c r="M55" i="4"/>
  <c r="L55" i="4"/>
  <c r="K55" i="4"/>
  <c r="J55" i="4"/>
  <c r="F55" i="4"/>
  <c r="E55" i="4"/>
  <c r="AE54" i="4"/>
  <c r="AC54" i="4"/>
  <c r="Y54" i="4"/>
  <c r="X54" i="4"/>
  <c r="W54" i="4"/>
  <c r="V54" i="4"/>
  <c r="U54" i="4"/>
  <c r="T54" i="4"/>
  <c r="S54" i="4"/>
  <c r="Q54" i="4"/>
  <c r="P54" i="4"/>
  <c r="O54" i="4"/>
  <c r="N54" i="4"/>
  <c r="M54" i="4"/>
  <c r="K54" i="4"/>
  <c r="F54" i="4"/>
  <c r="E54" i="4"/>
  <c r="D54" i="4"/>
  <c r="C54" i="4"/>
  <c r="AF53" i="4"/>
  <c r="AD53" i="4"/>
  <c r="AC53" i="4"/>
  <c r="AB53" i="4"/>
  <c r="U53" i="4"/>
  <c r="S53" i="4"/>
  <c r="R53" i="4"/>
  <c r="Q53" i="4"/>
  <c r="L53" i="4"/>
  <c r="K53" i="4"/>
  <c r="C53" i="4"/>
  <c r="AB52" i="4"/>
  <c r="Z52" i="4"/>
  <c r="Y52" i="4"/>
  <c r="W52" i="4"/>
  <c r="R52" i="4"/>
  <c r="Q52" i="4"/>
  <c r="N52" i="4"/>
  <c r="M52" i="4"/>
  <c r="L52" i="4"/>
  <c r="K52" i="4"/>
  <c r="I52" i="4"/>
  <c r="H52" i="4"/>
  <c r="F52" i="4"/>
  <c r="D52" i="4"/>
  <c r="AC51" i="4"/>
  <c r="Z51" i="4"/>
  <c r="Y51" i="4"/>
  <c r="X51" i="4"/>
  <c r="W51" i="4"/>
  <c r="U51" i="4"/>
  <c r="T51" i="4"/>
  <c r="S51" i="4"/>
  <c r="Q51" i="4"/>
  <c r="P51" i="4"/>
  <c r="O51" i="4"/>
  <c r="J51" i="4"/>
  <c r="I51" i="4"/>
  <c r="F51" i="4"/>
  <c r="E51" i="4"/>
  <c r="D51" i="4"/>
  <c r="C51" i="4"/>
  <c r="AF50" i="4"/>
  <c r="AD50" i="4"/>
  <c r="Y50" i="4"/>
  <c r="V50" i="4"/>
  <c r="T50" i="4"/>
  <c r="P50" i="4"/>
  <c r="M50" i="4"/>
  <c r="L50" i="4"/>
  <c r="K50" i="4"/>
  <c r="G50" i="4"/>
  <c r="F50" i="4"/>
  <c r="AE49" i="4"/>
  <c r="AB49" i="4"/>
  <c r="AA49" i="4"/>
  <c r="Y49" i="4"/>
  <c r="T49" i="4"/>
  <c r="R49" i="4"/>
  <c r="Q49" i="4"/>
  <c r="L49" i="4"/>
  <c r="K49" i="4"/>
  <c r="F49" i="4"/>
  <c r="E49" i="4"/>
  <c r="D49" i="4"/>
  <c r="C49" i="4"/>
  <c r="AF48" i="4"/>
  <c r="AE48" i="4"/>
  <c r="AC48" i="4"/>
  <c r="Z48" i="4"/>
  <c r="W48" i="4"/>
  <c r="U48" i="4"/>
  <c r="S48" i="4"/>
  <c r="R48" i="4"/>
  <c r="Q48" i="4"/>
  <c r="N48" i="4"/>
  <c r="M48" i="4"/>
  <c r="G48" i="4"/>
  <c r="D48" i="4"/>
  <c r="C48" i="4"/>
  <c r="AF47" i="4"/>
  <c r="AD47" i="4"/>
  <c r="AC47" i="4"/>
  <c r="Z47" i="4"/>
  <c r="Y47" i="4"/>
  <c r="T47" i="4"/>
  <c r="S47" i="4"/>
  <c r="O47" i="4"/>
  <c r="N47" i="4"/>
  <c r="M47" i="4"/>
  <c r="K47" i="4"/>
  <c r="J47" i="4"/>
  <c r="F47" i="4"/>
  <c r="Y46" i="4"/>
  <c r="X46" i="4"/>
  <c r="W46" i="4"/>
  <c r="V46" i="4"/>
  <c r="U46" i="4"/>
  <c r="T46" i="4"/>
  <c r="S46" i="4"/>
  <c r="Q46" i="4"/>
  <c r="P46" i="4"/>
  <c r="O46" i="4"/>
  <c r="N46" i="4"/>
  <c r="L46" i="4"/>
  <c r="G46" i="4"/>
  <c r="D46" i="4"/>
  <c r="C46" i="4"/>
  <c r="AF45" i="4"/>
  <c r="AE45" i="4"/>
  <c r="AB45" i="4"/>
  <c r="U45" i="4"/>
  <c r="S45" i="4"/>
  <c r="R45" i="4"/>
  <c r="Q45" i="4"/>
  <c r="K45" i="4"/>
  <c r="I45" i="4"/>
  <c r="G45" i="4"/>
  <c r="AF44" i="4"/>
  <c r="AD44" i="4"/>
  <c r="AB44" i="4"/>
  <c r="Z44" i="4"/>
  <c r="Y44" i="4"/>
  <c r="W44" i="4"/>
  <c r="R44" i="4"/>
  <c r="N44" i="4"/>
  <c r="M44" i="4"/>
  <c r="K44" i="4"/>
  <c r="I44" i="4"/>
  <c r="H44" i="4"/>
  <c r="E44" i="4"/>
  <c r="D44" i="4"/>
  <c r="C44" i="4"/>
  <c r="Z43" i="4"/>
  <c r="X43" i="4"/>
  <c r="W43" i="4"/>
  <c r="V43" i="4"/>
  <c r="U43" i="4"/>
  <c r="T43" i="4"/>
  <c r="S43" i="4"/>
  <c r="Q43" i="4"/>
  <c r="P43" i="4"/>
  <c r="J43" i="4"/>
  <c r="I43" i="4"/>
  <c r="F43" i="4"/>
  <c r="D43" i="4"/>
  <c r="C43" i="4"/>
  <c r="AC42" i="4"/>
  <c r="V42" i="4"/>
  <c r="T42" i="4"/>
  <c r="P42" i="4"/>
  <c r="M42" i="4"/>
  <c r="G42" i="4"/>
  <c r="D42" i="4"/>
  <c r="AF41" i="4"/>
  <c r="AD41" i="4"/>
  <c r="AC41" i="4"/>
  <c r="AB41" i="4"/>
  <c r="AA41" i="4"/>
  <c r="Y41" i="4"/>
  <c r="R41" i="4"/>
  <c r="Q41" i="4"/>
  <c r="L41" i="4"/>
  <c r="K41" i="4"/>
  <c r="E41" i="4"/>
  <c r="Z40" i="4"/>
  <c r="W40" i="4"/>
  <c r="U40" i="4"/>
  <c r="S40" i="4"/>
  <c r="Q40" i="4"/>
  <c r="P40" i="4"/>
  <c r="N40" i="4"/>
  <c r="M40" i="4"/>
  <c r="C40" i="4"/>
  <c r="AF39" i="4"/>
  <c r="AE39" i="4"/>
  <c r="AC39" i="4"/>
  <c r="Z39" i="4"/>
  <c r="T39" i="4"/>
  <c r="S39" i="4"/>
  <c r="O39" i="4"/>
  <c r="M39" i="4"/>
  <c r="J39" i="4"/>
  <c r="D39" i="4"/>
  <c r="X38" i="4"/>
  <c r="W38" i="4"/>
  <c r="V38" i="4"/>
  <c r="U38" i="4"/>
  <c r="T38" i="4"/>
  <c r="S38" i="4"/>
  <c r="Q38" i="4"/>
  <c r="P38" i="4"/>
  <c r="O38" i="4"/>
  <c r="M38" i="4"/>
  <c r="L38" i="4"/>
  <c r="K38" i="4"/>
  <c r="G38" i="4"/>
  <c r="D38" i="4"/>
  <c r="AB37" i="4"/>
  <c r="U37" i="4"/>
  <c r="S37" i="4"/>
  <c r="R37" i="4"/>
  <c r="Q37" i="4"/>
  <c r="L37" i="4"/>
  <c r="K37" i="4"/>
  <c r="J37" i="4"/>
  <c r="I37" i="4"/>
  <c r="G37" i="4"/>
  <c r="E37" i="4"/>
  <c r="C37" i="4"/>
  <c r="AF36" i="4"/>
  <c r="AE36" i="4"/>
  <c r="AC36" i="4"/>
  <c r="AB36" i="4"/>
  <c r="Z36" i="4"/>
  <c r="Y36" i="4"/>
  <c r="R36" i="4"/>
  <c r="Q36" i="4"/>
  <c r="M36" i="4"/>
  <c r="K36" i="4"/>
  <c r="I36" i="4"/>
  <c r="H36" i="4"/>
  <c r="D36" i="4"/>
  <c r="Z35" i="4"/>
  <c r="X35" i="4"/>
  <c r="W35" i="4"/>
  <c r="V35" i="4"/>
  <c r="U35" i="4"/>
  <c r="T35" i="4"/>
  <c r="S35" i="4"/>
  <c r="Q35" i="4"/>
  <c r="P35" i="4"/>
  <c r="N35" i="4"/>
  <c r="J35" i="4"/>
  <c r="I35" i="4"/>
  <c r="F35" i="4"/>
  <c r="E35" i="4"/>
  <c r="D35" i="4"/>
  <c r="X34" i="4"/>
  <c r="V34" i="4"/>
  <c r="T34" i="4"/>
  <c r="Q34" i="4"/>
  <c r="P34" i="4"/>
  <c r="M34" i="4"/>
  <c r="L34" i="4"/>
  <c r="F34" i="4"/>
  <c r="AE33" i="4"/>
  <c r="AB33" i="4"/>
  <c r="AA33" i="4"/>
  <c r="R33" i="4"/>
  <c r="Q33" i="4"/>
  <c r="D33" i="4"/>
  <c r="C33" i="4"/>
  <c r="Z32" i="4"/>
  <c r="W32" i="4"/>
  <c r="U32" i="4"/>
  <c r="S32" i="4"/>
  <c r="R32" i="4"/>
  <c r="Q32" i="4"/>
  <c r="N32" i="4"/>
  <c r="M32" i="4"/>
  <c r="E32" i="4"/>
  <c r="AD31" i="4"/>
  <c r="AC31" i="4"/>
  <c r="Z31" i="4"/>
  <c r="V31" i="4"/>
  <c r="T31" i="4"/>
  <c r="S31" i="4"/>
  <c r="O31" i="4"/>
  <c r="N31" i="4"/>
  <c r="M31" i="4"/>
  <c r="K31" i="4"/>
  <c r="J31" i="4"/>
  <c r="H31" i="4"/>
  <c r="F31" i="4"/>
  <c r="C31" i="4"/>
  <c r="X30" i="4"/>
  <c r="W30" i="4"/>
  <c r="V30" i="4"/>
  <c r="U30" i="4"/>
  <c r="T30" i="4"/>
  <c r="S30" i="4"/>
  <c r="R30" i="4"/>
  <c r="Q30" i="4"/>
  <c r="P30" i="4"/>
  <c r="O30" i="4"/>
  <c r="M30" i="4"/>
  <c r="L30" i="4"/>
  <c r="K30" i="4"/>
  <c r="G30" i="4"/>
  <c r="D30" i="4"/>
  <c r="C30" i="4"/>
  <c r="AF29" i="4"/>
  <c r="AB29" i="4"/>
  <c r="V29" i="4"/>
  <c r="U29" i="4"/>
  <c r="S29" i="4"/>
  <c r="R29" i="4"/>
  <c r="Q29" i="4"/>
  <c r="N29" i="4"/>
  <c r="M29" i="4"/>
  <c r="L29" i="4"/>
  <c r="G29" i="4"/>
  <c r="F29" i="4"/>
  <c r="D29" i="4"/>
  <c r="AF28" i="4"/>
  <c r="AB28" i="4"/>
  <c r="Z28" i="4"/>
  <c r="Y28" i="4"/>
  <c r="R28" i="4"/>
  <c r="N28" i="4"/>
  <c r="M28" i="4"/>
  <c r="I28" i="4"/>
  <c r="H28" i="4"/>
  <c r="F28" i="4"/>
  <c r="E28" i="4"/>
  <c r="D28" i="4"/>
  <c r="C28" i="4"/>
  <c r="AF27" i="4"/>
  <c r="AE27" i="4"/>
  <c r="AD27" i="4"/>
  <c r="X27" i="4"/>
  <c r="W27" i="4"/>
  <c r="V27" i="4"/>
  <c r="U27" i="4"/>
  <c r="T27" i="4"/>
  <c r="S27" i="4"/>
  <c r="R27" i="4"/>
  <c r="P27" i="4"/>
  <c r="N27" i="4"/>
  <c r="K27" i="4"/>
  <c r="J27" i="4"/>
  <c r="I27" i="4"/>
  <c r="F27" i="4"/>
  <c r="E27" i="4"/>
  <c r="D27" i="4"/>
  <c r="C27" i="4"/>
  <c r="AD26" i="4"/>
  <c r="V26" i="4"/>
  <c r="T26" i="4"/>
  <c r="Q26" i="4"/>
  <c r="P26" i="4"/>
  <c r="M26" i="4"/>
  <c r="L26" i="4"/>
  <c r="K26" i="4"/>
  <c r="I26" i="4"/>
  <c r="AF25" i="4"/>
  <c r="AB25" i="4"/>
  <c r="AA25" i="4"/>
  <c r="R25" i="4"/>
  <c r="Q25" i="4"/>
  <c r="D25" i="4"/>
  <c r="Z24" i="4"/>
  <c r="X24" i="4"/>
  <c r="W24" i="4"/>
  <c r="U24" i="4"/>
  <c r="S24" i="4"/>
  <c r="R24" i="4"/>
  <c r="N24" i="4"/>
  <c r="L24" i="4"/>
  <c r="C24" i="4"/>
  <c r="AD23" i="4"/>
  <c r="AC23" i="4"/>
  <c r="Z23" i="4"/>
  <c r="V23" i="4"/>
  <c r="T23" i="4"/>
  <c r="S23" i="4"/>
  <c r="O23" i="4"/>
  <c r="N23" i="4"/>
  <c r="L23" i="4"/>
  <c r="K23" i="4"/>
  <c r="J23" i="4"/>
  <c r="H23" i="4"/>
  <c r="F23" i="4"/>
  <c r="D23" i="4"/>
  <c r="X22" i="4"/>
  <c r="V22" i="4"/>
  <c r="U22" i="4"/>
  <c r="T22" i="4"/>
  <c r="S22" i="4"/>
  <c r="P22" i="4"/>
  <c r="O22" i="4"/>
  <c r="K22" i="4"/>
  <c r="G22" i="4"/>
  <c r="E22" i="4"/>
  <c r="D22" i="4"/>
  <c r="AB21" i="4"/>
  <c r="U21" i="4"/>
  <c r="S21" i="4"/>
  <c r="R21" i="4"/>
  <c r="Q21" i="4"/>
  <c r="N21" i="4"/>
  <c r="L21" i="4"/>
  <c r="K21" i="4"/>
  <c r="G21" i="4"/>
  <c r="C21" i="4"/>
  <c r="AB20" i="4"/>
  <c r="Z20" i="4"/>
  <c r="Y20" i="4"/>
  <c r="W20" i="4"/>
  <c r="R20" i="4"/>
  <c r="Q20" i="4"/>
  <c r="N20" i="4"/>
  <c r="M20" i="4"/>
  <c r="I20" i="4"/>
  <c r="H20" i="4"/>
  <c r="F20" i="4"/>
  <c r="E20" i="4"/>
  <c r="D20" i="4"/>
  <c r="C20" i="4"/>
  <c r="AE19" i="4"/>
  <c r="AD19" i="4"/>
  <c r="X19" i="4"/>
  <c r="W19" i="4"/>
  <c r="V19" i="4"/>
  <c r="U19" i="4"/>
  <c r="T19" i="4"/>
  <c r="S19" i="4"/>
  <c r="P19" i="4"/>
  <c r="N19" i="4"/>
  <c r="M19" i="4"/>
  <c r="J19" i="4"/>
  <c r="I19" i="4"/>
  <c r="F19" i="4"/>
  <c r="E19" i="4"/>
  <c r="D19" i="4"/>
  <c r="AF18" i="4"/>
  <c r="AD18" i="4"/>
  <c r="V18" i="4"/>
  <c r="T18" i="4"/>
  <c r="Q18" i="4"/>
  <c r="P18" i="4"/>
  <c r="L18" i="4"/>
  <c r="K18" i="4"/>
  <c r="F18" i="4"/>
  <c r="AE17" i="4"/>
  <c r="AB17" i="4"/>
  <c r="AA17" i="4"/>
  <c r="Y17" i="4"/>
  <c r="V17" i="4"/>
  <c r="U17" i="4"/>
  <c r="S17" i="4"/>
  <c r="R17" i="4"/>
  <c r="Q17" i="4"/>
  <c r="F17" i="4"/>
  <c r="D17" i="4"/>
  <c r="C17" i="4"/>
  <c r="AF16" i="4"/>
  <c r="AE16" i="4"/>
  <c r="Z16" i="4"/>
  <c r="X16" i="4"/>
  <c r="W16" i="4"/>
  <c r="V16" i="4"/>
  <c r="S16" i="4"/>
  <c r="Q16" i="4"/>
  <c r="N16" i="4"/>
  <c r="M16" i="4"/>
  <c r="AF15" i="4"/>
  <c r="AD15" i="4"/>
  <c r="AC15" i="4"/>
  <c r="Z15" i="4"/>
  <c r="S15" i="4"/>
  <c r="O15" i="4"/>
  <c r="M15" i="4"/>
  <c r="L15" i="4"/>
  <c r="K15" i="4"/>
  <c r="J15" i="4"/>
  <c r="H15" i="4"/>
  <c r="F15" i="4"/>
  <c r="C15" i="4"/>
  <c r="X14" i="4"/>
  <c r="W14" i="4"/>
  <c r="V14" i="4"/>
  <c r="U14" i="4"/>
  <c r="T14" i="4"/>
  <c r="S14" i="4"/>
  <c r="R14" i="4"/>
  <c r="Q14" i="4"/>
  <c r="P14" i="4"/>
  <c r="O14" i="4"/>
  <c r="L14" i="4"/>
  <c r="G14" i="4"/>
  <c r="D14" i="4"/>
  <c r="C14" i="4"/>
  <c r="AF13" i="4"/>
  <c r="AE13" i="4"/>
  <c r="AB13" i="4"/>
  <c r="V13" i="4"/>
  <c r="U13" i="4"/>
  <c r="S13" i="4"/>
  <c r="R13" i="4"/>
  <c r="Q13" i="4"/>
  <c r="N13" i="4"/>
  <c r="J13" i="4"/>
  <c r="G13" i="4"/>
  <c r="D13" i="4"/>
  <c r="AB12" i="4"/>
  <c r="Z12" i="4"/>
  <c r="Y12" i="4"/>
  <c r="U12" i="4"/>
  <c r="R12" i="4"/>
  <c r="M12" i="4"/>
  <c r="K12" i="4"/>
  <c r="I12" i="4"/>
  <c r="H12" i="4"/>
  <c r="E12" i="4"/>
  <c r="D12" i="4"/>
  <c r="C12" i="4"/>
  <c r="AD11" i="4"/>
  <c r="X11" i="4"/>
  <c r="W11" i="4"/>
  <c r="U11" i="4"/>
  <c r="T11" i="4"/>
  <c r="S11" i="4"/>
  <c r="Q11" i="4"/>
  <c r="P11" i="4"/>
  <c r="M11" i="4"/>
  <c r="L11" i="4"/>
  <c r="J11" i="4"/>
  <c r="I11" i="4"/>
  <c r="F11" i="4"/>
  <c r="D11" i="4"/>
  <c r="C11" i="4"/>
  <c r="AF10" i="4"/>
  <c r="AE10" i="4"/>
  <c r="AD10" i="4"/>
  <c r="V10" i="4"/>
  <c r="U10" i="4"/>
  <c r="T10" i="4"/>
  <c r="Q10" i="4"/>
  <c r="P10" i="4"/>
  <c r="N10" i="4"/>
  <c r="M10" i="4"/>
  <c r="L10" i="4"/>
  <c r="K10" i="4"/>
  <c r="E10" i="4"/>
  <c r="AF9" i="4"/>
  <c r="AE9" i="4"/>
  <c r="AB9" i="4"/>
  <c r="AA9" i="4"/>
  <c r="U9" i="4"/>
  <c r="R9" i="4"/>
  <c r="Q9" i="4"/>
  <c r="E9" i="4"/>
  <c r="D9" i="4"/>
  <c r="AF8" i="4"/>
  <c r="Z8" i="4"/>
  <c r="X8" i="4"/>
  <c r="W8" i="4"/>
  <c r="U8" i="4"/>
  <c r="S8" i="4"/>
  <c r="R8" i="4"/>
  <c r="C8" i="4"/>
  <c r="AE7" i="4"/>
  <c r="AD7" i="4"/>
  <c r="AC7" i="4"/>
  <c r="S7" i="4"/>
  <c r="O7" i="4"/>
  <c r="M7" i="4"/>
  <c r="L7" i="4"/>
  <c r="K7" i="4"/>
  <c r="J7" i="4"/>
  <c r="H7" i="4"/>
  <c r="D7" i="4"/>
  <c r="AF6" i="4"/>
  <c r="X6" i="4"/>
  <c r="W6" i="4"/>
  <c r="V6" i="4"/>
  <c r="U6" i="4"/>
  <c r="T6" i="4"/>
  <c r="S6" i="4"/>
  <c r="Q6" i="4"/>
  <c r="P6" i="4"/>
  <c r="O6" i="4"/>
  <c r="N6" i="4"/>
  <c r="L6" i="4"/>
  <c r="G6" i="4"/>
  <c r="F6" i="4"/>
  <c r="D6" i="4"/>
  <c r="AB5" i="4"/>
  <c r="U5" i="4"/>
  <c r="S5" i="4"/>
  <c r="R5" i="4"/>
  <c r="N5" i="4"/>
  <c r="M5" i="4"/>
  <c r="L5" i="4"/>
  <c r="G5" i="4"/>
  <c r="C5" i="4"/>
  <c r="AF4" i="4"/>
  <c r="AE4" i="4"/>
  <c r="AB4" i="4"/>
  <c r="Z4" i="4"/>
  <c r="Y4" i="4"/>
  <c r="W4" i="4"/>
  <c r="R4" i="4"/>
  <c r="N4" i="4"/>
  <c r="K4" i="4"/>
  <c r="I4" i="4"/>
  <c r="H4" i="4"/>
  <c r="D4" i="4"/>
  <c r="G21" i="3"/>
  <c r="Q30" i="1" s="1"/>
  <c r="E21" i="3"/>
  <c r="F21" i="3" s="1"/>
  <c r="P30" i="1" s="1"/>
  <c r="G20" i="3"/>
  <c r="E20" i="3"/>
  <c r="F20" i="3" s="1"/>
  <c r="P29" i="1" s="1"/>
  <c r="D20" i="3"/>
  <c r="H20" i="3" s="1"/>
  <c r="E19" i="3"/>
  <c r="G18" i="3"/>
  <c r="Q27" i="1" s="1"/>
  <c r="E18" i="3"/>
  <c r="F18" i="3" s="1"/>
  <c r="P27" i="1" s="1"/>
  <c r="D18" i="3"/>
  <c r="H18" i="3" s="1"/>
  <c r="G17" i="3"/>
  <c r="Q26" i="1" s="1"/>
  <c r="E17" i="3"/>
  <c r="E16" i="3"/>
  <c r="D16" i="3"/>
  <c r="H16" i="3" s="1"/>
  <c r="G15" i="3"/>
  <c r="E15" i="3"/>
  <c r="E14" i="3"/>
  <c r="F14" i="3" s="1"/>
  <c r="P23" i="1" s="1"/>
  <c r="D14" i="3"/>
  <c r="H14" i="3" s="1"/>
  <c r="E13" i="3"/>
  <c r="F13" i="3" s="1"/>
  <c r="P22" i="1" s="1"/>
  <c r="D13" i="3"/>
  <c r="H13" i="3" s="1"/>
  <c r="G12" i="3"/>
  <c r="Q21" i="1" s="1"/>
  <c r="E12" i="3"/>
  <c r="E11" i="3"/>
  <c r="F11" i="3" s="1"/>
  <c r="P20" i="1" s="1"/>
  <c r="D11" i="3"/>
  <c r="H11" i="3" s="1"/>
  <c r="E10" i="3"/>
  <c r="G9" i="3"/>
  <c r="Q18" i="1" s="1"/>
  <c r="E9" i="3"/>
  <c r="F9" i="3" s="1"/>
  <c r="P18" i="1" s="1"/>
  <c r="D9" i="3"/>
  <c r="E8" i="3"/>
  <c r="E7" i="3"/>
  <c r="F7" i="3" s="1"/>
  <c r="P16" i="1" s="1"/>
  <c r="D7" i="3"/>
  <c r="H21" i="3" s="1"/>
  <c r="E2" i="3"/>
  <c r="D21" i="3" s="1"/>
  <c r="N35" i="1"/>
  <c r="N34" i="1"/>
  <c r="Q29" i="1"/>
  <c r="Q24" i="1"/>
  <c r="F8" i="3" l="1"/>
  <c r="P17" i="1" s="1"/>
  <c r="F16" i="3"/>
  <c r="P25" i="1" s="1"/>
  <c r="D19" i="3"/>
  <c r="H19" i="3" s="1"/>
  <c r="D15" i="3"/>
  <c r="H15" i="3" s="1"/>
  <c r="E22" i="3"/>
  <c r="F19" i="3"/>
  <c r="P28" i="1" s="1"/>
  <c r="D8" i="3"/>
  <c r="D10" i="3"/>
  <c r="D12" i="3"/>
  <c r="D17" i="3"/>
  <c r="D23" i="5"/>
  <c r="C23" i="5"/>
  <c r="D30" i="5"/>
  <c r="D38" i="5"/>
  <c r="D46" i="5"/>
  <c r="D54" i="5"/>
  <c r="D62" i="5"/>
  <c r="D70" i="5"/>
  <c r="D78" i="5"/>
  <c r="D86" i="5"/>
  <c r="D94" i="5"/>
  <c r="D102" i="5"/>
  <c r="D110" i="5"/>
  <c r="D118" i="5"/>
  <c r="D126" i="5"/>
  <c r="D134" i="5"/>
  <c r="D142" i="5"/>
  <c r="D150" i="5"/>
  <c r="D158" i="5"/>
  <c r="D166" i="5"/>
  <c r="D174" i="5"/>
  <c r="D182" i="5"/>
  <c r="D190" i="5"/>
  <c r="D198" i="5"/>
  <c r="D206" i="5"/>
  <c r="D214" i="5"/>
  <c r="D222" i="5"/>
  <c r="D230" i="5"/>
  <c r="D238" i="5"/>
  <c r="D246" i="5"/>
  <c r="D254" i="5"/>
  <c r="D262" i="5"/>
  <c r="D270" i="5"/>
  <c r="D278" i="5"/>
  <c r="D286" i="5"/>
  <c r="D294" i="5"/>
  <c r="D302" i="5"/>
  <c r="D310" i="5"/>
  <c r="D318" i="5"/>
  <c r="H8" i="4" s="1"/>
  <c r="D326" i="5"/>
  <c r="H16" i="4" s="1"/>
  <c r="D334" i="5"/>
  <c r="H24" i="4" s="1"/>
  <c r="D342" i="5"/>
  <c r="H32" i="4" s="1"/>
  <c r="D350" i="5"/>
  <c r="H40" i="4" s="1"/>
  <c r="D358" i="5"/>
  <c r="H48" i="4" s="1"/>
  <c r="D62" i="6"/>
  <c r="C62" i="6"/>
  <c r="D75" i="6"/>
  <c r="D87" i="6"/>
  <c r="C76" i="6"/>
  <c r="D110" i="6"/>
  <c r="C110" i="6"/>
  <c r="D122" i="6"/>
  <c r="D115" i="6"/>
  <c r="D127" i="6"/>
  <c r="C116" i="6"/>
  <c r="D142" i="6"/>
  <c r="C142" i="6"/>
  <c r="D154" i="6"/>
  <c r="D147" i="6"/>
  <c r="D159" i="6"/>
  <c r="C148" i="6"/>
  <c r="D217" i="6"/>
  <c r="C217" i="6"/>
  <c r="D252" i="6"/>
  <c r="C252" i="6"/>
  <c r="C9" i="5"/>
  <c r="L2" i="5" s="1"/>
  <c r="D21" i="5"/>
  <c r="C10" i="5"/>
  <c r="D31" i="5"/>
  <c r="C31" i="5"/>
  <c r="D39" i="5"/>
  <c r="C39" i="5"/>
  <c r="D47" i="5"/>
  <c r="C47" i="5"/>
  <c r="D55" i="5"/>
  <c r="C55" i="5"/>
  <c r="D63" i="5"/>
  <c r="C63" i="5"/>
  <c r="D71" i="5"/>
  <c r="C71" i="5"/>
  <c r="D79" i="5"/>
  <c r="C79" i="5"/>
  <c r="D87" i="5"/>
  <c r="C87" i="5"/>
  <c r="D95" i="5"/>
  <c r="C95" i="5"/>
  <c r="D103" i="5"/>
  <c r="C103" i="5"/>
  <c r="D111" i="5"/>
  <c r="C111" i="5"/>
  <c r="D119" i="5"/>
  <c r="C119" i="5"/>
  <c r="D127" i="5"/>
  <c r="C127" i="5"/>
  <c r="D135" i="5"/>
  <c r="C135" i="5"/>
  <c r="D143" i="5"/>
  <c r="C143" i="5"/>
  <c r="D151" i="5"/>
  <c r="C151" i="5"/>
  <c r="D159" i="5"/>
  <c r="C159" i="5"/>
  <c r="D167" i="5"/>
  <c r="C167" i="5"/>
  <c r="D175" i="5"/>
  <c r="C175" i="5"/>
  <c r="D183" i="5"/>
  <c r="C183" i="5"/>
  <c r="D191" i="5"/>
  <c r="C191" i="5"/>
  <c r="D199" i="5"/>
  <c r="C199" i="5"/>
  <c r="D207" i="5"/>
  <c r="C207" i="5"/>
  <c r="D215" i="5"/>
  <c r="C215" i="5"/>
  <c r="D223" i="5"/>
  <c r="C223" i="5"/>
  <c r="D231" i="5"/>
  <c r="C231" i="5"/>
  <c r="D239" i="5"/>
  <c r="C239" i="5"/>
  <c r="D247" i="5"/>
  <c r="C247" i="5"/>
  <c r="D255" i="5"/>
  <c r="C255" i="5"/>
  <c r="D263" i="5"/>
  <c r="C263" i="5"/>
  <c r="D271" i="5"/>
  <c r="C271" i="5"/>
  <c r="D279" i="5"/>
  <c r="C279" i="5"/>
  <c r="D287" i="5"/>
  <c r="C287" i="5"/>
  <c r="D295" i="5"/>
  <c r="C295" i="5"/>
  <c r="D303" i="5"/>
  <c r="C303" i="5"/>
  <c r="D311" i="5"/>
  <c r="C311" i="5"/>
  <c r="D319" i="5"/>
  <c r="H9" i="4" s="1"/>
  <c r="C319" i="5"/>
  <c r="G9" i="4" s="1"/>
  <c r="D327" i="5"/>
  <c r="H17" i="4" s="1"/>
  <c r="C327" i="5"/>
  <c r="G17" i="4" s="1"/>
  <c r="D335" i="5"/>
  <c r="H25" i="4" s="1"/>
  <c r="C335" i="5"/>
  <c r="G25" i="4" s="1"/>
  <c r="D343" i="5"/>
  <c r="H33" i="4" s="1"/>
  <c r="C343" i="5"/>
  <c r="G33" i="4" s="1"/>
  <c r="D351" i="5"/>
  <c r="H41" i="4" s="1"/>
  <c r="C351" i="5"/>
  <c r="G41" i="4" s="1"/>
  <c r="D359" i="5"/>
  <c r="H49" i="4" s="1"/>
  <c r="C359" i="5"/>
  <c r="G49" i="4" s="1"/>
  <c r="D22" i="6"/>
  <c r="C22" i="6"/>
  <c r="D54" i="6"/>
  <c r="C54" i="6"/>
  <c r="D67" i="6"/>
  <c r="D79" i="6"/>
  <c r="C68" i="6"/>
  <c r="D176" i="6"/>
  <c r="C176" i="6"/>
  <c r="C177" i="6"/>
  <c r="D213" i="6"/>
  <c r="C214" i="6"/>
  <c r="D225" i="6"/>
  <c r="D222" i="6"/>
  <c r="D268" i="6"/>
  <c r="C268" i="6"/>
  <c r="D20" i="5"/>
  <c r="C21" i="5"/>
  <c r="C32" i="5"/>
  <c r="C40" i="5"/>
  <c r="D43" i="5"/>
  <c r="C48" i="5"/>
  <c r="D51" i="5"/>
  <c r="C56" i="5"/>
  <c r="D59" i="5"/>
  <c r="C64" i="5"/>
  <c r="D67" i="5"/>
  <c r="C72" i="5"/>
  <c r="D75" i="5"/>
  <c r="C80" i="5"/>
  <c r="D83" i="5"/>
  <c r="C88" i="5"/>
  <c r="D91" i="5"/>
  <c r="C96" i="5"/>
  <c r="D99" i="5"/>
  <c r="C104" i="5"/>
  <c r="D107" i="5"/>
  <c r="C112" i="5"/>
  <c r="D115" i="5"/>
  <c r="C120" i="5"/>
  <c r="D123" i="5"/>
  <c r="C128" i="5"/>
  <c r="D131" i="5"/>
  <c r="C136" i="5"/>
  <c r="D139" i="5"/>
  <c r="C144" i="5"/>
  <c r="D147" i="5"/>
  <c r="C152" i="5"/>
  <c r="D155" i="5"/>
  <c r="C160" i="5"/>
  <c r="D163" i="5"/>
  <c r="C168" i="5"/>
  <c r="D171" i="5"/>
  <c r="C176" i="5"/>
  <c r="D179" i="5"/>
  <c r="C184" i="5"/>
  <c r="D187" i="5"/>
  <c r="C192" i="5"/>
  <c r="D195" i="5"/>
  <c r="C200" i="5"/>
  <c r="D203" i="5"/>
  <c r="C208" i="5"/>
  <c r="D211" i="5"/>
  <c r="C216" i="5"/>
  <c r="D219" i="5"/>
  <c r="C224" i="5"/>
  <c r="D227" i="5"/>
  <c r="C232" i="5"/>
  <c r="D235" i="5"/>
  <c r="C240" i="5"/>
  <c r="D243" i="5"/>
  <c r="C248" i="5"/>
  <c r="D251" i="5"/>
  <c r="C256" i="5"/>
  <c r="D259" i="5"/>
  <c r="C264" i="5"/>
  <c r="D267" i="5"/>
  <c r="C272" i="5"/>
  <c r="D275" i="5"/>
  <c r="C280" i="5"/>
  <c r="D283" i="5"/>
  <c r="C288" i="5"/>
  <c r="D291" i="5"/>
  <c r="C296" i="5"/>
  <c r="D299" i="5"/>
  <c r="C304" i="5"/>
  <c r="D307" i="5"/>
  <c r="C312" i="5"/>
  <c r="D315" i="5"/>
  <c r="H5" i="4" s="1"/>
  <c r="C320" i="5"/>
  <c r="G10" i="4" s="1"/>
  <c r="D323" i="5"/>
  <c r="H13" i="4" s="1"/>
  <c r="C328" i="5"/>
  <c r="G18" i="4" s="1"/>
  <c r="D331" i="5"/>
  <c r="H21" i="4" s="1"/>
  <c r="C336" i="5"/>
  <c r="G26" i="4" s="1"/>
  <c r="D339" i="5"/>
  <c r="H29" i="4" s="1"/>
  <c r="C344" i="5"/>
  <c r="G34" i="4" s="1"/>
  <c r="D347" i="5"/>
  <c r="H37" i="4" s="1"/>
  <c r="D355" i="5"/>
  <c r="H45" i="4" s="1"/>
  <c r="D19" i="6"/>
  <c r="C20" i="6"/>
  <c r="D26" i="6"/>
  <c r="D30" i="6"/>
  <c r="C30" i="6"/>
  <c r="D38" i="6"/>
  <c r="C38" i="6"/>
  <c r="D46" i="6"/>
  <c r="C46" i="6"/>
  <c r="D50" i="6"/>
  <c r="D59" i="6"/>
  <c r="D71" i="6"/>
  <c r="C60" i="6"/>
  <c r="D102" i="6"/>
  <c r="C102" i="6"/>
  <c r="D114" i="6"/>
  <c r="D107" i="6"/>
  <c r="D119" i="6"/>
  <c r="C108" i="6"/>
  <c r="D134" i="6"/>
  <c r="C134" i="6"/>
  <c r="D146" i="6"/>
  <c r="D139" i="6"/>
  <c r="D151" i="6"/>
  <c r="C140" i="6"/>
  <c r="D153" i="6"/>
  <c r="C153" i="6"/>
  <c r="D165" i="6"/>
  <c r="D173" i="6"/>
  <c r="C174" i="6"/>
  <c r="D185" i="6"/>
  <c r="C185" i="6"/>
  <c r="D204" i="6"/>
  <c r="C204" i="6"/>
  <c r="D223" i="6"/>
  <c r="C223" i="6"/>
  <c r="D235" i="6"/>
  <c r="D284" i="6"/>
  <c r="C284" i="6"/>
  <c r="D313" i="6"/>
  <c r="C313" i="6"/>
  <c r="D28" i="5"/>
  <c r="C29" i="5"/>
  <c r="D36" i="5"/>
  <c r="C37" i="5"/>
  <c r="D40" i="5"/>
  <c r="D44" i="5"/>
  <c r="C45" i="5"/>
  <c r="D48" i="5"/>
  <c r="D52" i="5"/>
  <c r="C53" i="5"/>
  <c r="D56" i="5"/>
  <c r="D60" i="5"/>
  <c r="C61" i="5"/>
  <c r="D64" i="5"/>
  <c r="D68" i="5"/>
  <c r="C69" i="5"/>
  <c r="D72" i="5"/>
  <c r="D76" i="5"/>
  <c r="C77" i="5"/>
  <c r="D80" i="5"/>
  <c r="D84" i="5"/>
  <c r="C85" i="5"/>
  <c r="D88" i="5"/>
  <c r="D92" i="5"/>
  <c r="C93" i="5"/>
  <c r="D96" i="5"/>
  <c r="D100" i="5"/>
  <c r="C101" i="5"/>
  <c r="D104" i="5"/>
  <c r="D108" i="5"/>
  <c r="C109" i="5"/>
  <c r="D112" i="5"/>
  <c r="D116" i="5"/>
  <c r="C117" i="5"/>
  <c r="D120" i="5"/>
  <c r="D124" i="5"/>
  <c r="C125" i="5"/>
  <c r="D128" i="5"/>
  <c r="D132" i="5"/>
  <c r="C133" i="5"/>
  <c r="D136" i="5"/>
  <c r="D140" i="5"/>
  <c r="C141" i="5"/>
  <c r="D144" i="5"/>
  <c r="D148" i="5"/>
  <c r="C149" i="5"/>
  <c r="D152" i="5"/>
  <c r="D156" i="5"/>
  <c r="C157" i="5"/>
  <c r="D160" i="5"/>
  <c r="D164" i="5"/>
  <c r="C165" i="5"/>
  <c r="D168" i="5"/>
  <c r="D172" i="5"/>
  <c r="C173" i="5"/>
  <c r="D176" i="5"/>
  <c r="D180" i="5"/>
  <c r="C181" i="5"/>
  <c r="D184" i="5"/>
  <c r="D188" i="5"/>
  <c r="C189" i="5"/>
  <c r="D192" i="5"/>
  <c r="D196" i="5"/>
  <c r="C197" i="5"/>
  <c r="D200" i="5"/>
  <c r="D204" i="5"/>
  <c r="C205" i="5"/>
  <c r="D208" i="5"/>
  <c r="D212" i="5"/>
  <c r="C213" i="5"/>
  <c r="D216" i="5"/>
  <c r="D220" i="5"/>
  <c r="C221" i="5"/>
  <c r="D224" i="5"/>
  <c r="D228" i="5"/>
  <c r="C229" i="5"/>
  <c r="D232" i="5"/>
  <c r="D236" i="5"/>
  <c r="C237" i="5"/>
  <c r="D240" i="5"/>
  <c r="D244" i="5"/>
  <c r="C245" i="5"/>
  <c r="D248" i="5"/>
  <c r="D252" i="5"/>
  <c r="C253" i="5"/>
  <c r="D256" i="5"/>
  <c r="D260" i="5"/>
  <c r="C261" i="5"/>
  <c r="D264" i="5"/>
  <c r="D268" i="5"/>
  <c r="C269" i="5"/>
  <c r="D272" i="5"/>
  <c r="D276" i="5"/>
  <c r="C277" i="5"/>
  <c r="D280" i="5"/>
  <c r="D284" i="5"/>
  <c r="C285" i="5"/>
  <c r="D288" i="5"/>
  <c r="D292" i="5"/>
  <c r="C293" i="5"/>
  <c r="D296" i="5"/>
  <c r="D300" i="5"/>
  <c r="C301" i="5"/>
  <c r="D304" i="5"/>
  <c r="D308" i="5"/>
  <c r="C309" i="5"/>
  <c r="D312" i="5"/>
  <c r="D316" i="5"/>
  <c r="H6" i="4" s="1"/>
  <c r="C317" i="5"/>
  <c r="G7" i="4" s="1"/>
  <c r="D320" i="5"/>
  <c r="H10" i="4" s="1"/>
  <c r="D324" i="5"/>
  <c r="H14" i="4" s="1"/>
  <c r="C325" i="5"/>
  <c r="G15" i="4" s="1"/>
  <c r="D328" i="5"/>
  <c r="H18" i="4" s="1"/>
  <c r="D332" i="5"/>
  <c r="H22" i="4" s="1"/>
  <c r="C333" i="5"/>
  <c r="G23" i="4" s="1"/>
  <c r="D336" i="5"/>
  <c r="H26" i="4" s="1"/>
  <c r="D340" i="5"/>
  <c r="H30" i="4" s="1"/>
  <c r="C341" i="5"/>
  <c r="G31" i="4" s="1"/>
  <c r="D344" i="5"/>
  <c r="H34" i="4" s="1"/>
  <c r="D348" i="5"/>
  <c r="H38" i="4" s="1"/>
  <c r="C349" i="5"/>
  <c r="G39" i="4" s="1"/>
  <c r="D352" i="5"/>
  <c r="H42" i="4" s="1"/>
  <c r="D356" i="5"/>
  <c r="H46" i="4" s="1"/>
  <c r="C357" i="5"/>
  <c r="G47" i="4" s="1"/>
  <c r="D360" i="5"/>
  <c r="H50" i="4" s="1"/>
  <c r="D364" i="5"/>
  <c r="H54" i="4" s="1"/>
  <c r="C365" i="5"/>
  <c r="G55" i="4" s="1"/>
  <c r="C19" i="6"/>
  <c r="D27" i="6"/>
  <c r="C28" i="6"/>
  <c r="C31" i="6"/>
  <c r="D34" i="6"/>
  <c r="C39" i="6"/>
  <c r="D42" i="6"/>
  <c r="C47" i="6"/>
  <c r="D51" i="6"/>
  <c r="D63" i="6"/>
  <c r="C52" i="6"/>
  <c r="C59" i="6"/>
  <c r="C64" i="6"/>
  <c r="D72" i="6"/>
  <c r="C103" i="6"/>
  <c r="C107" i="6"/>
  <c r="C135" i="6"/>
  <c r="C139" i="6"/>
  <c r="C154" i="6"/>
  <c r="D182" i="6"/>
  <c r="D170" i="6"/>
  <c r="C173" i="6"/>
  <c r="C186" i="6"/>
  <c r="D233" i="6"/>
  <c r="C233" i="6"/>
  <c r="D239" i="6"/>
  <c r="C239" i="6"/>
  <c r="D251" i="6"/>
  <c r="D300" i="6"/>
  <c r="C300" i="6"/>
  <c r="C314" i="6"/>
  <c r="C4" i="4" s="1"/>
  <c r="D31" i="6"/>
  <c r="D35" i="6"/>
  <c r="D47" i="6"/>
  <c r="C36" i="6"/>
  <c r="D43" i="6"/>
  <c r="D55" i="6"/>
  <c r="C44" i="6"/>
  <c r="D64" i="6"/>
  <c r="D94" i="6"/>
  <c r="C94" i="6"/>
  <c r="D106" i="6"/>
  <c r="D99" i="6"/>
  <c r="D111" i="6"/>
  <c r="C100" i="6"/>
  <c r="D126" i="6"/>
  <c r="C126" i="6"/>
  <c r="D138" i="6"/>
  <c r="D131" i="6"/>
  <c r="D143" i="6"/>
  <c r="C132" i="6"/>
  <c r="D191" i="6"/>
  <c r="C191" i="6"/>
  <c r="D200" i="6"/>
  <c r="C200" i="6"/>
  <c r="D212" i="6"/>
  <c r="C210" i="6"/>
  <c r="D249" i="6"/>
  <c r="C249" i="6"/>
  <c r="D255" i="6"/>
  <c r="C255" i="6"/>
  <c r="D267" i="6"/>
  <c r="C17" i="5"/>
  <c r="D29" i="5"/>
  <c r="C18" i="5"/>
  <c r="D25" i="5"/>
  <c r="C33" i="5"/>
  <c r="C41" i="5"/>
  <c r="C49" i="5"/>
  <c r="C57" i="5"/>
  <c r="C65" i="5"/>
  <c r="C73" i="5"/>
  <c r="C81" i="5"/>
  <c r="C89" i="5"/>
  <c r="C97" i="5"/>
  <c r="C105" i="5"/>
  <c r="C113" i="5"/>
  <c r="C121" i="5"/>
  <c r="C129" i="5"/>
  <c r="C137" i="5"/>
  <c r="C145" i="5"/>
  <c r="C153" i="5"/>
  <c r="C161" i="5"/>
  <c r="C169" i="5"/>
  <c r="C177" i="5"/>
  <c r="C185" i="5"/>
  <c r="C193" i="5"/>
  <c r="C201" i="5"/>
  <c r="C209" i="5"/>
  <c r="C217" i="5"/>
  <c r="C225" i="5"/>
  <c r="C233" i="5"/>
  <c r="C241" i="5"/>
  <c r="C249" i="5"/>
  <c r="C257" i="5"/>
  <c r="C265" i="5"/>
  <c r="C273" i="5"/>
  <c r="C281" i="5"/>
  <c r="C289" i="5"/>
  <c r="C297" i="5"/>
  <c r="C305" i="5"/>
  <c r="C313" i="5"/>
  <c r="C321" i="5"/>
  <c r="G11" i="4" s="1"/>
  <c r="C329" i="5"/>
  <c r="G19" i="4" s="1"/>
  <c r="C337" i="5"/>
  <c r="G27" i="4" s="1"/>
  <c r="C345" i="5"/>
  <c r="G35" i="4" s="1"/>
  <c r="C353" i="5"/>
  <c r="G43" i="4" s="1"/>
  <c r="C361" i="5"/>
  <c r="G51" i="4" s="1"/>
  <c r="C24" i="6"/>
  <c r="C35" i="6"/>
  <c r="C43" i="6"/>
  <c r="C48" i="6"/>
  <c r="D56" i="6"/>
  <c r="C65" i="6"/>
  <c r="D86" i="6"/>
  <c r="C86" i="6"/>
  <c r="D98" i="6"/>
  <c r="C95" i="6"/>
  <c r="C99" i="6"/>
  <c r="C127" i="6"/>
  <c r="C131" i="6"/>
  <c r="D167" i="6"/>
  <c r="C168" i="6"/>
  <c r="D201" i="6"/>
  <c r="C201" i="6"/>
  <c r="D220" i="6"/>
  <c r="C220" i="6"/>
  <c r="C250" i="6"/>
  <c r="D265" i="6"/>
  <c r="C265" i="6"/>
  <c r="D271" i="6"/>
  <c r="C271" i="6"/>
  <c r="D283" i="6"/>
  <c r="C26" i="5"/>
  <c r="D33" i="5"/>
  <c r="D41" i="5"/>
  <c r="D49" i="5"/>
  <c r="D57" i="5"/>
  <c r="D65" i="5"/>
  <c r="D73" i="5"/>
  <c r="D81" i="5"/>
  <c r="D89" i="5"/>
  <c r="D97" i="5"/>
  <c r="D105" i="5"/>
  <c r="D113" i="5"/>
  <c r="D121" i="5"/>
  <c r="D129" i="5"/>
  <c r="D137" i="5"/>
  <c r="D145" i="5"/>
  <c r="D153" i="5"/>
  <c r="D161" i="5"/>
  <c r="D169" i="5"/>
  <c r="D177" i="5"/>
  <c r="D185" i="5"/>
  <c r="D193" i="5"/>
  <c r="D201" i="5"/>
  <c r="D209" i="5"/>
  <c r="D217" i="5"/>
  <c r="D225" i="5"/>
  <c r="D233" i="5"/>
  <c r="D241" i="5"/>
  <c r="D249" i="5"/>
  <c r="D257" i="5"/>
  <c r="D265" i="5"/>
  <c r="D273" i="5"/>
  <c r="D281" i="5"/>
  <c r="D289" i="5"/>
  <c r="D297" i="5"/>
  <c r="D305" i="5"/>
  <c r="D313" i="5"/>
  <c r="D321" i="5"/>
  <c r="H11" i="4" s="1"/>
  <c r="D329" i="5"/>
  <c r="H19" i="4" s="1"/>
  <c r="D337" i="5"/>
  <c r="H27" i="4" s="1"/>
  <c r="D345" i="5"/>
  <c r="H35" i="4" s="1"/>
  <c r="D353" i="5"/>
  <c r="H43" i="4" s="1"/>
  <c r="C16" i="6"/>
  <c r="D24" i="6"/>
  <c r="C32" i="6"/>
  <c r="C40" i="6"/>
  <c r="D48" i="6"/>
  <c r="C57" i="6"/>
  <c r="D78" i="6"/>
  <c r="C78" i="6"/>
  <c r="C87" i="6"/>
  <c r="D91" i="6"/>
  <c r="D103" i="6"/>
  <c r="C92" i="6"/>
  <c r="D118" i="6"/>
  <c r="C118" i="6"/>
  <c r="D130" i="6"/>
  <c r="D123" i="6"/>
  <c r="D135" i="6"/>
  <c r="C124" i="6"/>
  <c r="D156" i="6"/>
  <c r="C156" i="6"/>
  <c r="C167" i="6"/>
  <c r="D197" i="6"/>
  <c r="C198" i="6"/>
  <c r="D209" i="6"/>
  <c r="C202" i="6"/>
  <c r="D206" i="6"/>
  <c r="D226" i="6"/>
  <c r="D238" i="6"/>
  <c r="C266" i="6"/>
  <c r="D281" i="6"/>
  <c r="C281" i="6"/>
  <c r="D287" i="6"/>
  <c r="C287" i="6"/>
  <c r="D299" i="6"/>
  <c r="C13" i="5"/>
  <c r="C14" i="5"/>
  <c r="D22" i="5"/>
  <c r="M2" i="5" s="1"/>
  <c r="C30" i="5"/>
  <c r="C34" i="5"/>
  <c r="C38" i="5"/>
  <c r="C42" i="5"/>
  <c r="C46" i="5"/>
  <c r="C50" i="5"/>
  <c r="C54" i="5"/>
  <c r="C58" i="5"/>
  <c r="C62" i="5"/>
  <c r="C66" i="5"/>
  <c r="C70" i="5"/>
  <c r="C74" i="5"/>
  <c r="C78" i="5"/>
  <c r="C82" i="5"/>
  <c r="C86" i="5"/>
  <c r="C90" i="5"/>
  <c r="C94" i="5"/>
  <c r="C98" i="5"/>
  <c r="C102" i="5"/>
  <c r="C106" i="5"/>
  <c r="C110" i="5"/>
  <c r="C114" i="5"/>
  <c r="C118" i="5"/>
  <c r="C122" i="5"/>
  <c r="C126" i="5"/>
  <c r="C130" i="5"/>
  <c r="C134" i="5"/>
  <c r="C138" i="5"/>
  <c r="C142" i="5"/>
  <c r="C146" i="5"/>
  <c r="C150" i="5"/>
  <c r="C154" i="5"/>
  <c r="C158" i="5"/>
  <c r="C162" i="5"/>
  <c r="C166" i="5"/>
  <c r="C170" i="5"/>
  <c r="C174" i="5"/>
  <c r="C178" i="5"/>
  <c r="C182" i="5"/>
  <c r="C186" i="5"/>
  <c r="C190" i="5"/>
  <c r="C194" i="5"/>
  <c r="C198" i="5"/>
  <c r="C202" i="5"/>
  <c r="C206" i="5"/>
  <c r="C210" i="5"/>
  <c r="C214" i="5"/>
  <c r="C218" i="5"/>
  <c r="C222" i="5"/>
  <c r="C226" i="5"/>
  <c r="C230" i="5"/>
  <c r="C234" i="5"/>
  <c r="C238" i="5"/>
  <c r="C242" i="5"/>
  <c r="C246" i="5"/>
  <c r="C250" i="5"/>
  <c r="C254" i="5"/>
  <c r="C258" i="5"/>
  <c r="C262" i="5"/>
  <c r="C266" i="5"/>
  <c r="C270" i="5"/>
  <c r="C274" i="5"/>
  <c r="C278" i="5"/>
  <c r="C282" i="5"/>
  <c r="C286" i="5"/>
  <c r="C290" i="5"/>
  <c r="C294" i="5"/>
  <c r="C298" i="5"/>
  <c r="C302" i="5"/>
  <c r="C306" i="5"/>
  <c r="C310" i="5"/>
  <c r="C314" i="5"/>
  <c r="G4" i="4" s="1"/>
  <c r="C318" i="5"/>
  <c r="G8" i="4" s="1"/>
  <c r="C322" i="5"/>
  <c r="G12" i="4" s="1"/>
  <c r="C326" i="5"/>
  <c r="G16" i="4" s="1"/>
  <c r="C330" i="5"/>
  <c r="G20" i="4" s="1"/>
  <c r="C334" i="5"/>
  <c r="G24" i="4" s="1"/>
  <c r="C338" i="5"/>
  <c r="G28" i="4" s="1"/>
  <c r="C342" i="5"/>
  <c r="G32" i="4" s="1"/>
  <c r="C346" i="5"/>
  <c r="G36" i="4" s="1"/>
  <c r="C350" i="5"/>
  <c r="G40" i="4" s="1"/>
  <c r="C354" i="5"/>
  <c r="G44" i="4" s="1"/>
  <c r="C362" i="5"/>
  <c r="G52" i="4" s="1"/>
  <c r="C21" i="6"/>
  <c r="C25" i="6"/>
  <c r="D32" i="6"/>
  <c r="D40" i="6"/>
  <c r="C49" i="6"/>
  <c r="D70" i="6"/>
  <c r="C70" i="6"/>
  <c r="D74" i="6"/>
  <c r="C79" i="6"/>
  <c r="D83" i="6"/>
  <c r="D95" i="6"/>
  <c r="C84" i="6"/>
  <c r="C91" i="6"/>
  <c r="C119" i="6"/>
  <c r="C123" i="6"/>
  <c r="C157" i="6"/>
  <c r="C179" i="6"/>
  <c r="D179" i="6"/>
  <c r="C180" i="6"/>
  <c r="D188" i="6"/>
  <c r="C188" i="6"/>
  <c r="C197" i="6"/>
  <c r="D207" i="6"/>
  <c r="C207" i="6"/>
  <c r="D216" i="6"/>
  <c r="C216" i="6"/>
  <c r="D228" i="6"/>
  <c r="C226" i="6"/>
  <c r="D236" i="6"/>
  <c r="C236" i="6"/>
  <c r="C282" i="6"/>
  <c r="D297" i="6"/>
  <c r="C297" i="6"/>
  <c r="D303" i="6"/>
  <c r="C303" i="6"/>
  <c r="D315" i="6"/>
  <c r="D5" i="4" s="1"/>
  <c r="D25" i="6"/>
  <c r="D192" i="6"/>
  <c r="C192" i="6"/>
  <c r="D195" i="6"/>
  <c r="D198" i="6"/>
  <c r="D208" i="6"/>
  <c r="C208" i="6"/>
  <c r="D214" i="6"/>
  <c r="D224" i="6"/>
  <c r="C224" i="6"/>
  <c r="D230" i="6"/>
  <c r="D240" i="6"/>
  <c r="C240" i="6"/>
  <c r="D246" i="6"/>
  <c r="D256" i="6"/>
  <c r="C256" i="6"/>
  <c r="D262" i="6"/>
  <c r="D272" i="6"/>
  <c r="C272" i="6"/>
  <c r="D278" i="6"/>
  <c r="D288" i="6"/>
  <c r="C288" i="6"/>
  <c r="D294" i="6"/>
  <c r="D304" i="6"/>
  <c r="C304" i="6"/>
  <c r="D310" i="6"/>
  <c r="D320" i="6"/>
  <c r="D10" i="4" s="1"/>
  <c r="C320" i="6"/>
  <c r="C10" i="4" s="1"/>
  <c r="D326" i="6"/>
  <c r="D16" i="4" s="1"/>
  <c r="D336" i="6"/>
  <c r="D26" i="4" s="1"/>
  <c r="C336" i="6"/>
  <c r="C26" i="4" s="1"/>
  <c r="D342" i="6"/>
  <c r="D32" i="4" s="1"/>
  <c r="D366" i="6"/>
  <c r="D20" i="7"/>
  <c r="C20" i="7"/>
  <c r="D34" i="7"/>
  <c r="C41" i="7"/>
  <c r="D52" i="7"/>
  <c r="C52" i="7"/>
  <c r="D66" i="7"/>
  <c r="C73" i="7"/>
  <c r="D84" i="7"/>
  <c r="C84" i="7"/>
  <c r="C247" i="7"/>
  <c r="D256" i="7"/>
  <c r="C256" i="7"/>
  <c r="C257" i="7"/>
  <c r="D267" i="7"/>
  <c r="D279" i="7"/>
  <c r="D322" i="7"/>
  <c r="F12" i="4" s="1"/>
  <c r="D349" i="7"/>
  <c r="F39" i="4" s="1"/>
  <c r="C349" i="7"/>
  <c r="E39" i="4" s="1"/>
  <c r="C358" i="7"/>
  <c r="E48" i="4" s="1"/>
  <c r="D358" i="7"/>
  <c r="F48" i="4" s="1"/>
  <c r="D38" i="8"/>
  <c r="C38" i="8"/>
  <c r="D83" i="8"/>
  <c r="C117" i="8"/>
  <c r="D117" i="8"/>
  <c r="D145" i="8"/>
  <c r="C145" i="8"/>
  <c r="D157" i="8"/>
  <c r="C146" i="8"/>
  <c r="D166" i="8"/>
  <c r="C166" i="8"/>
  <c r="C290" i="8"/>
  <c r="D301" i="8"/>
  <c r="D289" i="8"/>
  <c r="C289" i="8"/>
  <c r="C189" i="6"/>
  <c r="C205" i="6"/>
  <c r="C221" i="6"/>
  <c r="C237" i="6"/>
  <c r="C253" i="6"/>
  <c r="C269" i="6"/>
  <c r="C285" i="6"/>
  <c r="C301" i="6"/>
  <c r="C317" i="6"/>
  <c r="C7" i="4" s="1"/>
  <c r="C333" i="6"/>
  <c r="C23" i="4" s="1"/>
  <c r="C346" i="6"/>
  <c r="C36" i="4" s="1"/>
  <c r="C349" i="6"/>
  <c r="C39" i="4" s="1"/>
  <c r="D363" i="6"/>
  <c r="D53" i="4" s="1"/>
  <c r="D27" i="7"/>
  <c r="D31" i="7"/>
  <c r="D45" i="7"/>
  <c r="D63" i="7"/>
  <c r="D77" i="7"/>
  <c r="D95" i="7"/>
  <c r="D111" i="7"/>
  <c r="D119" i="7"/>
  <c r="D127" i="7"/>
  <c r="D135" i="7"/>
  <c r="D143" i="7"/>
  <c r="D151" i="7"/>
  <c r="D159" i="7"/>
  <c r="D167" i="7"/>
  <c r="D175" i="7"/>
  <c r="D183" i="7"/>
  <c r="D191" i="7"/>
  <c r="D199" i="7"/>
  <c r="D207" i="7"/>
  <c r="D215" i="7"/>
  <c r="D223" i="7"/>
  <c r="D231" i="7"/>
  <c r="D239" i="7"/>
  <c r="C243" i="7"/>
  <c r="C267" i="7"/>
  <c r="C275" i="7"/>
  <c r="C279" i="7"/>
  <c r="D287" i="7"/>
  <c r="D302" i="7"/>
  <c r="D314" i="7"/>
  <c r="F4" i="4" s="1"/>
  <c r="C314" i="7"/>
  <c r="E4" i="4" s="1"/>
  <c r="C315" i="7"/>
  <c r="E5" i="4" s="1"/>
  <c r="D323" i="7"/>
  <c r="F13" i="4" s="1"/>
  <c r="C323" i="7"/>
  <c r="E13" i="4" s="1"/>
  <c r="D335" i="7"/>
  <c r="F25" i="4" s="1"/>
  <c r="C333" i="7"/>
  <c r="E23" i="4" s="1"/>
  <c r="D44" i="8"/>
  <c r="D56" i="8"/>
  <c r="D97" i="8"/>
  <c r="D105" i="8"/>
  <c r="D131" i="8"/>
  <c r="C131" i="8"/>
  <c r="D143" i="8"/>
  <c r="C132" i="8"/>
  <c r="C141" i="8"/>
  <c r="D153" i="8"/>
  <c r="C162" i="8"/>
  <c r="D161" i="8"/>
  <c r="D172" i="8"/>
  <c r="D184" i="8"/>
  <c r="C172" i="8"/>
  <c r="D360" i="6"/>
  <c r="D50" i="4" s="1"/>
  <c r="D28" i="7"/>
  <c r="C28" i="7"/>
  <c r="D60" i="7"/>
  <c r="C60" i="7"/>
  <c r="D92" i="7"/>
  <c r="C92" i="7"/>
  <c r="D265" i="7"/>
  <c r="D253" i="7"/>
  <c r="C253" i="7"/>
  <c r="D288" i="7"/>
  <c r="C288" i="7"/>
  <c r="C289" i="7"/>
  <c r="D311" i="7"/>
  <c r="D319" i="7"/>
  <c r="F9" i="4" s="1"/>
  <c r="D324" i="7"/>
  <c r="F14" i="4" s="1"/>
  <c r="C324" i="7"/>
  <c r="E14" i="4" s="1"/>
  <c r="C325" i="7"/>
  <c r="E15" i="4" s="1"/>
  <c r="D20" i="8"/>
  <c r="C20" i="8"/>
  <c r="D32" i="8"/>
  <c r="D76" i="8"/>
  <c r="D88" i="8"/>
  <c r="C76" i="8"/>
  <c r="D124" i="8"/>
  <c r="D136" i="8"/>
  <c r="C151" i="8"/>
  <c r="C152" i="8"/>
  <c r="D163" i="8"/>
  <c r="C173" i="8"/>
  <c r="D173" i="8"/>
  <c r="D185" i="8"/>
  <c r="C183" i="8"/>
  <c r="C184" i="8"/>
  <c r="D183" i="8"/>
  <c r="D195" i="8"/>
  <c r="D267" i="8"/>
  <c r="C268" i="8"/>
  <c r="C267" i="8"/>
  <c r="D300" i="8"/>
  <c r="C300" i="8"/>
  <c r="D312" i="8"/>
  <c r="D196" i="6"/>
  <c r="D241" i="6"/>
  <c r="D357" i="6"/>
  <c r="D47" i="4" s="1"/>
  <c r="C357" i="6"/>
  <c r="C47" i="4" s="1"/>
  <c r="D100" i="7"/>
  <c r="C100" i="7"/>
  <c r="C101" i="7"/>
  <c r="D108" i="7"/>
  <c r="C108" i="7"/>
  <c r="C109" i="7"/>
  <c r="D116" i="7"/>
  <c r="C116" i="7"/>
  <c r="C117" i="7"/>
  <c r="D124" i="7"/>
  <c r="C124" i="7"/>
  <c r="C125" i="7"/>
  <c r="D132" i="7"/>
  <c r="C132" i="7"/>
  <c r="C133" i="7"/>
  <c r="D140" i="7"/>
  <c r="C140" i="7"/>
  <c r="C141" i="7"/>
  <c r="D148" i="7"/>
  <c r="C148" i="7"/>
  <c r="C149" i="7"/>
  <c r="D156" i="7"/>
  <c r="C156" i="7"/>
  <c r="C157" i="7"/>
  <c r="D164" i="7"/>
  <c r="C164" i="7"/>
  <c r="C165" i="7"/>
  <c r="D172" i="7"/>
  <c r="C172" i="7"/>
  <c r="C173" i="7"/>
  <c r="D180" i="7"/>
  <c r="C180" i="7"/>
  <c r="C181" i="7"/>
  <c r="D188" i="7"/>
  <c r="C188" i="7"/>
  <c r="C189" i="7"/>
  <c r="D196" i="7"/>
  <c r="C196" i="7"/>
  <c r="C197" i="7"/>
  <c r="D204" i="7"/>
  <c r="C204" i="7"/>
  <c r="C205" i="7"/>
  <c r="D212" i="7"/>
  <c r="C212" i="7"/>
  <c r="C213" i="7"/>
  <c r="D220" i="7"/>
  <c r="C220" i="7"/>
  <c r="C221" i="7"/>
  <c r="D228" i="7"/>
  <c r="C228" i="7"/>
  <c r="C229" i="7"/>
  <c r="D236" i="7"/>
  <c r="C236" i="7"/>
  <c r="D248" i="7"/>
  <c r="C237" i="7"/>
  <c r="C244" i="7"/>
  <c r="C261" i="7"/>
  <c r="C276" i="7"/>
  <c r="C299" i="7"/>
  <c r="C307" i="7"/>
  <c r="C311" i="7"/>
  <c r="D320" i="7"/>
  <c r="F10" i="4" s="1"/>
  <c r="C321" i="7"/>
  <c r="E11" i="4" s="1"/>
  <c r="D342" i="7"/>
  <c r="F32" i="4" s="1"/>
  <c r="D354" i="7"/>
  <c r="F44" i="4" s="1"/>
  <c r="C30" i="8"/>
  <c r="C45" i="8"/>
  <c r="D45" i="8"/>
  <c r="C85" i="8"/>
  <c r="D85" i="8"/>
  <c r="C124" i="8"/>
  <c r="C133" i="8"/>
  <c r="D133" i="8"/>
  <c r="C137" i="8"/>
  <c r="D142" i="8"/>
  <c r="C142" i="8"/>
  <c r="C147" i="8"/>
  <c r="D151" i="8"/>
  <c r="C174" i="8"/>
  <c r="D232" i="6"/>
  <c r="C232" i="6"/>
  <c r="D245" i="6"/>
  <c r="D248" i="6"/>
  <c r="C248" i="6"/>
  <c r="D254" i="6"/>
  <c r="D261" i="6"/>
  <c r="D264" i="6"/>
  <c r="C264" i="6"/>
  <c r="D270" i="6"/>
  <c r="D277" i="6"/>
  <c r="D280" i="6"/>
  <c r="C280" i="6"/>
  <c r="D286" i="6"/>
  <c r="D293" i="6"/>
  <c r="D296" i="6"/>
  <c r="C296" i="6"/>
  <c r="D302" i="6"/>
  <c r="D309" i="6"/>
  <c r="D312" i="6"/>
  <c r="C312" i="6"/>
  <c r="D318" i="6"/>
  <c r="D8" i="4" s="1"/>
  <c r="D325" i="6"/>
  <c r="D15" i="4" s="1"/>
  <c r="D328" i="6"/>
  <c r="D18" i="4" s="1"/>
  <c r="C328" i="6"/>
  <c r="C18" i="4" s="1"/>
  <c r="D331" i="6"/>
  <c r="D21" i="4" s="1"/>
  <c r="D334" i="6"/>
  <c r="D24" i="4" s="1"/>
  <c r="D341" i="6"/>
  <c r="D31" i="4" s="1"/>
  <c r="D344" i="6"/>
  <c r="D34" i="4" s="1"/>
  <c r="C344" i="6"/>
  <c r="C34" i="4" s="1"/>
  <c r="D347" i="6"/>
  <c r="D37" i="4" s="1"/>
  <c r="D350" i="6"/>
  <c r="D40" i="4" s="1"/>
  <c r="C9" i="7"/>
  <c r="C25" i="7"/>
  <c r="C29" i="7"/>
  <c r="D36" i="7"/>
  <c r="C36" i="7"/>
  <c r="D46" i="7"/>
  <c r="C57" i="7"/>
  <c r="C61" i="7"/>
  <c r="D68" i="7"/>
  <c r="C68" i="7"/>
  <c r="D78" i="7"/>
  <c r="C89" i="7"/>
  <c r="C93" i="7"/>
  <c r="D104" i="7"/>
  <c r="D112" i="7"/>
  <c r="D120" i="7"/>
  <c r="D128" i="7"/>
  <c r="D136" i="7"/>
  <c r="D144" i="7"/>
  <c r="D152" i="7"/>
  <c r="D160" i="7"/>
  <c r="D168" i="7"/>
  <c r="D176" i="7"/>
  <c r="D184" i="7"/>
  <c r="D192" i="7"/>
  <c r="D200" i="7"/>
  <c r="D208" i="7"/>
  <c r="D216" i="7"/>
  <c r="D224" i="7"/>
  <c r="D232" i="7"/>
  <c r="D240" i="7"/>
  <c r="C245" i="7"/>
  <c r="D261" i="7"/>
  <c r="C277" i="7"/>
  <c r="D297" i="7"/>
  <c r="D285" i="7"/>
  <c r="C285" i="7"/>
  <c r="C296" i="7"/>
  <c r="D300" i="7"/>
  <c r="D308" i="7"/>
  <c r="C312" i="7"/>
  <c r="C316" i="7"/>
  <c r="E6" i="4" s="1"/>
  <c r="D343" i="7"/>
  <c r="F33" i="4" s="1"/>
  <c r="C343" i="7"/>
  <c r="E33" i="4" s="1"/>
  <c r="C344" i="7"/>
  <c r="E34" i="4" s="1"/>
  <c r="D351" i="7"/>
  <c r="F41" i="4" s="1"/>
  <c r="D355" i="7"/>
  <c r="F45" i="4" s="1"/>
  <c r="C355" i="7"/>
  <c r="E45" i="4" s="1"/>
  <c r="C10" i="8"/>
  <c r="C16" i="8"/>
  <c r="C42" i="8"/>
  <c r="D41" i="8"/>
  <c r="C55" i="8"/>
  <c r="C56" i="8"/>
  <c r="D55" i="8"/>
  <c r="D68" i="8"/>
  <c r="D80" i="8"/>
  <c r="C103" i="8"/>
  <c r="C104" i="8"/>
  <c r="D107" i="8"/>
  <c r="C107" i="8"/>
  <c r="D137" i="8"/>
  <c r="D147" i="8"/>
  <c r="D365" i="6"/>
  <c r="D55" i="4" s="1"/>
  <c r="C365" i="6"/>
  <c r="C55" i="4" s="1"/>
  <c r="D109" i="7"/>
  <c r="D117" i="7"/>
  <c r="D125" i="7"/>
  <c r="D133" i="7"/>
  <c r="D141" i="7"/>
  <c r="D149" i="7"/>
  <c r="D157" i="7"/>
  <c r="D165" i="7"/>
  <c r="D173" i="7"/>
  <c r="D181" i="7"/>
  <c r="D189" i="7"/>
  <c r="D197" i="7"/>
  <c r="D205" i="7"/>
  <c r="D213" i="7"/>
  <c r="D221" i="7"/>
  <c r="D229" i="7"/>
  <c r="D233" i="7"/>
  <c r="D245" i="7"/>
  <c r="D237" i="7"/>
  <c r="D250" i="7"/>
  <c r="C250" i="7"/>
  <c r="C251" i="7"/>
  <c r="D258" i="7"/>
  <c r="C308" i="7"/>
  <c r="C326" i="7"/>
  <c r="E16" i="4" s="1"/>
  <c r="D326" i="7"/>
  <c r="F16" i="4" s="1"/>
  <c r="D352" i="7"/>
  <c r="F42" i="4" s="1"/>
  <c r="C353" i="7"/>
  <c r="E43" i="4" s="1"/>
  <c r="D356" i="7"/>
  <c r="F46" i="4" s="1"/>
  <c r="C356" i="7"/>
  <c r="E46" i="4" s="1"/>
  <c r="C357" i="7"/>
  <c r="E47" i="4" s="1"/>
  <c r="C11" i="8"/>
  <c r="D27" i="8"/>
  <c r="D39" i="8"/>
  <c r="D36" i="8"/>
  <c r="D48" i="8"/>
  <c r="C41" i="8"/>
  <c r="D63" i="8"/>
  <c r="D51" i="8"/>
  <c r="C68" i="8"/>
  <c r="C86" i="8"/>
  <c r="C99" i="8"/>
  <c r="D115" i="8"/>
  <c r="D148" i="8"/>
  <c r="C148" i="8"/>
  <c r="D160" i="8"/>
  <c r="D204" i="8"/>
  <c r="D216" i="8"/>
  <c r="C204" i="8"/>
  <c r="D235" i="8"/>
  <c r="C235" i="8"/>
  <c r="D247" i="8"/>
  <c r="C316" i="6"/>
  <c r="C6" i="4" s="1"/>
  <c r="C319" i="6"/>
  <c r="C9" i="4" s="1"/>
  <c r="C329" i="6"/>
  <c r="C19" i="4" s="1"/>
  <c r="C332" i="6"/>
  <c r="C22" i="4" s="1"/>
  <c r="C335" i="6"/>
  <c r="C25" i="4" s="1"/>
  <c r="C345" i="6"/>
  <c r="C35" i="4" s="1"/>
  <c r="C348" i="6"/>
  <c r="C38" i="4" s="1"/>
  <c r="C351" i="6"/>
  <c r="C41" i="4" s="1"/>
  <c r="C355" i="6"/>
  <c r="C45" i="4" s="1"/>
  <c r="C19" i="7"/>
  <c r="C33" i="7"/>
  <c r="C37" i="7"/>
  <c r="D44" i="7"/>
  <c r="C44" i="7"/>
  <c r="C51" i="7"/>
  <c r="C65" i="7"/>
  <c r="C69" i="7"/>
  <c r="D76" i="7"/>
  <c r="C76" i="7"/>
  <c r="C83" i="7"/>
  <c r="D86" i="7"/>
  <c r="C97" i="7"/>
  <c r="C105" i="7"/>
  <c r="C113" i="7"/>
  <c r="C121" i="7"/>
  <c r="C129" i="7"/>
  <c r="C137" i="7"/>
  <c r="C145" i="7"/>
  <c r="C153" i="7"/>
  <c r="C161" i="7"/>
  <c r="C169" i="7"/>
  <c r="C177" i="7"/>
  <c r="C185" i="7"/>
  <c r="C193" i="7"/>
  <c r="C201" i="7"/>
  <c r="C209" i="7"/>
  <c r="C217" i="7"/>
  <c r="C225" i="7"/>
  <c r="C233" i="7"/>
  <c r="C241" i="7"/>
  <c r="D246" i="7"/>
  <c r="C255" i="7"/>
  <c r="C290" i="7"/>
  <c r="D293" i="7"/>
  <c r="D317" i="7"/>
  <c r="F7" i="4" s="1"/>
  <c r="C317" i="7"/>
  <c r="E7" i="4" s="1"/>
  <c r="C336" i="7"/>
  <c r="E26" i="4" s="1"/>
  <c r="C339" i="7"/>
  <c r="E29" i="4" s="1"/>
  <c r="C348" i="7"/>
  <c r="E38" i="4" s="1"/>
  <c r="C352" i="7"/>
  <c r="E42" i="4" s="1"/>
  <c r="D22" i="8"/>
  <c r="C27" i="8"/>
  <c r="C36" i="8"/>
  <c r="C51" i="8"/>
  <c r="C66" i="8"/>
  <c r="D65" i="8"/>
  <c r="D99" i="8"/>
  <c r="D116" i="8"/>
  <c r="D128" i="8"/>
  <c r="D121" i="8"/>
  <c r="C121" i="8"/>
  <c r="C122" i="8"/>
  <c r="D129" i="8"/>
  <c r="D154" i="8"/>
  <c r="C245" i="8"/>
  <c r="D245" i="8"/>
  <c r="D257" i="8"/>
  <c r="D168" i="6"/>
  <c r="C171" i="6"/>
  <c r="C195" i="6"/>
  <c r="C211" i="6"/>
  <c r="C227" i="6"/>
  <c r="C230" i="6"/>
  <c r="C243" i="6"/>
  <c r="C246" i="6"/>
  <c r="C259" i="6"/>
  <c r="C262" i="6"/>
  <c r="C275" i="6"/>
  <c r="C278" i="6"/>
  <c r="C291" i="6"/>
  <c r="C294" i="6"/>
  <c r="C307" i="6"/>
  <c r="C310" i="6"/>
  <c r="C323" i="6"/>
  <c r="C13" i="4" s="1"/>
  <c r="C326" i="6"/>
  <c r="C16" i="4" s="1"/>
  <c r="C339" i="6"/>
  <c r="C29" i="4" s="1"/>
  <c r="C342" i="6"/>
  <c r="C32" i="4" s="1"/>
  <c r="C362" i="6"/>
  <c r="C52" i="4" s="1"/>
  <c r="C366" i="6"/>
  <c r="C56" i="4" s="1"/>
  <c r="D23" i="7"/>
  <c r="C34" i="7"/>
  <c r="D37" i="7"/>
  <c r="D55" i="7"/>
  <c r="C66" i="7"/>
  <c r="D69" i="7"/>
  <c r="D87" i="7"/>
  <c r="C94" i="7"/>
  <c r="C98" i="7"/>
  <c r="C102" i="7"/>
  <c r="C106" i="7"/>
  <c r="C110" i="7"/>
  <c r="C114" i="7"/>
  <c r="C118" i="7"/>
  <c r="C122" i="7"/>
  <c r="C126" i="7"/>
  <c r="C130" i="7"/>
  <c r="C134" i="7"/>
  <c r="C138" i="7"/>
  <c r="C142" i="7"/>
  <c r="C146" i="7"/>
  <c r="C150" i="7"/>
  <c r="C154" i="7"/>
  <c r="C158" i="7"/>
  <c r="C162" i="7"/>
  <c r="C166" i="7"/>
  <c r="C170" i="7"/>
  <c r="C174" i="7"/>
  <c r="C178" i="7"/>
  <c r="C182" i="7"/>
  <c r="C186" i="7"/>
  <c r="C190" i="7"/>
  <c r="C194" i="7"/>
  <c r="C198" i="7"/>
  <c r="C202" i="7"/>
  <c r="C206" i="7"/>
  <c r="C210" i="7"/>
  <c r="C214" i="7"/>
  <c r="C218" i="7"/>
  <c r="C222" i="7"/>
  <c r="C226" i="7"/>
  <c r="C230" i="7"/>
  <c r="C234" i="7"/>
  <c r="C242" i="7"/>
  <c r="D247" i="7"/>
  <c r="D270" i="7"/>
  <c r="D278" i="7"/>
  <c r="D282" i="7"/>
  <c r="C282" i="7"/>
  <c r="C283" i="7"/>
  <c r="C327" i="7"/>
  <c r="E17" i="4" s="1"/>
  <c r="D332" i="7"/>
  <c r="F22" i="4" s="1"/>
  <c r="D336" i="7"/>
  <c r="F26" i="4" s="1"/>
  <c r="D340" i="7"/>
  <c r="F30" i="4" s="1"/>
  <c r="C340" i="7"/>
  <c r="E30" i="4" s="1"/>
  <c r="C341" i="7"/>
  <c r="E31" i="4" s="1"/>
  <c r="D348" i="7"/>
  <c r="F38" i="4" s="1"/>
  <c r="C362" i="7"/>
  <c r="E52" i="4" s="1"/>
  <c r="C23" i="8"/>
  <c r="C24" i="8"/>
  <c r="D35" i="8"/>
  <c r="C37" i="8"/>
  <c r="D37" i="8"/>
  <c r="D49" i="8"/>
  <c r="D61" i="8"/>
  <c r="C65" i="8"/>
  <c r="D92" i="8"/>
  <c r="D104" i="8"/>
  <c r="C116" i="8"/>
  <c r="C53" i="8"/>
  <c r="D53" i="8"/>
  <c r="D74" i="8"/>
  <c r="D140" i="8"/>
  <c r="D152" i="8"/>
  <c r="D167" i="8"/>
  <c r="C181" i="8"/>
  <c r="D181" i="8"/>
  <c r="D202" i="8"/>
  <c r="D307" i="8"/>
  <c r="D324" i="8"/>
  <c r="N14" i="4" s="1"/>
  <c r="C324" i="8"/>
  <c r="M14" i="4" s="1"/>
  <c r="D336" i="8"/>
  <c r="N26" i="4" s="1"/>
  <c r="C363" i="8"/>
  <c r="M53" i="4" s="1"/>
  <c r="D363" i="8"/>
  <c r="N53" i="4" s="1"/>
  <c r="D38" i="9"/>
  <c r="C38" i="9"/>
  <c r="D43" i="9"/>
  <c r="D55" i="9"/>
  <c r="D102" i="9"/>
  <c r="C102" i="9"/>
  <c r="D107" i="9"/>
  <c r="D119" i="9"/>
  <c r="D166" i="9"/>
  <c r="C166" i="9"/>
  <c r="D171" i="9"/>
  <c r="D183" i="9"/>
  <c r="D230" i="9"/>
  <c r="C230" i="9"/>
  <c r="D235" i="9"/>
  <c r="D247" i="9"/>
  <c r="C356" i="9"/>
  <c r="K46" i="4" s="1"/>
  <c r="D355" i="9"/>
  <c r="L45" i="4" s="1"/>
  <c r="C155" i="10"/>
  <c r="D154" i="10"/>
  <c r="C154" i="10"/>
  <c r="D166" i="10"/>
  <c r="D235" i="10"/>
  <c r="D223" i="10"/>
  <c r="C223" i="10"/>
  <c r="C275" i="10"/>
  <c r="D274" i="10"/>
  <c r="D286" i="10"/>
  <c r="C274" i="10"/>
  <c r="C90" i="11"/>
  <c r="D89" i="11"/>
  <c r="D101" i="11"/>
  <c r="C89" i="11"/>
  <c r="D114" i="11"/>
  <c r="D102" i="11"/>
  <c r="C102" i="11"/>
  <c r="D216" i="11"/>
  <c r="C216" i="11"/>
  <c r="C246" i="11"/>
  <c r="D245" i="11"/>
  <c r="C245" i="11"/>
  <c r="D280" i="11"/>
  <c r="C280" i="11"/>
  <c r="D333" i="11"/>
  <c r="AF23" i="4" s="1"/>
  <c r="C333" i="11"/>
  <c r="AE23" i="4" s="1"/>
  <c r="C133" i="13"/>
  <c r="D132" i="13"/>
  <c r="C132" i="13"/>
  <c r="D144" i="13"/>
  <c r="C253" i="15"/>
  <c r="D252" i="15"/>
  <c r="D264" i="15"/>
  <c r="C252" i="15"/>
  <c r="C156" i="16"/>
  <c r="D168" i="16"/>
  <c r="D156" i="16"/>
  <c r="C163" i="16"/>
  <c r="C162" i="16"/>
  <c r="D174" i="16"/>
  <c r="D162" i="16"/>
  <c r="D157" i="17"/>
  <c r="C157" i="17"/>
  <c r="C158" i="17"/>
  <c r="D163" i="19"/>
  <c r="C163" i="19"/>
  <c r="C164" i="19"/>
  <c r="C177" i="19"/>
  <c r="D176" i="19"/>
  <c r="D188" i="19"/>
  <c r="C176" i="19"/>
  <c r="C255" i="19"/>
  <c r="D255" i="19"/>
  <c r="D291" i="19"/>
  <c r="C291" i="19"/>
  <c r="C292" i="19"/>
  <c r="D220" i="8"/>
  <c r="D232" i="8"/>
  <c r="D295" i="8"/>
  <c r="C295" i="8"/>
  <c r="C355" i="8"/>
  <c r="M45" i="4" s="1"/>
  <c r="D355" i="8"/>
  <c r="N45" i="4" s="1"/>
  <c r="D30" i="9"/>
  <c r="C30" i="9"/>
  <c r="D35" i="9"/>
  <c r="D47" i="9"/>
  <c r="D94" i="9"/>
  <c r="C94" i="9"/>
  <c r="D99" i="9"/>
  <c r="D111" i="9"/>
  <c r="D158" i="9"/>
  <c r="C158" i="9"/>
  <c r="D163" i="9"/>
  <c r="D175" i="9"/>
  <c r="D222" i="9"/>
  <c r="C222" i="9"/>
  <c r="D227" i="9"/>
  <c r="D239" i="9"/>
  <c r="D21" i="10"/>
  <c r="C21" i="10"/>
  <c r="D33" i="10"/>
  <c r="D115" i="10"/>
  <c r="D103" i="10"/>
  <c r="C103" i="10"/>
  <c r="D299" i="10"/>
  <c r="D287" i="10"/>
  <c r="C287" i="10"/>
  <c r="C339" i="10"/>
  <c r="W29" i="4" s="1"/>
  <c r="D338" i="10"/>
  <c r="X28" i="4" s="1"/>
  <c r="D350" i="10"/>
  <c r="X40" i="4" s="1"/>
  <c r="C338" i="10"/>
  <c r="W28" i="4" s="1"/>
  <c r="D24" i="11"/>
  <c r="C12" i="11"/>
  <c r="C42" i="11"/>
  <c r="D41" i="11"/>
  <c r="D53" i="11"/>
  <c r="C41" i="11"/>
  <c r="D84" i="11"/>
  <c r="C84" i="11"/>
  <c r="D96" i="11"/>
  <c r="C213" i="8"/>
  <c r="D213" i="8"/>
  <c r="C251" i="8"/>
  <c r="C273" i="8"/>
  <c r="C277" i="8"/>
  <c r="D277" i="8"/>
  <c r="C299" i="8"/>
  <c r="D303" i="8"/>
  <c r="C303" i="8"/>
  <c r="C304" i="8"/>
  <c r="C334" i="8"/>
  <c r="M24" i="4" s="1"/>
  <c r="C347" i="8"/>
  <c r="M37" i="4" s="1"/>
  <c r="D347" i="8"/>
  <c r="N37" i="4" s="1"/>
  <c r="D22" i="9"/>
  <c r="C22" i="9"/>
  <c r="D27" i="9"/>
  <c r="D39" i="9"/>
  <c r="C35" i="9"/>
  <c r="D82" i="9"/>
  <c r="D86" i="9"/>
  <c r="C86" i="9"/>
  <c r="D91" i="9"/>
  <c r="D103" i="9"/>
  <c r="C99" i="9"/>
  <c r="D150" i="9"/>
  <c r="C150" i="9"/>
  <c r="D155" i="9"/>
  <c r="D167" i="9"/>
  <c r="C163" i="9"/>
  <c r="D214" i="9"/>
  <c r="C214" i="9"/>
  <c r="D219" i="9"/>
  <c r="D231" i="9"/>
  <c r="C227" i="9"/>
  <c r="C231" i="9"/>
  <c r="C219" i="10"/>
  <c r="D218" i="10"/>
  <c r="C218" i="10"/>
  <c r="D230" i="10"/>
  <c r="D363" i="10"/>
  <c r="X53" i="4" s="1"/>
  <c r="D351" i="10"/>
  <c r="X41" i="4" s="1"/>
  <c r="C351" i="10"/>
  <c r="W41" i="4" s="1"/>
  <c r="D36" i="11"/>
  <c r="C36" i="11"/>
  <c r="D48" i="11"/>
  <c r="C98" i="11"/>
  <c r="D97" i="11"/>
  <c r="C97" i="11"/>
  <c r="D109" i="11"/>
  <c r="C165" i="8"/>
  <c r="D165" i="8"/>
  <c r="C203" i="8"/>
  <c r="C217" i="8"/>
  <c r="C221" i="8"/>
  <c r="C227" i="8"/>
  <c r="C241" i="8"/>
  <c r="C244" i="8"/>
  <c r="C259" i="8"/>
  <c r="D273" i="8"/>
  <c r="D292" i="8"/>
  <c r="D304" i="8"/>
  <c r="C296" i="8"/>
  <c r="C316" i="8"/>
  <c r="M6" i="4" s="1"/>
  <c r="C356" i="8"/>
  <c r="M46" i="4" s="1"/>
  <c r="D19" i="9"/>
  <c r="D31" i="9"/>
  <c r="C31" i="9"/>
  <c r="D78" i="9"/>
  <c r="C78" i="9"/>
  <c r="D83" i="9"/>
  <c r="D95" i="9"/>
  <c r="C95" i="9"/>
  <c r="D142" i="9"/>
  <c r="C142" i="9"/>
  <c r="D147" i="9"/>
  <c r="D159" i="9"/>
  <c r="C159" i="9"/>
  <c r="D206" i="9"/>
  <c r="C206" i="9"/>
  <c r="D211" i="9"/>
  <c r="D223" i="9"/>
  <c r="C223" i="9"/>
  <c r="D338" i="9"/>
  <c r="L28" i="4" s="1"/>
  <c r="C338" i="9"/>
  <c r="K28" i="4" s="1"/>
  <c r="D346" i="9"/>
  <c r="L36" i="4" s="1"/>
  <c r="C115" i="10"/>
  <c r="D114" i="10"/>
  <c r="D131" i="10"/>
  <c r="D119" i="10"/>
  <c r="C119" i="10"/>
  <c r="D163" i="10"/>
  <c r="D151" i="10"/>
  <c r="C151" i="10"/>
  <c r="C283" i="10"/>
  <c r="D282" i="10"/>
  <c r="C282" i="10"/>
  <c r="D294" i="10"/>
  <c r="D20" i="11"/>
  <c r="C20" i="11"/>
  <c r="D32" i="11"/>
  <c r="C26" i="11"/>
  <c r="D25" i="11"/>
  <c r="D37" i="11"/>
  <c r="C25" i="11"/>
  <c r="C74" i="11"/>
  <c r="D73" i="11"/>
  <c r="D85" i="11"/>
  <c r="C73" i="11"/>
  <c r="C306" i="8"/>
  <c r="D317" i="8"/>
  <c r="N7" i="4" s="1"/>
  <c r="C314" i="8"/>
  <c r="M4" i="4" s="1"/>
  <c r="D313" i="8"/>
  <c r="D325" i="8"/>
  <c r="N15" i="4" s="1"/>
  <c r="D70" i="9"/>
  <c r="C70" i="9"/>
  <c r="D75" i="9"/>
  <c r="D87" i="9"/>
  <c r="D134" i="9"/>
  <c r="C134" i="9"/>
  <c r="D139" i="9"/>
  <c r="D151" i="9"/>
  <c r="D198" i="9"/>
  <c r="C198" i="9"/>
  <c r="D203" i="9"/>
  <c r="D215" i="9"/>
  <c r="D262" i="9"/>
  <c r="C262" i="9"/>
  <c r="D270" i="9"/>
  <c r="C270" i="9"/>
  <c r="D274" i="9"/>
  <c r="D278" i="9"/>
  <c r="C278" i="9"/>
  <c r="D282" i="9"/>
  <c r="D286" i="9"/>
  <c r="C286" i="9"/>
  <c r="D290" i="9"/>
  <c r="D294" i="9"/>
  <c r="C294" i="9"/>
  <c r="D298" i="9"/>
  <c r="D302" i="9"/>
  <c r="C302" i="9"/>
  <c r="D306" i="9"/>
  <c r="D310" i="9"/>
  <c r="C310" i="9"/>
  <c r="D314" i="9"/>
  <c r="L4" i="4" s="1"/>
  <c r="D318" i="9"/>
  <c r="L8" i="4" s="1"/>
  <c r="C318" i="9"/>
  <c r="K8" i="4" s="1"/>
  <c r="D322" i="9"/>
  <c r="L12" i="4" s="1"/>
  <c r="D326" i="9"/>
  <c r="L16" i="4" s="1"/>
  <c r="C326" i="9"/>
  <c r="K16" i="4" s="1"/>
  <c r="D330" i="9"/>
  <c r="L20" i="4" s="1"/>
  <c r="D342" i="9"/>
  <c r="L32" i="4" s="1"/>
  <c r="C342" i="9"/>
  <c r="K32" i="4" s="1"/>
  <c r="D354" i="9"/>
  <c r="L44" i="4" s="1"/>
  <c r="C114" i="10"/>
  <c r="C347" i="10"/>
  <c r="W37" i="4" s="1"/>
  <c r="D346" i="10"/>
  <c r="X36" i="4" s="1"/>
  <c r="C346" i="10"/>
  <c r="W36" i="4" s="1"/>
  <c r="D358" i="10"/>
  <c r="X48" i="4" s="1"/>
  <c r="D68" i="11"/>
  <c r="C68" i="11"/>
  <c r="D80" i="11"/>
  <c r="D92" i="11"/>
  <c r="C92" i="11"/>
  <c r="D104" i="11"/>
  <c r="D259" i="7"/>
  <c r="C262" i="7"/>
  <c r="D291" i="7"/>
  <c r="C294" i="7"/>
  <c r="C334" i="7"/>
  <c r="E24" i="4" s="1"/>
  <c r="D346" i="7"/>
  <c r="F36" i="4" s="1"/>
  <c r="C366" i="7"/>
  <c r="E56" i="4" s="1"/>
  <c r="D28" i="8"/>
  <c r="D40" i="8"/>
  <c r="C69" i="8"/>
  <c r="D69" i="8"/>
  <c r="D90" i="8"/>
  <c r="C125" i="8"/>
  <c r="C135" i="8"/>
  <c r="D156" i="8"/>
  <c r="D168" i="8"/>
  <c r="D169" i="8"/>
  <c r="D176" i="8"/>
  <c r="D179" i="8"/>
  <c r="D193" i="8"/>
  <c r="C197" i="8"/>
  <c r="D197" i="8"/>
  <c r="D218" i="8"/>
  <c r="D256" i="8"/>
  <c r="D282" i="8"/>
  <c r="C293" i="8"/>
  <c r="C305" i="8"/>
  <c r="C313" i="8"/>
  <c r="D318" i="8"/>
  <c r="N8" i="4" s="1"/>
  <c r="C318" i="8"/>
  <c r="M8" i="4" s="1"/>
  <c r="D327" i="8"/>
  <c r="N17" i="4" s="1"/>
  <c r="C327" i="8"/>
  <c r="M17" i="4" s="1"/>
  <c r="C328" i="8"/>
  <c r="M18" i="4" s="1"/>
  <c r="C331" i="8"/>
  <c r="M21" i="4" s="1"/>
  <c r="C361" i="8"/>
  <c r="M51" i="4" s="1"/>
  <c r="C16" i="9"/>
  <c r="C15" i="9"/>
  <c r="D58" i="9"/>
  <c r="D62" i="9"/>
  <c r="C62" i="9"/>
  <c r="D67" i="9"/>
  <c r="D79" i="9"/>
  <c r="C75" i="9"/>
  <c r="C79" i="9"/>
  <c r="D122" i="9"/>
  <c r="D126" i="9"/>
  <c r="C126" i="9"/>
  <c r="D131" i="9"/>
  <c r="D143" i="9"/>
  <c r="C139" i="9"/>
  <c r="C143" i="9"/>
  <c r="D190" i="9"/>
  <c r="C190" i="9"/>
  <c r="D195" i="9"/>
  <c r="D207" i="9"/>
  <c r="C203" i="9"/>
  <c r="C207" i="9"/>
  <c r="D254" i="9"/>
  <c r="C254" i="9"/>
  <c r="D259" i="9"/>
  <c r="D271" i="9"/>
  <c r="D267" i="9"/>
  <c r="D279" i="9"/>
  <c r="D275" i="9"/>
  <c r="D287" i="9"/>
  <c r="D283" i="9"/>
  <c r="D295" i="9"/>
  <c r="D291" i="9"/>
  <c r="D303" i="9"/>
  <c r="D299" i="9"/>
  <c r="D311" i="9"/>
  <c r="D307" i="9"/>
  <c r="D319" i="9"/>
  <c r="L9" i="4" s="1"/>
  <c r="C324" i="9"/>
  <c r="K14" i="4" s="1"/>
  <c r="D323" i="9"/>
  <c r="L13" i="4" s="1"/>
  <c r="C327" i="9"/>
  <c r="K17" i="4" s="1"/>
  <c r="C334" i="9"/>
  <c r="K24" i="4" s="1"/>
  <c r="C339" i="9"/>
  <c r="K29" i="4" s="1"/>
  <c r="C344" i="9"/>
  <c r="K34" i="4" s="1"/>
  <c r="C343" i="9"/>
  <c r="K33" i="4" s="1"/>
  <c r="C352" i="9"/>
  <c r="K42" i="4" s="1"/>
  <c r="C70" i="10"/>
  <c r="C71" i="10"/>
  <c r="D82" i="10"/>
  <c r="D70" i="10"/>
  <c r="D107" i="10"/>
  <c r="C95" i="10"/>
  <c r="C147" i="10"/>
  <c r="D146" i="10"/>
  <c r="C146" i="10"/>
  <c r="C179" i="10"/>
  <c r="D178" i="10"/>
  <c r="D195" i="10"/>
  <c r="D183" i="10"/>
  <c r="C183" i="10"/>
  <c r="D227" i="10"/>
  <c r="D215" i="10"/>
  <c r="C215" i="10"/>
  <c r="D233" i="11"/>
  <c r="C233" i="11"/>
  <c r="C268" i="11"/>
  <c r="D268" i="11"/>
  <c r="D330" i="11"/>
  <c r="AF20" i="4" s="1"/>
  <c r="C330" i="11"/>
  <c r="AE20" i="4" s="1"/>
  <c r="C352" i="6"/>
  <c r="C42" i="4" s="1"/>
  <c r="C360" i="6"/>
  <c r="C50" i="4" s="1"/>
  <c r="C23" i="7"/>
  <c r="C31" i="7"/>
  <c r="C39" i="7"/>
  <c r="C47" i="7"/>
  <c r="C55" i="7"/>
  <c r="C63" i="7"/>
  <c r="C71" i="7"/>
  <c r="C79" i="7"/>
  <c r="C87" i="7"/>
  <c r="C95" i="7"/>
  <c r="C103" i="7"/>
  <c r="C111" i="7"/>
  <c r="C119" i="7"/>
  <c r="C127" i="7"/>
  <c r="C135" i="7"/>
  <c r="C143" i="7"/>
  <c r="C151" i="7"/>
  <c r="C159" i="7"/>
  <c r="C167" i="7"/>
  <c r="C175" i="7"/>
  <c r="C183" i="7"/>
  <c r="C191" i="7"/>
  <c r="C199" i="7"/>
  <c r="C207" i="7"/>
  <c r="C215" i="7"/>
  <c r="C223" i="7"/>
  <c r="C231" i="7"/>
  <c r="C239" i="7"/>
  <c r="C259" i="7"/>
  <c r="D262" i="7"/>
  <c r="C268" i="7"/>
  <c r="C271" i="7"/>
  <c r="C291" i="7"/>
  <c r="D294" i="7"/>
  <c r="C300" i="7"/>
  <c r="C303" i="7"/>
  <c r="C318" i="7"/>
  <c r="E8" i="4" s="1"/>
  <c r="D331" i="7"/>
  <c r="F21" i="4" s="1"/>
  <c r="D334" i="7"/>
  <c r="F24" i="4" s="1"/>
  <c r="C346" i="7"/>
  <c r="E36" i="4" s="1"/>
  <c r="C350" i="7"/>
  <c r="E40" i="4" s="1"/>
  <c r="D363" i="7"/>
  <c r="F53" i="4" s="1"/>
  <c r="D366" i="7"/>
  <c r="C21" i="8"/>
  <c r="D21" i="8"/>
  <c r="C28" i="8"/>
  <c r="D42" i="8"/>
  <c r="C59" i="8"/>
  <c r="C73" i="8"/>
  <c r="C77" i="8"/>
  <c r="C83" i="8"/>
  <c r="C87" i="8"/>
  <c r="C94" i="8"/>
  <c r="C97" i="8"/>
  <c r="C100" i="8"/>
  <c r="D108" i="8"/>
  <c r="D120" i="8"/>
  <c r="C118" i="8"/>
  <c r="D125" i="8"/>
  <c r="D135" i="8"/>
  <c r="C149" i="8"/>
  <c r="D149" i="8"/>
  <c r="C156" i="8"/>
  <c r="D170" i="8"/>
  <c r="C187" i="8"/>
  <c r="C201" i="8"/>
  <c r="C205" i="8"/>
  <c r="C211" i="8"/>
  <c r="C215" i="8"/>
  <c r="C222" i="8"/>
  <c r="C225" i="8"/>
  <c r="C228" i="8"/>
  <c r="C232" i="8"/>
  <c r="D236" i="8"/>
  <c r="D248" i="8"/>
  <c r="C246" i="8"/>
  <c r="D249" i="8"/>
  <c r="D253" i="8"/>
  <c r="C260" i="8"/>
  <c r="C264" i="8"/>
  <c r="C275" i="8"/>
  <c r="C286" i="8"/>
  <c r="D305" i="8"/>
  <c r="D319" i="8"/>
  <c r="N9" i="4" s="1"/>
  <c r="C319" i="8"/>
  <c r="M9" i="4" s="1"/>
  <c r="C323" i="8"/>
  <c r="M13" i="4" s="1"/>
  <c r="D332" i="8"/>
  <c r="N22" i="4" s="1"/>
  <c r="D344" i="8"/>
  <c r="N34" i="4" s="1"/>
  <c r="C332" i="8"/>
  <c r="M22" i="4" s="1"/>
  <c r="D349" i="8"/>
  <c r="N39" i="4" s="1"/>
  <c r="C353" i="8"/>
  <c r="M43" i="4" s="1"/>
  <c r="D361" i="8"/>
  <c r="N51" i="4" s="1"/>
  <c r="D50" i="9"/>
  <c r="D54" i="9"/>
  <c r="C54" i="9"/>
  <c r="D59" i="9"/>
  <c r="D71" i="9"/>
  <c r="C67" i="9"/>
  <c r="C71" i="9"/>
  <c r="D114" i="9"/>
  <c r="D118" i="9"/>
  <c r="C118" i="9"/>
  <c r="D123" i="9"/>
  <c r="D135" i="9"/>
  <c r="C131" i="9"/>
  <c r="C135" i="9"/>
  <c r="D178" i="9"/>
  <c r="D182" i="9"/>
  <c r="C182" i="9"/>
  <c r="D187" i="9"/>
  <c r="D199" i="9"/>
  <c r="C195" i="9"/>
  <c r="C199" i="9"/>
  <c r="D242" i="9"/>
  <c r="D246" i="9"/>
  <c r="C246" i="9"/>
  <c r="D251" i="9"/>
  <c r="D263" i="9"/>
  <c r="C259" i="9"/>
  <c r="C263" i="9"/>
  <c r="C267" i="9"/>
  <c r="C271" i="9"/>
  <c r="C275" i="9"/>
  <c r="C279" i="9"/>
  <c r="C283" i="9"/>
  <c r="C287" i="9"/>
  <c r="C291" i="9"/>
  <c r="C295" i="9"/>
  <c r="C299" i="9"/>
  <c r="C303" i="9"/>
  <c r="C307" i="9"/>
  <c r="C311" i="9"/>
  <c r="C315" i="9"/>
  <c r="K5" i="4" s="1"/>
  <c r="C319" i="9"/>
  <c r="K9" i="4" s="1"/>
  <c r="C323" i="9"/>
  <c r="K13" i="4" s="1"/>
  <c r="D327" i="9"/>
  <c r="L17" i="4" s="1"/>
  <c r="D335" i="9"/>
  <c r="L25" i="4" s="1"/>
  <c r="C335" i="9"/>
  <c r="K25" i="4" s="1"/>
  <c r="D343" i="9"/>
  <c r="L33" i="4" s="1"/>
  <c r="C77" i="10"/>
  <c r="D76" i="10"/>
  <c r="C76" i="10"/>
  <c r="C86" i="10"/>
  <c r="C87" i="10"/>
  <c r="D95" i="10"/>
  <c r="D112" i="10"/>
  <c r="D100" i="10"/>
  <c r="C100" i="10"/>
  <c r="D158" i="10"/>
  <c r="C178" i="10"/>
  <c r="D291" i="10"/>
  <c r="D279" i="10"/>
  <c r="C279" i="10"/>
  <c r="C58" i="11"/>
  <c r="D57" i="11"/>
  <c r="D69" i="11"/>
  <c r="C57" i="11"/>
  <c r="D106" i="11"/>
  <c r="D94" i="11"/>
  <c r="C94" i="11"/>
  <c r="D154" i="11"/>
  <c r="D142" i="11"/>
  <c r="C142" i="11"/>
  <c r="D251" i="7"/>
  <c r="C254" i="7"/>
  <c r="D283" i="7"/>
  <c r="C286" i="7"/>
  <c r="C309" i="7"/>
  <c r="D315" i="7"/>
  <c r="F5" i="4" s="1"/>
  <c r="D318" i="7"/>
  <c r="F8" i="4" s="1"/>
  <c r="C328" i="7"/>
  <c r="E18" i="4" s="1"/>
  <c r="C331" i="7"/>
  <c r="E21" i="4" s="1"/>
  <c r="C335" i="7"/>
  <c r="E25" i="4" s="1"/>
  <c r="D347" i="7"/>
  <c r="F37" i="4" s="1"/>
  <c r="D350" i="7"/>
  <c r="F40" i="4" s="1"/>
  <c r="C360" i="7"/>
  <c r="E50" i="4" s="1"/>
  <c r="C363" i="7"/>
  <c r="E53" i="4" s="1"/>
  <c r="D24" i="8"/>
  <c r="C12" i="8"/>
  <c r="C29" i="8"/>
  <c r="C39" i="8"/>
  <c r="C52" i="8"/>
  <c r="D60" i="8"/>
  <c r="D72" i="8"/>
  <c r="D77" i="8"/>
  <c r="D87" i="8"/>
  <c r="C101" i="8"/>
  <c r="D101" i="8"/>
  <c r="C108" i="8"/>
  <c r="D122" i="8"/>
  <c r="C139" i="8"/>
  <c r="C157" i="8"/>
  <c r="C167" i="8"/>
  <c r="C180" i="8"/>
  <c r="D188" i="8"/>
  <c r="D200" i="8"/>
  <c r="D205" i="8"/>
  <c r="D208" i="8"/>
  <c r="D215" i="8"/>
  <c r="C229" i="8"/>
  <c r="D229" i="8"/>
  <c r="C236" i="8"/>
  <c r="D250" i="8"/>
  <c r="C257" i="8"/>
  <c r="C261" i="8"/>
  <c r="D261" i="8"/>
  <c r="D275" i="8"/>
  <c r="D279" i="8"/>
  <c r="D297" i="8"/>
  <c r="D310" i="8"/>
  <c r="D328" i="8"/>
  <c r="N18" i="4" s="1"/>
  <c r="C337" i="8"/>
  <c r="M27" i="4" s="1"/>
  <c r="C345" i="8"/>
  <c r="M35" i="4" s="1"/>
  <c r="D353" i="8"/>
  <c r="N43" i="4" s="1"/>
  <c r="D42" i="9"/>
  <c r="D46" i="9"/>
  <c r="C46" i="9"/>
  <c r="D51" i="9"/>
  <c r="D63" i="9"/>
  <c r="C59" i="9"/>
  <c r="C63" i="9"/>
  <c r="D106" i="9"/>
  <c r="D110" i="9"/>
  <c r="C110" i="9"/>
  <c r="D115" i="9"/>
  <c r="D127" i="9"/>
  <c r="C123" i="9"/>
  <c r="C127" i="9"/>
  <c r="D170" i="9"/>
  <c r="D174" i="9"/>
  <c r="C174" i="9"/>
  <c r="D179" i="9"/>
  <c r="D191" i="9"/>
  <c r="C187" i="9"/>
  <c r="C191" i="9"/>
  <c r="D234" i="9"/>
  <c r="D238" i="9"/>
  <c r="C238" i="9"/>
  <c r="D243" i="9"/>
  <c r="D255" i="9"/>
  <c r="C251" i="9"/>
  <c r="C255" i="9"/>
  <c r="D19" i="10"/>
  <c r="C8" i="10"/>
  <c r="C32" i="10"/>
  <c r="C33" i="10"/>
  <c r="D32" i="10"/>
  <c r="D44" i="10"/>
  <c r="C72" i="10"/>
  <c r="D72" i="10"/>
  <c r="C73" i="10"/>
  <c r="D84" i="10"/>
  <c r="D86" i="10"/>
  <c r="D126" i="10"/>
  <c r="D171" i="10"/>
  <c r="D159" i="10"/>
  <c r="C159" i="10"/>
  <c r="C211" i="10"/>
  <c r="D210" i="10"/>
  <c r="D222" i="10"/>
  <c r="C210" i="10"/>
  <c r="D355" i="10"/>
  <c r="X45" i="4" s="1"/>
  <c r="D343" i="10"/>
  <c r="X33" i="4" s="1"/>
  <c r="C343" i="10"/>
  <c r="W33" i="4" s="1"/>
  <c r="D52" i="11"/>
  <c r="C52" i="11"/>
  <c r="D64" i="11"/>
  <c r="C17" i="8"/>
  <c r="C31" i="8"/>
  <c r="D34" i="8"/>
  <c r="C47" i="8"/>
  <c r="D50" i="8"/>
  <c r="C63" i="8"/>
  <c r="D66" i="8"/>
  <c r="C79" i="8"/>
  <c r="D82" i="8"/>
  <c r="C95" i="8"/>
  <c r="D98" i="8"/>
  <c r="C111" i="8"/>
  <c r="D114" i="8"/>
  <c r="C127" i="8"/>
  <c r="D130" i="8"/>
  <c r="C143" i="8"/>
  <c r="D146" i="8"/>
  <c r="C159" i="8"/>
  <c r="D162" i="8"/>
  <c r="C175" i="8"/>
  <c r="D178" i="8"/>
  <c r="C191" i="8"/>
  <c r="D194" i="8"/>
  <c r="C207" i="8"/>
  <c r="D210" i="8"/>
  <c r="C223" i="8"/>
  <c r="D226" i="8"/>
  <c r="C239" i="8"/>
  <c r="D242" i="8"/>
  <c r="C255" i="8"/>
  <c r="D258" i="8"/>
  <c r="D264" i="8"/>
  <c r="C271" i="8"/>
  <c r="D274" i="8"/>
  <c r="D280" i="8"/>
  <c r="C287" i="8"/>
  <c r="D290" i="8"/>
  <c r="D311" i="8"/>
  <c r="C311" i="8"/>
  <c r="D321" i="8"/>
  <c r="N11" i="4" s="1"/>
  <c r="D343" i="8"/>
  <c r="N33" i="4" s="1"/>
  <c r="C343" i="8"/>
  <c r="M33" i="4" s="1"/>
  <c r="D351" i="8"/>
  <c r="N41" i="4" s="1"/>
  <c r="C351" i="8"/>
  <c r="M41" i="4" s="1"/>
  <c r="D359" i="8"/>
  <c r="N49" i="4" s="1"/>
  <c r="C359" i="8"/>
  <c r="M49" i="4" s="1"/>
  <c r="D24" i="9"/>
  <c r="D32" i="9"/>
  <c r="D40" i="9"/>
  <c r="D48" i="9"/>
  <c r="D56" i="9"/>
  <c r="D64" i="9"/>
  <c r="D72" i="9"/>
  <c r="D80" i="9"/>
  <c r="D88" i="9"/>
  <c r="D96" i="9"/>
  <c r="D104" i="9"/>
  <c r="D112" i="9"/>
  <c r="D120" i="9"/>
  <c r="D128" i="9"/>
  <c r="D136" i="9"/>
  <c r="D144" i="9"/>
  <c r="D152" i="9"/>
  <c r="D160" i="9"/>
  <c r="D168" i="9"/>
  <c r="D176" i="9"/>
  <c r="D184" i="9"/>
  <c r="D192" i="9"/>
  <c r="D200" i="9"/>
  <c r="D208" i="9"/>
  <c r="D216" i="9"/>
  <c r="D224" i="9"/>
  <c r="D232" i="9"/>
  <c r="D240" i="9"/>
  <c r="D248" i="9"/>
  <c r="D256" i="9"/>
  <c r="C361" i="9"/>
  <c r="K51" i="4" s="1"/>
  <c r="D361" i="9"/>
  <c r="L51" i="4" s="1"/>
  <c r="D35" i="10"/>
  <c r="D23" i="10"/>
  <c r="C23" i="10"/>
  <c r="C56" i="10"/>
  <c r="D56" i="10"/>
  <c r="C80" i="10"/>
  <c r="C81" i="10"/>
  <c r="D80" i="10"/>
  <c r="D92" i="10"/>
  <c r="C123" i="10"/>
  <c r="D122" i="10"/>
  <c r="D139" i="10"/>
  <c r="D127" i="10"/>
  <c r="C127" i="10"/>
  <c r="C187" i="10"/>
  <c r="D186" i="10"/>
  <c r="D203" i="10"/>
  <c r="D191" i="10"/>
  <c r="C191" i="10"/>
  <c r="C251" i="10"/>
  <c r="D250" i="10"/>
  <c r="D267" i="10"/>
  <c r="D255" i="10"/>
  <c r="C255" i="10"/>
  <c r="C315" i="10"/>
  <c r="W5" i="4" s="1"/>
  <c r="D314" i="10"/>
  <c r="X4" i="4" s="1"/>
  <c r="D331" i="10"/>
  <c r="X21" i="4" s="1"/>
  <c r="D319" i="10"/>
  <c r="X9" i="4" s="1"/>
  <c r="C319" i="10"/>
  <c r="W9" i="4" s="1"/>
  <c r="D124" i="11"/>
  <c r="C124" i="11"/>
  <c r="D136" i="11"/>
  <c r="C130" i="11"/>
  <c r="D129" i="11"/>
  <c r="D141" i="11"/>
  <c r="D146" i="11"/>
  <c r="D134" i="11"/>
  <c r="D309" i="11"/>
  <c r="C309" i="11"/>
  <c r="C340" i="11"/>
  <c r="AE30" i="4" s="1"/>
  <c r="D340" i="11"/>
  <c r="AF30" i="4" s="1"/>
  <c r="D41" i="12"/>
  <c r="C41" i="12"/>
  <c r="D53" i="12"/>
  <c r="C42" i="12"/>
  <c r="D189" i="12"/>
  <c r="C189" i="12"/>
  <c r="C190" i="12"/>
  <c r="C301" i="8"/>
  <c r="D322" i="8"/>
  <c r="N12" i="4" s="1"/>
  <c r="C333" i="8"/>
  <c r="M23" i="4" s="1"/>
  <c r="D340" i="8"/>
  <c r="N30" i="4" s="1"/>
  <c r="D352" i="8"/>
  <c r="N42" i="4" s="1"/>
  <c r="D348" i="8"/>
  <c r="N38" i="4" s="1"/>
  <c r="D360" i="8"/>
  <c r="N50" i="4" s="1"/>
  <c r="C329" i="9"/>
  <c r="K19" i="4" s="1"/>
  <c r="D329" i="9"/>
  <c r="L19" i="4" s="1"/>
  <c r="C345" i="9"/>
  <c r="K35" i="4" s="1"/>
  <c r="D345" i="9"/>
  <c r="L35" i="4" s="1"/>
  <c r="D349" i="9"/>
  <c r="L39" i="4" s="1"/>
  <c r="D357" i="9"/>
  <c r="L47" i="4" s="1"/>
  <c r="D366" i="9"/>
  <c r="C40" i="10"/>
  <c r="D40" i="10"/>
  <c r="C64" i="10"/>
  <c r="C65" i="10"/>
  <c r="D64" i="10"/>
  <c r="D98" i="10"/>
  <c r="C98" i="10"/>
  <c r="C163" i="10"/>
  <c r="D162" i="10"/>
  <c r="D179" i="10"/>
  <c r="D167" i="10"/>
  <c r="C167" i="10"/>
  <c r="C227" i="10"/>
  <c r="D226" i="10"/>
  <c r="D243" i="10"/>
  <c r="D231" i="10"/>
  <c r="C231" i="10"/>
  <c r="C291" i="10"/>
  <c r="D290" i="10"/>
  <c r="D307" i="10"/>
  <c r="D295" i="10"/>
  <c r="C295" i="10"/>
  <c r="C355" i="10"/>
  <c r="W45" i="4" s="1"/>
  <c r="D354" i="10"/>
  <c r="X44" i="4" s="1"/>
  <c r="D359" i="10"/>
  <c r="X49" i="4" s="1"/>
  <c r="C359" i="10"/>
  <c r="W49" i="4" s="1"/>
  <c r="D100" i="11"/>
  <c r="C100" i="11"/>
  <c r="D112" i="11"/>
  <c r="C106" i="11"/>
  <c r="D105" i="11"/>
  <c r="D122" i="11"/>
  <c r="D110" i="11"/>
  <c r="C212" i="11"/>
  <c r="C213" i="11"/>
  <c r="D212" i="11"/>
  <c r="D253" i="11"/>
  <c r="C276" i="11"/>
  <c r="D276" i="11"/>
  <c r="D288" i="11"/>
  <c r="C324" i="11"/>
  <c r="AE14" i="4" s="1"/>
  <c r="C325" i="11"/>
  <c r="AE15" i="4" s="1"/>
  <c r="D324" i="11"/>
  <c r="AF14" i="4" s="1"/>
  <c r="D336" i="11"/>
  <c r="AF26" i="4" s="1"/>
  <c r="D352" i="11"/>
  <c r="AF42" i="4" s="1"/>
  <c r="C352" i="11"/>
  <c r="AE42" i="4" s="1"/>
  <c r="C36" i="12"/>
  <c r="D36" i="12"/>
  <c r="D121" i="12"/>
  <c r="C121" i="12"/>
  <c r="C330" i="9"/>
  <c r="K20" i="4" s="1"/>
  <c r="D337" i="9"/>
  <c r="L27" i="4" s="1"/>
  <c r="D341" i="9"/>
  <c r="L31" i="4" s="1"/>
  <c r="C349" i="9"/>
  <c r="K39" i="4" s="1"/>
  <c r="D358" i="9"/>
  <c r="L48" i="4" s="1"/>
  <c r="C358" i="9"/>
  <c r="K48" i="4" s="1"/>
  <c r="C48" i="10"/>
  <c r="C49" i="10"/>
  <c r="D48" i="10"/>
  <c r="D60" i="10"/>
  <c r="C139" i="10"/>
  <c r="D138" i="10"/>
  <c r="D155" i="10"/>
  <c r="D143" i="10"/>
  <c r="C143" i="10"/>
  <c r="C203" i="10"/>
  <c r="D202" i="10"/>
  <c r="D219" i="10"/>
  <c r="D207" i="10"/>
  <c r="C207" i="10"/>
  <c r="C267" i="10"/>
  <c r="D266" i="10"/>
  <c r="D283" i="10"/>
  <c r="D271" i="10"/>
  <c r="C271" i="10"/>
  <c r="C331" i="10"/>
  <c r="W21" i="4" s="1"/>
  <c r="D330" i="10"/>
  <c r="X20" i="4" s="1"/>
  <c r="D347" i="10"/>
  <c r="X37" i="4" s="1"/>
  <c r="D335" i="10"/>
  <c r="X25" i="4" s="1"/>
  <c r="C335" i="10"/>
  <c r="W25" i="4" s="1"/>
  <c r="D34" i="11"/>
  <c r="D22" i="11"/>
  <c r="D50" i="11"/>
  <c r="D38" i="11"/>
  <c r="D66" i="11"/>
  <c r="D54" i="11"/>
  <c r="D82" i="11"/>
  <c r="D70" i="11"/>
  <c r="D98" i="11"/>
  <c r="D86" i="11"/>
  <c r="D140" i="11"/>
  <c r="C140" i="11"/>
  <c r="D152" i="11"/>
  <c r="D156" i="11"/>
  <c r="C156" i="11"/>
  <c r="D168" i="11"/>
  <c r="D172" i="11"/>
  <c r="C172" i="11"/>
  <c r="D184" i="11"/>
  <c r="D188" i="11"/>
  <c r="C188" i="11"/>
  <c r="D200" i="11"/>
  <c r="D241" i="11"/>
  <c r="C242" i="11"/>
  <c r="C241" i="11"/>
  <c r="D305" i="11"/>
  <c r="D317" i="11"/>
  <c r="AF7" i="4" s="1"/>
  <c r="C305" i="11"/>
  <c r="D327" i="11"/>
  <c r="AF17" i="4" s="1"/>
  <c r="D315" i="11"/>
  <c r="AF5" i="4" s="1"/>
  <c r="C315" i="11"/>
  <c r="AE5" i="4" s="1"/>
  <c r="D359" i="11"/>
  <c r="AF49" i="4" s="1"/>
  <c r="D347" i="11"/>
  <c r="AF37" i="4" s="1"/>
  <c r="C347" i="11"/>
  <c r="AE37" i="4" s="1"/>
  <c r="D362" i="11"/>
  <c r="AF52" i="4" s="1"/>
  <c r="C362" i="11"/>
  <c r="AE52" i="4" s="1"/>
  <c r="C243" i="10"/>
  <c r="D242" i="10"/>
  <c r="D259" i="10"/>
  <c r="D247" i="10"/>
  <c r="C247" i="10"/>
  <c r="C307" i="10"/>
  <c r="D306" i="10"/>
  <c r="D323" i="10"/>
  <c r="X13" i="4" s="1"/>
  <c r="D311" i="10"/>
  <c r="C311" i="10"/>
  <c r="D28" i="11"/>
  <c r="C28" i="11"/>
  <c r="D40" i="11"/>
  <c r="C34" i="11"/>
  <c r="D33" i="11"/>
  <c r="D44" i="11"/>
  <c r="C44" i="11"/>
  <c r="D56" i="11"/>
  <c r="C50" i="11"/>
  <c r="D49" i="11"/>
  <c r="D60" i="11"/>
  <c r="C60" i="11"/>
  <c r="D72" i="11"/>
  <c r="C66" i="11"/>
  <c r="D65" i="11"/>
  <c r="D76" i="11"/>
  <c r="C76" i="11"/>
  <c r="D88" i="11"/>
  <c r="C82" i="11"/>
  <c r="D81" i="11"/>
  <c r="D116" i="11"/>
  <c r="C116" i="11"/>
  <c r="D128" i="11"/>
  <c r="C122" i="11"/>
  <c r="D121" i="11"/>
  <c r="D138" i="11"/>
  <c r="D126" i="11"/>
  <c r="C204" i="11"/>
  <c r="D204" i="11"/>
  <c r="C255" i="11"/>
  <c r="D254" i="11"/>
  <c r="C254" i="11"/>
  <c r="D297" i="11"/>
  <c r="C297" i="11"/>
  <c r="D22" i="12"/>
  <c r="C10" i="12"/>
  <c r="D170" i="13"/>
  <c r="C170" i="13"/>
  <c r="C171" i="13"/>
  <c r="D182" i="13"/>
  <c r="D186" i="13"/>
  <c r="C186" i="13"/>
  <c r="C187" i="13"/>
  <c r="D202" i="13"/>
  <c r="C202" i="13"/>
  <c r="C203" i="13"/>
  <c r="D218" i="13"/>
  <c r="C218" i="13"/>
  <c r="C219" i="13"/>
  <c r="D317" i="12"/>
  <c r="R7" i="4" s="1"/>
  <c r="C317" i="12"/>
  <c r="Q7" i="4" s="1"/>
  <c r="C318" i="12"/>
  <c r="Q8" i="4" s="1"/>
  <c r="D61" i="13"/>
  <c r="D49" i="13"/>
  <c r="C49" i="13"/>
  <c r="C54" i="10"/>
  <c r="C55" i="10"/>
  <c r="C96" i="10"/>
  <c r="C131" i="10"/>
  <c r="D130" i="10"/>
  <c r="D147" i="10"/>
  <c r="D135" i="10"/>
  <c r="C135" i="10"/>
  <c r="C195" i="10"/>
  <c r="D194" i="10"/>
  <c r="D211" i="10"/>
  <c r="D199" i="10"/>
  <c r="C199" i="10"/>
  <c r="C259" i="10"/>
  <c r="D258" i="10"/>
  <c r="D275" i="10"/>
  <c r="D263" i="10"/>
  <c r="C263" i="10"/>
  <c r="C323" i="10"/>
  <c r="W13" i="4" s="1"/>
  <c r="D322" i="10"/>
  <c r="X12" i="4" s="1"/>
  <c r="D339" i="10"/>
  <c r="X29" i="4" s="1"/>
  <c r="D327" i="10"/>
  <c r="X17" i="4" s="1"/>
  <c r="C327" i="10"/>
  <c r="W17" i="4" s="1"/>
  <c r="D45" i="11"/>
  <c r="D61" i="11"/>
  <c r="D77" i="11"/>
  <c r="D132" i="11"/>
  <c r="C132" i="11"/>
  <c r="D144" i="11"/>
  <c r="D365" i="11"/>
  <c r="AF55" i="4" s="1"/>
  <c r="C365" i="11"/>
  <c r="AE55" i="4" s="1"/>
  <c r="D98" i="12"/>
  <c r="C98" i="12"/>
  <c r="D110" i="12"/>
  <c r="C109" i="12"/>
  <c r="D109" i="12"/>
  <c r="C110" i="12"/>
  <c r="D335" i="8"/>
  <c r="N25" i="4" s="1"/>
  <c r="C335" i="8"/>
  <c r="M25" i="4" s="1"/>
  <c r="D346" i="8"/>
  <c r="N36" i="4" s="1"/>
  <c r="C12" i="9"/>
  <c r="D23" i="9"/>
  <c r="C20" i="9"/>
  <c r="C28" i="9"/>
  <c r="C36" i="9"/>
  <c r="C44" i="9"/>
  <c r="C52" i="9"/>
  <c r="C60" i="9"/>
  <c r="C68" i="9"/>
  <c r="C76" i="9"/>
  <c r="C84" i="9"/>
  <c r="C92" i="9"/>
  <c r="C100" i="9"/>
  <c r="C108" i="9"/>
  <c r="C116" i="9"/>
  <c r="C124" i="9"/>
  <c r="C132" i="9"/>
  <c r="C140" i="9"/>
  <c r="C148" i="9"/>
  <c r="C156" i="9"/>
  <c r="C164" i="9"/>
  <c r="C172" i="9"/>
  <c r="C180" i="9"/>
  <c r="C188" i="9"/>
  <c r="C196" i="9"/>
  <c r="C204" i="9"/>
  <c r="C212" i="9"/>
  <c r="C220" i="9"/>
  <c r="C228" i="9"/>
  <c r="C236" i="9"/>
  <c r="C244" i="9"/>
  <c r="C252" i="9"/>
  <c r="C260" i="9"/>
  <c r="C268" i="9"/>
  <c r="C276" i="9"/>
  <c r="C284" i="9"/>
  <c r="C292" i="9"/>
  <c r="C300" i="9"/>
  <c r="C308" i="9"/>
  <c r="C316" i="9"/>
  <c r="K6" i="4" s="1"/>
  <c r="D332" i="9"/>
  <c r="L22" i="4" s="1"/>
  <c r="C321" i="9"/>
  <c r="K11" i="4" s="1"/>
  <c r="D364" i="9"/>
  <c r="L54" i="4" s="1"/>
  <c r="D352" i="9"/>
  <c r="L42" i="4" s="1"/>
  <c r="C22" i="10"/>
  <c r="D26" i="10"/>
  <c r="C26" i="10"/>
  <c r="C38" i="10"/>
  <c r="C39" i="10"/>
  <c r="D54" i="10"/>
  <c r="D66" i="10"/>
  <c r="C88" i="10"/>
  <c r="D88" i="10"/>
  <c r="C102" i="10"/>
  <c r="D102" i="10"/>
  <c r="D106" i="10"/>
  <c r="C107" i="10"/>
  <c r="D123" i="10"/>
  <c r="D111" i="10"/>
  <c r="C111" i="10"/>
  <c r="C130" i="10"/>
  <c r="D150" i="10"/>
  <c r="C171" i="10"/>
  <c r="D170" i="10"/>
  <c r="D187" i="10"/>
  <c r="D175" i="10"/>
  <c r="C175" i="10"/>
  <c r="C194" i="10"/>
  <c r="D214" i="10"/>
  <c r="C235" i="10"/>
  <c r="D234" i="10"/>
  <c r="D251" i="10"/>
  <c r="D239" i="10"/>
  <c r="C239" i="10"/>
  <c r="C258" i="10"/>
  <c r="D278" i="10"/>
  <c r="C299" i="10"/>
  <c r="D298" i="10"/>
  <c r="D315" i="10"/>
  <c r="X5" i="4" s="1"/>
  <c r="D303" i="10"/>
  <c r="C303" i="10"/>
  <c r="C322" i="10"/>
  <c r="W12" i="4" s="1"/>
  <c r="D342" i="10"/>
  <c r="X32" i="4" s="1"/>
  <c r="C363" i="10"/>
  <c r="W53" i="4" s="1"/>
  <c r="D362" i="10"/>
  <c r="X52" i="4" s="1"/>
  <c r="D19" i="11"/>
  <c r="D42" i="11"/>
  <c r="D30" i="11"/>
  <c r="D58" i="11"/>
  <c r="D46" i="11"/>
  <c r="D74" i="11"/>
  <c r="D62" i="11"/>
  <c r="D90" i="11"/>
  <c r="D78" i="11"/>
  <c r="D93" i="11"/>
  <c r="D108" i="11"/>
  <c r="C108" i="11"/>
  <c r="D120" i="11"/>
  <c r="C114" i="11"/>
  <c r="D113" i="11"/>
  <c r="D130" i="11"/>
  <c r="D118" i="11"/>
  <c r="D148" i="11"/>
  <c r="C148" i="11"/>
  <c r="D160" i="11"/>
  <c r="D164" i="11"/>
  <c r="C164" i="11"/>
  <c r="D176" i="11"/>
  <c r="D180" i="11"/>
  <c r="C180" i="11"/>
  <c r="D192" i="11"/>
  <c r="D208" i="11"/>
  <c r="D196" i="11"/>
  <c r="C196" i="11"/>
  <c r="C211" i="11"/>
  <c r="D210" i="11"/>
  <c r="C210" i="11"/>
  <c r="D250" i="11"/>
  <c r="D262" i="11"/>
  <c r="C250" i="11"/>
  <c r="C275" i="11"/>
  <c r="D274" i="11"/>
  <c r="C274" i="11"/>
  <c r="D109" i="10"/>
  <c r="C109" i="10"/>
  <c r="D117" i="10"/>
  <c r="C117" i="10"/>
  <c r="D125" i="10"/>
  <c r="C125" i="10"/>
  <c r="D133" i="10"/>
  <c r="C133" i="10"/>
  <c r="D141" i="10"/>
  <c r="C141" i="10"/>
  <c r="D149" i="10"/>
  <c r="C149" i="10"/>
  <c r="D157" i="10"/>
  <c r="C157" i="10"/>
  <c r="D165" i="10"/>
  <c r="C165" i="10"/>
  <c r="D173" i="10"/>
  <c r="C173" i="10"/>
  <c r="D181" i="10"/>
  <c r="C181" i="10"/>
  <c r="D189" i="10"/>
  <c r="C189" i="10"/>
  <c r="D197" i="10"/>
  <c r="C197" i="10"/>
  <c r="D205" i="10"/>
  <c r="C205" i="10"/>
  <c r="D213" i="10"/>
  <c r="C213" i="10"/>
  <c r="D221" i="10"/>
  <c r="C221" i="10"/>
  <c r="D229" i="10"/>
  <c r="C229" i="10"/>
  <c r="D237" i="10"/>
  <c r="C237" i="10"/>
  <c r="D245" i="10"/>
  <c r="C245" i="10"/>
  <c r="D253" i="10"/>
  <c r="C253" i="10"/>
  <c r="D261" i="10"/>
  <c r="C261" i="10"/>
  <c r="D269" i="10"/>
  <c r="C269" i="10"/>
  <c r="D277" i="10"/>
  <c r="C277" i="10"/>
  <c r="D285" i="10"/>
  <c r="C285" i="10"/>
  <c r="D293" i="10"/>
  <c r="C293" i="10"/>
  <c r="D301" i="10"/>
  <c r="C301" i="10"/>
  <c r="D309" i="10"/>
  <c r="C309" i="10"/>
  <c r="D317" i="10"/>
  <c r="X7" i="4" s="1"/>
  <c r="C317" i="10"/>
  <c r="W7" i="4" s="1"/>
  <c r="D325" i="10"/>
  <c r="X15" i="4" s="1"/>
  <c r="C325" i="10"/>
  <c r="W15" i="4" s="1"/>
  <c r="D333" i="10"/>
  <c r="X23" i="4" s="1"/>
  <c r="C333" i="10"/>
  <c r="W23" i="4" s="1"/>
  <c r="D341" i="10"/>
  <c r="X31" i="4" s="1"/>
  <c r="C341" i="10"/>
  <c r="W31" i="4" s="1"/>
  <c r="D349" i="10"/>
  <c r="X39" i="4" s="1"/>
  <c r="C349" i="10"/>
  <c r="W39" i="4" s="1"/>
  <c r="D357" i="10"/>
  <c r="X47" i="4" s="1"/>
  <c r="C357" i="10"/>
  <c r="W47" i="4" s="1"/>
  <c r="D365" i="10"/>
  <c r="X55" i="4" s="1"/>
  <c r="C365" i="10"/>
  <c r="W55" i="4" s="1"/>
  <c r="C21" i="11"/>
  <c r="C29" i="11"/>
  <c r="C37" i="11"/>
  <c r="C45" i="11"/>
  <c r="C53" i="11"/>
  <c r="C61" i="11"/>
  <c r="C69" i="11"/>
  <c r="C77" i="11"/>
  <c r="C85" i="11"/>
  <c r="C93" i="11"/>
  <c r="C101" i="11"/>
  <c r="C109" i="11"/>
  <c r="C117" i="11"/>
  <c r="C125" i="11"/>
  <c r="C133" i="11"/>
  <c r="C141" i="11"/>
  <c r="C149" i="11"/>
  <c r="C157" i="11"/>
  <c r="C165" i="11"/>
  <c r="C173" i="11"/>
  <c r="C181" i="11"/>
  <c r="C189" i="11"/>
  <c r="C197" i="11"/>
  <c r="D221" i="11"/>
  <c r="D295" i="11"/>
  <c r="D283" i="11"/>
  <c r="C283" i="11"/>
  <c r="C336" i="11"/>
  <c r="AE26" i="4" s="1"/>
  <c r="D348" i="11"/>
  <c r="AF38" i="4" s="1"/>
  <c r="C351" i="11"/>
  <c r="AE41" i="4" s="1"/>
  <c r="D350" i="11"/>
  <c r="AF40" i="4" s="1"/>
  <c r="C350" i="11"/>
  <c r="AE40" i="4" s="1"/>
  <c r="C45" i="12"/>
  <c r="D45" i="12"/>
  <c r="D58" i="12"/>
  <c r="D70" i="12"/>
  <c r="C58" i="12"/>
  <c r="D82" i="12"/>
  <c r="C82" i="12"/>
  <c r="D165" i="12"/>
  <c r="C165" i="12"/>
  <c r="C166" i="12"/>
  <c r="C138" i="11"/>
  <c r="D137" i="11"/>
  <c r="C146" i="11"/>
  <c r="D145" i="11"/>
  <c r="D149" i="11"/>
  <c r="C154" i="11"/>
  <c r="D153" i="11"/>
  <c r="D157" i="11"/>
  <c r="C162" i="11"/>
  <c r="D161" i="11"/>
  <c r="D165" i="11"/>
  <c r="C170" i="11"/>
  <c r="D169" i="11"/>
  <c r="D173" i="11"/>
  <c r="C178" i="11"/>
  <c r="D177" i="11"/>
  <c r="D181" i="11"/>
  <c r="C186" i="11"/>
  <c r="D185" i="11"/>
  <c r="D189" i="11"/>
  <c r="C194" i="11"/>
  <c r="D193" i="11"/>
  <c r="D197" i="11"/>
  <c r="D205" i="11"/>
  <c r="C214" i="11"/>
  <c r="D213" i="11"/>
  <c r="C223" i="11"/>
  <c r="D222" i="11"/>
  <c r="C222" i="11"/>
  <c r="C243" i="11"/>
  <c r="D242" i="11"/>
  <c r="D331" i="11"/>
  <c r="AF21" i="4" s="1"/>
  <c r="C331" i="11"/>
  <c r="AE21" i="4" s="1"/>
  <c r="D341" i="11"/>
  <c r="AF31" i="4" s="1"/>
  <c r="C341" i="11"/>
  <c r="AE31" i="4" s="1"/>
  <c r="D24" i="12"/>
  <c r="C24" i="12"/>
  <c r="C59" i="12"/>
  <c r="D59" i="12"/>
  <c r="D253" i="12"/>
  <c r="C253" i="12"/>
  <c r="C254" i="12"/>
  <c r="D54" i="15"/>
  <c r="C54" i="15"/>
  <c r="D263" i="11"/>
  <c r="D251" i="11"/>
  <c r="C251" i="11"/>
  <c r="D73" i="12"/>
  <c r="C73" i="12"/>
  <c r="C74" i="12"/>
  <c r="C108" i="12"/>
  <c r="D108" i="12"/>
  <c r="C156" i="12"/>
  <c r="D156" i="12"/>
  <c r="C93" i="13"/>
  <c r="D92" i="13"/>
  <c r="D104" i="13"/>
  <c r="C92" i="13"/>
  <c r="D60" i="14"/>
  <c r="C48" i="14"/>
  <c r="D48" i="14"/>
  <c r="D77" i="14"/>
  <c r="C77" i="14"/>
  <c r="D89" i="14"/>
  <c r="C89" i="14"/>
  <c r="C90" i="14"/>
  <c r="D124" i="14"/>
  <c r="C112" i="14"/>
  <c r="D112" i="14"/>
  <c r="D141" i="14"/>
  <c r="C141" i="14"/>
  <c r="D153" i="14"/>
  <c r="C153" i="14"/>
  <c r="C154" i="14"/>
  <c r="D188" i="14"/>
  <c r="C176" i="14"/>
  <c r="D176" i="14"/>
  <c r="D228" i="14"/>
  <c r="C216" i="14"/>
  <c r="D216" i="14"/>
  <c r="D246" i="14"/>
  <c r="C246" i="14"/>
  <c r="D258" i="14"/>
  <c r="C247" i="14"/>
  <c r="D234" i="13"/>
  <c r="C234" i="13"/>
  <c r="C235" i="13"/>
  <c r="D250" i="13"/>
  <c r="C250" i="13"/>
  <c r="C251" i="13"/>
  <c r="D266" i="13"/>
  <c r="C266" i="13"/>
  <c r="C267" i="13"/>
  <c r="D282" i="13"/>
  <c r="C282" i="13"/>
  <c r="C283" i="13"/>
  <c r="D298" i="13"/>
  <c r="C298" i="13"/>
  <c r="C299" i="13"/>
  <c r="D314" i="13"/>
  <c r="P4" i="4" s="1"/>
  <c r="C314" i="13"/>
  <c r="O4" i="4" s="1"/>
  <c r="C315" i="13"/>
  <c r="O5" i="4" s="1"/>
  <c r="D330" i="13"/>
  <c r="P20" i="4" s="1"/>
  <c r="C330" i="13"/>
  <c r="O20" i="4" s="1"/>
  <c r="C331" i="13"/>
  <c r="O21" i="4" s="1"/>
  <c r="D346" i="13"/>
  <c r="P36" i="4" s="1"/>
  <c r="C346" i="13"/>
  <c r="O36" i="4" s="1"/>
  <c r="C347" i="13"/>
  <c r="O37" i="4" s="1"/>
  <c r="D37" i="14"/>
  <c r="C37" i="14"/>
  <c r="D49" i="14"/>
  <c r="C49" i="14"/>
  <c r="C50" i="14"/>
  <c r="D84" i="14"/>
  <c r="C72" i="14"/>
  <c r="D72" i="14"/>
  <c r="D101" i="14"/>
  <c r="C101" i="14"/>
  <c r="D113" i="14"/>
  <c r="C113" i="14"/>
  <c r="C114" i="14"/>
  <c r="D148" i="14"/>
  <c r="C136" i="14"/>
  <c r="D136" i="14"/>
  <c r="D212" i="14"/>
  <c r="C200" i="14"/>
  <c r="D200" i="14"/>
  <c r="D93" i="10"/>
  <c r="C93" i="10"/>
  <c r="C104" i="10"/>
  <c r="C13" i="11"/>
  <c r="D150" i="11"/>
  <c r="D158" i="11"/>
  <c r="D166" i="11"/>
  <c r="D174" i="11"/>
  <c r="D182" i="11"/>
  <c r="D198" i="11"/>
  <c r="D231" i="11"/>
  <c r="D219" i="11"/>
  <c r="C219" i="11"/>
  <c r="D227" i="11"/>
  <c r="C16" i="12"/>
  <c r="D85" i="12"/>
  <c r="D94" i="12"/>
  <c r="D177" i="12"/>
  <c r="C244" i="12"/>
  <c r="D244" i="12"/>
  <c r="D350" i="9"/>
  <c r="L40" i="4" s="1"/>
  <c r="C353" i="9"/>
  <c r="K43" i="4" s="1"/>
  <c r="C19" i="11"/>
  <c r="C27" i="11"/>
  <c r="D31" i="11"/>
  <c r="C35" i="11"/>
  <c r="D39" i="11"/>
  <c r="C43" i="11"/>
  <c r="D47" i="11"/>
  <c r="C51" i="11"/>
  <c r="D55" i="11"/>
  <c r="C59" i="11"/>
  <c r="D63" i="11"/>
  <c r="C67" i="11"/>
  <c r="D71" i="11"/>
  <c r="C75" i="11"/>
  <c r="D79" i="11"/>
  <c r="C83" i="11"/>
  <c r="D87" i="11"/>
  <c r="D95" i="11"/>
  <c r="D248" i="11"/>
  <c r="C248" i="11"/>
  <c r="C278" i="11"/>
  <c r="D277" i="11"/>
  <c r="C287" i="11"/>
  <c r="D286" i="11"/>
  <c r="C286" i="11"/>
  <c r="D298" i="11"/>
  <c r="D321" i="11"/>
  <c r="AF11" i="4" s="1"/>
  <c r="C322" i="11"/>
  <c r="AE12" i="4" s="1"/>
  <c r="C335" i="11"/>
  <c r="AE25" i="4" s="1"/>
  <c r="D334" i="11"/>
  <c r="AF24" i="4" s="1"/>
  <c r="D343" i="11"/>
  <c r="AF33" i="4" s="1"/>
  <c r="D361" i="11"/>
  <c r="AF51" i="4" s="1"/>
  <c r="C27" i="12"/>
  <c r="D27" i="12"/>
  <c r="D39" i="12"/>
  <c r="C37" i="12"/>
  <c r="C38" i="12"/>
  <c r="D37" i="12"/>
  <c r="C76" i="12"/>
  <c r="D76" i="12"/>
  <c r="C89" i="12"/>
  <c r="D129" i="12"/>
  <c r="C129" i="12"/>
  <c r="C140" i="12"/>
  <c r="D140" i="12"/>
  <c r="D173" i="12"/>
  <c r="C173" i="12"/>
  <c r="C174" i="12"/>
  <c r="D41" i="13"/>
  <c r="C41" i="13"/>
  <c r="C350" i="9"/>
  <c r="K40" i="4" s="1"/>
  <c r="D353" i="9"/>
  <c r="L43" i="4" s="1"/>
  <c r="C24" i="10"/>
  <c r="C30" i="10"/>
  <c r="D39" i="10"/>
  <c r="C46" i="10"/>
  <c r="D55" i="10"/>
  <c r="C62" i="10"/>
  <c r="D71" i="10"/>
  <c r="C78" i="10"/>
  <c r="D87" i="10"/>
  <c r="D94" i="10"/>
  <c r="D97" i="10"/>
  <c r="D101" i="10"/>
  <c r="C101" i="10"/>
  <c r="C108" i="10"/>
  <c r="C112" i="10"/>
  <c r="C116" i="10"/>
  <c r="C120" i="10"/>
  <c r="C124" i="10"/>
  <c r="C128" i="10"/>
  <c r="C132" i="10"/>
  <c r="C136" i="10"/>
  <c r="C140" i="10"/>
  <c r="C144" i="10"/>
  <c r="C148" i="10"/>
  <c r="C152" i="10"/>
  <c r="C156" i="10"/>
  <c r="C160" i="10"/>
  <c r="C164" i="10"/>
  <c r="C168" i="10"/>
  <c r="C172" i="10"/>
  <c r="C176" i="10"/>
  <c r="C180" i="10"/>
  <c r="C184" i="10"/>
  <c r="C188" i="10"/>
  <c r="C192" i="10"/>
  <c r="C196" i="10"/>
  <c r="C200" i="10"/>
  <c r="C204" i="10"/>
  <c r="C208" i="10"/>
  <c r="C212" i="10"/>
  <c r="C216" i="10"/>
  <c r="C220" i="10"/>
  <c r="C224" i="10"/>
  <c r="C228" i="10"/>
  <c r="C232" i="10"/>
  <c r="C236" i="10"/>
  <c r="C240" i="10"/>
  <c r="C244" i="10"/>
  <c r="C248" i="10"/>
  <c r="C252" i="10"/>
  <c r="C256" i="10"/>
  <c r="C260" i="10"/>
  <c r="C264" i="10"/>
  <c r="C268" i="10"/>
  <c r="C272" i="10"/>
  <c r="C276" i="10"/>
  <c r="C280" i="10"/>
  <c r="C284" i="10"/>
  <c r="C288" i="10"/>
  <c r="C292" i="10"/>
  <c r="C296" i="10"/>
  <c r="C300" i="10"/>
  <c r="C304" i="10"/>
  <c r="C312" i="10"/>
  <c r="D320" i="10"/>
  <c r="X10" i="4" s="1"/>
  <c r="D328" i="10"/>
  <c r="X18" i="4" s="1"/>
  <c r="C332" i="10"/>
  <c r="W22" i="4" s="1"/>
  <c r="D336" i="10"/>
  <c r="X26" i="4" s="1"/>
  <c r="C344" i="10"/>
  <c r="W34" i="4" s="1"/>
  <c r="D352" i="10"/>
  <c r="X42" i="4" s="1"/>
  <c r="D360" i="10"/>
  <c r="X50" i="4" s="1"/>
  <c r="C9" i="11"/>
  <c r="D187" i="11"/>
  <c r="D195" i="11"/>
  <c r="D236" i="11"/>
  <c r="D244" i="11"/>
  <c r="C265" i="11"/>
  <c r="C273" i="11"/>
  <c r="C277" i="11"/>
  <c r="D294" i="11"/>
  <c r="C306" i="11"/>
  <c r="C318" i="11"/>
  <c r="AE8" i="4" s="1"/>
  <c r="C321" i="11"/>
  <c r="AE11" i="4" s="1"/>
  <c r="C334" i="11"/>
  <c r="AE24" i="4" s="1"/>
  <c r="C345" i="11"/>
  <c r="AE35" i="4" s="1"/>
  <c r="D344" i="11"/>
  <c r="AF34" i="4" s="1"/>
  <c r="C344" i="11"/>
  <c r="AE34" i="4" s="1"/>
  <c r="C361" i="11"/>
  <c r="AE51" i="4" s="1"/>
  <c r="C366" i="11"/>
  <c r="AE56" i="4" s="1"/>
  <c r="C13" i="12"/>
  <c r="C12" i="12"/>
  <c r="C77" i="12"/>
  <c r="D77" i="12"/>
  <c r="D90" i="12"/>
  <c r="D102" i="12"/>
  <c r="C90" i="12"/>
  <c r="D130" i="12"/>
  <c r="C130" i="12"/>
  <c r="D142" i="12"/>
  <c r="C308" i="12"/>
  <c r="D308" i="12"/>
  <c r="D138" i="13"/>
  <c r="C138" i="13"/>
  <c r="C139" i="13"/>
  <c r="D150" i="13"/>
  <c r="D143" i="13"/>
  <c r="C144" i="13"/>
  <c r="D38" i="17"/>
  <c r="C38" i="17"/>
  <c r="D50" i="17"/>
  <c r="D181" i="12"/>
  <c r="C181" i="12"/>
  <c r="C182" i="12"/>
  <c r="D185" i="12"/>
  <c r="C185" i="12"/>
  <c r="D249" i="12"/>
  <c r="C249" i="12"/>
  <c r="D313" i="12"/>
  <c r="C313" i="12"/>
  <c r="C50" i="13"/>
  <c r="D87" i="13"/>
  <c r="C88" i="13"/>
  <c r="C87" i="13"/>
  <c r="C102" i="13"/>
  <c r="D102" i="13"/>
  <c r="C125" i="13"/>
  <c r="D124" i="13"/>
  <c r="D136" i="13"/>
  <c r="C29" i="15"/>
  <c r="D28" i="15"/>
  <c r="D40" i="15"/>
  <c r="C40" i="15"/>
  <c r="C41" i="15"/>
  <c r="C50" i="15"/>
  <c r="D50" i="15"/>
  <c r="D62" i="15"/>
  <c r="C91" i="12"/>
  <c r="D91" i="12"/>
  <c r="D122" i="12"/>
  <c r="D134" i="12"/>
  <c r="C122" i="12"/>
  <c r="D141" i="12"/>
  <c r="C141" i="12"/>
  <c r="C142" i="12"/>
  <c r="C177" i="12"/>
  <c r="D245" i="12"/>
  <c r="C245" i="12"/>
  <c r="C246" i="12"/>
  <c r="D309" i="12"/>
  <c r="C309" i="12"/>
  <c r="C310" i="12"/>
  <c r="C33" i="13"/>
  <c r="C42" i="13"/>
  <c r="D119" i="13"/>
  <c r="C120" i="13"/>
  <c r="C119" i="13"/>
  <c r="C124" i="13"/>
  <c r="C134" i="13"/>
  <c r="D134" i="13"/>
  <c r="C157" i="13"/>
  <c r="D156" i="13"/>
  <c r="D168" i="13"/>
  <c r="C173" i="13"/>
  <c r="D172" i="13"/>
  <c r="C172" i="13"/>
  <c r="C28" i="15"/>
  <c r="D183" i="15"/>
  <c r="C183" i="15"/>
  <c r="D195" i="15"/>
  <c r="D225" i="11"/>
  <c r="C228" i="11"/>
  <c r="D257" i="11"/>
  <c r="C260" i="11"/>
  <c r="D289" i="11"/>
  <c r="C292" i="11"/>
  <c r="C310" i="11"/>
  <c r="D353" i="11"/>
  <c r="AF43" i="4" s="1"/>
  <c r="C356" i="11"/>
  <c r="AE46" i="4" s="1"/>
  <c r="C51" i="12"/>
  <c r="D51" i="12"/>
  <c r="C69" i="12"/>
  <c r="C70" i="12"/>
  <c r="D69" i="12"/>
  <c r="D100" i="12"/>
  <c r="D105" i="12"/>
  <c r="C105" i="12"/>
  <c r="C123" i="12"/>
  <c r="D123" i="12"/>
  <c r="C161" i="12"/>
  <c r="C169" i="12"/>
  <c r="C204" i="12"/>
  <c r="D204" i="12"/>
  <c r="D229" i="12"/>
  <c r="C229" i="12"/>
  <c r="D237" i="12"/>
  <c r="C237" i="12"/>
  <c r="D241" i="12"/>
  <c r="C242" i="12"/>
  <c r="C268" i="12"/>
  <c r="D268" i="12"/>
  <c r="D293" i="12"/>
  <c r="C293" i="12"/>
  <c r="D301" i="12"/>
  <c r="C301" i="12"/>
  <c r="D305" i="12"/>
  <c r="C306" i="12"/>
  <c r="C332" i="12"/>
  <c r="Q22" i="4" s="1"/>
  <c r="D332" i="12"/>
  <c r="R22" i="4" s="1"/>
  <c r="C16" i="13"/>
  <c r="C25" i="13"/>
  <c r="C34" i="13"/>
  <c r="D77" i="13"/>
  <c r="D83" i="13"/>
  <c r="D114" i="13"/>
  <c r="C114" i="13"/>
  <c r="D151" i="13"/>
  <c r="C152" i="13"/>
  <c r="C151" i="13"/>
  <c r="D163" i="13"/>
  <c r="C156" i="13"/>
  <c r="C168" i="13"/>
  <c r="D167" i="13"/>
  <c r="D179" i="13"/>
  <c r="C167" i="13"/>
  <c r="C285" i="14"/>
  <c r="D284" i="14"/>
  <c r="C284" i="14"/>
  <c r="D302" i="14"/>
  <c r="C303" i="14"/>
  <c r="D310" i="14"/>
  <c r="C310" i="14"/>
  <c r="C311" i="14"/>
  <c r="C320" i="10"/>
  <c r="W10" i="4" s="1"/>
  <c r="C328" i="10"/>
  <c r="W18" i="4" s="1"/>
  <c r="C336" i="10"/>
  <c r="W26" i="4" s="1"/>
  <c r="C352" i="10"/>
  <c r="W42" i="4" s="1"/>
  <c r="C360" i="10"/>
  <c r="W50" i="4" s="1"/>
  <c r="C23" i="11"/>
  <c r="C31" i="11"/>
  <c r="C39" i="11"/>
  <c r="C47" i="11"/>
  <c r="C55" i="11"/>
  <c r="C63" i="11"/>
  <c r="C71" i="11"/>
  <c r="C79" i="11"/>
  <c r="C87" i="11"/>
  <c r="C95" i="11"/>
  <c r="C103" i="11"/>
  <c r="C111" i="11"/>
  <c r="C119" i="11"/>
  <c r="C127" i="11"/>
  <c r="C135" i="11"/>
  <c r="C143" i="11"/>
  <c r="C151" i="11"/>
  <c r="C159" i="11"/>
  <c r="C167" i="11"/>
  <c r="C175" i="11"/>
  <c r="C183" i="11"/>
  <c r="C191" i="11"/>
  <c r="C202" i="11"/>
  <c r="C205" i="11"/>
  <c r="C225" i="11"/>
  <c r="D228" i="11"/>
  <c r="C234" i="11"/>
  <c r="C237" i="11"/>
  <c r="C257" i="11"/>
  <c r="D260" i="11"/>
  <c r="C266" i="11"/>
  <c r="C269" i="11"/>
  <c r="C289" i="11"/>
  <c r="D292" i="11"/>
  <c r="C298" i="11"/>
  <c r="C301" i="11"/>
  <c r="C307" i="11"/>
  <c r="D310" i="11"/>
  <c r="C328" i="11"/>
  <c r="AE18" i="4" s="1"/>
  <c r="C338" i="11"/>
  <c r="AE28" i="4" s="1"/>
  <c r="C353" i="11"/>
  <c r="AE43" i="4" s="1"/>
  <c r="D356" i="11"/>
  <c r="AF46" i="4" s="1"/>
  <c r="C363" i="11"/>
  <c r="AE53" i="4" s="1"/>
  <c r="C17" i="12"/>
  <c r="C21" i="12"/>
  <c r="C25" i="12"/>
  <c r="C29" i="12"/>
  <c r="D33" i="12"/>
  <c r="C33" i="12"/>
  <c r="C43" i="12"/>
  <c r="D55" i="12"/>
  <c r="C52" i="12"/>
  <c r="D52" i="12"/>
  <c r="C61" i="12"/>
  <c r="C62" i="12"/>
  <c r="C83" i="12"/>
  <c r="D83" i="12"/>
  <c r="D96" i="12"/>
  <c r="C101" i="12"/>
  <c r="C102" i="12"/>
  <c r="D101" i="12"/>
  <c r="C114" i="12"/>
  <c r="D132" i="12"/>
  <c r="D137" i="12"/>
  <c r="C137" i="12"/>
  <c r="C146" i="12"/>
  <c r="D158" i="12"/>
  <c r="D162" i="12"/>
  <c r="D174" i="12"/>
  <c r="D166" i="12"/>
  <c r="D170" i="12"/>
  <c r="C170" i="12"/>
  <c r="C178" i="12"/>
  <c r="D200" i="12"/>
  <c r="C241" i="12"/>
  <c r="D264" i="12"/>
  <c r="C305" i="12"/>
  <c r="D328" i="12"/>
  <c r="R18" i="4" s="1"/>
  <c r="D366" i="12"/>
  <c r="C26" i="13"/>
  <c r="D78" i="13"/>
  <c r="C78" i="13"/>
  <c r="C79" i="13"/>
  <c r="C105" i="13"/>
  <c r="D117" i="13"/>
  <c r="C115" i="13"/>
  <c r="D146" i="13"/>
  <c r="C146" i="13"/>
  <c r="D278" i="14"/>
  <c r="C278" i="14"/>
  <c r="D290" i="14"/>
  <c r="C279" i="14"/>
  <c r="C302" i="14"/>
  <c r="D202" i="11"/>
  <c r="D217" i="11"/>
  <c r="C220" i="11"/>
  <c r="D234" i="11"/>
  <c r="D249" i="11"/>
  <c r="C252" i="11"/>
  <c r="D266" i="11"/>
  <c r="D281" i="11"/>
  <c r="C284" i="11"/>
  <c r="D322" i="11"/>
  <c r="AF12" i="4" s="1"/>
  <c r="C332" i="11"/>
  <c r="AE22" i="4" s="1"/>
  <c r="C342" i="11"/>
  <c r="AE32" i="4" s="1"/>
  <c r="D34" i="12"/>
  <c r="C34" i="12"/>
  <c r="D48" i="12"/>
  <c r="D65" i="12"/>
  <c r="C65" i="12"/>
  <c r="C75" i="12"/>
  <c r="D87" i="12"/>
  <c r="C84" i="12"/>
  <c r="D84" i="12"/>
  <c r="C93" i="12"/>
  <c r="C94" i="12"/>
  <c r="C106" i="12"/>
  <c r="C115" i="12"/>
  <c r="D115" i="12"/>
  <c r="C133" i="12"/>
  <c r="C134" i="12"/>
  <c r="D133" i="12"/>
  <c r="C162" i="12"/>
  <c r="D192" i="12"/>
  <c r="D256" i="12"/>
  <c r="D320" i="12"/>
  <c r="R10" i="4" s="1"/>
  <c r="C74" i="13"/>
  <c r="D74" i="13"/>
  <c r="C137" i="13"/>
  <c r="D149" i="13"/>
  <c r="D158" i="13"/>
  <c r="C158" i="13"/>
  <c r="C159" i="13"/>
  <c r="D184" i="13"/>
  <c r="D36" i="14"/>
  <c r="C24" i="14"/>
  <c r="D24" i="14"/>
  <c r="D29" i="14"/>
  <c r="C29" i="14"/>
  <c r="D41" i="14"/>
  <c r="C41" i="14"/>
  <c r="C42" i="14"/>
  <c r="D76" i="14"/>
  <c r="C64" i="14"/>
  <c r="D64" i="14"/>
  <c r="D93" i="14"/>
  <c r="C93" i="14"/>
  <c r="D105" i="14"/>
  <c r="C105" i="14"/>
  <c r="C106" i="14"/>
  <c r="D140" i="14"/>
  <c r="C128" i="14"/>
  <c r="D128" i="14"/>
  <c r="D157" i="14"/>
  <c r="C157" i="14"/>
  <c r="D204" i="14"/>
  <c r="C192" i="14"/>
  <c r="D192" i="14"/>
  <c r="D297" i="14"/>
  <c r="C297" i="14"/>
  <c r="C14" i="11"/>
  <c r="C217" i="11"/>
  <c r="D220" i="11"/>
  <c r="D240" i="11"/>
  <c r="C249" i="11"/>
  <c r="D252" i="11"/>
  <c r="D272" i="11"/>
  <c r="C281" i="11"/>
  <c r="D284" i="11"/>
  <c r="D304" i="11"/>
  <c r="C311" i="11"/>
  <c r="D329" i="11"/>
  <c r="AF19" i="4" s="1"/>
  <c r="D332" i="11"/>
  <c r="AF22" i="4" s="1"/>
  <c r="C339" i="11"/>
  <c r="AE29" i="4" s="1"/>
  <c r="D342" i="11"/>
  <c r="AF32" i="4" s="1"/>
  <c r="C354" i="11"/>
  <c r="AE44" i="4" s="1"/>
  <c r="C357" i="11"/>
  <c r="AE47" i="4" s="1"/>
  <c r="C360" i="11"/>
  <c r="AE50" i="4" s="1"/>
  <c r="D364" i="11"/>
  <c r="AF54" i="4" s="1"/>
  <c r="C19" i="12"/>
  <c r="C22" i="12"/>
  <c r="C26" i="12"/>
  <c r="C44" i="12"/>
  <c r="D44" i="12"/>
  <c r="D57" i="12"/>
  <c r="D66" i="12"/>
  <c r="C66" i="12"/>
  <c r="D75" i="12"/>
  <c r="D80" i="12"/>
  <c r="D93" i="12"/>
  <c r="D97" i="12"/>
  <c r="C97" i="12"/>
  <c r="C107" i="12"/>
  <c r="D119" i="12"/>
  <c r="C116" i="12"/>
  <c r="D116" i="12"/>
  <c r="C125" i="12"/>
  <c r="C126" i="12"/>
  <c r="C138" i="12"/>
  <c r="C155" i="12"/>
  <c r="D188" i="12"/>
  <c r="C210" i="12"/>
  <c r="D222" i="12"/>
  <c r="D226" i="12"/>
  <c r="D238" i="12"/>
  <c r="D230" i="12"/>
  <c r="D234" i="12"/>
  <c r="D246" i="12"/>
  <c r="C234" i="12"/>
  <c r="D252" i="12"/>
  <c r="C274" i="12"/>
  <c r="D286" i="12"/>
  <c r="D290" i="12"/>
  <c r="D302" i="12"/>
  <c r="D294" i="12"/>
  <c r="D298" i="12"/>
  <c r="D310" i="12"/>
  <c r="C298" i="12"/>
  <c r="D316" i="12"/>
  <c r="R6" i="4" s="1"/>
  <c r="C338" i="12"/>
  <c r="Q28" i="4" s="1"/>
  <c r="D350" i="12"/>
  <c r="R40" i="4" s="1"/>
  <c r="C354" i="12"/>
  <c r="Q44" i="4" s="1"/>
  <c r="D75" i="13"/>
  <c r="C75" i="13"/>
  <c r="C101" i="13"/>
  <c r="D100" i="13"/>
  <c r="C100" i="13"/>
  <c r="D112" i="13"/>
  <c r="D106" i="13"/>
  <c r="C106" i="13"/>
  <c r="C107" i="13"/>
  <c r="D111" i="13"/>
  <c r="C112" i="13"/>
  <c r="D137" i="13"/>
  <c r="D147" i="13"/>
  <c r="D197" i="13"/>
  <c r="C185" i="13"/>
  <c r="D190" i="13"/>
  <c r="C190" i="13"/>
  <c r="D206" i="13"/>
  <c r="C206" i="13"/>
  <c r="D222" i="13"/>
  <c r="C222" i="13"/>
  <c r="D238" i="13"/>
  <c r="C238" i="13"/>
  <c r="D254" i="13"/>
  <c r="C254" i="13"/>
  <c r="D270" i="13"/>
  <c r="C270" i="13"/>
  <c r="D286" i="13"/>
  <c r="C286" i="13"/>
  <c r="D302" i="13"/>
  <c r="C302" i="13"/>
  <c r="D318" i="13"/>
  <c r="P8" i="4" s="1"/>
  <c r="C318" i="13"/>
  <c r="O8" i="4" s="1"/>
  <c r="D334" i="13"/>
  <c r="P24" i="4" s="1"/>
  <c r="C334" i="13"/>
  <c r="O24" i="4" s="1"/>
  <c r="D25" i="14"/>
  <c r="C25" i="14"/>
  <c r="C26" i="14"/>
  <c r="D53" i="14"/>
  <c r="C53" i="14"/>
  <c r="D65" i="14"/>
  <c r="C65" i="14"/>
  <c r="C66" i="14"/>
  <c r="D100" i="14"/>
  <c r="C88" i="14"/>
  <c r="D88" i="14"/>
  <c r="D117" i="14"/>
  <c r="C117" i="14"/>
  <c r="D129" i="14"/>
  <c r="C129" i="14"/>
  <c r="C130" i="14"/>
  <c r="D164" i="14"/>
  <c r="C152" i="14"/>
  <c r="D152" i="14"/>
  <c r="C253" i="14"/>
  <c r="D252" i="14"/>
  <c r="C252" i="14"/>
  <c r="D270" i="14"/>
  <c r="C271" i="14"/>
  <c r="C270" i="14"/>
  <c r="D313" i="11"/>
  <c r="C316" i="11"/>
  <c r="AE6" i="4" s="1"/>
  <c r="D345" i="11"/>
  <c r="AF35" i="4" s="1"/>
  <c r="C348" i="11"/>
  <c r="AE38" i="4" s="1"/>
  <c r="D144" i="12"/>
  <c r="C163" i="12"/>
  <c r="D193" i="12"/>
  <c r="D197" i="12"/>
  <c r="C197" i="12"/>
  <c r="D208" i="12"/>
  <c r="C227" i="12"/>
  <c r="D257" i="12"/>
  <c r="D261" i="12"/>
  <c r="C261" i="12"/>
  <c r="D272" i="12"/>
  <c r="C291" i="12"/>
  <c r="D321" i="12"/>
  <c r="R11" i="4" s="1"/>
  <c r="D325" i="12"/>
  <c r="R15" i="4" s="1"/>
  <c r="C325" i="12"/>
  <c r="Q15" i="4" s="1"/>
  <c r="D336" i="12"/>
  <c r="R26" i="4" s="1"/>
  <c r="C13" i="13"/>
  <c r="C66" i="13"/>
  <c r="C67" i="13"/>
  <c r="C85" i="13"/>
  <c r="D84" i="13"/>
  <c r="C84" i="13"/>
  <c r="C109" i="13"/>
  <c r="D108" i="13"/>
  <c r="C117" i="13"/>
  <c r="D116" i="13"/>
  <c r="C116" i="13"/>
  <c r="D126" i="13"/>
  <c r="C141" i="13"/>
  <c r="D140" i="13"/>
  <c r="C149" i="13"/>
  <c r="D148" i="13"/>
  <c r="C148" i="13"/>
  <c r="D160" i="13"/>
  <c r="D165" i="13"/>
  <c r="C153" i="13"/>
  <c r="D21" i="14"/>
  <c r="C21" i="14"/>
  <c r="D44" i="14"/>
  <c r="C32" i="14"/>
  <c r="D32" i="14"/>
  <c r="D61" i="14"/>
  <c r="C61" i="14"/>
  <c r="D73" i="14"/>
  <c r="C73" i="14"/>
  <c r="C74" i="14"/>
  <c r="D108" i="14"/>
  <c r="C96" i="14"/>
  <c r="D96" i="14"/>
  <c r="D125" i="14"/>
  <c r="C125" i="14"/>
  <c r="D137" i="14"/>
  <c r="C137" i="14"/>
  <c r="C138" i="14"/>
  <c r="D172" i="14"/>
  <c r="C160" i="14"/>
  <c r="D160" i="14"/>
  <c r="D155" i="15"/>
  <c r="C155" i="15"/>
  <c r="D201" i="12"/>
  <c r="D205" i="12"/>
  <c r="C205" i="12"/>
  <c r="D216" i="12"/>
  <c r="C235" i="12"/>
  <c r="D265" i="12"/>
  <c r="D269" i="12"/>
  <c r="C269" i="12"/>
  <c r="D280" i="12"/>
  <c r="C299" i="12"/>
  <c r="D329" i="12"/>
  <c r="R19" i="4" s="1"/>
  <c r="D333" i="12"/>
  <c r="R23" i="4" s="1"/>
  <c r="C333" i="12"/>
  <c r="Q23" i="4" s="1"/>
  <c r="D344" i="12"/>
  <c r="R34" i="4" s="1"/>
  <c r="D71" i="13"/>
  <c r="C71" i="13"/>
  <c r="C76" i="13"/>
  <c r="D98" i="13"/>
  <c r="C98" i="13"/>
  <c r="D103" i="13"/>
  <c r="C104" i="13"/>
  <c r="C103" i="13"/>
  <c r="D130" i="13"/>
  <c r="C130" i="13"/>
  <c r="D135" i="13"/>
  <c r="C136" i="13"/>
  <c r="C135" i="13"/>
  <c r="D198" i="13"/>
  <c r="C198" i="13"/>
  <c r="D214" i="13"/>
  <c r="C214" i="13"/>
  <c r="D230" i="13"/>
  <c r="C230" i="13"/>
  <c r="D246" i="13"/>
  <c r="C246" i="13"/>
  <c r="D262" i="13"/>
  <c r="C262" i="13"/>
  <c r="D278" i="13"/>
  <c r="C278" i="13"/>
  <c r="D294" i="13"/>
  <c r="C294" i="13"/>
  <c r="D310" i="13"/>
  <c r="C310" i="13"/>
  <c r="D326" i="13"/>
  <c r="P16" i="4" s="1"/>
  <c r="C326" i="13"/>
  <c r="O16" i="4" s="1"/>
  <c r="D342" i="13"/>
  <c r="P32" i="4" s="1"/>
  <c r="C342" i="13"/>
  <c r="O32" i="4" s="1"/>
  <c r="C11" i="14"/>
  <c r="C10" i="14"/>
  <c r="D28" i="14"/>
  <c r="C17" i="14"/>
  <c r="C16" i="14"/>
  <c r="D33" i="14"/>
  <c r="C33" i="14"/>
  <c r="C34" i="14"/>
  <c r="D68" i="14"/>
  <c r="C56" i="14"/>
  <c r="D56" i="14"/>
  <c r="D85" i="14"/>
  <c r="C85" i="14"/>
  <c r="D97" i="14"/>
  <c r="C97" i="14"/>
  <c r="C98" i="14"/>
  <c r="D132" i="14"/>
  <c r="C120" i="14"/>
  <c r="D120" i="14"/>
  <c r="D149" i="14"/>
  <c r="C149" i="14"/>
  <c r="D161" i="14"/>
  <c r="C161" i="14"/>
  <c r="C162" i="14"/>
  <c r="D196" i="14"/>
  <c r="C184" i="14"/>
  <c r="D184" i="14"/>
  <c r="D239" i="14"/>
  <c r="D251" i="14"/>
  <c r="C265" i="14"/>
  <c r="D95" i="15"/>
  <c r="C95" i="15"/>
  <c r="D103" i="15"/>
  <c r="C103" i="15"/>
  <c r="D115" i="15"/>
  <c r="D132" i="15"/>
  <c r="C133" i="15"/>
  <c r="D144" i="15"/>
  <c r="C132" i="15"/>
  <c r="D145" i="12"/>
  <c r="D149" i="12"/>
  <c r="C149" i="12"/>
  <c r="C186" i="12"/>
  <c r="C201" i="12"/>
  <c r="D213" i="12"/>
  <c r="C213" i="12"/>
  <c r="D220" i="12"/>
  <c r="C250" i="12"/>
  <c r="C265" i="12"/>
  <c r="D277" i="12"/>
  <c r="C277" i="12"/>
  <c r="D284" i="12"/>
  <c r="C314" i="12"/>
  <c r="Q4" i="4" s="1"/>
  <c r="C329" i="12"/>
  <c r="Q19" i="4" s="1"/>
  <c r="D341" i="12"/>
  <c r="R31" i="4" s="1"/>
  <c r="C341" i="12"/>
  <c r="Q31" i="4" s="1"/>
  <c r="D348" i="12"/>
  <c r="R38" i="4" s="1"/>
  <c r="D352" i="12"/>
  <c r="R42" i="4" s="1"/>
  <c r="D356" i="12"/>
  <c r="R46" i="4" s="1"/>
  <c r="D360" i="12"/>
  <c r="R50" i="4" s="1"/>
  <c r="D364" i="12"/>
  <c r="R54" i="4" s="1"/>
  <c r="C9" i="13"/>
  <c r="D19" i="13"/>
  <c r="D23" i="13"/>
  <c r="D27" i="13"/>
  <c r="D31" i="13"/>
  <c r="D35" i="13"/>
  <c r="D39" i="13"/>
  <c r="D43" i="13"/>
  <c r="D47" i="13"/>
  <c r="D51" i="13"/>
  <c r="C62" i="13"/>
  <c r="D80" i="13"/>
  <c r="D90" i="13"/>
  <c r="C90" i="13"/>
  <c r="C91" i="13"/>
  <c r="D95" i="13"/>
  <c r="C99" i="13"/>
  <c r="D122" i="13"/>
  <c r="C122" i="13"/>
  <c r="C123" i="13"/>
  <c r="D127" i="13"/>
  <c r="C131" i="13"/>
  <c r="D154" i="13"/>
  <c r="C154" i="13"/>
  <c r="C155" i="13"/>
  <c r="C174" i="13"/>
  <c r="D45" i="14"/>
  <c r="C45" i="14"/>
  <c r="D57" i="14"/>
  <c r="C57" i="14"/>
  <c r="C58" i="14"/>
  <c r="D92" i="14"/>
  <c r="C80" i="14"/>
  <c r="D80" i="14"/>
  <c r="D109" i="14"/>
  <c r="C109" i="14"/>
  <c r="D121" i="14"/>
  <c r="C121" i="14"/>
  <c r="C122" i="14"/>
  <c r="D156" i="14"/>
  <c r="C144" i="14"/>
  <c r="D144" i="14"/>
  <c r="D220" i="14"/>
  <c r="C208" i="14"/>
  <c r="D208" i="14"/>
  <c r="C224" i="14"/>
  <c r="D224" i="14"/>
  <c r="C239" i="14"/>
  <c r="D319" i="14"/>
  <c r="T9" i="4" s="1"/>
  <c r="D331" i="14"/>
  <c r="T21" i="4" s="1"/>
  <c r="D71" i="15"/>
  <c r="C71" i="15"/>
  <c r="C81" i="15"/>
  <c r="D80" i="15"/>
  <c r="C96" i="15"/>
  <c r="D104" i="15"/>
  <c r="C104" i="15"/>
  <c r="C11" i="12"/>
  <c r="C35" i="12"/>
  <c r="D49" i="12"/>
  <c r="C53" i="12"/>
  <c r="D56" i="12"/>
  <c r="C60" i="12"/>
  <c r="C67" i="12"/>
  <c r="D81" i="12"/>
  <c r="C85" i="12"/>
  <c r="D88" i="12"/>
  <c r="C92" i="12"/>
  <c r="C99" i="12"/>
  <c r="D113" i="12"/>
  <c r="C117" i="12"/>
  <c r="D120" i="12"/>
  <c r="C124" i="12"/>
  <c r="C131" i="12"/>
  <c r="C145" i="12"/>
  <c r="D153" i="12"/>
  <c r="D157" i="12"/>
  <c r="C157" i="12"/>
  <c r="D164" i="12"/>
  <c r="D168" i="12"/>
  <c r="C187" i="12"/>
  <c r="C194" i="12"/>
  <c r="D198" i="12"/>
  <c r="C206" i="12"/>
  <c r="C209" i="12"/>
  <c r="D217" i="12"/>
  <c r="D221" i="12"/>
  <c r="C221" i="12"/>
  <c r="D228" i="12"/>
  <c r="D232" i="12"/>
  <c r="C251" i="12"/>
  <c r="C258" i="12"/>
  <c r="D262" i="12"/>
  <c r="C270" i="12"/>
  <c r="C273" i="12"/>
  <c r="D281" i="12"/>
  <c r="D285" i="12"/>
  <c r="C285" i="12"/>
  <c r="D292" i="12"/>
  <c r="D296" i="12"/>
  <c r="C315" i="12"/>
  <c r="Q5" i="4" s="1"/>
  <c r="C322" i="12"/>
  <c r="Q12" i="4" s="1"/>
  <c r="D326" i="12"/>
  <c r="R16" i="4" s="1"/>
  <c r="C334" i="12"/>
  <c r="Q24" i="4" s="1"/>
  <c r="C337" i="12"/>
  <c r="Q27" i="4" s="1"/>
  <c r="D345" i="12"/>
  <c r="R35" i="4" s="1"/>
  <c r="D349" i="12"/>
  <c r="R39" i="4" s="1"/>
  <c r="C349" i="12"/>
  <c r="Q39" i="4" s="1"/>
  <c r="D353" i="12"/>
  <c r="R43" i="4" s="1"/>
  <c r="D357" i="12"/>
  <c r="R47" i="4" s="1"/>
  <c r="C357" i="12"/>
  <c r="Q47" i="4" s="1"/>
  <c r="D361" i="12"/>
  <c r="R51" i="4" s="1"/>
  <c r="D365" i="12"/>
  <c r="R55" i="4" s="1"/>
  <c r="C365" i="12"/>
  <c r="Q55" i="4" s="1"/>
  <c r="D20" i="13"/>
  <c r="C20" i="13"/>
  <c r="D24" i="13"/>
  <c r="D28" i="13"/>
  <c r="C28" i="13"/>
  <c r="D32" i="13"/>
  <c r="D36" i="13"/>
  <c r="C36" i="13"/>
  <c r="D40" i="13"/>
  <c r="D44" i="13"/>
  <c r="C44" i="13"/>
  <c r="D48" i="13"/>
  <c r="D52" i="13"/>
  <c r="C52" i="13"/>
  <c r="D63" i="13"/>
  <c r="C64" i="13"/>
  <c r="C72" i="13"/>
  <c r="D81" i="13"/>
  <c r="C81" i="13"/>
  <c r="C95" i="13"/>
  <c r="D99" i="13"/>
  <c r="D123" i="13"/>
  <c r="C127" i="13"/>
  <c r="D131" i="13"/>
  <c r="D155" i="13"/>
  <c r="D173" i="13"/>
  <c r="D161" i="13"/>
  <c r="C176" i="13"/>
  <c r="D175" i="13"/>
  <c r="D187" i="13"/>
  <c r="D194" i="13"/>
  <c r="C194" i="13"/>
  <c r="C195" i="13"/>
  <c r="D210" i="13"/>
  <c r="C210" i="13"/>
  <c r="C211" i="13"/>
  <c r="D226" i="13"/>
  <c r="C226" i="13"/>
  <c r="C227" i="13"/>
  <c r="D242" i="13"/>
  <c r="C242" i="13"/>
  <c r="C243" i="13"/>
  <c r="D258" i="13"/>
  <c r="C258" i="13"/>
  <c r="C259" i="13"/>
  <c r="D274" i="13"/>
  <c r="C274" i="13"/>
  <c r="C275" i="13"/>
  <c r="D290" i="13"/>
  <c r="C290" i="13"/>
  <c r="C291" i="13"/>
  <c r="D306" i="13"/>
  <c r="C306" i="13"/>
  <c r="C307" i="13"/>
  <c r="D322" i="13"/>
  <c r="P12" i="4" s="1"/>
  <c r="C322" i="13"/>
  <c r="O12" i="4" s="1"/>
  <c r="C323" i="13"/>
  <c r="O13" i="4" s="1"/>
  <c r="D338" i="13"/>
  <c r="P28" i="4" s="1"/>
  <c r="C338" i="13"/>
  <c r="O28" i="4" s="1"/>
  <c r="C339" i="13"/>
  <c r="O29" i="4" s="1"/>
  <c r="D52" i="14"/>
  <c r="C40" i="14"/>
  <c r="D40" i="14"/>
  <c r="D69" i="14"/>
  <c r="C69" i="14"/>
  <c r="D81" i="14"/>
  <c r="C81" i="14"/>
  <c r="C82" i="14"/>
  <c r="D116" i="14"/>
  <c r="C104" i="14"/>
  <c r="D104" i="14"/>
  <c r="D133" i="14"/>
  <c r="C133" i="14"/>
  <c r="D145" i="14"/>
  <c r="C145" i="14"/>
  <c r="C146" i="14"/>
  <c r="D180" i="14"/>
  <c r="C168" i="14"/>
  <c r="D168" i="14"/>
  <c r="C319" i="14"/>
  <c r="S9" i="4" s="1"/>
  <c r="D63" i="15"/>
  <c r="C63" i="15"/>
  <c r="D72" i="15"/>
  <c r="C72" i="15"/>
  <c r="C73" i="15"/>
  <c r="C80" i="15"/>
  <c r="D178" i="13"/>
  <c r="C178" i="13"/>
  <c r="D205" i="13"/>
  <c r="C193" i="13"/>
  <c r="D213" i="13"/>
  <c r="C201" i="13"/>
  <c r="D221" i="13"/>
  <c r="C209" i="13"/>
  <c r="D229" i="13"/>
  <c r="C217" i="13"/>
  <c r="D237" i="13"/>
  <c r="C225" i="13"/>
  <c r="D245" i="13"/>
  <c r="C233" i="13"/>
  <c r="D253" i="13"/>
  <c r="C241" i="13"/>
  <c r="D261" i="13"/>
  <c r="C249" i="13"/>
  <c r="D269" i="13"/>
  <c r="C257" i="13"/>
  <c r="D277" i="13"/>
  <c r="C265" i="13"/>
  <c r="D285" i="13"/>
  <c r="C273" i="13"/>
  <c r="D293" i="13"/>
  <c r="C281" i="13"/>
  <c r="D301" i="13"/>
  <c r="C289" i="13"/>
  <c r="D309" i="13"/>
  <c r="C297" i="13"/>
  <c r="D317" i="13"/>
  <c r="P7" i="4" s="1"/>
  <c r="C305" i="13"/>
  <c r="D325" i="13"/>
  <c r="P15" i="4" s="1"/>
  <c r="C313" i="13"/>
  <c r="D333" i="13"/>
  <c r="P23" i="4" s="1"/>
  <c r="C321" i="13"/>
  <c r="O11" i="4" s="1"/>
  <c r="D341" i="13"/>
  <c r="P31" i="4" s="1"/>
  <c r="C329" i="13"/>
  <c r="O19" i="4" s="1"/>
  <c r="D349" i="13"/>
  <c r="P39" i="4" s="1"/>
  <c r="C337" i="13"/>
  <c r="O27" i="4" s="1"/>
  <c r="D357" i="13"/>
  <c r="P47" i="4" s="1"/>
  <c r="C345" i="13"/>
  <c r="O35" i="4" s="1"/>
  <c r="D365" i="13"/>
  <c r="P55" i="4" s="1"/>
  <c r="C353" i="13"/>
  <c r="O43" i="4" s="1"/>
  <c r="D271" i="14"/>
  <c r="D283" i="14"/>
  <c r="D315" i="14"/>
  <c r="T5" i="4" s="1"/>
  <c r="D22" i="15"/>
  <c r="C22" i="15"/>
  <c r="C52" i="15"/>
  <c r="C51" i="15"/>
  <c r="C105" i="15"/>
  <c r="D174" i="15"/>
  <c r="C174" i="15"/>
  <c r="D184" i="15"/>
  <c r="C184" i="15"/>
  <c r="D287" i="15"/>
  <c r="C287" i="15"/>
  <c r="C288" i="15"/>
  <c r="D331" i="15"/>
  <c r="J21" i="4" s="1"/>
  <c r="C331" i="15"/>
  <c r="I21" i="4" s="1"/>
  <c r="D202" i="16"/>
  <c r="C202" i="16"/>
  <c r="C203" i="16"/>
  <c r="D169" i="14"/>
  <c r="C169" i="14"/>
  <c r="D173" i="14"/>
  <c r="D177" i="14"/>
  <c r="C177" i="14"/>
  <c r="D181" i="14"/>
  <c r="D185" i="14"/>
  <c r="C185" i="14"/>
  <c r="D189" i="14"/>
  <c r="D193" i="14"/>
  <c r="C193" i="14"/>
  <c r="D197" i="14"/>
  <c r="D201" i="14"/>
  <c r="C201" i="14"/>
  <c r="D205" i="14"/>
  <c r="D209" i="14"/>
  <c r="C209" i="14"/>
  <c r="D213" i="14"/>
  <c r="D217" i="14"/>
  <c r="C217" i="14"/>
  <c r="D221" i="14"/>
  <c r="D225" i="14"/>
  <c r="C225" i="14"/>
  <c r="C237" i="14"/>
  <c r="D236" i="14"/>
  <c r="C248" i="14"/>
  <c r="D248" i="14"/>
  <c r="C280" i="14"/>
  <c r="D280" i="14"/>
  <c r="D68" i="15"/>
  <c r="C93" i="15"/>
  <c r="D92" i="15"/>
  <c r="C92" i="15"/>
  <c r="D141" i="15"/>
  <c r="C129" i="15"/>
  <c r="D338" i="15"/>
  <c r="J28" i="4" s="1"/>
  <c r="C326" i="15"/>
  <c r="I16" i="4" s="1"/>
  <c r="D326" i="15"/>
  <c r="J16" i="4" s="1"/>
  <c r="C112" i="16"/>
  <c r="C113" i="16"/>
  <c r="D124" i="16"/>
  <c r="D112" i="16"/>
  <c r="D354" i="13"/>
  <c r="P44" i="4" s="1"/>
  <c r="C354" i="13"/>
  <c r="O44" i="4" s="1"/>
  <c r="D358" i="13"/>
  <c r="P48" i="4" s="1"/>
  <c r="D362" i="13"/>
  <c r="P52" i="4" s="1"/>
  <c r="C362" i="13"/>
  <c r="O52" i="4" s="1"/>
  <c r="D366" i="13"/>
  <c r="C165" i="14"/>
  <c r="C173" i="14"/>
  <c r="C181" i="14"/>
  <c r="C189" i="14"/>
  <c r="C197" i="14"/>
  <c r="C205" i="14"/>
  <c r="D266" i="14"/>
  <c r="D254" i="14"/>
  <c r="D262" i="14"/>
  <c r="C262" i="14"/>
  <c r="D294" i="14"/>
  <c r="C294" i="14"/>
  <c r="D351" i="14"/>
  <c r="T41" i="4" s="1"/>
  <c r="D363" i="14"/>
  <c r="T53" i="4" s="1"/>
  <c r="C359" i="14"/>
  <c r="S49" i="4" s="1"/>
  <c r="C24" i="15"/>
  <c r="D36" i="15"/>
  <c r="D24" i="15"/>
  <c r="D42" i="15"/>
  <c r="D52" i="15"/>
  <c r="C84" i="15"/>
  <c r="D83" i="15"/>
  <c r="D200" i="15"/>
  <c r="C200" i="15"/>
  <c r="D55" i="13"/>
  <c r="C58" i="13"/>
  <c r="C184" i="13"/>
  <c r="D183" i="13"/>
  <c r="C350" i="13"/>
  <c r="O40" i="4" s="1"/>
  <c r="C358" i="13"/>
  <c r="O48" i="4" s="1"/>
  <c r="C366" i="13"/>
  <c r="O56" i="4" s="1"/>
  <c r="C13" i="14"/>
  <c r="C12" i="14"/>
  <c r="C23" i="14"/>
  <c r="D22" i="14"/>
  <c r="C31" i="14"/>
  <c r="D30" i="14"/>
  <c r="C39" i="14"/>
  <c r="D38" i="14"/>
  <c r="C47" i="14"/>
  <c r="D46" i="14"/>
  <c r="C55" i="14"/>
  <c r="D54" i="14"/>
  <c r="C63" i="14"/>
  <c r="D62" i="14"/>
  <c r="C71" i="14"/>
  <c r="D70" i="14"/>
  <c r="C79" i="14"/>
  <c r="D78" i="14"/>
  <c r="C87" i="14"/>
  <c r="D86" i="14"/>
  <c r="C95" i="14"/>
  <c r="D94" i="14"/>
  <c r="C103" i="14"/>
  <c r="D102" i="14"/>
  <c r="C111" i="14"/>
  <c r="D110" i="14"/>
  <c r="C119" i="14"/>
  <c r="D118" i="14"/>
  <c r="C127" i="14"/>
  <c r="D126" i="14"/>
  <c r="C135" i="14"/>
  <c r="D134" i="14"/>
  <c r="C143" i="14"/>
  <c r="D142" i="14"/>
  <c r="C151" i="14"/>
  <c r="D150" i="14"/>
  <c r="C159" i="14"/>
  <c r="D158" i="14"/>
  <c r="C167" i="14"/>
  <c r="D166" i="14"/>
  <c r="C170" i="14"/>
  <c r="C175" i="14"/>
  <c r="D174" i="14"/>
  <c r="C178" i="14"/>
  <c r="C183" i="14"/>
  <c r="D182" i="14"/>
  <c r="C186" i="14"/>
  <c r="C191" i="14"/>
  <c r="D190" i="14"/>
  <c r="C194" i="14"/>
  <c r="C199" i="14"/>
  <c r="D198" i="14"/>
  <c r="C202" i="14"/>
  <c r="C207" i="14"/>
  <c r="D206" i="14"/>
  <c r="C210" i="14"/>
  <c r="C215" i="14"/>
  <c r="D214" i="14"/>
  <c r="C218" i="14"/>
  <c r="D234" i="14"/>
  <c r="C223" i="14"/>
  <c r="D222" i="14"/>
  <c r="C226" i="14"/>
  <c r="C229" i="14"/>
  <c r="C233" i="14"/>
  <c r="D244" i="14"/>
  <c r="C249" i="14"/>
  <c r="C254" i="14"/>
  <c r="C269" i="14"/>
  <c r="D268" i="14"/>
  <c r="C281" i="14"/>
  <c r="C286" i="14"/>
  <c r="C301" i="14"/>
  <c r="D300" i="14"/>
  <c r="D312" i="14"/>
  <c r="D343" i="14"/>
  <c r="T33" i="4" s="1"/>
  <c r="D355" i="14"/>
  <c r="T45" i="4" s="1"/>
  <c r="C351" i="14"/>
  <c r="S41" i="4" s="1"/>
  <c r="C34" i="15"/>
  <c r="D34" i="15"/>
  <c r="C83" i="15"/>
  <c r="C171" i="15"/>
  <c r="C190" i="15"/>
  <c r="D223" i="15"/>
  <c r="C223" i="15"/>
  <c r="C224" i="15"/>
  <c r="D267" i="15"/>
  <c r="C267" i="15"/>
  <c r="C317" i="15"/>
  <c r="I7" i="4" s="1"/>
  <c r="D316" i="15"/>
  <c r="J6" i="4" s="1"/>
  <c r="D328" i="15"/>
  <c r="J18" i="4" s="1"/>
  <c r="C316" i="15"/>
  <c r="I6" i="4" s="1"/>
  <c r="C352" i="12"/>
  <c r="Q42" i="4" s="1"/>
  <c r="C360" i="12"/>
  <c r="Q50" i="4" s="1"/>
  <c r="C47" i="13"/>
  <c r="D162" i="13"/>
  <c r="C162" i="13"/>
  <c r="D176" i="13"/>
  <c r="C192" i="13"/>
  <c r="D191" i="13"/>
  <c r="C200" i="13"/>
  <c r="D199" i="13"/>
  <c r="C208" i="13"/>
  <c r="D207" i="13"/>
  <c r="C216" i="13"/>
  <c r="D215" i="13"/>
  <c r="C224" i="13"/>
  <c r="D223" i="13"/>
  <c r="C232" i="13"/>
  <c r="D231" i="13"/>
  <c r="C240" i="13"/>
  <c r="D239" i="13"/>
  <c r="C248" i="13"/>
  <c r="D247" i="13"/>
  <c r="C256" i="13"/>
  <c r="D255" i="13"/>
  <c r="C264" i="13"/>
  <c r="D263" i="13"/>
  <c r="C272" i="13"/>
  <c r="D271" i="13"/>
  <c r="C280" i="13"/>
  <c r="D279" i="13"/>
  <c r="C288" i="13"/>
  <c r="D287" i="13"/>
  <c r="C296" i="13"/>
  <c r="D295" i="13"/>
  <c r="C304" i="13"/>
  <c r="D303" i="13"/>
  <c r="C312" i="13"/>
  <c r="D311" i="13"/>
  <c r="C320" i="13"/>
  <c r="O10" i="4" s="1"/>
  <c r="D319" i="13"/>
  <c r="P9" i="4" s="1"/>
  <c r="C328" i="13"/>
  <c r="O18" i="4" s="1"/>
  <c r="D327" i="13"/>
  <c r="P17" i="4" s="1"/>
  <c r="C336" i="13"/>
  <c r="O26" i="4" s="1"/>
  <c r="D335" i="13"/>
  <c r="P25" i="4" s="1"/>
  <c r="C344" i="13"/>
  <c r="O34" i="4" s="1"/>
  <c r="D343" i="13"/>
  <c r="P33" i="4" s="1"/>
  <c r="C352" i="13"/>
  <c r="O42" i="4" s="1"/>
  <c r="D351" i="13"/>
  <c r="P41" i="4" s="1"/>
  <c r="C355" i="13"/>
  <c r="O45" i="4" s="1"/>
  <c r="C360" i="13"/>
  <c r="O50" i="4" s="1"/>
  <c r="D359" i="13"/>
  <c r="P49" i="4" s="1"/>
  <c r="C363" i="13"/>
  <c r="O53" i="4" s="1"/>
  <c r="C22" i="14"/>
  <c r="C30" i="14"/>
  <c r="D34" i="14"/>
  <c r="C38" i="14"/>
  <c r="D42" i="14"/>
  <c r="C46" i="14"/>
  <c r="D50" i="14"/>
  <c r="C54" i="14"/>
  <c r="D58" i="14"/>
  <c r="C62" i="14"/>
  <c r="D66" i="14"/>
  <c r="C70" i="14"/>
  <c r="D74" i="14"/>
  <c r="C78" i="14"/>
  <c r="D82" i="14"/>
  <c r="C86" i="14"/>
  <c r="D90" i="14"/>
  <c r="C94" i="14"/>
  <c r="D98" i="14"/>
  <c r="C102" i="14"/>
  <c r="D106" i="14"/>
  <c r="C110" i="14"/>
  <c r="D114" i="14"/>
  <c r="C118" i="14"/>
  <c r="D122" i="14"/>
  <c r="C126" i="14"/>
  <c r="D130" i="14"/>
  <c r="C134" i="14"/>
  <c r="D138" i="14"/>
  <c r="C142" i="14"/>
  <c r="D146" i="14"/>
  <c r="C150" i="14"/>
  <c r="D154" i="14"/>
  <c r="C158" i="14"/>
  <c r="D162" i="14"/>
  <c r="C166" i="14"/>
  <c r="D170" i="14"/>
  <c r="C174" i="14"/>
  <c r="D178" i="14"/>
  <c r="C182" i="14"/>
  <c r="D186" i="14"/>
  <c r="C190" i="14"/>
  <c r="D194" i="14"/>
  <c r="C198" i="14"/>
  <c r="D202" i="14"/>
  <c r="C206" i="14"/>
  <c r="D210" i="14"/>
  <c r="C214" i="14"/>
  <c r="D218" i="14"/>
  <c r="C222" i="14"/>
  <c r="D226" i="14"/>
  <c r="D233" i="14"/>
  <c r="D250" i="14"/>
  <c r="D238" i="14"/>
  <c r="D241" i="14"/>
  <c r="D255" i="14"/>
  <c r="D267" i="14"/>
  <c r="C263" i="14"/>
  <c r="C268" i="14"/>
  <c r="D287" i="14"/>
  <c r="D299" i="14"/>
  <c r="C295" i="14"/>
  <c r="C300" i="14"/>
  <c r="C313" i="14"/>
  <c r="D335" i="14"/>
  <c r="T25" i="4" s="1"/>
  <c r="D347" i="14"/>
  <c r="T37" i="4" s="1"/>
  <c r="C343" i="14"/>
  <c r="S33" i="4" s="1"/>
  <c r="C35" i="15"/>
  <c r="D47" i="15"/>
  <c r="C47" i="15"/>
  <c r="D75" i="15"/>
  <c r="C75" i="15"/>
  <c r="D84" i="15"/>
  <c r="C120" i="15"/>
  <c r="D186" i="15"/>
  <c r="D274" i="15"/>
  <c r="C262" i="15"/>
  <c r="D262" i="15"/>
  <c r="D79" i="13"/>
  <c r="C82" i="13"/>
  <c r="D145" i="13"/>
  <c r="C160" i="13"/>
  <c r="D159" i="13"/>
  <c r="D169" i="13"/>
  <c r="C180" i="13"/>
  <c r="C191" i="13"/>
  <c r="D195" i="13"/>
  <c r="C199" i="13"/>
  <c r="D203" i="13"/>
  <c r="C207" i="13"/>
  <c r="D211" i="13"/>
  <c r="C215" i="13"/>
  <c r="D219" i="13"/>
  <c r="C223" i="13"/>
  <c r="D227" i="13"/>
  <c r="C231" i="13"/>
  <c r="D235" i="13"/>
  <c r="C239" i="13"/>
  <c r="D243" i="13"/>
  <c r="C247" i="13"/>
  <c r="D251" i="13"/>
  <c r="C255" i="13"/>
  <c r="D259" i="13"/>
  <c r="C263" i="13"/>
  <c r="D267" i="13"/>
  <c r="C271" i="13"/>
  <c r="D275" i="13"/>
  <c r="C279" i="13"/>
  <c r="D283" i="13"/>
  <c r="C287" i="13"/>
  <c r="D291" i="13"/>
  <c r="C295" i="13"/>
  <c r="D299" i="13"/>
  <c r="C303" i="13"/>
  <c r="D307" i="13"/>
  <c r="C311" i="13"/>
  <c r="D315" i="13"/>
  <c r="P5" i="4" s="1"/>
  <c r="C319" i="13"/>
  <c r="O9" i="4" s="1"/>
  <c r="D323" i="13"/>
  <c r="P13" i="4" s="1"/>
  <c r="C327" i="13"/>
  <c r="O17" i="4" s="1"/>
  <c r="D331" i="13"/>
  <c r="P21" i="4" s="1"/>
  <c r="C335" i="13"/>
  <c r="O25" i="4" s="1"/>
  <c r="D339" i="13"/>
  <c r="P29" i="4" s="1"/>
  <c r="C343" i="13"/>
  <c r="O33" i="4" s="1"/>
  <c r="D347" i="13"/>
  <c r="P37" i="4" s="1"/>
  <c r="C351" i="13"/>
  <c r="O41" i="4" s="1"/>
  <c r="D355" i="13"/>
  <c r="P45" i="4" s="1"/>
  <c r="C359" i="13"/>
  <c r="O49" i="4" s="1"/>
  <c r="D363" i="13"/>
  <c r="P53" i="4" s="1"/>
  <c r="D20" i="14"/>
  <c r="C9" i="14"/>
  <c r="C8" i="14"/>
  <c r="C230" i="14"/>
  <c r="C238" i="14"/>
  <c r="C255" i="14"/>
  <c r="C264" i="14"/>
  <c r="D264" i="14"/>
  <c r="C287" i="14"/>
  <c r="C296" i="14"/>
  <c r="D296" i="14"/>
  <c r="D327" i="14"/>
  <c r="T17" i="4" s="1"/>
  <c r="D339" i="14"/>
  <c r="T29" i="4" s="1"/>
  <c r="C335" i="14"/>
  <c r="S25" i="4" s="1"/>
  <c r="C27" i="15"/>
  <c r="D27" i="15"/>
  <c r="C49" i="15"/>
  <c r="D48" i="15"/>
  <c r="C48" i="15"/>
  <c r="D101" i="15"/>
  <c r="D89" i="15"/>
  <c r="C89" i="15"/>
  <c r="D116" i="15"/>
  <c r="C117" i="15"/>
  <c r="D128" i="15"/>
  <c r="C116" i="15"/>
  <c r="D126" i="15"/>
  <c r="C126" i="15"/>
  <c r="D167" i="15"/>
  <c r="C167" i="15"/>
  <c r="D179" i="15"/>
  <c r="D351" i="15"/>
  <c r="J41" i="4" s="1"/>
  <c r="C351" i="15"/>
  <c r="I41" i="4" s="1"/>
  <c r="C352" i="15"/>
  <c r="I42" i="4" s="1"/>
  <c r="D166" i="16"/>
  <c r="C166" i="16"/>
  <c r="C167" i="16"/>
  <c r="D215" i="15"/>
  <c r="C215" i="15"/>
  <c r="C229" i="15"/>
  <c r="D228" i="15"/>
  <c r="D240" i="15"/>
  <c r="C228" i="15"/>
  <c r="D250" i="15"/>
  <c r="C238" i="15"/>
  <c r="D238" i="15"/>
  <c r="D263" i="15"/>
  <c r="C263" i="15"/>
  <c r="C293" i="15"/>
  <c r="D292" i="15"/>
  <c r="D304" i="15"/>
  <c r="C292" i="15"/>
  <c r="D314" i="15"/>
  <c r="J4" i="4" s="1"/>
  <c r="C302" i="15"/>
  <c r="D302" i="15"/>
  <c r="D327" i="15"/>
  <c r="J17" i="4" s="1"/>
  <c r="C327" i="15"/>
  <c r="I17" i="4" s="1"/>
  <c r="C357" i="15"/>
  <c r="I47" i="4" s="1"/>
  <c r="D356" i="15"/>
  <c r="J46" i="4" s="1"/>
  <c r="C356" i="15"/>
  <c r="I46" i="4" s="1"/>
  <c r="C366" i="15"/>
  <c r="I56" i="4" s="1"/>
  <c r="D366" i="15"/>
  <c r="D157" i="16"/>
  <c r="C158" i="16"/>
  <c r="C157" i="16"/>
  <c r="D277" i="16"/>
  <c r="C277" i="16"/>
  <c r="D310" i="16"/>
  <c r="C311" i="16"/>
  <c r="C310" i="16"/>
  <c r="D93" i="17"/>
  <c r="C93" i="17"/>
  <c r="C94" i="17"/>
  <c r="D193" i="17"/>
  <c r="C193" i="17"/>
  <c r="C194" i="17"/>
  <c r="D205" i="17"/>
  <c r="D245" i="14"/>
  <c r="D261" i="14"/>
  <c r="D277" i="14"/>
  <c r="D293" i="14"/>
  <c r="D309" i="14"/>
  <c r="C320" i="14"/>
  <c r="S10" i="4" s="1"/>
  <c r="C328" i="14"/>
  <c r="S18" i="4" s="1"/>
  <c r="C336" i="14"/>
  <c r="S26" i="4" s="1"/>
  <c r="C344" i="14"/>
  <c r="S34" i="4" s="1"/>
  <c r="C352" i="14"/>
  <c r="S42" i="4" s="1"/>
  <c r="C360" i="14"/>
  <c r="S50" i="4" s="1"/>
  <c r="C8" i="15"/>
  <c r="D31" i="15"/>
  <c r="C31" i="15"/>
  <c r="D39" i="15"/>
  <c r="D43" i="15"/>
  <c r="C43" i="15"/>
  <c r="C61" i="15"/>
  <c r="D60" i="15"/>
  <c r="C64" i="15"/>
  <c r="D79" i="15"/>
  <c r="C79" i="15"/>
  <c r="C121" i="15"/>
  <c r="D170" i="15"/>
  <c r="D199" i="15"/>
  <c r="C199" i="15"/>
  <c r="C203" i="15"/>
  <c r="D239" i="15"/>
  <c r="C239" i="15"/>
  <c r="C243" i="15"/>
  <c r="C269" i="15"/>
  <c r="D268" i="15"/>
  <c r="D280" i="15"/>
  <c r="C268" i="15"/>
  <c r="D290" i="15"/>
  <c r="C278" i="15"/>
  <c r="D278" i="15"/>
  <c r="D303" i="15"/>
  <c r="C303" i="15"/>
  <c r="C307" i="15"/>
  <c r="C333" i="15"/>
  <c r="I23" i="4" s="1"/>
  <c r="D332" i="15"/>
  <c r="J22" i="4" s="1"/>
  <c r="D344" i="15"/>
  <c r="J34" i="4" s="1"/>
  <c r="C332" i="15"/>
  <c r="I22" i="4" s="1"/>
  <c r="D354" i="15"/>
  <c r="J44" i="4" s="1"/>
  <c r="C342" i="15"/>
  <c r="I32" i="4" s="1"/>
  <c r="D342" i="15"/>
  <c r="J32" i="4" s="1"/>
  <c r="C20" i="16"/>
  <c r="D19" i="16"/>
  <c r="C28" i="16"/>
  <c r="D27" i="16"/>
  <c r="C36" i="16"/>
  <c r="D35" i="16"/>
  <c r="C44" i="16"/>
  <c r="D43" i="16"/>
  <c r="C52" i="16"/>
  <c r="D51" i="16"/>
  <c r="C60" i="16"/>
  <c r="D59" i="16"/>
  <c r="D79" i="16"/>
  <c r="C68" i="16"/>
  <c r="D67" i="16"/>
  <c r="C124" i="16"/>
  <c r="D136" i="16"/>
  <c r="D213" i="16"/>
  <c r="C213" i="16"/>
  <c r="D246" i="16"/>
  <c r="C247" i="16"/>
  <c r="C246" i="16"/>
  <c r="C273" i="16"/>
  <c r="D273" i="16"/>
  <c r="D278" i="16"/>
  <c r="C279" i="16"/>
  <c r="C278" i="16"/>
  <c r="D306" i="16"/>
  <c r="C307" i="16"/>
  <c r="C306" i="16"/>
  <c r="D29" i="17"/>
  <c r="C29" i="17"/>
  <c r="C30" i="17"/>
  <c r="D153" i="17"/>
  <c r="C153" i="17"/>
  <c r="C154" i="17"/>
  <c r="D220" i="15"/>
  <c r="C221" i="15"/>
  <c r="D232" i="15"/>
  <c r="C245" i="15"/>
  <c r="D244" i="15"/>
  <c r="D256" i="15"/>
  <c r="C244" i="15"/>
  <c r="D266" i="15"/>
  <c r="C254" i="15"/>
  <c r="D254" i="15"/>
  <c r="C264" i="15"/>
  <c r="D279" i="15"/>
  <c r="C279" i="15"/>
  <c r="C309" i="15"/>
  <c r="D308" i="15"/>
  <c r="D320" i="15"/>
  <c r="J10" i="4" s="1"/>
  <c r="C308" i="15"/>
  <c r="D330" i="15"/>
  <c r="J20" i="4" s="1"/>
  <c r="C318" i="15"/>
  <c r="I8" i="4" s="1"/>
  <c r="D318" i="15"/>
  <c r="J8" i="4" s="1"/>
  <c r="C328" i="15"/>
  <c r="I18" i="4" s="1"/>
  <c r="D343" i="15"/>
  <c r="J33" i="4" s="1"/>
  <c r="C343" i="15"/>
  <c r="I33" i="4" s="1"/>
  <c r="C91" i="16"/>
  <c r="D90" i="16"/>
  <c r="C90" i="16"/>
  <c r="D109" i="16"/>
  <c r="C110" i="16"/>
  <c r="C109" i="16"/>
  <c r="D131" i="16"/>
  <c r="D119" i="16"/>
  <c r="C119" i="16"/>
  <c r="D146" i="16"/>
  <c r="D134" i="16"/>
  <c r="C134" i="16"/>
  <c r="C135" i="16"/>
  <c r="D214" i="16"/>
  <c r="C215" i="16"/>
  <c r="C214" i="16"/>
  <c r="D242" i="16"/>
  <c r="C243" i="16"/>
  <c r="C242" i="16"/>
  <c r="D274" i="16"/>
  <c r="C275" i="16"/>
  <c r="C274" i="16"/>
  <c r="D25" i="17"/>
  <c r="C25" i="17"/>
  <c r="C26" i="17"/>
  <c r="D89" i="17"/>
  <c r="C89" i="17"/>
  <c r="C90" i="17"/>
  <c r="D196" i="15"/>
  <c r="C197" i="15"/>
  <c r="D208" i="15"/>
  <c r="C220" i="15"/>
  <c r="D242" i="15"/>
  <c r="C230" i="15"/>
  <c r="D230" i="15"/>
  <c r="D235" i="15"/>
  <c r="D255" i="15"/>
  <c r="C255" i="15"/>
  <c r="C259" i="15"/>
  <c r="C285" i="15"/>
  <c r="D284" i="15"/>
  <c r="D296" i="15"/>
  <c r="C284" i="15"/>
  <c r="D306" i="15"/>
  <c r="C294" i="15"/>
  <c r="D294" i="15"/>
  <c r="D299" i="15"/>
  <c r="D319" i="15"/>
  <c r="J9" i="4" s="1"/>
  <c r="C319" i="15"/>
  <c r="I9" i="4" s="1"/>
  <c r="C323" i="15"/>
  <c r="I13" i="4" s="1"/>
  <c r="C349" i="15"/>
  <c r="I39" i="4" s="1"/>
  <c r="D348" i="15"/>
  <c r="J38" i="4" s="1"/>
  <c r="D360" i="15"/>
  <c r="J50" i="4" s="1"/>
  <c r="C348" i="15"/>
  <c r="I38" i="4" s="1"/>
  <c r="C358" i="15"/>
  <c r="I48" i="4" s="1"/>
  <c r="D358" i="15"/>
  <c r="J48" i="4" s="1"/>
  <c r="D363" i="15"/>
  <c r="J53" i="4" s="1"/>
  <c r="C96" i="16"/>
  <c r="D108" i="16"/>
  <c r="C97" i="16"/>
  <c r="D96" i="16"/>
  <c r="D105" i="16"/>
  <c r="C105" i="16"/>
  <c r="C106" i="16"/>
  <c r="D125" i="16"/>
  <c r="C126" i="16"/>
  <c r="C125" i="16"/>
  <c r="C131" i="16"/>
  <c r="C130" i="16"/>
  <c r="D142" i="16"/>
  <c r="D130" i="16"/>
  <c r="C153" i="16"/>
  <c r="D173" i="16"/>
  <c r="C173" i="16"/>
  <c r="C209" i="16"/>
  <c r="D209" i="16"/>
  <c r="C240" i="14"/>
  <c r="C243" i="14"/>
  <c r="C256" i="14"/>
  <c r="C259" i="14"/>
  <c r="C272" i="14"/>
  <c r="C275" i="14"/>
  <c r="C288" i="14"/>
  <c r="C291" i="14"/>
  <c r="C304" i="14"/>
  <c r="C307" i="14"/>
  <c r="D317" i="14"/>
  <c r="T7" i="4" s="1"/>
  <c r="D325" i="14"/>
  <c r="T15" i="4" s="1"/>
  <c r="D20" i="15"/>
  <c r="D69" i="15"/>
  <c r="D57" i="15"/>
  <c r="D122" i="15"/>
  <c r="D151" i="15"/>
  <c r="C151" i="15"/>
  <c r="D163" i="15"/>
  <c r="D180" i="15"/>
  <c r="C181" i="15"/>
  <c r="D192" i="15"/>
  <c r="C196" i="15"/>
  <c r="C201" i="15"/>
  <c r="D231" i="15"/>
  <c r="C231" i="15"/>
  <c r="C235" i="15"/>
  <c r="C261" i="15"/>
  <c r="D260" i="15"/>
  <c r="D272" i="15"/>
  <c r="C260" i="15"/>
  <c r="D282" i="15"/>
  <c r="C270" i="15"/>
  <c r="D270" i="15"/>
  <c r="D275" i="15"/>
  <c r="C280" i="15"/>
  <c r="D295" i="15"/>
  <c r="C295" i="15"/>
  <c r="C299" i="15"/>
  <c r="C325" i="15"/>
  <c r="I15" i="4" s="1"/>
  <c r="D324" i="15"/>
  <c r="J14" i="4" s="1"/>
  <c r="D336" i="15"/>
  <c r="J26" i="4" s="1"/>
  <c r="C324" i="15"/>
  <c r="I14" i="4" s="1"/>
  <c r="D346" i="15"/>
  <c r="J36" i="4" s="1"/>
  <c r="C334" i="15"/>
  <c r="I24" i="4" s="1"/>
  <c r="D334" i="15"/>
  <c r="J24" i="4" s="1"/>
  <c r="D339" i="15"/>
  <c r="J29" i="4" s="1"/>
  <c r="C344" i="15"/>
  <c r="I34" i="4" s="1"/>
  <c r="D359" i="15"/>
  <c r="J49" i="4" s="1"/>
  <c r="C359" i="15"/>
  <c r="I49" i="4" s="1"/>
  <c r="C363" i="15"/>
  <c r="I53" i="4" s="1"/>
  <c r="C15" i="16"/>
  <c r="D86" i="16"/>
  <c r="C86" i="16"/>
  <c r="C155" i="16"/>
  <c r="D154" i="16"/>
  <c r="C154" i="16"/>
  <c r="D169" i="16"/>
  <c r="C169" i="16"/>
  <c r="D189" i="16"/>
  <c r="C189" i="16"/>
  <c r="D201" i="16"/>
  <c r="C190" i="16"/>
  <c r="C220" i="14"/>
  <c r="D237" i="14"/>
  <c r="C250" i="14"/>
  <c r="D253" i="14"/>
  <c r="D259" i="14"/>
  <c r="C266" i="14"/>
  <c r="D269" i="14"/>
  <c r="D275" i="14"/>
  <c r="C282" i="14"/>
  <c r="D285" i="14"/>
  <c r="D291" i="14"/>
  <c r="C298" i="14"/>
  <c r="D301" i="14"/>
  <c r="D314" i="14"/>
  <c r="T4" i="4" s="1"/>
  <c r="C314" i="14"/>
  <c r="S4" i="4" s="1"/>
  <c r="C16" i="15"/>
  <c r="D37" i="15"/>
  <c r="D25" i="15"/>
  <c r="C57" i="15"/>
  <c r="C98" i="15"/>
  <c r="D98" i="15"/>
  <c r="C110" i="15"/>
  <c r="D135" i="15"/>
  <c r="C135" i="15"/>
  <c r="D147" i="15"/>
  <c r="C139" i="15"/>
  <c r="D164" i="15"/>
  <c r="C165" i="15"/>
  <c r="D176" i="15"/>
  <c r="C168" i="15"/>
  <c r="C180" i="15"/>
  <c r="C185" i="15"/>
  <c r="C193" i="15"/>
  <c r="D205" i="15"/>
  <c r="C237" i="15"/>
  <c r="D236" i="15"/>
  <c r="D248" i="15"/>
  <c r="C236" i="15"/>
  <c r="D258" i="15"/>
  <c r="C246" i="15"/>
  <c r="D246" i="15"/>
  <c r="D251" i="15"/>
  <c r="C256" i="15"/>
  <c r="D271" i="15"/>
  <c r="C271" i="15"/>
  <c r="C275" i="15"/>
  <c r="C301" i="15"/>
  <c r="D300" i="15"/>
  <c r="D312" i="15"/>
  <c r="C300" i="15"/>
  <c r="D322" i="15"/>
  <c r="J12" i="4" s="1"/>
  <c r="C310" i="15"/>
  <c r="D310" i="15"/>
  <c r="D315" i="15"/>
  <c r="J5" i="4" s="1"/>
  <c r="C320" i="15"/>
  <c r="I10" i="4" s="1"/>
  <c r="D335" i="15"/>
  <c r="J25" i="4" s="1"/>
  <c r="C335" i="15"/>
  <c r="I25" i="4" s="1"/>
  <c r="C339" i="15"/>
  <c r="I29" i="4" s="1"/>
  <c r="C365" i="15"/>
  <c r="I55" i="4" s="1"/>
  <c r="D364" i="15"/>
  <c r="J54" i="4" s="1"/>
  <c r="C364" i="15"/>
  <c r="I54" i="4" s="1"/>
  <c r="D99" i="16"/>
  <c r="D87" i="16"/>
  <c r="C92" i="16"/>
  <c r="D92" i="16"/>
  <c r="D121" i="16"/>
  <c r="C121" i="16"/>
  <c r="C174" i="16"/>
  <c r="D298" i="16"/>
  <c r="C298" i="16"/>
  <c r="C299" i="16"/>
  <c r="D303" i="16"/>
  <c r="C303" i="16"/>
  <c r="D315" i="16"/>
  <c r="V5" i="4" s="1"/>
  <c r="D335" i="16"/>
  <c r="V25" i="4" s="1"/>
  <c r="D347" i="16"/>
  <c r="V37" i="4" s="1"/>
  <c r="C335" i="16"/>
  <c r="U25" i="4" s="1"/>
  <c r="D166" i="17"/>
  <c r="D178" i="17"/>
  <c r="C166" i="17"/>
  <c r="D282" i="14"/>
  <c r="D298" i="14"/>
  <c r="D311" i="14"/>
  <c r="D323" i="14"/>
  <c r="T13" i="4" s="1"/>
  <c r="D318" i="14"/>
  <c r="T8" i="4" s="1"/>
  <c r="D322" i="14"/>
  <c r="T12" i="4" s="1"/>
  <c r="C322" i="14"/>
  <c r="S12" i="4" s="1"/>
  <c r="D326" i="14"/>
  <c r="T16" i="4" s="1"/>
  <c r="D330" i="14"/>
  <c r="T20" i="4" s="1"/>
  <c r="C330" i="14"/>
  <c r="S20" i="4" s="1"/>
  <c r="D334" i="14"/>
  <c r="T24" i="4" s="1"/>
  <c r="D338" i="14"/>
  <c r="T28" i="4" s="1"/>
  <c r="C338" i="14"/>
  <c r="S28" i="4" s="1"/>
  <c r="D342" i="14"/>
  <c r="T32" i="4" s="1"/>
  <c r="D346" i="14"/>
  <c r="T36" i="4" s="1"/>
  <c r="C346" i="14"/>
  <c r="S36" i="4" s="1"/>
  <c r="D350" i="14"/>
  <c r="T40" i="4" s="1"/>
  <c r="D354" i="14"/>
  <c r="T44" i="4" s="1"/>
  <c r="C354" i="14"/>
  <c r="S44" i="4" s="1"/>
  <c r="D358" i="14"/>
  <c r="T48" i="4" s="1"/>
  <c r="D362" i="14"/>
  <c r="T52" i="4" s="1"/>
  <c r="C362" i="14"/>
  <c r="S52" i="4" s="1"/>
  <c r="C17" i="15"/>
  <c r="C25" i="15"/>
  <c r="C66" i="15"/>
  <c r="D66" i="15"/>
  <c r="C82" i="15"/>
  <c r="D82" i="15"/>
  <c r="D86" i="15"/>
  <c r="D94" i="15"/>
  <c r="C99" i="15"/>
  <c r="D107" i="15"/>
  <c r="D119" i="15"/>
  <c r="C119" i="15"/>
  <c r="D131" i="15"/>
  <c r="C123" i="15"/>
  <c r="D148" i="15"/>
  <c r="C149" i="15"/>
  <c r="D160" i="15"/>
  <c r="C152" i="15"/>
  <c r="C164" i="15"/>
  <c r="C169" i="15"/>
  <c r="C177" i="15"/>
  <c r="D234" i="15"/>
  <c r="C222" i="15"/>
  <c r="D222" i="15"/>
  <c r="D227" i="15"/>
  <c r="C232" i="15"/>
  <c r="D247" i="15"/>
  <c r="C247" i="15"/>
  <c r="C251" i="15"/>
  <c r="C277" i="15"/>
  <c r="D276" i="15"/>
  <c r="D288" i="15"/>
  <c r="C276" i="15"/>
  <c r="D298" i="15"/>
  <c r="C286" i="15"/>
  <c r="D286" i="15"/>
  <c r="D291" i="15"/>
  <c r="C296" i="15"/>
  <c r="D311" i="15"/>
  <c r="C311" i="15"/>
  <c r="C315" i="15"/>
  <c r="I5" i="4" s="1"/>
  <c r="C341" i="15"/>
  <c r="I31" i="4" s="1"/>
  <c r="D340" i="15"/>
  <c r="J30" i="4" s="1"/>
  <c r="D352" i="15"/>
  <c r="J42" i="4" s="1"/>
  <c r="C340" i="15"/>
  <c r="I30" i="4" s="1"/>
  <c r="D362" i="15"/>
  <c r="J52" i="4" s="1"/>
  <c r="C350" i="15"/>
  <c r="I40" i="4" s="1"/>
  <c r="D350" i="15"/>
  <c r="J40" i="4" s="1"/>
  <c r="D355" i="15"/>
  <c r="J45" i="4" s="1"/>
  <c r="C360" i="15"/>
  <c r="I50" i="4" s="1"/>
  <c r="C87" i="16"/>
  <c r="C117" i="16"/>
  <c r="D116" i="16"/>
  <c r="D137" i="16"/>
  <c r="C137" i="16"/>
  <c r="D141" i="16"/>
  <c r="C142" i="16"/>
  <c r="D150" i="16"/>
  <c r="C150" i="16"/>
  <c r="C170" i="16"/>
  <c r="D185" i="16"/>
  <c r="D230" i="16"/>
  <c r="C231" i="16"/>
  <c r="D234" i="16"/>
  <c r="C234" i="16"/>
  <c r="C235" i="16"/>
  <c r="D239" i="16"/>
  <c r="C239" i="16"/>
  <c r="D271" i="16"/>
  <c r="C271" i="16"/>
  <c r="D283" i="16"/>
  <c r="D102" i="17"/>
  <c r="C102" i="17"/>
  <c r="D112" i="15"/>
  <c r="D212" i="15"/>
  <c r="D22" i="16"/>
  <c r="C22" i="16"/>
  <c r="D26" i="16"/>
  <c r="D30" i="16"/>
  <c r="C30" i="16"/>
  <c r="D34" i="16"/>
  <c r="D38" i="16"/>
  <c r="C38" i="16"/>
  <c r="D42" i="16"/>
  <c r="D46" i="16"/>
  <c r="C46" i="16"/>
  <c r="D50" i="16"/>
  <c r="D54" i="16"/>
  <c r="C54" i="16"/>
  <c r="D58" i="16"/>
  <c r="D62" i="16"/>
  <c r="C62" i="16"/>
  <c r="D66" i="16"/>
  <c r="D82" i="16"/>
  <c r="D70" i="16"/>
  <c r="C70" i="16"/>
  <c r="C128" i="16"/>
  <c r="D140" i="16"/>
  <c r="C129" i="16"/>
  <c r="D128" i="16"/>
  <c r="C149" i="16"/>
  <c r="D148" i="16"/>
  <c r="D211" i="16"/>
  <c r="C199" i="16"/>
  <c r="D207" i="16"/>
  <c r="C207" i="16"/>
  <c r="D237" i="16"/>
  <c r="C237" i="16"/>
  <c r="D267" i="16"/>
  <c r="D255" i="16"/>
  <c r="D301" i="16"/>
  <c r="C301" i="16"/>
  <c r="D331" i="16"/>
  <c r="V21" i="4" s="1"/>
  <c r="D319" i="16"/>
  <c r="V9" i="4" s="1"/>
  <c r="D349" i="16"/>
  <c r="V39" i="4" s="1"/>
  <c r="D21" i="17"/>
  <c r="C21" i="17"/>
  <c r="D30" i="17"/>
  <c r="D42" i="17"/>
  <c r="D81" i="17"/>
  <c r="C81" i="17"/>
  <c r="D85" i="17"/>
  <c r="C85" i="17"/>
  <c r="D106" i="17"/>
  <c r="D145" i="17"/>
  <c r="C145" i="17"/>
  <c r="D149" i="17"/>
  <c r="C149" i="17"/>
  <c r="D189" i="17"/>
  <c r="C189" i="17"/>
  <c r="D272" i="17"/>
  <c r="C272" i="17"/>
  <c r="D284" i="17"/>
  <c r="D26" i="19"/>
  <c r="C26" i="19"/>
  <c r="C27" i="19"/>
  <c r="C127" i="19"/>
  <c r="D127" i="19"/>
  <c r="D139" i="19"/>
  <c r="C139" i="19"/>
  <c r="C140" i="19"/>
  <c r="C207" i="19"/>
  <c r="D207" i="19"/>
  <c r="D243" i="19"/>
  <c r="C243" i="19"/>
  <c r="C244" i="19"/>
  <c r="D359" i="16"/>
  <c r="V49" i="4" s="1"/>
  <c r="C359" i="16"/>
  <c r="U49" i="4" s="1"/>
  <c r="D34" i="17"/>
  <c r="D73" i="17"/>
  <c r="C73" i="17"/>
  <c r="D77" i="17"/>
  <c r="C77" i="17"/>
  <c r="D98" i="17"/>
  <c r="D137" i="17"/>
  <c r="C137" i="17"/>
  <c r="D141" i="17"/>
  <c r="C141" i="17"/>
  <c r="D162" i="17"/>
  <c r="D185" i="17"/>
  <c r="C185" i="17"/>
  <c r="C186" i="17"/>
  <c r="C209" i="17"/>
  <c r="D221" i="17"/>
  <c r="D24" i="19"/>
  <c r="C12" i="19"/>
  <c r="D65" i="17"/>
  <c r="C65" i="17"/>
  <c r="D69" i="17"/>
  <c r="C69" i="17"/>
  <c r="D90" i="17"/>
  <c r="D129" i="17"/>
  <c r="C129" i="17"/>
  <c r="D133" i="17"/>
  <c r="C133" i="17"/>
  <c r="C150" i="17"/>
  <c r="D154" i="17"/>
  <c r="D181" i="17"/>
  <c r="C181" i="17"/>
  <c r="C190" i="17"/>
  <c r="D269" i="17"/>
  <c r="C270" i="17"/>
  <c r="C269" i="17"/>
  <c r="C51" i="18"/>
  <c r="D51" i="18"/>
  <c r="D351" i="16"/>
  <c r="V41" i="4" s="1"/>
  <c r="D363" i="16"/>
  <c r="V53" i="4" s="1"/>
  <c r="C351" i="16"/>
  <c r="U41" i="4" s="1"/>
  <c r="D57" i="17"/>
  <c r="C57" i="17"/>
  <c r="D61" i="17"/>
  <c r="C61" i="17"/>
  <c r="C74" i="17"/>
  <c r="D82" i="17"/>
  <c r="D121" i="17"/>
  <c r="C121" i="17"/>
  <c r="D125" i="17"/>
  <c r="C125" i="17"/>
  <c r="D146" i="17"/>
  <c r="D177" i="17"/>
  <c r="C177" i="17"/>
  <c r="C178" i="17"/>
  <c r="C324" i="17"/>
  <c r="AA14" i="4" s="1"/>
  <c r="D324" i="17"/>
  <c r="AB14" i="4" s="1"/>
  <c r="D353" i="17"/>
  <c r="AB43" i="4" s="1"/>
  <c r="C353" i="17"/>
  <c r="AA43" i="4" s="1"/>
  <c r="C75" i="18"/>
  <c r="D75" i="18"/>
  <c r="C114" i="15"/>
  <c r="C130" i="15"/>
  <c r="C146" i="15"/>
  <c r="C162" i="15"/>
  <c r="C178" i="15"/>
  <c r="C194" i="15"/>
  <c r="D224" i="15"/>
  <c r="C85" i="16"/>
  <c r="D84" i="16"/>
  <c r="D186" i="16"/>
  <c r="C186" i="16"/>
  <c r="D210" i="16"/>
  <c r="C211" i="16"/>
  <c r="D235" i="16"/>
  <c r="D223" i="16"/>
  <c r="D269" i="16"/>
  <c r="C269" i="16"/>
  <c r="D299" i="16"/>
  <c r="D287" i="16"/>
  <c r="C295" i="16"/>
  <c r="D49" i="17"/>
  <c r="C49" i="17"/>
  <c r="D53" i="17"/>
  <c r="C53" i="17"/>
  <c r="C66" i="17"/>
  <c r="C70" i="17"/>
  <c r="D74" i="17"/>
  <c r="D113" i="17"/>
  <c r="C113" i="17"/>
  <c r="D117" i="17"/>
  <c r="C117" i="17"/>
  <c r="C130" i="17"/>
  <c r="C134" i="17"/>
  <c r="D138" i="17"/>
  <c r="D173" i="17"/>
  <c r="C173" i="17"/>
  <c r="C182" i="17"/>
  <c r="D200" i="17"/>
  <c r="C200" i="17"/>
  <c r="D313" i="17"/>
  <c r="C313" i="17"/>
  <c r="D325" i="17"/>
  <c r="AB15" i="4" s="1"/>
  <c r="C325" i="17"/>
  <c r="AA15" i="4" s="1"/>
  <c r="C326" i="17"/>
  <c r="AA16" i="4" s="1"/>
  <c r="C348" i="17"/>
  <c r="AA38" i="4" s="1"/>
  <c r="D348" i="17"/>
  <c r="AB38" i="4" s="1"/>
  <c r="D23" i="15"/>
  <c r="C26" i="15"/>
  <c r="D55" i="15"/>
  <c r="C58" i="15"/>
  <c r="D87" i="15"/>
  <c r="C90" i="15"/>
  <c r="D108" i="15"/>
  <c r="D111" i="15"/>
  <c r="C111" i="15"/>
  <c r="D117" i="15"/>
  <c r="D127" i="15"/>
  <c r="C127" i="15"/>
  <c r="D133" i="15"/>
  <c r="D143" i="15"/>
  <c r="C143" i="15"/>
  <c r="D149" i="15"/>
  <c r="D159" i="15"/>
  <c r="C159" i="15"/>
  <c r="D165" i="15"/>
  <c r="D175" i="15"/>
  <c r="C175" i="15"/>
  <c r="D181" i="15"/>
  <c r="D191" i="15"/>
  <c r="C191" i="15"/>
  <c r="D197" i="15"/>
  <c r="D207" i="15"/>
  <c r="C207" i="15"/>
  <c r="D226" i="15"/>
  <c r="C214" i="15"/>
  <c r="D80" i="16"/>
  <c r="C84" i="16"/>
  <c r="D93" i="16"/>
  <c r="C94" i="16"/>
  <c r="C93" i="16"/>
  <c r="C99" i="16"/>
  <c r="C98" i="16"/>
  <c r="D114" i="16"/>
  <c r="D102" i="16"/>
  <c r="C102" i="16"/>
  <c r="C123" i="16"/>
  <c r="D122" i="16"/>
  <c r="D163" i="16"/>
  <c r="D151" i="16"/>
  <c r="D159" i="16"/>
  <c r="D171" i="16"/>
  <c r="D205" i="16"/>
  <c r="C205" i="16"/>
  <c r="C210" i="16"/>
  <c r="D219" i="16"/>
  <c r="C223" i="16"/>
  <c r="D249" i="16"/>
  <c r="C287" i="16"/>
  <c r="D313" i="16"/>
  <c r="D343" i="16"/>
  <c r="V33" i="4" s="1"/>
  <c r="D355" i="16"/>
  <c r="V45" i="4" s="1"/>
  <c r="C343" i="16"/>
  <c r="U33" i="4" s="1"/>
  <c r="D361" i="16"/>
  <c r="V51" i="4" s="1"/>
  <c r="C18" i="17"/>
  <c r="D41" i="17"/>
  <c r="C41" i="17"/>
  <c r="D45" i="17"/>
  <c r="C45" i="17"/>
  <c r="C58" i="17"/>
  <c r="C62" i="17"/>
  <c r="D66" i="17"/>
  <c r="D105" i="17"/>
  <c r="C105" i="17"/>
  <c r="D109" i="17"/>
  <c r="C109" i="17"/>
  <c r="C122" i="17"/>
  <c r="C126" i="17"/>
  <c r="D130" i="17"/>
  <c r="D169" i="17"/>
  <c r="C169" i="17"/>
  <c r="C170" i="17"/>
  <c r="D201" i="17"/>
  <c r="C201" i="17"/>
  <c r="C23" i="15"/>
  <c r="D26" i="15"/>
  <c r="C55" i="15"/>
  <c r="D58" i="15"/>
  <c r="C87" i="15"/>
  <c r="D90" i="15"/>
  <c r="C108" i="15"/>
  <c r="C124" i="15"/>
  <c r="C140" i="15"/>
  <c r="C156" i="15"/>
  <c r="C172" i="15"/>
  <c r="C188" i="15"/>
  <c r="C204" i="15"/>
  <c r="D211" i="15"/>
  <c r="D214" i="15"/>
  <c r="C16" i="16"/>
  <c r="D33" i="16"/>
  <c r="C21" i="16"/>
  <c r="D41" i="16"/>
  <c r="C29" i="16"/>
  <c r="D49" i="16"/>
  <c r="C37" i="16"/>
  <c r="D57" i="16"/>
  <c r="C45" i="16"/>
  <c r="D65" i="16"/>
  <c r="C53" i="16"/>
  <c r="D73" i="16"/>
  <c r="C73" i="16"/>
  <c r="C89" i="16"/>
  <c r="D98" i="16"/>
  <c r="C118" i="16"/>
  <c r="C122" i="16"/>
  <c r="C151" i="16"/>
  <c r="C160" i="16"/>
  <c r="D172" i="16"/>
  <c r="C161" i="16"/>
  <c r="D160" i="16"/>
  <c r="C187" i="16"/>
  <c r="C224" i="16"/>
  <c r="C241" i="16"/>
  <c r="D241" i="16"/>
  <c r="D245" i="16"/>
  <c r="C245" i="16"/>
  <c r="C262" i="16"/>
  <c r="D266" i="16"/>
  <c r="C266" i="16"/>
  <c r="C270" i="16"/>
  <c r="C288" i="16"/>
  <c r="C305" i="16"/>
  <c r="D305" i="16"/>
  <c r="D309" i="16"/>
  <c r="C309" i="16"/>
  <c r="C326" i="16"/>
  <c r="U16" i="4" s="1"/>
  <c r="D330" i="16"/>
  <c r="V20" i="4" s="1"/>
  <c r="C330" i="16"/>
  <c r="U20" i="4" s="1"/>
  <c r="D357" i="16"/>
  <c r="V47" i="4" s="1"/>
  <c r="C13" i="17"/>
  <c r="D24" i="17"/>
  <c r="D28" i="17"/>
  <c r="D33" i="17"/>
  <c r="C33" i="17"/>
  <c r="D37" i="17"/>
  <c r="C37" i="17"/>
  <c r="C50" i="17"/>
  <c r="C54" i="17"/>
  <c r="D58" i="17"/>
  <c r="D97" i="17"/>
  <c r="C97" i="17"/>
  <c r="D101" i="17"/>
  <c r="C101" i="17"/>
  <c r="C114" i="17"/>
  <c r="C118" i="17"/>
  <c r="D122" i="17"/>
  <c r="D161" i="17"/>
  <c r="C161" i="17"/>
  <c r="D165" i="17"/>
  <c r="C165" i="17"/>
  <c r="C174" i="17"/>
  <c r="D197" i="17"/>
  <c r="C197" i="17"/>
  <c r="D281" i="17"/>
  <c r="C281" i="17"/>
  <c r="C72" i="16"/>
  <c r="D101" i="16"/>
  <c r="C104" i="16"/>
  <c r="D133" i="16"/>
  <c r="C136" i="16"/>
  <c r="D165" i="16"/>
  <c r="C168" i="16"/>
  <c r="D238" i="16"/>
  <c r="D270" i="16"/>
  <c r="D302" i="16"/>
  <c r="D334" i="16"/>
  <c r="V24" i="4" s="1"/>
  <c r="D338" i="16"/>
  <c r="V28" i="4" s="1"/>
  <c r="C338" i="16"/>
  <c r="U28" i="4" s="1"/>
  <c r="D342" i="16"/>
  <c r="V32" i="4" s="1"/>
  <c r="D346" i="16"/>
  <c r="V36" i="4" s="1"/>
  <c r="C346" i="16"/>
  <c r="U36" i="4" s="1"/>
  <c r="D350" i="16"/>
  <c r="V40" i="4" s="1"/>
  <c r="D354" i="16"/>
  <c r="V44" i="4" s="1"/>
  <c r="C354" i="16"/>
  <c r="U44" i="4" s="1"/>
  <c r="D358" i="16"/>
  <c r="V48" i="4" s="1"/>
  <c r="D362" i="16"/>
  <c r="V52" i="4" s="1"/>
  <c r="C362" i="16"/>
  <c r="U52" i="4" s="1"/>
  <c r="D366" i="16"/>
  <c r="C17" i="17"/>
  <c r="D222" i="17"/>
  <c r="D210" i="17"/>
  <c r="C210" i="17"/>
  <c r="D238" i="17"/>
  <c r="D273" i="17"/>
  <c r="C273" i="17"/>
  <c r="D304" i="17"/>
  <c r="C304" i="17"/>
  <c r="D337" i="17"/>
  <c r="AB27" i="4" s="1"/>
  <c r="C337" i="17"/>
  <c r="AA27" i="4" s="1"/>
  <c r="D349" i="17"/>
  <c r="AB39" i="4" s="1"/>
  <c r="C349" i="17"/>
  <c r="AA39" i="4" s="1"/>
  <c r="C350" i="17"/>
  <c r="AA40" i="4" s="1"/>
  <c r="C19" i="18"/>
  <c r="D19" i="18"/>
  <c r="C35" i="18"/>
  <c r="D35" i="18"/>
  <c r="C99" i="18"/>
  <c r="D99" i="18"/>
  <c r="D137" i="18"/>
  <c r="C137" i="18"/>
  <c r="C210" i="18"/>
  <c r="D210" i="18"/>
  <c r="D239" i="18"/>
  <c r="C239" i="18"/>
  <c r="D251" i="18"/>
  <c r="C251" i="18"/>
  <c r="C252" i="18"/>
  <c r="C274" i="18"/>
  <c r="D274" i="18"/>
  <c r="C338" i="18"/>
  <c r="AC28" i="4" s="1"/>
  <c r="D338" i="18"/>
  <c r="AD28" i="4" s="1"/>
  <c r="C202" i="17"/>
  <c r="C235" i="17"/>
  <c r="D247" i="17"/>
  <c r="D235" i="17"/>
  <c r="D239" i="17"/>
  <c r="D274" i="17"/>
  <c r="C274" i="17"/>
  <c r="D305" i="17"/>
  <c r="C305" i="17"/>
  <c r="C332" i="17"/>
  <c r="AA22" i="4" s="1"/>
  <c r="D332" i="17"/>
  <c r="AB22" i="4" s="1"/>
  <c r="C59" i="18"/>
  <c r="D59" i="18"/>
  <c r="D167" i="18"/>
  <c r="C167" i="18"/>
  <c r="D199" i="18"/>
  <c r="C199" i="18"/>
  <c r="D211" i="18"/>
  <c r="C211" i="18"/>
  <c r="C212" i="18"/>
  <c r="C234" i="18"/>
  <c r="D234" i="18"/>
  <c r="D263" i="18"/>
  <c r="C263" i="18"/>
  <c r="D275" i="18"/>
  <c r="C275" i="18"/>
  <c r="C276" i="18"/>
  <c r="C298" i="18"/>
  <c r="D298" i="18"/>
  <c r="D256" i="17"/>
  <c r="C256" i="17"/>
  <c r="D278" i="17"/>
  <c r="C266" i="17"/>
  <c r="D318" i="17"/>
  <c r="AB8" i="4" s="1"/>
  <c r="D306" i="17"/>
  <c r="C306" i="17"/>
  <c r="D321" i="17"/>
  <c r="AB11" i="4" s="1"/>
  <c r="C321" i="17"/>
  <c r="AA11" i="4" s="1"/>
  <c r="D333" i="17"/>
  <c r="AB23" i="4" s="1"/>
  <c r="C333" i="17"/>
  <c r="AA23" i="4" s="1"/>
  <c r="C334" i="17"/>
  <c r="AA24" i="4" s="1"/>
  <c r="C356" i="17"/>
  <c r="AA46" i="4" s="1"/>
  <c r="D356" i="17"/>
  <c r="AB46" i="4" s="1"/>
  <c r="C83" i="18"/>
  <c r="D83" i="18"/>
  <c r="C128" i="18"/>
  <c r="D178" i="16"/>
  <c r="D181" i="16"/>
  <c r="C181" i="16"/>
  <c r="D184" i="16"/>
  <c r="D187" i="16"/>
  <c r="D197" i="16"/>
  <c r="C197" i="16"/>
  <c r="D203" i="16"/>
  <c r="D218" i="16"/>
  <c r="D221" i="16"/>
  <c r="C221" i="16"/>
  <c r="C232" i="16"/>
  <c r="D250" i="16"/>
  <c r="D253" i="16"/>
  <c r="C253" i="16"/>
  <c r="C264" i="16"/>
  <c r="D282" i="16"/>
  <c r="D285" i="16"/>
  <c r="C285" i="16"/>
  <c r="C296" i="16"/>
  <c r="D314" i="16"/>
  <c r="V4" i="4" s="1"/>
  <c r="D317" i="16"/>
  <c r="V7" i="4" s="1"/>
  <c r="C317" i="16"/>
  <c r="U7" i="4" s="1"/>
  <c r="C328" i="16"/>
  <c r="U18" i="4" s="1"/>
  <c r="C8" i="17"/>
  <c r="C23" i="17"/>
  <c r="C31" i="17"/>
  <c r="C39" i="17"/>
  <c r="C47" i="17"/>
  <c r="C55" i="17"/>
  <c r="C63" i="17"/>
  <c r="C71" i="17"/>
  <c r="C79" i="17"/>
  <c r="C87" i="17"/>
  <c r="C95" i="17"/>
  <c r="C103" i="17"/>
  <c r="C111" i="17"/>
  <c r="C119" i="17"/>
  <c r="C127" i="17"/>
  <c r="C135" i="17"/>
  <c r="C143" i="17"/>
  <c r="C151" i="17"/>
  <c r="C159" i="17"/>
  <c r="C167" i="17"/>
  <c r="C175" i="17"/>
  <c r="C183" i="17"/>
  <c r="C191" i="17"/>
  <c r="C203" i="17"/>
  <c r="D203" i="17"/>
  <c r="D207" i="17"/>
  <c r="C207" i="17"/>
  <c r="D215" i="17"/>
  <c r="D227" i="17"/>
  <c r="C236" i="17"/>
  <c r="D266" i="17"/>
  <c r="D310" i="17"/>
  <c r="C298" i="17"/>
  <c r="C302" i="17"/>
  <c r="C316" i="17"/>
  <c r="AA6" i="4" s="1"/>
  <c r="D316" i="17"/>
  <c r="AB6" i="4" s="1"/>
  <c r="D345" i="17"/>
  <c r="AB35" i="4" s="1"/>
  <c r="C345" i="17"/>
  <c r="AA35" i="4" s="1"/>
  <c r="C43" i="18"/>
  <c r="D43" i="18"/>
  <c r="C164" i="18"/>
  <c r="C163" i="18"/>
  <c r="D163" i="18"/>
  <c r="D85" i="16"/>
  <c r="C88" i="16"/>
  <c r="D117" i="16"/>
  <c r="C120" i="16"/>
  <c r="D149" i="16"/>
  <c r="C152" i="16"/>
  <c r="C178" i="16"/>
  <c r="C194" i="16"/>
  <c r="C218" i="16"/>
  <c r="D222" i="16"/>
  <c r="D225" i="16"/>
  <c r="C250" i="16"/>
  <c r="D254" i="16"/>
  <c r="D257" i="16"/>
  <c r="C282" i="16"/>
  <c r="D286" i="16"/>
  <c r="D289" i="16"/>
  <c r="C314" i="16"/>
  <c r="U4" i="4" s="1"/>
  <c r="D318" i="16"/>
  <c r="V8" i="4" s="1"/>
  <c r="D321" i="16"/>
  <c r="V11" i="4" s="1"/>
  <c r="C336" i="16"/>
  <c r="U26" i="4" s="1"/>
  <c r="C344" i="16"/>
  <c r="U34" i="4" s="1"/>
  <c r="C352" i="16"/>
  <c r="U42" i="4" s="1"/>
  <c r="C360" i="16"/>
  <c r="U50" i="4" s="1"/>
  <c r="C9" i="17"/>
  <c r="D212" i="17"/>
  <c r="D232" i="17"/>
  <c r="C232" i="17"/>
  <c r="C237" i="17"/>
  <c r="D253" i="17"/>
  <c r="C241" i="17"/>
  <c r="D298" i="17"/>
  <c r="D317" i="17"/>
  <c r="AB7" i="4" s="1"/>
  <c r="C317" i="17"/>
  <c r="AA7" i="4" s="1"/>
  <c r="C318" i="17"/>
  <c r="AA8" i="4" s="1"/>
  <c r="C340" i="17"/>
  <c r="AA30" i="4" s="1"/>
  <c r="D340" i="17"/>
  <c r="AB30" i="4" s="1"/>
  <c r="C27" i="18"/>
  <c r="D27" i="18"/>
  <c r="C67" i="18"/>
  <c r="D67" i="18"/>
  <c r="C208" i="16"/>
  <c r="D226" i="16"/>
  <c r="D229" i="16"/>
  <c r="C229" i="16"/>
  <c r="C240" i="16"/>
  <c r="D258" i="16"/>
  <c r="D261" i="16"/>
  <c r="C261" i="16"/>
  <c r="C272" i="16"/>
  <c r="D290" i="16"/>
  <c r="D293" i="16"/>
  <c r="C293" i="16"/>
  <c r="C304" i="16"/>
  <c r="D322" i="16"/>
  <c r="V12" i="4" s="1"/>
  <c r="D325" i="16"/>
  <c r="V15" i="4" s="1"/>
  <c r="C325" i="16"/>
  <c r="U15" i="4" s="1"/>
  <c r="C204" i="17"/>
  <c r="C208" i="17"/>
  <c r="D213" i="17"/>
  <c r="C213" i="17"/>
  <c r="D224" i="17"/>
  <c r="D241" i="17"/>
  <c r="D276" i="17"/>
  <c r="D329" i="17"/>
  <c r="AB19" i="4" s="1"/>
  <c r="C329" i="17"/>
  <c r="AA19" i="4" s="1"/>
  <c r="D341" i="17"/>
  <c r="AB31" i="4" s="1"/>
  <c r="C341" i="17"/>
  <c r="AA31" i="4" s="1"/>
  <c r="C342" i="17"/>
  <c r="AA32" i="4" s="1"/>
  <c r="C364" i="17"/>
  <c r="AA54" i="4" s="1"/>
  <c r="D364" i="17"/>
  <c r="AB54" i="4" s="1"/>
  <c r="C91" i="18"/>
  <c r="D91" i="18"/>
  <c r="D111" i="18"/>
  <c r="D120" i="18"/>
  <c r="C120" i="18"/>
  <c r="D145" i="18"/>
  <c r="C145" i="18"/>
  <c r="D157" i="18"/>
  <c r="D149" i="18"/>
  <c r="D280" i="17"/>
  <c r="C280" i="17"/>
  <c r="D294" i="17"/>
  <c r="D312" i="17"/>
  <c r="C312" i="17"/>
  <c r="D320" i="17"/>
  <c r="AB10" i="4" s="1"/>
  <c r="D328" i="17"/>
  <c r="AB18" i="4" s="1"/>
  <c r="D336" i="17"/>
  <c r="AB26" i="4" s="1"/>
  <c r="D344" i="17"/>
  <c r="AB34" i="4" s="1"/>
  <c r="D352" i="17"/>
  <c r="AB42" i="4" s="1"/>
  <c r="D360" i="17"/>
  <c r="AB50" i="4" s="1"/>
  <c r="C9" i="18"/>
  <c r="D23" i="18"/>
  <c r="D31" i="18"/>
  <c r="D39" i="18"/>
  <c r="D47" i="18"/>
  <c r="D55" i="18"/>
  <c r="D63" i="18"/>
  <c r="D71" i="18"/>
  <c r="D79" i="18"/>
  <c r="D87" i="18"/>
  <c r="D95" i="18"/>
  <c r="D103" i="18"/>
  <c r="D108" i="18"/>
  <c r="D129" i="18"/>
  <c r="C129" i="18"/>
  <c r="C138" i="18"/>
  <c r="D190" i="18"/>
  <c r="C190" i="18"/>
  <c r="D223" i="18"/>
  <c r="C223" i="18"/>
  <c r="D235" i="18"/>
  <c r="C235" i="18"/>
  <c r="C236" i="18"/>
  <c r="C258" i="18"/>
  <c r="D258" i="18"/>
  <c r="D287" i="18"/>
  <c r="C287" i="18"/>
  <c r="D299" i="18"/>
  <c r="C299" i="18"/>
  <c r="C300" i="18"/>
  <c r="C322" i="18"/>
  <c r="AC12" i="4" s="1"/>
  <c r="D322" i="18"/>
  <c r="AD12" i="4" s="1"/>
  <c r="D346" i="18"/>
  <c r="AD36" i="4" s="1"/>
  <c r="C347" i="18"/>
  <c r="AC37" i="4" s="1"/>
  <c r="D357" i="17"/>
  <c r="AB47" i="4" s="1"/>
  <c r="C357" i="17"/>
  <c r="AA47" i="4" s="1"/>
  <c r="D361" i="17"/>
  <c r="AB51" i="4" s="1"/>
  <c r="D365" i="17"/>
  <c r="AB55" i="4" s="1"/>
  <c r="C365" i="17"/>
  <c r="AA55" i="4" s="1"/>
  <c r="D20" i="18"/>
  <c r="C20" i="18"/>
  <c r="D28" i="18"/>
  <c r="C28" i="18"/>
  <c r="D32" i="18"/>
  <c r="D36" i="18"/>
  <c r="C36" i="18"/>
  <c r="D40" i="18"/>
  <c r="D44" i="18"/>
  <c r="C44" i="18"/>
  <c r="D48" i="18"/>
  <c r="D52" i="18"/>
  <c r="C52" i="18"/>
  <c r="D56" i="18"/>
  <c r="D60" i="18"/>
  <c r="C60" i="18"/>
  <c r="D64" i="18"/>
  <c r="D68" i="18"/>
  <c r="C68" i="18"/>
  <c r="D72" i="18"/>
  <c r="D76" i="18"/>
  <c r="C76" i="18"/>
  <c r="D80" i="18"/>
  <c r="D84" i="18"/>
  <c r="C84" i="18"/>
  <c r="D88" i="18"/>
  <c r="D92" i="18"/>
  <c r="C92" i="18"/>
  <c r="D96" i="18"/>
  <c r="D100" i="18"/>
  <c r="D104" i="18"/>
  <c r="D121" i="18"/>
  <c r="C121" i="18"/>
  <c r="D159" i="18"/>
  <c r="D191" i="18"/>
  <c r="C191" i="18"/>
  <c r="C218" i="18"/>
  <c r="D218" i="18"/>
  <c r="D247" i="18"/>
  <c r="C247" i="18"/>
  <c r="D259" i="18"/>
  <c r="C259" i="18"/>
  <c r="C260" i="18"/>
  <c r="C282" i="18"/>
  <c r="D282" i="18"/>
  <c r="C44" i="19"/>
  <c r="D56" i="19"/>
  <c r="D44" i="19"/>
  <c r="D111" i="19"/>
  <c r="C111" i="19"/>
  <c r="C267" i="17"/>
  <c r="D285" i="17"/>
  <c r="D288" i="17"/>
  <c r="C288" i="17"/>
  <c r="C299" i="17"/>
  <c r="C361" i="17"/>
  <c r="AA51" i="4" s="1"/>
  <c r="C24" i="18"/>
  <c r="C32" i="18"/>
  <c r="C40" i="18"/>
  <c r="C48" i="18"/>
  <c r="C56" i="18"/>
  <c r="C64" i="18"/>
  <c r="C72" i="18"/>
  <c r="C80" i="18"/>
  <c r="C88" i="18"/>
  <c r="C96" i="18"/>
  <c r="D113" i="18"/>
  <c r="C113" i="18"/>
  <c r="D151" i="18"/>
  <c r="D204" i="18"/>
  <c r="D192" i="18"/>
  <c r="C192" i="18"/>
  <c r="D207" i="18"/>
  <c r="C207" i="18"/>
  <c r="D219" i="18"/>
  <c r="C219" i="18"/>
  <c r="C220" i="18"/>
  <c r="C242" i="18"/>
  <c r="D242" i="18"/>
  <c r="D271" i="18"/>
  <c r="C271" i="18"/>
  <c r="D283" i="18"/>
  <c r="C283" i="18"/>
  <c r="C284" i="18"/>
  <c r="C306" i="18"/>
  <c r="D306" i="18"/>
  <c r="D57" i="19"/>
  <c r="D45" i="19"/>
  <c r="C45" i="19"/>
  <c r="D107" i="19"/>
  <c r="C108" i="19"/>
  <c r="D119" i="19"/>
  <c r="C107" i="19"/>
  <c r="C113" i="19"/>
  <c r="D124" i="19"/>
  <c r="C112" i="19"/>
  <c r="D112" i="19"/>
  <c r="D216" i="17"/>
  <c r="C239" i="17"/>
  <c r="C242" i="17"/>
  <c r="C245" i="17"/>
  <c r="D248" i="17"/>
  <c r="D257" i="17"/>
  <c r="D260" i="17"/>
  <c r="D263" i="17"/>
  <c r="C285" i="17"/>
  <c r="D292" i="17"/>
  <c r="C358" i="17"/>
  <c r="AA48" i="4" s="1"/>
  <c r="C366" i="17"/>
  <c r="AA56" i="4" s="1"/>
  <c r="C21" i="18"/>
  <c r="C29" i="18"/>
  <c r="C37" i="18"/>
  <c r="C45" i="18"/>
  <c r="C53" i="18"/>
  <c r="C61" i="18"/>
  <c r="C69" i="18"/>
  <c r="C77" i="18"/>
  <c r="C85" i="18"/>
  <c r="C93" i="18"/>
  <c r="D105" i="18"/>
  <c r="C105" i="18"/>
  <c r="D109" i="18"/>
  <c r="C114" i="18"/>
  <c r="D139" i="18"/>
  <c r="D143" i="18"/>
  <c r="D164" i="18"/>
  <c r="D152" i="18"/>
  <c r="C160" i="18"/>
  <c r="D196" i="18"/>
  <c r="C184" i="18"/>
  <c r="C202" i="18"/>
  <c r="D202" i="18"/>
  <c r="D231" i="18"/>
  <c r="C231" i="18"/>
  <c r="D243" i="18"/>
  <c r="C243" i="18"/>
  <c r="C244" i="18"/>
  <c r="C266" i="18"/>
  <c r="D266" i="18"/>
  <c r="D295" i="18"/>
  <c r="C295" i="18"/>
  <c r="C330" i="18"/>
  <c r="AC20" i="4" s="1"/>
  <c r="D330" i="18"/>
  <c r="AD20" i="4" s="1"/>
  <c r="C356" i="18"/>
  <c r="AC46" i="4" s="1"/>
  <c r="C355" i="18"/>
  <c r="AC45" i="4" s="1"/>
  <c r="D359" i="18"/>
  <c r="AD49" i="4" s="1"/>
  <c r="C359" i="18"/>
  <c r="AC49" i="4" s="1"/>
  <c r="C360" i="18"/>
  <c r="AC50" i="4" s="1"/>
  <c r="D66" i="19"/>
  <c r="C66" i="19"/>
  <c r="D85" i="19"/>
  <c r="C85" i="19"/>
  <c r="D97" i="19"/>
  <c r="C333" i="16"/>
  <c r="U23" i="4" s="1"/>
  <c r="C341" i="16"/>
  <c r="U31" i="4" s="1"/>
  <c r="C349" i="16"/>
  <c r="U39" i="4" s="1"/>
  <c r="C357" i="16"/>
  <c r="U47" i="4" s="1"/>
  <c r="C365" i="16"/>
  <c r="U55" i="4" s="1"/>
  <c r="C20" i="17"/>
  <c r="C28" i="17"/>
  <c r="C36" i="17"/>
  <c r="C44" i="17"/>
  <c r="C52" i="17"/>
  <c r="C60" i="17"/>
  <c r="C68" i="17"/>
  <c r="C76" i="17"/>
  <c r="C84" i="17"/>
  <c r="C92" i="17"/>
  <c r="C100" i="17"/>
  <c r="C108" i="17"/>
  <c r="C116" i="17"/>
  <c r="C124" i="17"/>
  <c r="C132" i="17"/>
  <c r="C140" i="17"/>
  <c r="C148" i="17"/>
  <c r="C156" i="17"/>
  <c r="C164" i="17"/>
  <c r="C172" i="17"/>
  <c r="C180" i="17"/>
  <c r="C188" i="17"/>
  <c r="C196" i="17"/>
  <c r="C216" i="17"/>
  <c r="D219" i="17"/>
  <c r="C225" i="17"/>
  <c r="C228" i="17"/>
  <c r="D242" i="17"/>
  <c r="C248" i="17"/>
  <c r="D251" i="17"/>
  <c r="C257" i="17"/>
  <c r="D264" i="17"/>
  <c r="C264" i="17"/>
  <c r="C275" i="17"/>
  <c r="C282" i="17"/>
  <c r="C289" i="17"/>
  <c r="D293" i="17"/>
  <c r="D296" i="17"/>
  <c r="C296" i="17"/>
  <c r="C307" i="17"/>
  <c r="C314" i="17"/>
  <c r="AA4" i="4" s="1"/>
  <c r="C322" i="17"/>
  <c r="AA12" i="4" s="1"/>
  <c r="D326" i="17"/>
  <c r="AB16" i="4" s="1"/>
  <c r="C330" i="17"/>
  <c r="AA20" i="4" s="1"/>
  <c r="D334" i="17"/>
  <c r="AB24" i="4" s="1"/>
  <c r="C338" i="17"/>
  <c r="AA28" i="4" s="1"/>
  <c r="D342" i="17"/>
  <c r="AB32" i="4" s="1"/>
  <c r="C346" i="17"/>
  <c r="AA36" i="4" s="1"/>
  <c r="D350" i="17"/>
  <c r="AB40" i="4" s="1"/>
  <c r="C354" i="17"/>
  <c r="AA44" i="4" s="1"/>
  <c r="D358" i="17"/>
  <c r="AB48" i="4" s="1"/>
  <c r="C362" i="17"/>
  <c r="AA52" i="4" s="1"/>
  <c r="D366" i="17"/>
  <c r="C17" i="18"/>
  <c r="C25" i="18"/>
  <c r="C33" i="18"/>
  <c r="D37" i="18"/>
  <c r="C41" i="18"/>
  <c r="D45" i="18"/>
  <c r="C49" i="18"/>
  <c r="D53" i="18"/>
  <c r="C57" i="18"/>
  <c r="D61" i="18"/>
  <c r="C65" i="18"/>
  <c r="D69" i="18"/>
  <c r="C73" i="18"/>
  <c r="D77" i="18"/>
  <c r="C81" i="18"/>
  <c r="D85" i="18"/>
  <c r="C89" i="18"/>
  <c r="D93" i="18"/>
  <c r="C97" i="18"/>
  <c r="D101" i="18"/>
  <c r="C106" i="18"/>
  <c r="D131" i="18"/>
  <c r="D135" i="18"/>
  <c r="D140" i="18"/>
  <c r="C152" i="18"/>
  <c r="D161" i="18"/>
  <c r="C161" i="18"/>
  <c r="D184" i="18"/>
  <c r="D203" i="18"/>
  <c r="C203" i="18"/>
  <c r="C204" i="18"/>
  <c r="C226" i="18"/>
  <c r="D226" i="18"/>
  <c r="D255" i="18"/>
  <c r="C255" i="18"/>
  <c r="D267" i="18"/>
  <c r="C267" i="18"/>
  <c r="C268" i="18"/>
  <c r="C290" i="18"/>
  <c r="D290" i="18"/>
  <c r="D355" i="18"/>
  <c r="AD45" i="4" s="1"/>
  <c r="D34" i="19"/>
  <c r="D67" i="19"/>
  <c r="C67" i="19"/>
  <c r="C68" i="19"/>
  <c r="D208" i="17"/>
  <c r="C211" i="17"/>
  <c r="D240" i="17"/>
  <c r="C243" i="17"/>
  <c r="C261" i="17"/>
  <c r="D265" i="17"/>
  <c r="D268" i="17"/>
  <c r="C286" i="17"/>
  <c r="C293" i="17"/>
  <c r="D297" i="17"/>
  <c r="D300" i="17"/>
  <c r="C315" i="17"/>
  <c r="AA5" i="4" s="1"/>
  <c r="C323" i="17"/>
  <c r="AA13" i="4" s="1"/>
  <c r="C331" i="17"/>
  <c r="AA21" i="4" s="1"/>
  <c r="C339" i="17"/>
  <c r="AA29" i="4" s="1"/>
  <c r="C347" i="17"/>
  <c r="AA37" i="4" s="1"/>
  <c r="C355" i="17"/>
  <c r="AA45" i="4" s="1"/>
  <c r="C363" i="17"/>
  <c r="AA53" i="4" s="1"/>
  <c r="C26" i="18"/>
  <c r="C34" i="18"/>
  <c r="C42" i="18"/>
  <c r="C50" i="18"/>
  <c r="C58" i="18"/>
  <c r="C66" i="18"/>
  <c r="C74" i="18"/>
  <c r="C82" i="18"/>
  <c r="C90" i="18"/>
  <c r="C98" i="18"/>
  <c r="D123" i="18"/>
  <c r="D127" i="18"/>
  <c r="D132" i="18"/>
  <c r="C144" i="18"/>
  <c r="D153" i="18"/>
  <c r="C153" i="18"/>
  <c r="C162" i="18"/>
  <c r="D215" i="18"/>
  <c r="C215" i="18"/>
  <c r="D227" i="18"/>
  <c r="C227" i="18"/>
  <c r="C228" i="18"/>
  <c r="C250" i="18"/>
  <c r="D250" i="18"/>
  <c r="D279" i="18"/>
  <c r="C279" i="18"/>
  <c r="D291" i="18"/>
  <c r="C291" i="18"/>
  <c r="C292" i="18"/>
  <c r="C314" i="18"/>
  <c r="AC4" i="4" s="1"/>
  <c r="D314" i="18"/>
  <c r="AD4" i="4" s="1"/>
  <c r="D350" i="18"/>
  <c r="AD40" i="4" s="1"/>
  <c r="C350" i="18"/>
  <c r="AC40" i="4" s="1"/>
  <c r="D166" i="18"/>
  <c r="C166" i="18"/>
  <c r="D180" i="18"/>
  <c r="D198" i="18"/>
  <c r="D206" i="18"/>
  <c r="D214" i="18"/>
  <c r="D222" i="18"/>
  <c r="D230" i="18"/>
  <c r="D238" i="18"/>
  <c r="D246" i="18"/>
  <c r="D254" i="18"/>
  <c r="D262" i="18"/>
  <c r="D270" i="18"/>
  <c r="D278" i="18"/>
  <c r="D286" i="18"/>
  <c r="D294" i="18"/>
  <c r="D302" i="18"/>
  <c r="D310" i="18"/>
  <c r="D318" i="18"/>
  <c r="AD8" i="4" s="1"/>
  <c r="D326" i="18"/>
  <c r="AD16" i="4" s="1"/>
  <c r="D334" i="18"/>
  <c r="AD24" i="4" s="1"/>
  <c r="D342" i="18"/>
  <c r="AD32" i="4" s="1"/>
  <c r="C348" i="18"/>
  <c r="AC38" i="4" s="1"/>
  <c r="D347" i="18"/>
  <c r="AD37" i="4" s="1"/>
  <c r="C13" i="19"/>
  <c r="D35" i="19"/>
  <c r="C35" i="19"/>
  <c r="D59" i="19"/>
  <c r="C64" i="19"/>
  <c r="C63" i="19"/>
  <c r="D86" i="19"/>
  <c r="C86" i="19"/>
  <c r="C87" i="19"/>
  <c r="C105" i="19"/>
  <c r="C104" i="19"/>
  <c r="C129" i="19"/>
  <c r="D128" i="19"/>
  <c r="D140" i="19"/>
  <c r="C128" i="19"/>
  <c r="C159" i="19"/>
  <c r="D159" i="19"/>
  <c r="D195" i="19"/>
  <c r="C195" i="19"/>
  <c r="C196" i="19"/>
  <c r="C287" i="19"/>
  <c r="D287" i="19"/>
  <c r="D323" i="19"/>
  <c r="Z13" i="4" s="1"/>
  <c r="C323" i="19"/>
  <c r="Y13" i="4" s="1"/>
  <c r="C324" i="19"/>
  <c r="Y14" i="4" s="1"/>
  <c r="C335" i="19"/>
  <c r="Y25" i="4" s="1"/>
  <c r="D335" i="19"/>
  <c r="Z25" i="4" s="1"/>
  <c r="D307" i="18"/>
  <c r="C307" i="18"/>
  <c r="D311" i="18"/>
  <c r="D315" i="18"/>
  <c r="AD5" i="4" s="1"/>
  <c r="C315" i="18"/>
  <c r="AC5" i="4" s="1"/>
  <c r="D319" i="18"/>
  <c r="AD9" i="4" s="1"/>
  <c r="D323" i="18"/>
  <c r="AD13" i="4" s="1"/>
  <c r="C323" i="18"/>
  <c r="AC13" i="4" s="1"/>
  <c r="D327" i="18"/>
  <c r="AD17" i="4" s="1"/>
  <c r="D331" i="18"/>
  <c r="AD21" i="4" s="1"/>
  <c r="C331" i="18"/>
  <c r="AC21" i="4" s="1"/>
  <c r="D335" i="18"/>
  <c r="AD25" i="4" s="1"/>
  <c r="D339" i="18"/>
  <c r="AD29" i="4" s="1"/>
  <c r="C339" i="18"/>
  <c r="AC29" i="4" s="1"/>
  <c r="D343" i="18"/>
  <c r="AD33" i="4" s="1"/>
  <c r="C9" i="19"/>
  <c r="D63" i="19"/>
  <c r="D147" i="19"/>
  <c r="C147" i="19"/>
  <c r="C148" i="19"/>
  <c r="C161" i="19"/>
  <c r="D160" i="19"/>
  <c r="D172" i="19"/>
  <c r="C160" i="19"/>
  <c r="D171" i="19"/>
  <c r="C171" i="19"/>
  <c r="C172" i="19"/>
  <c r="C239" i="19"/>
  <c r="D239" i="19"/>
  <c r="D275" i="19"/>
  <c r="C275" i="19"/>
  <c r="C276" i="19"/>
  <c r="D174" i="18"/>
  <c r="C174" i="18"/>
  <c r="C185" i="18"/>
  <c r="C303" i="18"/>
  <c r="C311" i="18"/>
  <c r="C319" i="18"/>
  <c r="AC9" i="4" s="1"/>
  <c r="C327" i="18"/>
  <c r="AC17" i="4" s="1"/>
  <c r="C335" i="18"/>
  <c r="AC25" i="4" s="1"/>
  <c r="C343" i="18"/>
  <c r="AC33" i="4" s="1"/>
  <c r="D352" i="18"/>
  <c r="AD42" i="4" s="1"/>
  <c r="D364" i="18"/>
  <c r="AD54" i="4" s="1"/>
  <c r="D23" i="19"/>
  <c r="C23" i="19"/>
  <c r="D49" i="19"/>
  <c r="D37" i="19"/>
  <c r="D123" i="19"/>
  <c r="C124" i="19"/>
  <c r="C191" i="19"/>
  <c r="D191" i="19"/>
  <c r="D227" i="19"/>
  <c r="C227" i="19"/>
  <c r="C228" i="19"/>
  <c r="C319" i="19"/>
  <c r="Y9" i="4" s="1"/>
  <c r="D319" i="19"/>
  <c r="Z9" i="4" s="1"/>
  <c r="C100" i="18"/>
  <c r="C108" i="18"/>
  <c r="C116" i="18"/>
  <c r="C124" i="18"/>
  <c r="C132" i="18"/>
  <c r="C140" i="18"/>
  <c r="C148" i="18"/>
  <c r="C156" i="18"/>
  <c r="C171" i="18"/>
  <c r="D175" i="18"/>
  <c r="D178" i="18"/>
  <c r="C308" i="18"/>
  <c r="C316" i="18"/>
  <c r="AC6" i="4" s="1"/>
  <c r="C324" i="18"/>
  <c r="AC14" i="4" s="1"/>
  <c r="C332" i="18"/>
  <c r="AC22" i="4" s="1"/>
  <c r="C340" i="18"/>
  <c r="AC30" i="4" s="1"/>
  <c r="D356" i="18"/>
  <c r="AD46" i="4" s="1"/>
  <c r="D344" i="18"/>
  <c r="AD34" i="4" s="1"/>
  <c r="D348" i="18"/>
  <c r="AD38" i="4" s="1"/>
  <c r="C353" i="18"/>
  <c r="AC43" i="4" s="1"/>
  <c r="C354" i="18"/>
  <c r="AC44" i="4" s="1"/>
  <c r="D353" i="18"/>
  <c r="AD43" i="4" s="1"/>
  <c r="D361" i="18"/>
  <c r="AD51" i="4" s="1"/>
  <c r="D365" i="18"/>
  <c r="AD55" i="4" s="1"/>
  <c r="D32" i="19"/>
  <c r="C33" i="19"/>
  <c r="C32" i="19"/>
  <c r="C37" i="19"/>
  <c r="D42" i="19"/>
  <c r="C42" i="19"/>
  <c r="D47" i="19"/>
  <c r="C51" i="19"/>
  <c r="C60" i="19"/>
  <c r="C82" i="19"/>
  <c r="C97" i="19"/>
  <c r="C96" i="19"/>
  <c r="D96" i="19"/>
  <c r="D101" i="19"/>
  <c r="D113" i="19"/>
  <c r="C123" i="19"/>
  <c r="C143" i="19"/>
  <c r="D143" i="19"/>
  <c r="D179" i="19"/>
  <c r="C179" i="19"/>
  <c r="C180" i="19"/>
  <c r="C271" i="19"/>
  <c r="D271" i="19"/>
  <c r="D307" i="19"/>
  <c r="C307" i="19"/>
  <c r="C308" i="19"/>
  <c r="C320" i="17"/>
  <c r="AA10" i="4" s="1"/>
  <c r="C328" i="17"/>
  <c r="AA18" i="4" s="1"/>
  <c r="C336" i="17"/>
  <c r="AA26" i="4" s="1"/>
  <c r="C344" i="17"/>
  <c r="AA34" i="4" s="1"/>
  <c r="C352" i="17"/>
  <c r="AA42" i="4" s="1"/>
  <c r="C360" i="17"/>
  <c r="AA50" i="4" s="1"/>
  <c r="C23" i="18"/>
  <c r="C31" i="18"/>
  <c r="C39" i="18"/>
  <c r="C47" i="18"/>
  <c r="C55" i="18"/>
  <c r="C63" i="18"/>
  <c r="C71" i="18"/>
  <c r="C79" i="18"/>
  <c r="C87" i="18"/>
  <c r="C95" i="18"/>
  <c r="C103" i="18"/>
  <c r="C111" i="18"/>
  <c r="C119" i="18"/>
  <c r="C127" i="18"/>
  <c r="C135" i="18"/>
  <c r="C143" i="18"/>
  <c r="C151" i="18"/>
  <c r="C159" i="18"/>
  <c r="C168" i="18"/>
  <c r="C175" i="18"/>
  <c r="D179" i="18"/>
  <c r="D182" i="18"/>
  <c r="C182" i="18"/>
  <c r="C193" i="18"/>
  <c r="C200" i="18"/>
  <c r="C208" i="18"/>
  <c r="D212" i="18"/>
  <c r="C216" i="18"/>
  <c r="D220" i="18"/>
  <c r="C224" i="18"/>
  <c r="D228" i="18"/>
  <c r="C232" i="18"/>
  <c r="D236" i="18"/>
  <c r="C240" i="18"/>
  <c r="D244" i="18"/>
  <c r="C248" i="18"/>
  <c r="D252" i="18"/>
  <c r="C256" i="18"/>
  <c r="D260" i="18"/>
  <c r="C264" i="18"/>
  <c r="D268" i="18"/>
  <c r="C272" i="18"/>
  <c r="D276" i="18"/>
  <c r="C280" i="18"/>
  <c r="D284" i="18"/>
  <c r="C288" i="18"/>
  <c r="D292" i="18"/>
  <c r="C296" i="18"/>
  <c r="D300" i="18"/>
  <c r="C304" i="18"/>
  <c r="D308" i="18"/>
  <c r="C312" i="18"/>
  <c r="D316" i="18"/>
  <c r="AD6" i="4" s="1"/>
  <c r="C320" i="18"/>
  <c r="AC10" i="4" s="1"/>
  <c r="D324" i="18"/>
  <c r="AD14" i="4" s="1"/>
  <c r="C328" i="18"/>
  <c r="AC18" i="4" s="1"/>
  <c r="D332" i="18"/>
  <c r="AD22" i="4" s="1"/>
  <c r="C336" i="18"/>
  <c r="AC26" i="4" s="1"/>
  <c r="D340" i="18"/>
  <c r="AD30" i="4" s="1"/>
  <c r="C344" i="18"/>
  <c r="AC34" i="4" s="1"/>
  <c r="D362" i="18"/>
  <c r="AD52" i="4" s="1"/>
  <c r="C362" i="18"/>
  <c r="AC52" i="4" s="1"/>
  <c r="C38" i="19"/>
  <c r="D38" i="19"/>
  <c r="D50" i="19"/>
  <c r="D70" i="19"/>
  <c r="C70" i="19"/>
  <c r="D78" i="19"/>
  <c r="C78" i="19"/>
  <c r="D90" i="19"/>
  <c r="D115" i="19"/>
  <c r="C115" i="19"/>
  <c r="C121" i="19"/>
  <c r="D132" i="19"/>
  <c r="D120" i="19"/>
  <c r="D131" i="19"/>
  <c r="C131" i="19"/>
  <c r="C132" i="19"/>
  <c r="C145" i="19"/>
  <c r="D144" i="19"/>
  <c r="D156" i="19"/>
  <c r="C144" i="19"/>
  <c r="D155" i="19"/>
  <c r="C155" i="19"/>
  <c r="C156" i="19"/>
  <c r="C223" i="19"/>
  <c r="D223" i="19"/>
  <c r="D259" i="19"/>
  <c r="C259" i="19"/>
  <c r="C260" i="19"/>
  <c r="C172" i="18"/>
  <c r="C179" i="18"/>
  <c r="D183" i="18"/>
  <c r="D186" i="18"/>
  <c r="C201" i="18"/>
  <c r="C209" i="18"/>
  <c r="C217" i="18"/>
  <c r="C225" i="18"/>
  <c r="C233" i="18"/>
  <c r="C241" i="18"/>
  <c r="C249" i="18"/>
  <c r="C257" i="18"/>
  <c r="C265" i="18"/>
  <c r="C273" i="18"/>
  <c r="C281" i="18"/>
  <c r="C289" i="18"/>
  <c r="C297" i="18"/>
  <c r="C305" i="18"/>
  <c r="C313" i="18"/>
  <c r="C321" i="18"/>
  <c r="AC11" i="4" s="1"/>
  <c r="C329" i="18"/>
  <c r="AC19" i="4" s="1"/>
  <c r="C337" i="18"/>
  <c r="AC27" i="4" s="1"/>
  <c r="D349" i="18"/>
  <c r="AD39" i="4" s="1"/>
  <c r="C366" i="18"/>
  <c r="AC56" i="4" s="1"/>
  <c r="D20" i="19"/>
  <c r="C20" i="19"/>
  <c r="D39" i="19"/>
  <c r="C39" i="19"/>
  <c r="C43" i="19"/>
  <c r="C48" i="19"/>
  <c r="D110" i="19"/>
  <c r="C110" i="19"/>
  <c r="D122" i="19"/>
  <c r="C120" i="19"/>
  <c r="C175" i="19"/>
  <c r="D175" i="19"/>
  <c r="D211" i="19"/>
  <c r="C211" i="19"/>
  <c r="C212" i="19"/>
  <c r="C303" i="19"/>
  <c r="D303" i="19"/>
  <c r="D358" i="18"/>
  <c r="AD48" i="4" s="1"/>
  <c r="D145" i="19"/>
  <c r="C133" i="19"/>
  <c r="D161" i="19"/>
  <c r="C149" i="19"/>
  <c r="D177" i="19"/>
  <c r="C165" i="19"/>
  <c r="D193" i="19"/>
  <c r="C181" i="19"/>
  <c r="D209" i="19"/>
  <c r="C197" i="19"/>
  <c r="D225" i="19"/>
  <c r="C213" i="19"/>
  <c r="D241" i="19"/>
  <c r="C229" i="19"/>
  <c r="D257" i="19"/>
  <c r="C245" i="19"/>
  <c r="D273" i="19"/>
  <c r="C261" i="19"/>
  <c r="D289" i="19"/>
  <c r="C277" i="19"/>
  <c r="D305" i="19"/>
  <c r="C293" i="19"/>
  <c r="D321" i="19"/>
  <c r="Z11" i="4" s="1"/>
  <c r="C309" i="19"/>
  <c r="D337" i="19"/>
  <c r="Z27" i="4" s="1"/>
  <c r="C325" i="19"/>
  <c r="Y15" i="4" s="1"/>
  <c r="C193" i="19"/>
  <c r="D192" i="19"/>
  <c r="D204" i="19"/>
  <c r="C192" i="19"/>
  <c r="C209" i="19"/>
  <c r="D208" i="19"/>
  <c r="D220" i="19"/>
  <c r="C208" i="19"/>
  <c r="C225" i="19"/>
  <c r="D224" i="19"/>
  <c r="D236" i="19"/>
  <c r="C224" i="19"/>
  <c r="C241" i="19"/>
  <c r="D240" i="19"/>
  <c r="D252" i="19"/>
  <c r="C240" i="19"/>
  <c r="C257" i="19"/>
  <c r="D256" i="19"/>
  <c r="D268" i="19"/>
  <c r="C256" i="19"/>
  <c r="C273" i="19"/>
  <c r="D272" i="19"/>
  <c r="D284" i="19"/>
  <c r="C272" i="19"/>
  <c r="C289" i="19"/>
  <c r="D288" i="19"/>
  <c r="D300" i="19"/>
  <c r="C288" i="19"/>
  <c r="C305" i="19"/>
  <c r="D304" i="19"/>
  <c r="D316" i="19"/>
  <c r="Z6" i="4" s="1"/>
  <c r="C304" i="19"/>
  <c r="C321" i="19"/>
  <c r="Y11" i="4" s="1"/>
  <c r="D320" i="19"/>
  <c r="Z10" i="4" s="1"/>
  <c r="D332" i="19"/>
  <c r="Z22" i="4" s="1"/>
  <c r="C320" i="19"/>
  <c r="Y10" i="4" s="1"/>
  <c r="D187" i="19"/>
  <c r="C187" i="19"/>
  <c r="C188" i="19"/>
  <c r="D203" i="19"/>
  <c r="C203" i="19"/>
  <c r="C204" i="19"/>
  <c r="D219" i="19"/>
  <c r="C219" i="19"/>
  <c r="C220" i="19"/>
  <c r="D235" i="19"/>
  <c r="C235" i="19"/>
  <c r="C236" i="19"/>
  <c r="D251" i="19"/>
  <c r="C251" i="19"/>
  <c r="C252" i="19"/>
  <c r="D267" i="19"/>
  <c r="C267" i="19"/>
  <c r="C268" i="19"/>
  <c r="D283" i="19"/>
  <c r="C283" i="19"/>
  <c r="C284" i="19"/>
  <c r="D299" i="19"/>
  <c r="C299" i="19"/>
  <c r="C300" i="19"/>
  <c r="D315" i="19"/>
  <c r="Z5" i="4" s="1"/>
  <c r="C315" i="19"/>
  <c r="Y5" i="4" s="1"/>
  <c r="C316" i="19"/>
  <c r="Y6" i="4" s="1"/>
  <c r="D331" i="19"/>
  <c r="Z21" i="4" s="1"/>
  <c r="C331" i="19"/>
  <c r="Y21" i="4" s="1"/>
  <c r="C332" i="19"/>
  <c r="Y22" i="4" s="1"/>
  <c r="D29" i="19"/>
  <c r="D75" i="19"/>
  <c r="C76" i="19"/>
  <c r="D79" i="19"/>
  <c r="D83" i="19"/>
  <c r="C83" i="19"/>
  <c r="D98" i="19"/>
  <c r="D102" i="19"/>
  <c r="C102" i="19"/>
  <c r="D129" i="19"/>
  <c r="D117" i="19"/>
  <c r="C343" i="19"/>
  <c r="Y33" i="4" s="1"/>
  <c r="C344" i="19"/>
  <c r="Y34" i="4" s="1"/>
  <c r="D343" i="19"/>
  <c r="Z33" i="4" s="1"/>
  <c r="C198" i="18"/>
  <c r="C206" i="18"/>
  <c r="C214" i="18"/>
  <c r="C222" i="18"/>
  <c r="C230" i="18"/>
  <c r="C238" i="18"/>
  <c r="C246" i="18"/>
  <c r="C254" i="18"/>
  <c r="C262" i="18"/>
  <c r="C270" i="18"/>
  <c r="C278" i="18"/>
  <c r="C286" i="18"/>
  <c r="C294" i="18"/>
  <c r="C302" i="18"/>
  <c r="C310" i="18"/>
  <c r="C318" i="18"/>
  <c r="AC8" i="4" s="1"/>
  <c r="C326" i="18"/>
  <c r="AC16" i="4" s="1"/>
  <c r="C334" i="18"/>
  <c r="AC24" i="4" s="1"/>
  <c r="C342" i="18"/>
  <c r="AC32" i="4" s="1"/>
  <c r="C345" i="18"/>
  <c r="AC35" i="4" s="1"/>
  <c r="C365" i="18"/>
  <c r="AC55" i="4" s="1"/>
  <c r="C29" i="19"/>
  <c r="C36" i="19"/>
  <c r="C46" i="19"/>
  <c r="C52" i="19"/>
  <c r="C55" i="19"/>
  <c r="D58" i="19"/>
  <c r="C61" i="19"/>
  <c r="C72" i="19"/>
  <c r="C75" i="19"/>
  <c r="C79" i="19"/>
  <c r="D87" i="19"/>
  <c r="D94" i="19"/>
  <c r="C94" i="19"/>
  <c r="C98" i="19"/>
  <c r="C117" i="19"/>
  <c r="D137" i="19"/>
  <c r="C125" i="19"/>
  <c r="D135" i="19"/>
  <c r="D153" i="19"/>
  <c r="C141" i="19"/>
  <c r="D151" i="19"/>
  <c r="D169" i="19"/>
  <c r="C157" i="19"/>
  <c r="D167" i="19"/>
  <c r="D185" i="19"/>
  <c r="C173" i="19"/>
  <c r="D183" i="19"/>
  <c r="D201" i="19"/>
  <c r="C189" i="19"/>
  <c r="D199" i="19"/>
  <c r="D217" i="19"/>
  <c r="C205" i="19"/>
  <c r="D215" i="19"/>
  <c r="D233" i="19"/>
  <c r="C221" i="19"/>
  <c r="D231" i="19"/>
  <c r="D249" i="19"/>
  <c r="C237" i="19"/>
  <c r="D247" i="19"/>
  <c r="D265" i="19"/>
  <c r="C253" i="19"/>
  <c r="D263" i="19"/>
  <c r="D281" i="19"/>
  <c r="C269" i="19"/>
  <c r="D279" i="19"/>
  <c r="D297" i="19"/>
  <c r="C285" i="19"/>
  <c r="D295" i="19"/>
  <c r="D313" i="19"/>
  <c r="C301" i="19"/>
  <c r="D311" i="19"/>
  <c r="D329" i="19"/>
  <c r="Z19" i="4" s="1"/>
  <c r="C317" i="19"/>
  <c r="Y7" i="4" s="1"/>
  <c r="D327" i="19"/>
  <c r="Z17" i="4" s="1"/>
  <c r="D345" i="18"/>
  <c r="AD35" i="4" s="1"/>
  <c r="D21" i="19"/>
  <c r="C24" i="19"/>
  <c r="C30" i="19"/>
  <c r="D43" i="19"/>
  <c r="D46" i="19"/>
  <c r="C58" i="19"/>
  <c r="C62" i="19"/>
  <c r="D72" i="19"/>
  <c r="C81" i="19"/>
  <c r="C80" i="19"/>
  <c r="C84" i="19"/>
  <c r="D91" i="19"/>
  <c r="C92" i="19"/>
  <c r="D95" i="19"/>
  <c r="D99" i="19"/>
  <c r="C99" i="19"/>
  <c r="C103" i="19"/>
  <c r="D114" i="19"/>
  <c r="D118" i="19"/>
  <c r="C118" i="19"/>
  <c r="D125" i="19"/>
  <c r="D130" i="19"/>
  <c r="C137" i="19"/>
  <c r="D136" i="19"/>
  <c r="D148" i="19"/>
  <c r="C136" i="19"/>
  <c r="D141" i="19"/>
  <c r="C153" i="19"/>
  <c r="D152" i="19"/>
  <c r="D164" i="19"/>
  <c r="C152" i="19"/>
  <c r="D157" i="19"/>
  <c r="C169" i="19"/>
  <c r="D168" i="19"/>
  <c r="D180" i="19"/>
  <c r="C168" i="19"/>
  <c r="D173" i="19"/>
  <c r="C185" i="19"/>
  <c r="D184" i="19"/>
  <c r="D196" i="19"/>
  <c r="C184" i="19"/>
  <c r="D189" i="19"/>
  <c r="C201" i="19"/>
  <c r="D200" i="19"/>
  <c r="D212" i="19"/>
  <c r="C200" i="19"/>
  <c r="D205" i="19"/>
  <c r="C217" i="19"/>
  <c r="D216" i="19"/>
  <c r="D228" i="19"/>
  <c r="C216" i="19"/>
  <c r="D221" i="19"/>
  <c r="C233" i="19"/>
  <c r="D232" i="19"/>
  <c r="D244" i="19"/>
  <c r="C232" i="19"/>
  <c r="D237" i="19"/>
  <c r="C249" i="19"/>
  <c r="D248" i="19"/>
  <c r="D260" i="19"/>
  <c r="C248" i="19"/>
  <c r="D253" i="19"/>
  <c r="C265" i="19"/>
  <c r="D264" i="19"/>
  <c r="D276" i="19"/>
  <c r="C264" i="19"/>
  <c r="D269" i="19"/>
  <c r="C281" i="19"/>
  <c r="D280" i="19"/>
  <c r="D292" i="19"/>
  <c r="C280" i="19"/>
  <c r="D285" i="19"/>
  <c r="C297" i="19"/>
  <c r="D296" i="19"/>
  <c r="D308" i="19"/>
  <c r="C296" i="19"/>
  <c r="D301" i="19"/>
  <c r="C313" i="19"/>
  <c r="D312" i="19"/>
  <c r="D324" i="19"/>
  <c r="Z14" i="4" s="1"/>
  <c r="C312" i="19"/>
  <c r="D317" i="19"/>
  <c r="Z7" i="4" s="1"/>
  <c r="D339" i="19"/>
  <c r="Z29" i="4" s="1"/>
  <c r="C339" i="19"/>
  <c r="Y29" i="4" s="1"/>
  <c r="D347" i="19"/>
  <c r="Z37" i="4" s="1"/>
  <c r="C347" i="19"/>
  <c r="Y37" i="4" s="1"/>
  <c r="D351" i="19"/>
  <c r="Z41" i="4" s="1"/>
  <c r="D355" i="19"/>
  <c r="Z45" i="4" s="1"/>
  <c r="C355" i="19"/>
  <c r="Y45" i="4" s="1"/>
  <c r="D359" i="19"/>
  <c r="Z49" i="4" s="1"/>
  <c r="D363" i="19"/>
  <c r="Z53" i="4" s="1"/>
  <c r="C329" i="19"/>
  <c r="Y19" i="4" s="1"/>
  <c r="D328" i="19"/>
  <c r="Z18" i="4" s="1"/>
  <c r="D340" i="19"/>
  <c r="Z30" i="4" s="1"/>
  <c r="C337" i="19"/>
  <c r="Y27" i="4" s="1"/>
  <c r="D336" i="19"/>
  <c r="Z26" i="4" s="1"/>
  <c r="D348" i="19"/>
  <c r="Z38" i="4" s="1"/>
  <c r="C345" i="19"/>
  <c r="Y35" i="4" s="1"/>
  <c r="D344" i="19"/>
  <c r="Z34" i="4" s="1"/>
  <c r="D356" i="19"/>
  <c r="Z46" i="4" s="1"/>
  <c r="C353" i="19"/>
  <c r="Y43" i="4" s="1"/>
  <c r="D352" i="19"/>
  <c r="Z42" i="4" s="1"/>
  <c r="D364" i="19"/>
  <c r="Z54" i="4" s="1"/>
  <c r="C328" i="19"/>
  <c r="Y18" i="4" s="1"/>
  <c r="C336" i="19"/>
  <c r="Y26" i="4" s="1"/>
  <c r="C340" i="19"/>
  <c r="Y30" i="4" s="1"/>
  <c r="C348" i="19"/>
  <c r="Y38" i="4" s="1"/>
  <c r="C352" i="19"/>
  <c r="Y42" i="4" s="1"/>
  <c r="C333" i="19"/>
  <c r="Y23" i="4" s="1"/>
  <c r="C341" i="19"/>
  <c r="Y31" i="4" s="1"/>
  <c r="C349" i="19"/>
  <c r="Y39" i="4" s="1"/>
  <c r="C365" i="19"/>
  <c r="Y55" i="4" s="1"/>
  <c r="D360" i="19"/>
  <c r="Z50" i="4" s="1"/>
  <c r="C363" i="19"/>
  <c r="Y53" i="4" s="1"/>
  <c r="C126" i="19"/>
  <c r="C134" i="19"/>
  <c r="C142" i="19"/>
  <c r="C150" i="19"/>
  <c r="C158" i="19"/>
  <c r="C166" i="19"/>
  <c r="C174" i="19"/>
  <c r="C182" i="19"/>
  <c r="C190"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C358" i="19"/>
  <c r="Y48" i="4" s="1"/>
  <c r="C366" i="19"/>
  <c r="Y56" i="4" s="1"/>
  <c r="P56" i="4" l="1"/>
  <c r="G13" i="3"/>
  <c r="Q22" i="1" s="1"/>
  <c r="AB56" i="4"/>
  <c r="G19" i="3"/>
  <c r="Q28" i="1" s="1"/>
  <c r="R56" i="4"/>
  <c r="G14" i="3"/>
  <c r="Q23" i="1" s="1"/>
  <c r="L56" i="4"/>
  <c r="G11" i="3"/>
  <c r="Q20" i="1" s="1"/>
  <c r="D56" i="4"/>
  <c r="G7" i="3"/>
  <c r="Q16" i="1" s="1"/>
  <c r="L3" i="5"/>
  <c r="M3" i="5"/>
  <c r="H17" i="3"/>
  <c r="F17" i="3"/>
  <c r="P26" i="1" s="1"/>
  <c r="J56" i="4"/>
  <c r="G10" i="3"/>
  <c r="Q19" i="1" s="1"/>
  <c r="F12" i="3"/>
  <c r="P21" i="1" s="1"/>
  <c r="H12" i="3"/>
  <c r="F56" i="4"/>
  <c r="G8" i="3"/>
  <c r="Q17" i="1" s="1"/>
  <c r="H10" i="3"/>
  <c r="H22" i="3" s="1"/>
  <c r="D22" i="3"/>
  <c r="F15" i="3"/>
  <c r="P24" i="1" s="1"/>
  <c r="V56" i="4"/>
  <c r="G16" i="3"/>
  <c r="Q25" i="1" s="1"/>
  <c r="F10" i="3"/>
  <c r="P19" i="1" s="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<sst xmlns="http://schemas.openxmlformats.org/spreadsheetml/2006/main" count="286" uniqueCount="124">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</sst>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Gas'!$A$8:$A$372</c:f>
              <c:numCache>
                <c:formatCode>[$-409]mmm\-yy;@</c:formatCode>
                <c:ptCount val="36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'Retail Sales ex Auto and Gas'!$C$8:$C$372</c:f>
              <c:numCache>
                <c:formatCode>0.00%</c:formatCode>
                <c:ptCount val="365"/>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0C89-F741-A2BA-A61339133598}"/>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Gas'!$A$8:$A$369</c:f>
              <c:numCache>
                <c:formatCode>[$-409]mmm\-yy;@</c:formatCode>
                <c:ptCount val="36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'Retail Sales ex Auto and Gas'!$C$8:$C$369</c:f>
              <c:numCache>
                <c:formatCode>0.00%</c:formatCode>
                <c:ptCount val="362"/>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D32-9549-8A71-977E7E52F7F3}"/>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Gas'!$A$19:$A$369</c:f>
              <c:numCache>
                <c:formatCode>[$-409]mmm\-yy;@</c:formatCode>
                <c:ptCount val="351"/>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numCache>
            </c:numRef>
          </c:cat>
          <c:val>
            <c:numRef>
              <c:f>'Retail Sales ex Auto and Gas'!$D$19:$D$369</c:f>
              <c:numCache>
                <c:formatCode>0.00%</c:formatCode>
                <c:ptCount val="351"/>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pt idx="347">
                  <c:v>0.16598461928681812</c:v>
                </c:pt>
              </c:numCache>
            </c:numRef>
          </c:val>
          <c:smooth val="0"/>
          <c:extLst>
            <c:ext xmlns:c16="http://schemas.microsoft.com/office/drawing/2014/chart" uri="{C3380CC4-5D6E-409C-BE32-E72D297353CC}">
              <c16:uniqueId val="{00000000-2951-004D-9296-509437780E7A}"/>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Gas'!$A$7:$A$369</c:f>
              <c:numCache>
                <c:formatCode>[$-409]mmm\-yy;@</c:formatCode>
                <c:ptCount val="36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 and Gas'!$B$7:$B$369</c:f>
              <c:numCache>
                <c:formatCode>#,##0</c:formatCode>
                <c:ptCount val="363"/>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pt idx="359">
                  <c:v>445904</c:v>
                </c:pt>
              </c:numCache>
            </c:numRef>
          </c:val>
          <c:smooth val="0"/>
          <c:extLst>
            <c:ext xmlns:c16="http://schemas.microsoft.com/office/drawing/2014/chart" uri="{C3380CC4-5D6E-409C-BE32-E72D297353CC}">
              <c16:uniqueId val="{00000000-7C3B-B74D-805A-449689926986}"/>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Sales'!$A$7:$A$371</c:f>
              <c:numCache>
                <c:formatCode>[$-409]mmm\-yy;@</c:formatCode>
                <c:ptCount val="36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Sales'!$D$7:$D$371</c:f>
              <c:numCache>
                <c:formatCode>General</c:formatCode>
                <c:ptCount val="365"/>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pt idx="359" formatCode="0.00%">
                  <c:v>0.16952564686214952</c:v>
                </c:pt>
              </c:numCache>
            </c:numRef>
          </c:val>
          <c:smooth val="0"/>
          <c:extLst>
            <c:ext xmlns:c16="http://schemas.microsoft.com/office/drawing/2014/chart" uri="{C3380CC4-5D6E-409C-BE32-E72D297353CC}">
              <c16:uniqueId val="{00000000-9B18-B64A-998F-7883C159406C}"/>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12"/>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Sales'!$B$7:$B$366</c:f>
              <c:numCache>
                <c:formatCode>#,##0</c:formatCode>
                <c:ptCount val="36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pt idx="359">
                  <c:v>626833</c:v>
                </c:pt>
              </c:numCache>
            </c:numRef>
          </c:val>
          <c:smooth val="0"/>
          <c:extLst>
            <c:ext xmlns:c16="http://schemas.microsoft.com/office/drawing/2014/chart" uri="{C3380CC4-5D6E-409C-BE32-E72D297353CC}">
              <c16:uniqueId val="{00000000-BE4D-E449-9351-298476266403}"/>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FB3-D547-8E1C-63C7EEE3F48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prstDash val="solid"/>
              <a:round/>
            </a:ln>
          </c:spPr>
          <c:marker>
            <c:symbol val="none"/>
          </c:marker>
          <c:cat>
            <c:numRef>
              <c:f>'Retail Sales ex Auto'!$A$7:$A$366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Auto'!$B$7:$B$366</c:f>
              <c:numCache>
                <c:formatCode>#,##0</c:formatCode>
                <c:ptCount val="360"/>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pt idx="359">
                  <c:v>500566</c:v>
                </c:pt>
              </c:numCache>
            </c:numRef>
          </c:val>
          <c:smooth val="0"/>
          <c:extLst>
            <c:ext xmlns:c16="http://schemas.microsoft.com/office/drawing/2014/chart" uri="{C3380CC4-5D6E-409C-BE32-E72D297353CC}">
              <c16:uniqueId val="{00000000-7472-8D4C-915F-6B2CCF2C58F3}"/>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prstDash val="solid"/>
              <a:round/>
            </a:ln>
          </c:spPr>
          <c:marker>
            <c:symbol val="none"/>
          </c:marker>
          <c:cat>
            <c:numRef>
              <c:f>'Retail Sales ex Auto'!$A$7:$A$366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Auto'!$D$7:$D$366</c:f>
              <c:numCache>
                <c:formatCode>General</c:formatCode>
                <c:ptCount val="36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pt idx="359" formatCode="0.00%">
                  <c:v>0.18751200996382184</c:v>
                </c:pt>
              </c:numCache>
            </c:numRef>
          </c:val>
          <c:smooth val="0"/>
          <c:extLst>
            <c:ext xmlns:c16="http://schemas.microsoft.com/office/drawing/2014/chart" uri="{C3380CC4-5D6E-409C-BE32-E72D297353CC}">
              <c16:uniqueId val="{00000000-9974-524C-9CDD-C740480B5F09}"/>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prstDash val="solid"/>
              <a:round/>
            </a:ln>
          </c:spPr>
          <c:marker>
            <c:symbol val="none"/>
          </c:marker>
          <c:cat>
            <c:numRef>
              <c:f>'Food and Beverage'!$A$19:$A$366</c:f>
              <c:numCache>
                <c:formatCode>[$-409]mmm\-yy;@</c:formatCode>
                <c:ptCount val="348"/>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numCache>
            </c:numRef>
          </c:cat>
          <c:val>
            <c:numRef>
              <c:f>'Food and Beverage'!$D$19:$D$366</c:f>
              <c:numCache>
                <c:formatCode>0.00%</c:formatCode>
                <c:ptCount val="348"/>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pt idx="332">
                  <c:v>0.10636493964945816</c:v>
                </c:pt>
                <c:pt idx="333">
                  <c:v>9.7820226449973041E-2</c:v>
                </c:pt>
                <c:pt idx="334">
                  <c:v>0.10737287615776238</c:v>
                </c:pt>
                <c:pt idx="335">
                  <c:v>8.6881052439247208E-2</c:v>
                </c:pt>
                <c:pt idx="336">
                  <c:v>0.11342447298724759</c:v>
                </c:pt>
                <c:pt idx="337">
                  <c:v>0.10741511802345161</c:v>
                </c:pt>
                <c:pt idx="338">
                  <c:v>-0.11829399465815839</c:v>
                </c:pt>
                <c:pt idx="339">
                  <c:v>2.0042194092827006E-2</c:v>
                </c:pt>
                <c:pt idx="340">
                  <c:v>8.7785948820927519E-3</c:v>
                </c:pt>
                <c:pt idx="341">
                  <c:v>3.5332570230723614E-2</c:v>
                </c:pt>
                <c:pt idx="342">
                  <c:v>2.6335694148387542E-2</c:v>
                </c:pt>
                <c:pt idx="343">
                  <c:v>6.3054777531597064E-2</c:v>
                </c:pt>
                <c:pt idx="344">
                  <c:v>6.7924370567499406E-2</c:v>
                </c:pt>
                <c:pt idx="345">
                  <c:v>8.6451975022802219E-2</c:v>
                </c:pt>
                <c:pt idx="346">
                  <c:v>8.581438502229484E-2</c:v>
                </c:pt>
                <c:pt idx="347">
                  <c:v>8.3648538847328452E-2</c:v>
                </c:pt>
              </c:numCache>
            </c:numRef>
          </c:val>
          <c:smooth val="0"/>
          <c:extLst>
            <c:ext xmlns:c16="http://schemas.microsoft.com/office/drawing/2014/chart" uri="{C3380CC4-5D6E-409C-BE32-E72D297353CC}">
              <c16:uniqueId val="{00000000-3EB3-364E-B516-1E5D259CCBCB}"/>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w="28575" cap="rnd">
              <a:solidFill>
                <a:schemeClr val="accent1"/>
              </a:solidFill>
              <a:prstDash val="solid"/>
              <a:round/>
            </a:ln>
          </c:spPr>
          <c:marker>
            <c:symbol val="none"/>
          </c:marker>
          <c:cat>
            <c:numRef>
              <c:f>'Food and Beverage'!$A$7:$A$366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and Beverage'!$B$7:$B$366</c:f>
              <c:numCache>
                <c:formatCode>#,##0</c:formatCode>
                <c:ptCount val="36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47877</c:v>
                </c:pt>
                <c:pt idx="217">
                  <c:v>48699</c:v>
                </c:pt>
                <c:pt idx="218">
                  <c:v>48273</c:v>
                </c:pt>
                <c:pt idx="219">
                  <c:v>48173</c:v>
                </c:pt>
                <c:pt idx="220">
                  <c:v>48195</c:v>
                </c:pt>
                <c:pt idx="221">
                  <c:v>47913</c:v>
                </c:pt>
                <c:pt idx="222">
                  <c:v>47907</c:v>
                </c:pt>
                <c:pt idx="223">
                  <c:v>48263</c:v>
                </c:pt>
                <c:pt idx="224">
                  <c:v>48675</c:v>
                </c:pt>
                <c:pt idx="225">
                  <c:v>48568</c:v>
                </c:pt>
                <c:pt idx="226">
                  <c:v>49133</c:v>
                </c:pt>
                <c:pt idx="227">
                  <c:v>49184</c:v>
                </c:pt>
                <c:pt idx="228">
                  <c:v>49674</c:v>
                </c:pt>
                <c:pt idx="229">
                  <c:v>50017</c:v>
                </c:pt>
                <c:pt idx="230">
                  <c:v>50080</c:v>
                </c:pt>
                <c:pt idx="231">
                  <c:v>50836</c:v>
                </c:pt>
                <c:pt idx="232">
                  <c:v>50385</c:v>
                </c:pt>
                <c:pt idx="233">
                  <c:v>50943</c:v>
                </c:pt>
                <c:pt idx="234">
                  <c:v>50984</c:v>
                </c:pt>
                <c:pt idx="235">
                  <c:v>51182</c:v>
                </c:pt>
                <c:pt idx="236">
                  <c:v>51049</c:v>
                </c:pt>
                <c:pt idx="237">
                  <c:v>51324</c:v>
                </c:pt>
                <c:pt idx="238">
                  <c:v>51416</c:v>
                </c:pt>
                <c:pt idx="239">
                  <c:v>51215</c:v>
                </c:pt>
                <c:pt idx="240">
                  <c:v>51540</c:v>
                </c:pt>
                <c:pt idx="241">
                  <c:v>51658</c:v>
                </c:pt>
                <c:pt idx="242">
                  <c:v>52105</c:v>
                </c:pt>
                <c:pt idx="243">
                  <c:v>52296</c:v>
                </c:pt>
                <c:pt idx="244">
                  <c:v>52239</c:v>
                </c:pt>
                <c:pt idx="245">
                  <c:v>52205</c:v>
                </c:pt>
                <c:pt idx="246">
                  <c:v>52231</c:v>
                </c:pt>
                <c:pt idx="247">
                  <c:v>52359</c:v>
                </c:pt>
                <c:pt idx="248">
                  <c:v>52544</c:v>
                </c:pt>
                <c:pt idx="249">
                  <c:v>52856</c:v>
                </c:pt>
                <c:pt idx="250">
                  <c:v>52670</c:v>
                </c:pt>
                <c:pt idx="251">
                  <c:v>52689</c:v>
                </c:pt>
                <c:pt idx="252">
                  <c:v>52654</c:v>
                </c:pt>
                <c:pt idx="253">
                  <c:v>53230</c:v>
                </c:pt>
                <c:pt idx="254">
                  <c:v>53103</c:v>
                </c:pt>
                <c:pt idx="255">
                  <c:v>52733</c:v>
                </c:pt>
                <c:pt idx="256">
                  <c:v>53253</c:v>
                </c:pt>
                <c:pt idx="257">
                  <c:v>53217</c:v>
                </c:pt>
                <c:pt idx="258">
                  <c:v>53618</c:v>
                </c:pt>
                <c:pt idx="259">
                  <c:v>53693</c:v>
                </c:pt>
                <c:pt idx="260">
                  <c:v>53820</c:v>
                </c:pt>
                <c:pt idx="261">
                  <c:v>53943</c:v>
                </c:pt>
                <c:pt idx="262">
                  <c:v>54066</c:v>
                </c:pt>
                <c:pt idx="263">
                  <c:v>54606</c:v>
                </c:pt>
                <c:pt idx="264">
                  <c:v>54797</c:v>
                </c:pt>
                <c:pt idx="265">
                  <c:v>54759</c:v>
                </c:pt>
                <c:pt idx="266">
                  <c:v>54888</c:v>
                </c:pt>
                <c:pt idx="267">
                  <c:v>55279</c:v>
                </c:pt>
                <c:pt idx="268">
                  <c:v>55451</c:v>
                </c:pt>
                <c:pt idx="269">
                  <c:v>55966</c:v>
                </c:pt>
                <c:pt idx="270">
                  <c:v>56144</c:v>
                </c:pt>
                <c:pt idx="271">
                  <c:v>56299</c:v>
                </c:pt>
                <c:pt idx="272">
                  <c:v>56476</c:v>
                </c:pt>
                <c:pt idx="273">
                  <c:v>56776</c:v>
                </c:pt>
                <c:pt idx="274">
                  <c:v>56764</c:v>
                </c:pt>
                <c:pt idx="275">
                  <c:v>57113</c:v>
                </c:pt>
                <c:pt idx="276">
                  <c:v>57112</c:v>
                </c:pt>
                <c:pt idx="277">
                  <c:v>57196</c:v>
                </c:pt>
                <c:pt idx="278">
                  <c:v>57188</c:v>
                </c:pt>
                <c:pt idx="279">
                  <c:v>57092</c:v>
                </c:pt>
                <c:pt idx="280">
                  <c:v>57163</c:v>
                </c:pt>
                <c:pt idx="281">
                  <c:v>57419</c:v>
                </c:pt>
                <c:pt idx="282">
                  <c:v>57573</c:v>
                </c:pt>
                <c:pt idx="283">
                  <c:v>57593</c:v>
                </c:pt>
                <c:pt idx="284">
                  <c:v>57407</c:v>
                </c:pt>
                <c:pt idx="285">
                  <c:v>57134</c:v>
                </c:pt>
                <c:pt idx="286">
                  <c:v>57540</c:v>
                </c:pt>
                <c:pt idx="287">
                  <c:v>57365</c:v>
                </c:pt>
                <c:pt idx="288">
                  <c:v>57620</c:v>
                </c:pt>
                <c:pt idx="289">
                  <c:v>57684</c:v>
                </c:pt>
                <c:pt idx="290">
                  <c:v>57195</c:v>
                </c:pt>
                <c:pt idx="291">
                  <c:v>57861</c:v>
                </c:pt>
                <c:pt idx="292">
                  <c:v>58126</c:v>
                </c:pt>
                <c:pt idx="293">
                  <c:v>58527</c:v>
                </c:pt>
                <c:pt idx="294">
                  <c:v>58172</c:v>
                </c:pt>
                <c:pt idx="295">
                  <c:v>58446</c:v>
                </c:pt>
                <c:pt idx="296">
                  <c:v>58717</c:v>
                </c:pt>
                <c:pt idx="297">
                  <c:v>59054</c:v>
                </c:pt>
                <c:pt idx="298">
                  <c:v>59105</c:v>
                </c:pt>
                <c:pt idx="299">
                  <c:v>59328</c:v>
                </c:pt>
                <c:pt idx="300">
                  <c:v>59561</c:v>
                </c:pt>
                <c:pt idx="301">
                  <c:v>59832</c:v>
                </c:pt>
                <c:pt idx="302">
                  <c:v>60322</c:v>
                </c:pt>
                <c:pt idx="303">
                  <c:v>60461</c:v>
                </c:pt>
                <c:pt idx="304">
                  <c:v>60614</c:v>
                </c:pt>
                <c:pt idx="305">
                  <c:v>60413</c:v>
                </c:pt>
                <c:pt idx="306">
                  <c:v>60443</c:v>
                </c:pt>
                <c:pt idx="307">
                  <c:v>60762</c:v>
                </c:pt>
                <c:pt idx="308">
                  <c:v>61331</c:v>
                </c:pt>
                <c:pt idx="309">
                  <c:v>61563</c:v>
                </c:pt>
                <c:pt idx="310">
                  <c:v>61766</c:v>
                </c:pt>
                <c:pt idx="311">
                  <c:v>62282</c:v>
                </c:pt>
                <c:pt idx="312">
                  <c:v>61935</c:v>
                </c:pt>
                <c:pt idx="313">
                  <c:v>62026</c:v>
                </c:pt>
                <c:pt idx="314">
                  <c:v>62166</c:v>
                </c:pt>
                <c:pt idx="315">
                  <c:v>62516</c:v>
                </c:pt>
                <c:pt idx="316">
                  <c:v>62516</c:v>
                </c:pt>
                <c:pt idx="317">
                  <c:v>62350</c:v>
                </c:pt>
                <c:pt idx="318">
                  <c:v>62713</c:v>
                </c:pt>
                <c:pt idx="319">
                  <c:v>62510</c:v>
                </c:pt>
                <c:pt idx="320">
                  <c:v>62813</c:v>
                </c:pt>
                <c:pt idx="321">
                  <c:v>63056</c:v>
                </c:pt>
                <c:pt idx="322">
                  <c:v>63138</c:v>
                </c:pt>
                <c:pt idx="323">
                  <c:v>62979</c:v>
                </c:pt>
                <c:pt idx="324">
                  <c:v>63940</c:v>
                </c:pt>
                <c:pt idx="325">
                  <c:v>62493</c:v>
                </c:pt>
                <c:pt idx="326">
                  <c:v>63724</c:v>
                </c:pt>
                <c:pt idx="327">
                  <c:v>63950</c:v>
                </c:pt>
                <c:pt idx="328">
                  <c:v>64071</c:v>
                </c:pt>
                <c:pt idx="329">
                  <c:v>64557</c:v>
                </c:pt>
                <c:pt idx="330">
                  <c:v>65344</c:v>
                </c:pt>
                <c:pt idx="331">
                  <c:v>65328</c:v>
                </c:pt>
                <c:pt idx="332">
                  <c:v>64871</c:v>
                </c:pt>
                <c:pt idx="333">
                  <c:v>64915</c:v>
                </c:pt>
                <c:pt idx="334">
                  <c:v>65212</c:v>
                </c:pt>
                <c:pt idx="335">
                  <c:v>65676</c:v>
                </c:pt>
                <c:pt idx="336">
                  <c:v>65321</c:v>
                </c:pt>
                <c:pt idx="337">
                  <c:v>65326</c:v>
                </c:pt>
                <c:pt idx="338">
                  <c:v>82743</c:v>
                </c:pt>
                <c:pt idx="339">
                  <c:v>72048</c:v>
                </c:pt>
                <c:pt idx="340">
                  <c:v>73702</c:v>
                </c:pt>
                <c:pt idx="341">
                  <c:v>72511</c:v>
                </c:pt>
                <c:pt idx="342">
                  <c:v>72715</c:v>
                </c:pt>
                <c:pt idx="343">
                  <c:v>71763</c:v>
                </c:pt>
                <c:pt idx="344">
                  <c:v>71771</c:v>
                </c:pt>
                <c:pt idx="345">
                  <c:v>71265</c:v>
                </c:pt>
                <c:pt idx="346">
                  <c:v>72214</c:v>
                </c:pt>
                <c:pt idx="347">
                  <c:v>71382</c:v>
                </c:pt>
                <c:pt idx="348">
                  <c:v>72730</c:v>
                </c:pt>
                <c:pt idx="349">
                  <c:v>72343</c:v>
                </c:pt>
                <c:pt idx="350">
                  <c:v>72955</c:v>
                </c:pt>
                <c:pt idx="351">
                  <c:v>73492</c:v>
                </c:pt>
                <c:pt idx="352">
                  <c:v>74349</c:v>
                </c:pt>
                <c:pt idx="353">
                  <c:v>75073</c:v>
                </c:pt>
                <c:pt idx="354">
                  <c:v>74630</c:v>
                </c:pt>
                <c:pt idx="355">
                  <c:v>76288</c:v>
                </c:pt>
                <c:pt idx="356">
                  <c:v>76646</c:v>
                </c:pt>
                <c:pt idx="357">
                  <c:v>77426</c:v>
                </c:pt>
                <c:pt idx="358">
                  <c:v>78411</c:v>
                </c:pt>
                <c:pt idx="359">
                  <c:v>77353</c:v>
                </c:pt>
              </c:numCache>
            </c:numRef>
          </c:val>
          <c:smooth val="0"/>
          <c:extLst>
            <c:ext xmlns:c16="http://schemas.microsoft.com/office/drawing/2014/chart" uri="{C3380CC4-5D6E-409C-BE32-E72D297353CC}">
              <c16:uniqueId val="{00000000-CF6D-7449-BBCA-8C0536D71369}"/>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prstDash val="solid"/>
              <a:round/>
            </a:ln>
          </c:spPr>
          <c:marker>
            <c:symbol val="none"/>
          </c:marker>
          <c:cat>
            <c:numRef>
              <c:f>'Non Store Retail'!$A$7:$A$366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'Non Store Retail'!$B$7:$B$366</c:f>
              <c:numCache>
                <c:formatCode>#,##0</c:formatCode>
                <c:ptCount val="36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pt idx="344">
                  <c:v>80842</c:v>
                </c:pt>
                <c:pt idx="345">
                  <c:v>83254</c:v>
                </c:pt>
                <c:pt idx="346">
                  <c:v>82211</c:v>
                </c:pt>
                <c:pt idx="347">
                  <c:v>74474</c:v>
                </c:pt>
                <c:pt idx="348">
                  <c:v>87028</c:v>
                </c:pt>
                <c:pt idx="349">
                  <c:v>84324</c:v>
                </c:pt>
                <c:pt idx="350">
                  <c:v>88886</c:v>
                </c:pt>
                <c:pt idx="351">
                  <c:v>88975</c:v>
                </c:pt>
                <c:pt idx="352">
                  <c:v>87917</c:v>
                </c:pt>
                <c:pt idx="353">
                  <c:v>88003</c:v>
                </c:pt>
                <c:pt idx="354">
                  <c:v>83934</c:v>
                </c:pt>
                <c:pt idx="355">
                  <c:v>88903</c:v>
                </c:pt>
                <c:pt idx="356">
                  <c:v>88532</c:v>
                </c:pt>
                <c:pt idx="357">
                  <c:v>92138</c:v>
                </c:pt>
                <c:pt idx="358">
                  <c:v>92154</c:v>
                </c:pt>
                <c:pt idx="359">
                  <c:v>82596</c:v>
                </c:pt>
              </c:numCache>
            </c:numRef>
          </c:val>
          <c:smooth val="0"/>
          <c:extLst>
            <c:ext xmlns:c16="http://schemas.microsoft.com/office/drawing/2014/chart" uri="{C3380CC4-5D6E-409C-BE32-E72D297353CC}">
              <c16:uniqueId val="{00000000-4D8B-3745-9832-7CDF1647E3A6}"/>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prstDash val="solid"/>
              <a:round/>
            </a:ln>
          </c:spPr>
          <c:marker>
            <c:symbol val="none"/>
          </c:marker>
          <c:cat>
            <c:numRef>
              <c:f>'Non Store Retail'!$A$7:$A$366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'Non Store Retail'!$D$7:$D$366</c:f>
              <c:numCache>
                <c:formatCode>General</c:formatCode>
                <c:ptCount val="36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pt idx="344" formatCode="0.00%">
                  <c:v>0.25030158681060349</c:v>
                </c:pt>
                <c:pt idx="345" formatCode="0.00%">
                  <c:v>0.27506355867307869</c:v>
                </c:pt>
                <c:pt idx="346" formatCode="0.00%">
                  <c:v>0.26919751752246274</c:v>
                </c:pt>
                <c:pt idx="347" formatCode="0.00%">
                  <c:v>0.15370553971991574</c:v>
                </c:pt>
                <c:pt idx="348" formatCode="0.00%">
                  <c:v>0.3339668914776211</c:v>
                </c:pt>
                <c:pt idx="349" formatCode="0.00%">
                  <c:v>0.28542682926829266</c:v>
                </c:pt>
                <c:pt idx="350" formatCode="0.00%">
                  <c:v>0.29887627314307424</c:v>
                </c:pt>
                <c:pt idx="351" formatCode="0.00%">
                  <c:v>0.16111393858721892</c:v>
                </c:pt>
                <c:pt idx="352" formatCode="0.00%">
                  <c:v>7.8630318496343915E-2</c:v>
                </c:pt>
                <c:pt idx="353" formatCode="0.00%">
                  <c:v>0.11963104325699746</c:v>
                </c:pt>
                <c:pt idx="354" formatCode="0.00%">
                  <c:v>4.0396653238301827E-2</c:v>
                </c:pt>
                <c:pt idx="355" formatCode="0.00%">
                  <c:v>8.1084696297197056E-2</c:v>
                </c:pt>
                <c:pt idx="356" formatCode="0.00%">
                  <c:v>9.5123821775809608E-2</c:v>
                </c:pt>
                <c:pt idx="357" formatCode="0.00%">
                  <c:v>0.10670958752732601</c:v>
                </c:pt>
                <c:pt idx="358" formatCode="0.00%">
                  <c:v>0.12094488572088893</c:v>
                </c:pt>
                <c:pt idx="359" formatCode="0.00%">
                  <c:v>0.1090581948062411</c:v>
                </c:pt>
              </c:numCache>
            </c:numRef>
          </c:val>
          <c:smooth val="0"/>
          <c:extLst>
            <c:ext xmlns:c16="http://schemas.microsoft.com/office/drawing/2014/chart" uri="{C3380CC4-5D6E-409C-BE32-E72D297353CC}">
              <c16:uniqueId val="{00000000-AD3B-494E-99D0-728150FC2C55}"/>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prstDash val="solid"/>
              <a:round/>
            </a:ln>
          </c:spPr>
          <c:marker>
            <c:symbol val="none"/>
          </c:marker>
          <c:cat>
            <c:numRef>
              <c:f>Health!$A$7:$A$366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Health!$B$7:$B$366</c:f>
              <c:numCache>
                <c:formatCode>#,##0</c:formatCode>
                <c:ptCount val="36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pt idx="344">
                  <c:v>29972</c:v>
                </c:pt>
                <c:pt idx="345">
                  <c:v>29883</c:v>
                </c:pt>
                <c:pt idx="346">
                  <c:v>29520</c:v>
                </c:pt>
                <c:pt idx="347">
                  <c:v>29929</c:v>
                </c:pt>
                <c:pt idx="348">
                  <c:v>30204</c:v>
                </c:pt>
                <c:pt idx="349">
                  <c:v>29691</c:v>
                </c:pt>
                <c:pt idx="350">
                  <c:v>32081</c:v>
                </c:pt>
                <c:pt idx="351">
                  <c:v>32113</c:v>
                </c:pt>
                <c:pt idx="352">
                  <c:v>31138</c:v>
                </c:pt>
                <c:pt idx="353">
                  <c:v>32559</c:v>
                </c:pt>
                <c:pt idx="354">
                  <c:v>32389</c:v>
                </c:pt>
                <c:pt idx="355">
                  <c:v>32624</c:v>
                </c:pt>
                <c:pt idx="356">
                  <c:v>32304</c:v>
                </c:pt>
                <c:pt idx="357">
                  <c:v>31855</c:v>
                </c:pt>
                <c:pt idx="358">
                  <c:v>31656</c:v>
                </c:pt>
                <c:pt idx="359">
                  <c:v>32371</c:v>
                </c:pt>
              </c:numCache>
            </c:numRef>
          </c:val>
          <c:smooth val="0"/>
          <c:extLst>
            <c:ext xmlns:c16="http://schemas.microsoft.com/office/drawing/2014/chart" uri="{C3380CC4-5D6E-409C-BE32-E72D297353CC}">
              <c16:uniqueId val="{00000000-1403-E54E-875F-695AF0DAE9CD}"/>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prstDash val="solid"/>
              <a:round/>
            </a:ln>
          </c:spPr>
          <c:marker>
            <c:symbol val="none"/>
          </c:marker>
          <c:cat>
            <c:numRef>
              <c:f>Health!$A$7:$A$366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Health!$D$7:$D$366</c:f>
              <c:numCache>
                <c:formatCode>General</c:formatCode>
                <c:ptCount val="360"/>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pt idx="344" formatCode="0.00%">
                  <c:v>5.4090173735668566E-2</c:v>
                </c:pt>
                <c:pt idx="345" formatCode="0.00%">
                  <c:v>4.0566891844835994E-2</c:v>
                </c:pt>
                <c:pt idx="346" formatCode="0.00%">
                  <c:v>3.5825818449770168E-2</c:v>
                </c:pt>
                <c:pt idx="347" formatCode="0.00%">
                  <c:v>5.5361613597094399E-2</c:v>
                </c:pt>
                <c:pt idx="348" formatCode="0.00%">
                  <c:v>4.6134663341645885E-2</c:v>
                </c:pt>
                <c:pt idx="349" formatCode="0.00%">
                  <c:v>2.157308009909166E-2</c:v>
                </c:pt>
                <c:pt idx="350" formatCode="0.00%">
                  <c:v>5.2112029384756654E-2</c:v>
                </c:pt>
                <c:pt idx="351" formatCode="0.00%">
                  <c:v>0.2371137992141151</c:v>
                </c:pt>
                <c:pt idx="352" formatCode="0.00%">
                  <c:v>0.18616433659670109</c:v>
                </c:pt>
                <c:pt idx="353" formatCode="0.00%">
                  <c:v>0.14903303218520611</c:v>
                </c:pt>
                <c:pt idx="354" formatCode="0.00%">
                  <c:v>8.6478145650934216E-2</c:v>
                </c:pt>
                <c:pt idx="355" formatCode="0.00%">
                  <c:v>0.10219939862833204</c:v>
                </c:pt>
                <c:pt idx="356" formatCode="0.00%">
                  <c:v>7.780595222207394E-2</c:v>
                </c:pt>
                <c:pt idx="357" formatCode="0.00%">
                  <c:v>6.5990697051835495E-2</c:v>
                </c:pt>
                <c:pt idx="358" formatCode="0.00%">
                  <c:v>7.2357723577235772E-2</c:v>
                </c:pt>
                <c:pt idx="359" formatCode="0.00%">
                  <c:v>8.1593103678706272E-2</c:v>
                </c:pt>
              </c:numCache>
            </c:numRef>
          </c:val>
          <c:smooth val="0"/>
          <c:extLst>
            <c:ext xmlns:c16="http://schemas.microsoft.com/office/drawing/2014/chart" uri="{C3380CC4-5D6E-409C-BE32-E72D297353CC}">
              <c16:uniqueId val="{00000000-EA48-C543-AFEA-5C06BE05966F}"/>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Goods'!$B$7:$B$366</c:f>
              <c:numCache>
                <c:formatCode>#,##0</c:formatCode>
                <c:ptCount val="360"/>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pt idx="344">
                  <c:v>8127</c:v>
                </c:pt>
                <c:pt idx="345">
                  <c:v>8026</c:v>
                </c:pt>
                <c:pt idx="346">
                  <c:v>7887</c:v>
                </c:pt>
                <c:pt idx="347">
                  <c:v>7737</c:v>
                </c:pt>
                <c:pt idx="348">
                  <c:v>8579</c:v>
                </c:pt>
                <c:pt idx="349">
                  <c:v>8030</c:v>
                </c:pt>
                <c:pt idx="350">
                  <c:v>9931</c:v>
                </c:pt>
                <c:pt idx="351">
                  <c:v>9749</c:v>
                </c:pt>
                <c:pt idx="352">
                  <c:v>9583</c:v>
                </c:pt>
                <c:pt idx="353">
                  <c:v>9449</c:v>
                </c:pt>
                <c:pt idx="354">
                  <c:v>9256</c:v>
                </c:pt>
                <c:pt idx="355">
                  <c:v>8910</c:v>
                </c:pt>
                <c:pt idx="356">
                  <c:v>9277</c:v>
                </c:pt>
                <c:pt idx="357">
                  <c:v>9341</c:v>
                </c:pt>
                <c:pt idx="358">
                  <c:v>9464</c:v>
                </c:pt>
                <c:pt idx="359">
                  <c:v>9140</c:v>
                </c:pt>
              </c:numCache>
            </c:numRef>
          </c:val>
          <c:smooth val="0"/>
          <c:extLst>
            <c:ext xmlns:c16="http://schemas.microsoft.com/office/drawing/2014/chart" uri="{C3380CC4-5D6E-409C-BE32-E72D297353CC}">
              <c16:uniqueId val="{00000000-B7B5-6A46-B6FD-73A0C569E390}"/>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Goods'!$D$7:$D$366</c:f>
              <c:numCache>
                <c:formatCode>General</c:formatCode>
                <c:ptCount val="360"/>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pt idx="344" formatCode="0.00%">
                  <c:v>0.19111827641799795</c:v>
                </c:pt>
                <c:pt idx="345" formatCode="0.00%">
                  <c:v>0.17236342389716622</c:v>
                </c:pt>
                <c:pt idx="346" formatCode="0.00%">
                  <c:v>0.1890547263681592</c:v>
                </c:pt>
                <c:pt idx="347" formatCode="0.00%">
                  <c:v>0.15443151298119964</c:v>
                </c:pt>
                <c:pt idx="348" formatCode="0.00%">
                  <c:v>0.26927060216008286</c:v>
                </c:pt>
                <c:pt idx="349" formatCode="0.00%">
                  <c:v>0.18629044171960407</c:v>
                </c:pt>
                <c:pt idx="350" formatCode="0.00%">
                  <c:v>0.76019142148174401</c:v>
                </c:pt>
                <c:pt idx="351" formatCode="0.00%">
                  <c:v>1.5852559002916997</c:v>
                </c:pt>
                <c:pt idx="352" formatCode="0.00%">
                  <c:v>0.43458083832335331</c:v>
                </c:pt>
                <c:pt idx="353" formatCode="0.00%">
                  <c:v>0.10488774555659496</c:v>
                </c:pt>
                <c:pt idx="354" formatCode="0.00%">
                  <c:v>0.14158855451406019</c:v>
                </c:pt>
                <c:pt idx="355" formatCode="0.00%">
                  <c:v>0.1838958277969705</c:v>
                </c:pt>
                <c:pt idx="356" formatCode="0.00%">
                  <c:v>0.1415036298757229</c:v>
                </c:pt>
                <c:pt idx="357" formatCode="0.00%">
                  <c:v>0.16384251183653128</c:v>
                </c:pt>
                <c:pt idx="358" formatCode="0.00%">
                  <c:v>0.199949283631292</c:v>
                </c:pt>
                <c:pt idx="359" formatCode="0.00%">
                  <c:v>0.18133643531084401</c:v>
                </c:pt>
              </c:numCache>
            </c:numRef>
          </c:val>
          <c:smooth val="0"/>
          <c:extLst>
            <c:ext xmlns:c16="http://schemas.microsoft.com/office/drawing/2014/chart" uri="{C3380CC4-5D6E-409C-BE32-E72D297353CC}">
              <c16:uniqueId val="{00000000-0241-F644-AF23-FBD28BF7F5E1}"/>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Merchandising'!$B$7:$B$366</c:f>
              <c:numCache>
                <c:formatCode>#,##0</c:formatCode>
                <c:ptCount val="360"/>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pt idx="344">
                  <c:v>63602</c:v>
                </c:pt>
                <c:pt idx="345">
                  <c:v>62700</c:v>
                </c:pt>
                <c:pt idx="346">
                  <c:v>61864</c:v>
                </c:pt>
                <c:pt idx="347">
                  <c:v>60777</c:v>
                </c:pt>
                <c:pt idx="348">
                  <c:v>66933</c:v>
                </c:pt>
                <c:pt idx="349">
                  <c:v>62909</c:v>
                </c:pt>
                <c:pt idx="350">
                  <c:v>71164</c:v>
                </c:pt>
                <c:pt idx="351">
                  <c:v>69437</c:v>
                </c:pt>
                <c:pt idx="352">
                  <c:v>67394</c:v>
                </c:pt>
                <c:pt idx="353">
                  <c:v>68999</c:v>
                </c:pt>
                <c:pt idx="354">
                  <c:v>68273</c:v>
                </c:pt>
                <c:pt idx="355">
                  <c:v>70665</c:v>
                </c:pt>
                <c:pt idx="356">
                  <c:v>70474</c:v>
                </c:pt>
                <c:pt idx="357">
                  <c:v>71506</c:v>
                </c:pt>
                <c:pt idx="358">
                  <c:v>70654</c:v>
                </c:pt>
                <c:pt idx="359">
                  <c:v>69639</c:v>
                </c:pt>
              </c:numCache>
            </c:numRef>
          </c:val>
          <c:smooth val="0"/>
          <c:extLst>
            <c:ext xmlns:c16="http://schemas.microsoft.com/office/drawing/2014/chart" uri="{C3380CC4-5D6E-409C-BE32-E72D297353CC}">
              <c16:uniqueId val="{00000000-B511-6045-AB47-20751C7D2994}"/>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Merchandising'!$D$7:$D$366</c:f>
              <c:numCache>
                <c:formatCode>General</c:formatCode>
                <c:ptCount val="360"/>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pt idx="344" formatCode="0.00%">
                  <c:v>6.7344644145731589E-2</c:v>
                </c:pt>
                <c:pt idx="345" formatCode="0.00%">
                  <c:v>4.7286575690257064E-2</c:v>
                </c:pt>
                <c:pt idx="346" formatCode="0.00%">
                  <c:v>3.1788918909903596E-2</c:v>
                </c:pt>
                <c:pt idx="347" formatCode="0.00%">
                  <c:v>8.5962262898488188E-3</c:v>
                </c:pt>
                <c:pt idx="348" formatCode="0.00%">
                  <c:v>0.10461431824933162</c:v>
                </c:pt>
                <c:pt idx="349" formatCode="0.00%">
                  <c:v>3.640916654310615E-2</c:v>
                </c:pt>
                <c:pt idx="350" formatCode="0.00%">
                  <c:v>8.3001065286866529E-2</c:v>
                </c:pt>
                <c:pt idx="351" formatCode="0.00%">
                  <c:v>0.21629385696018497</c:v>
                </c:pt>
                <c:pt idx="352" formatCode="0.00%">
                  <c:v>0.10357137008957082</c:v>
                </c:pt>
                <c:pt idx="353" formatCode="0.00%">
                  <c:v>0.11245646846382046</c:v>
                </c:pt>
                <c:pt idx="354" formatCode="0.00%">
                  <c:v>0.1057251599319783</c:v>
                </c:pt>
                <c:pt idx="355" formatCode="0.00%">
                  <c:v>0.15503432494279176</c:v>
                </c:pt>
                <c:pt idx="356" formatCode="0.00%">
                  <c:v>0.10804691676362378</c:v>
                </c:pt>
                <c:pt idx="357" formatCode="0.00%">
                  <c:v>0.14044657097288676</c:v>
                </c:pt>
                <c:pt idx="358" formatCode="0.00%">
                  <c:v>0.14208586577007629</c:v>
                </c:pt>
                <c:pt idx="359" formatCode="0.00%">
                  <c:v>0.14581173799299077</c:v>
                </c:pt>
              </c:numCache>
            </c:numRef>
          </c:val>
          <c:smooth val="0"/>
          <c:extLst>
            <c:ext xmlns:c16="http://schemas.microsoft.com/office/drawing/2014/chart" uri="{C3380CC4-5D6E-409C-BE32-E72D297353CC}">
              <c16:uniqueId val="{00000000-3A04-6342-84DD-A517677E19DD}"/>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Services'!$B$7:$B$366</c:f>
              <c:numCache>
                <c:formatCode>#,##0</c:formatCode>
                <c:ptCount val="360"/>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pt idx="344">
                  <c:v>55800</c:v>
                </c:pt>
                <c:pt idx="345">
                  <c:v>55992</c:v>
                </c:pt>
                <c:pt idx="346">
                  <c:v>53647</c:v>
                </c:pt>
                <c:pt idx="347">
                  <c:v>51190</c:v>
                </c:pt>
                <c:pt idx="348">
                  <c:v>56304</c:v>
                </c:pt>
                <c:pt idx="349">
                  <c:v>55512</c:v>
                </c:pt>
                <c:pt idx="350">
                  <c:v>63248</c:v>
                </c:pt>
                <c:pt idx="351">
                  <c:v>66482</c:v>
                </c:pt>
                <c:pt idx="352">
                  <c:v>69338</c:v>
                </c:pt>
                <c:pt idx="353">
                  <c:v>71017</c:v>
                </c:pt>
                <c:pt idx="354">
                  <c:v>72059</c:v>
                </c:pt>
                <c:pt idx="355">
                  <c:v>72090</c:v>
                </c:pt>
                <c:pt idx="356">
                  <c:v>72766</c:v>
                </c:pt>
                <c:pt idx="357">
                  <c:v>72990</c:v>
                </c:pt>
                <c:pt idx="358">
                  <c:v>73731</c:v>
                </c:pt>
                <c:pt idx="359">
                  <c:v>72531</c:v>
                </c:pt>
              </c:numCache>
            </c:numRef>
          </c:val>
          <c:smooth val="0"/>
          <c:extLst>
            <c:ext xmlns:c16="http://schemas.microsoft.com/office/drawing/2014/chart" uri="{C3380CC4-5D6E-409C-BE32-E72D297353CC}">
              <c16:uniqueId val="{00000000-1A3F-BA48-AEED-0A5A63F26A5B}"/>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Services'!$D$7:$D$366</c:f>
              <c:numCache>
                <c:formatCode>General</c:formatCode>
                <c:ptCount val="360"/>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pt idx="344" formatCode="0.00%">
                  <c:v>-0.15140823651073665</c:v>
                </c:pt>
                <c:pt idx="345" formatCode="0.00%">
                  <c:v>-0.14682757359663559</c:v>
                </c:pt>
                <c:pt idx="346" formatCode="0.00%">
                  <c:v>-0.17652386142109383</c:v>
                </c:pt>
                <c:pt idx="347" formatCode="0.00%">
                  <c:v>-0.22211922743781057</c:v>
                </c:pt>
                <c:pt idx="348" formatCode="0.00%">
                  <c:v>-0.15133244905341856</c:v>
                </c:pt>
                <c:pt idx="349" formatCode="0.00%">
                  <c:v>-0.16145015105740182</c:v>
                </c:pt>
                <c:pt idx="350" formatCode="0.00%">
                  <c:v>0.37120062437670726</c:v>
                </c:pt>
                <c:pt idx="351" formatCode="0.00%">
                  <c:v>1.2214722491395729</c:v>
                </c:pt>
                <c:pt idx="352" formatCode="0.00%">
                  <c:v>0.74813432835820892</c:v>
                </c:pt>
                <c:pt idx="353" formatCode="0.00%">
                  <c:v>0.40728043753963222</c:v>
                </c:pt>
                <c:pt idx="354" formatCode="0.00%">
                  <c:v>0.38007047918182862</c:v>
                </c:pt>
                <c:pt idx="355" formatCode="0.00%">
                  <c:v>0.3213460903992082</c:v>
                </c:pt>
                <c:pt idx="356" formatCode="0.00%">
                  <c:v>0.30405017921146954</c:v>
                </c:pt>
                <c:pt idx="357" formatCode="0.00%">
                  <c:v>0.30357908272610373</c:v>
                </c:pt>
                <c:pt idx="358" formatCode="0.00%">
                  <c:v>0.37437321751449287</c:v>
                </c:pt>
                <c:pt idx="359" formatCode="0.00%">
                  <c:v>0.41689783160773591</c:v>
                </c:pt>
              </c:numCache>
            </c:numRef>
          </c:val>
          <c:smooth val="0"/>
          <c:extLst>
            <c:ext xmlns:c16="http://schemas.microsoft.com/office/drawing/2014/chart" uri="{C3380CC4-5D6E-409C-BE32-E72D297353CC}">
              <c16:uniqueId val="{00000000-8494-314B-B303-0F6DE1CAAFA5}"/>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Station'!$B$7:$B$366</c:f>
              <c:numCache>
                <c:formatCode>#,##0</c:formatCode>
                <c:ptCount val="36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pt idx="344">
                  <c:v>36899</c:v>
                </c:pt>
                <c:pt idx="345">
                  <c:v>36871</c:v>
                </c:pt>
                <c:pt idx="346">
                  <c:v>36015</c:v>
                </c:pt>
                <c:pt idx="347">
                  <c:v>39098</c:v>
                </c:pt>
                <c:pt idx="348">
                  <c:v>40895</c:v>
                </c:pt>
                <c:pt idx="349">
                  <c:v>42203</c:v>
                </c:pt>
                <c:pt idx="350">
                  <c:v>46453</c:v>
                </c:pt>
                <c:pt idx="351">
                  <c:v>45808</c:v>
                </c:pt>
                <c:pt idx="352">
                  <c:v>46636</c:v>
                </c:pt>
                <c:pt idx="353">
                  <c:v>48308</c:v>
                </c:pt>
                <c:pt idx="354">
                  <c:v>49481</c:v>
                </c:pt>
                <c:pt idx="355">
                  <c:v>50304</c:v>
                </c:pt>
                <c:pt idx="356">
                  <c:v>52043</c:v>
                </c:pt>
                <c:pt idx="357">
                  <c:v>53976</c:v>
                </c:pt>
                <c:pt idx="358">
                  <c:v>54868</c:v>
                </c:pt>
                <c:pt idx="359">
                  <c:v>54662</c:v>
                </c:pt>
              </c:numCache>
            </c:numRef>
          </c:val>
          <c:smooth val="0"/>
          <c:extLst>
            <c:ext xmlns:c16="http://schemas.microsoft.com/office/drawing/2014/chart" uri="{C3380CC4-5D6E-409C-BE32-E72D297353CC}">
              <c16:uniqueId val="{00000000-1C1F-8A4E-95C3-9ADB82941062}"/>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Station'!$D$7:$D$366</c:f>
              <c:numCache>
                <c:formatCode>General</c:formatCode>
                <c:ptCount val="360"/>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pt idx="354" formatCode="0.00%">
                  <c:v>0.37462495832870318</c:v>
                </c:pt>
                <c:pt idx="355" formatCode="0.00%">
                  <c:v>0.37936329485316295</c:v>
                </c:pt>
                <c:pt idx="356" formatCode="0.00%">
                  <c:v>0.41041762649394292</c:v>
                </c:pt>
                <c:pt idx="357" formatCode="0.00%">
                  <c:v>0.46391472973339482</c:v>
                </c:pt>
                <c:pt idx="358" formatCode="0.00%">
                  <c:v>0.52347632930723309</c:v>
                </c:pt>
                <c:pt idx="359" formatCode="0.00%">
                  <c:v>0.39807662796050947</c:v>
                </c:pt>
              </c:numCache>
            </c:numRef>
          </c:val>
          <c:smooth val="0"/>
          <c:extLst>
            <c:ext xmlns:c16="http://schemas.microsoft.com/office/drawing/2014/chart" uri="{C3380CC4-5D6E-409C-BE32-E72D297353CC}">
              <c16:uniqueId val="{00000000-7FF8-D246-B075-7EDE78E95D70}"/>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Motor!$B$7:$B$366</c:f>
              <c:numCache>
                <c:formatCode>#,##0</c:formatCode>
                <c:ptCount val="36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pt idx="344">
                  <c:v>114374</c:v>
                </c:pt>
                <c:pt idx="345">
                  <c:v>113615</c:v>
                </c:pt>
                <c:pt idx="346">
                  <c:v>111527</c:v>
                </c:pt>
                <c:pt idx="347">
                  <c:v>114447</c:v>
                </c:pt>
                <c:pt idx="348">
                  <c:v>120079</c:v>
                </c:pt>
                <c:pt idx="349">
                  <c:v>115742</c:v>
                </c:pt>
                <c:pt idx="350">
                  <c:v>135432</c:v>
                </c:pt>
                <c:pt idx="351">
                  <c:v>141387</c:v>
                </c:pt>
                <c:pt idx="352">
                  <c:v>134847</c:v>
                </c:pt>
                <c:pt idx="353">
                  <c:v>132018</c:v>
                </c:pt>
                <c:pt idx="354">
                  <c:v>126342</c:v>
                </c:pt>
                <c:pt idx="355">
                  <c:v>122944</c:v>
                </c:pt>
                <c:pt idx="356">
                  <c:v>124448</c:v>
                </c:pt>
                <c:pt idx="357">
                  <c:v>126572</c:v>
                </c:pt>
                <c:pt idx="358">
                  <c:v>126489</c:v>
                </c:pt>
                <c:pt idx="359">
                  <c:v>126267</c:v>
                </c:pt>
              </c:numCache>
            </c:numRef>
          </c:val>
          <c:smooth val="0"/>
          <c:extLst>
            <c:ext xmlns:c16="http://schemas.microsoft.com/office/drawing/2014/chart" uri="{C3380CC4-5D6E-409C-BE32-E72D297353CC}">
              <c16:uniqueId val="{00000000-C367-554B-852E-F92773BA91F6}"/>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Motor!$D$7:$D$366</c:f>
              <c:numCache>
                <c:formatCode>General</c:formatCode>
                <c:ptCount val="36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pt idx="354" formatCode="0.00%">
                  <c:v>0.154356406695417</c:v>
                </c:pt>
                <c:pt idx="355" formatCode="0.00%">
                  <c:v>0.11958620187229083</c:v>
                </c:pt>
                <c:pt idx="356" formatCode="0.00%">
                  <c:v>8.8079458618217421E-2</c:v>
                </c:pt>
                <c:pt idx="357" formatCode="0.00%">
                  <c:v>0.11404304009153721</c:v>
                </c:pt>
                <c:pt idx="358" formatCode="0.00%">
                  <c:v>0.13415585463609708</c:v>
                </c:pt>
                <c:pt idx="359" formatCode="0.00%">
                  <c:v>0.10327924716244201</c:v>
                </c:pt>
              </c:numCache>
            </c:numRef>
          </c:val>
          <c:smooth val="0"/>
          <c:extLst>
            <c:ext xmlns:c16="http://schemas.microsoft.com/office/drawing/2014/chart" uri="{C3380CC4-5D6E-409C-BE32-E72D297353CC}">
              <c16:uniqueId val="{00000000-CF02-434C-BEBA-3B221D73E5C4}"/>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Housing!$B$7:$B$366</c:f>
              <c:numCache>
                <c:formatCode>#,##0</c:formatCode>
                <c:ptCount val="36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pt idx="359">
                  <c:v>41740</c:v>
                </c:pt>
              </c:numCache>
            </c:numRef>
          </c:val>
          <c:smooth val="0"/>
          <c:extLst>
            <c:ext xmlns:c16="http://schemas.microsoft.com/office/drawing/2014/chart" uri="{C3380CC4-5D6E-409C-BE32-E72D297353CC}">
              <c16:uniqueId val="{00000000-2FA1-6A48-8932-BDD041B5A544}"/>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Housing!$D$7:$D$366</c:f>
              <c:numCache>
                <c:formatCode>General</c:formatCode>
                <c:ptCount val="360"/>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pt idx="359" formatCode="0.00%">
                  <c:v>0.12509771152861263</c:v>
                </c:pt>
              </c:numCache>
            </c:numRef>
          </c:val>
          <c:smooth val="0"/>
          <c:extLst>
            <c:ext xmlns:c16="http://schemas.microsoft.com/office/drawing/2014/chart" uri="{C3380CC4-5D6E-409C-BE32-E72D297353CC}">
              <c16:uniqueId val="{00000000-7447-8045-8034-775CDC6768F4}"/>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'Furniture Home'!$B$7:$B$366</c:f>
              <c:numCache>
                <c:formatCode>#,##0</c:formatCode>
                <c:ptCount val="360"/>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pt idx="359">
                  <c:v>19193</c:v>
                </c:pt>
              </c:numCache>
            </c:numRef>
          </c:val>
          <c:smooth val="0"/>
          <c:extLst>
            <c:ext xmlns:c16="http://schemas.microsoft.com/office/drawing/2014/chart" uri="{C3380CC4-5D6E-409C-BE32-E72D297353CC}">
              <c16:uniqueId val="{00000000-40F4-1D4C-ACBD-01B6E8EADAC1}"/>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'Furniture Home'!$D$7:$D$366</c:f>
              <c:numCache>
                <c:formatCode>General</c:formatCode>
                <c:ptCount val="360"/>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pt idx="359" formatCode="0.00%">
                  <c:v>0.12390935175967675</c:v>
                </c:pt>
              </c:numCache>
            </c:numRef>
          </c:val>
          <c:smooth val="0"/>
          <c:extLst>
            <c:ext xmlns:c16="http://schemas.microsoft.com/office/drawing/2014/chart" uri="{C3380CC4-5D6E-409C-BE32-E72D297353CC}">
              <c16:uniqueId val="{00000000-B996-314E-A618-AF03B07CBF1F}"/>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'Miscellaneous stores retailers'!$B$7:$B$366</c:f>
              <c:numCache>
                <c:formatCode>#,##0</c:formatCode>
                <c:ptCount val="360"/>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pt idx="359">
                  <c:v>15280</c:v>
                </c:pt>
              </c:numCache>
            </c:numRef>
          </c:val>
          <c:smooth val="0"/>
          <c:extLst>
            <c:ext xmlns:c16="http://schemas.microsoft.com/office/drawing/2014/chart" uri="{C3380CC4-5D6E-409C-BE32-E72D297353CC}">
              <c16:uniqueId val="{00000000-EBBC-3D43-98E6-2E101938F6B7}"/>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'Miscellaneous stores retailers'!$D$7:$D$366</c:f>
              <c:numCache>
                <c:formatCode>General</c:formatCode>
                <c:ptCount val="360"/>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pt idx="359" formatCode="0.00%">
                  <c:v>0.2062840451567064</c:v>
                </c:pt>
              </c:numCache>
            </c:numRef>
          </c:val>
          <c:smooth val="0"/>
          <c:extLst>
            <c:ext xmlns:c16="http://schemas.microsoft.com/office/drawing/2014/chart" uri="{C3380CC4-5D6E-409C-BE32-E72D297353CC}">
              <c16:uniqueId val="{00000000-E9EC-F84B-B0EE-2F199FC88810}"/>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'Clothing and clothing access'!$B$7:$B$366</c:f>
              <c:numCache>
                <c:formatCode>#,##0</c:formatCode>
                <c:ptCount val="360"/>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pt idx="359">
                  <c:v>26061</c:v>
                </c:pt>
              </c:numCache>
            </c:numRef>
          </c:val>
          <c:smooth val="0"/>
          <c:extLst>
            <c:ext xmlns:c16="http://schemas.microsoft.com/office/drawing/2014/chart" uri="{C3380CC4-5D6E-409C-BE32-E72D297353CC}">
              <c16:uniqueId val="{00000000-B0B4-6749-8101-D25CBEA7D45E}"/>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'Clothing and clothing access'!$D$7:$D$366</c:f>
              <c:numCache>
                <c:formatCode>General</c:formatCode>
                <c:ptCount val="360"/>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pt idx="359" formatCode="0.00%">
                  <c:v>0.29688977357551632</c:v>
                </c:pt>
              </c:numCache>
            </c:numRef>
          </c:val>
          <c:smooth val="0"/>
          <c:extLst>
            <c:ext xmlns:c16="http://schemas.microsoft.com/office/drawing/2014/chart" uri="{C3380CC4-5D6E-409C-BE32-E72D297353CC}">
              <c16:uniqueId val="{00000000-EE9F-FB4A-91E3-62A5385EA19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80961</xdr:rowOff>
    </xdr:from>
    <xdr:to>
      <xdr:col>14</xdr:col>
      <xdr:colOff>508000</xdr:colOff>
      <xdr:row>366</xdr:row>
      <xdr:rowOff>182562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325</xdr:row>
      <xdr:rowOff>14286</xdr:rowOff>
    </xdr:from>
    <xdr:to>
      <xdr:col>14</xdr:col>
      <xdr:colOff>484187</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388937</xdr:colOff>
      <xdr:row>340</xdr:row>
      <xdr:rowOff>165100</xdr:rowOff>
    </xdr:from>
    <xdr:to>
      <xdr:col>20</xdr:col>
      <xdr:colOff>66675</xdr:colOff>
      <xdr:row>356</xdr:row>
      <xdr:rowOff>165101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279400</xdr:colOff>
      <xdr:row>340</xdr:row>
      <xdr:rowOff>166688</xdr:rowOff>
    </xdr:from>
    <xdr:to>
      <xdr:col>11</xdr:col>
      <xdr:colOff>250825</xdr:colOff>
      <xdr:row>355</xdr:row>
      <xdr:rowOff>52388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327025</xdr:colOff>
      <xdr:row>355</xdr:row>
      <xdr:rowOff>138113</xdr:rowOff>
    </xdr:from>
    <xdr:to>
      <xdr:col>11</xdr:col>
      <xdr:colOff>387350</xdr:colOff>
      <xdr:row>370</xdr:row>
      <xdr:rowOff>23813</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13</xdr:col>
      <xdr:colOff>7937</xdr:colOff>
      <xdr:row>366</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138905</xdr:colOff>
      <xdr:row>328</xdr:row>
      <xdr:rowOff>79375</xdr:rowOff>
    </xdr:from>
    <xdr:to>
      <xdr:col>13</xdr:col>
      <xdr:colOff>23813</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328</xdr:row>
      <xdr:rowOff>138113</xdr:rowOff>
    </xdr:from>
    <xdr:to>
      <xdr:col>12</xdr:col>
      <xdr:colOff>277812</xdr:colOff>
      <xdr:row>345</xdr:row>
      <xdr:rowOff>185738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12</xdr:col>
      <xdr:colOff>361949</xdr:colOff>
      <xdr:row>365</xdr:row>
      <xdr:rowOff>174624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336</xdr:row>
      <xdr:rowOff>166688</xdr:rowOff>
    </xdr:from>
    <xdr:to>
      <xdr:col>11</xdr:col>
      <xdr:colOff>465137</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11</xdr:col>
      <xdr:colOff>454025</xdr:colOff>
      <xdr:row>366</xdr:row>
      <xdr:rowOff>41276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180975</xdr:colOff>
      <xdr:row>334</xdr:row>
      <xdr:rowOff>66675</xdr:rowOff>
    </xdr:from>
    <xdr:to>
      <xdr:col>12</xdr:col>
      <xdr:colOff>257175</xdr:colOff>
      <xdr:row>350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176212</xdr:colOff>
      <xdr:row>351</xdr:row>
      <xdr:rowOff>3173</xdr:rowOff>
    </xdr:from>
    <xdr:to>
      <xdr:col>12</xdr:col>
      <xdr:colOff>539749</xdr:colOff>
      <xdr:row>367</xdr:row>
      <xdr:rowOff>15874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334</xdr:row>
      <xdr:rowOff>169334</xdr:rowOff>
    </xdr:from>
    <xdr:to>
      <xdr:col>11</xdr:col>
      <xdr:colOff>545570</xdr:colOff>
      <xdr:row>349</xdr:row>
      <xdr:rowOff>49742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206376</xdr:colOff>
      <xdr:row>351</xdr:row>
      <xdr:rowOff>111125</xdr:rowOff>
    </xdr:from>
    <xdr:to>
      <xdr:col>11</xdr:col>
      <xdr:colOff>511176</xdr:colOff>
      <xdr:row>365</xdr:row>
      <xdr:rowOff>187325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11</xdr:col>
      <xdr:colOff>418432</xdr:colOff>
      <xdr:row>347</xdr:row>
      <xdr:rowOff>136358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106948</xdr:colOff>
      <xdr:row>348</xdr:row>
      <xdr:rowOff>131511</xdr:rowOff>
    </xdr:from>
    <xdr:to>
      <xdr:col>11</xdr:col>
      <xdr:colOff>411748</xdr:colOff>
      <xdr:row>363</xdr:row>
      <xdr:rowOff>13868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92074</xdr:colOff>
      <xdr:row>334</xdr:row>
      <xdr:rowOff>36930</xdr:rowOff>
    </xdr:from>
    <xdr:to>
      <xdr:col>11</xdr:col>
      <xdr:colOff>396874</xdr:colOff>
      <xdr:row>348</xdr:row>
      <xdr:rowOff>116473</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55145</xdr:rowOff>
    </xdr:from>
    <xdr:to>
      <xdr:col>11</xdr:col>
      <xdr:colOff>393030</xdr:colOff>
      <xdr:row>363</xdr:row>
      <xdr:rowOff>131345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98425</xdr:colOff>
      <xdr:row>335</xdr:row>
      <xdr:rowOff>85725</xdr:rowOff>
    </xdr:from>
    <xdr:to>
      <xdr:col>11</xdr:col>
      <xdr:colOff>403225</xdr:colOff>
      <xdr:row>349</xdr:row>
      <xdr:rowOff>161925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107950</xdr:colOff>
      <xdr:row>350</xdr:row>
      <xdr:rowOff>85725</xdr:rowOff>
    </xdr:from>
    <xdr:to>
      <xdr:col>11</xdr:col>
      <xdr:colOff>412750</xdr:colOff>
      <xdr:row>364</xdr:row>
      <xdr:rowOff>161925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101600</xdr:colOff>
      <xdr:row>335</xdr:row>
      <xdr:rowOff>82550</xdr:rowOff>
    </xdr:from>
    <xdr:to>
      <xdr:col>11</xdr:col>
      <xdr:colOff>406400</xdr:colOff>
      <xdr:row>349</xdr:row>
      <xdr:rowOff>158750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350</xdr:row>
      <xdr:rowOff>88900</xdr:rowOff>
    </xdr:from>
    <xdr:to>
      <xdr:col>11</xdr:col>
      <xdr:colOff>419100</xdr:colOff>
      <xdr:row>364</xdr:row>
      <xdr:rowOff>165100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135391</xdr:colOff>
      <xdr:row>334</xdr:row>
      <xdr:rowOff>45207</xdr:rowOff>
    </xdr:from>
    <xdr:to>
      <xdr:col>11</xdr:col>
      <xdr:colOff>532115</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139247</xdr:colOff>
      <xdr:row>349</xdr:row>
      <xdr:rowOff>42636</xdr:rowOff>
    </xdr:from>
    <xdr:to>
      <xdr:col>11</xdr:col>
      <xdr:colOff>535971</xdr:colOff>
      <xdr:row>363</xdr:row>
      <xdr:rowOff>121861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144929</xdr:colOff>
      <xdr:row>335</xdr:row>
      <xdr:rowOff>6350</xdr:rowOff>
    </xdr:from>
    <xdr:to>
      <xdr:col>11</xdr:col>
      <xdr:colOff>542364</xdr:colOff>
      <xdr:row>349</xdr:row>
      <xdr:rowOff>86285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141568</xdr:colOff>
      <xdr:row>350</xdr:row>
      <xdr:rowOff>45757</xdr:rowOff>
    </xdr:from>
    <xdr:to>
      <xdr:col>11</xdr:col>
      <xdr:colOff>539003</xdr:colOff>
      <xdr:row>364</xdr:row>
      <xdr:rowOff>125693</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182896</xdr:colOff>
      <xdr:row>335</xdr:row>
      <xdr:rowOff>69347</xdr:rowOff>
    </xdr:from>
    <xdr:to>
      <xdr:col>11</xdr:col>
      <xdr:colOff>579938</xdr:colOff>
      <xdr:row>349</xdr:row>
      <xdr:rowOff>148889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153737</xdr:colOff>
      <xdr:row>350</xdr:row>
      <xdr:rowOff>113630</xdr:rowOff>
    </xdr:from>
    <xdr:to>
      <xdr:col>11</xdr:col>
      <xdr:colOff>594895</xdr:colOff>
      <xdr:row>365</xdr:row>
      <xdr:rowOff>147053</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6" totalsRowShown="0" headerRowDxfId="50" dataDxfId="48" headerRowBorderDxfId="49" tableBorderDxfId="47">
  <autoFilter ref="A6:D366"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66" totalsRowShown="0" headerRowDxfId="42" dataDxfId="40" headerRowBorderDxfId="41" tableBorderDxfId="39">
  <autoFilter ref="A6:D366"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66" totalsRowShown="0" headerRowDxfId="34" dataDxfId="32" headerRowBorderDxfId="33" tableBorderDxfId="31">
  <autoFilter ref="A6:D366"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6" totalsRowShown="0" headerRowDxfId="26" headerRowBorderDxfId="25" tableBorderDxfId="24">
  <autoFilter ref="A6:D366"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6" totalsRowShown="0" headerRowDxfId="19" tableBorderDxfId="18">
  <autoFilter ref="A6:D366"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6" totalsRowShown="0" headerRowDxfId="13" headerRowBorderDxfId="12" tableBorderDxfId="11">
  <autoFilter ref="A6:D366"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6" totalsRowShown="0" headerRowDxfId="6" headerRowBorderDxfId="5" tableBorderDxfId="4">
  <autoFilter ref="A6:D366"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140" zoomScaleNormal="140" workbookViewId="0">
      <selection activeCell="V55" sqref="V55"/>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23" width="9.1640625" style="110" customWidth="1"/>
    <col min="24" max="16384" width="9.1640625" style="110"/>
  </cols>
  <sheetData>
    <row r="1" spans="2:19" x14ac:dyDescent="0.2">
      <c r="B1" s="121"/>
      <c r="C1" s="122"/>
      <c r="D1" s="122"/>
      <c r="E1" s="122"/>
      <c r="F1" s="122"/>
      <c r="G1" s="122"/>
      <c r="H1" s="122"/>
      <c r="I1" s="122"/>
      <c r="J1" s="122"/>
    </row>
    <row r="2" spans="2:19" ht="16" customHeight="1" thickBot="1" x14ac:dyDescent="0.25">
      <c r="B2" s="123"/>
      <c r="C2" s="123"/>
      <c r="D2" s="123"/>
      <c r="E2" s="123"/>
      <c r="F2" s="123"/>
      <c r="G2" s="123"/>
      <c r="H2" s="123"/>
      <c r="I2" s="123"/>
      <c r="J2" s="123"/>
    </row>
    <row r="3" spans="2:19" ht="16" customHeight="1" thickBot="1" x14ac:dyDescent="0.25">
      <c r="B3" s="124" t="s">
        <v>0</v>
      </c>
      <c r="C3" s="125"/>
      <c r="D3" s="125"/>
      <c r="E3" s="125"/>
      <c r="F3" s="125"/>
      <c r="G3" s="125"/>
      <c r="H3" s="125"/>
      <c r="I3" s="125"/>
      <c r="J3" s="126"/>
    </row>
    <row r="5" spans="2:19" x14ac:dyDescent="0.2">
      <c r="B5" s="117" t="s">
        <v>1</v>
      </c>
      <c r="C5" s="118"/>
      <c r="D5" s="118"/>
      <c r="E5" s="118"/>
      <c r="F5" s="118"/>
      <c r="G5" s="118"/>
      <c r="H5" s="118"/>
      <c r="I5" s="118"/>
      <c r="J5" s="114"/>
    </row>
    <row r="7" spans="2:19" ht="147.75" customHeight="1" x14ac:dyDescent="0.2">
      <c r="B7" s="127" t="s">
        <v>2</v>
      </c>
      <c r="C7" s="122"/>
      <c r="D7" s="122"/>
      <c r="E7" s="122"/>
      <c r="F7" s="122"/>
      <c r="G7" s="122"/>
      <c r="H7" s="122"/>
      <c r="I7" s="122"/>
      <c r="J7" s="122"/>
    </row>
    <row r="8" spans="2:19" ht="33.75" customHeight="1" x14ac:dyDescent="0.2">
      <c r="B8" s="128" t="s">
        <v>3</v>
      </c>
      <c r="C8" s="122"/>
      <c r="D8" s="122"/>
      <c r="E8" s="122"/>
      <c r="F8" s="122"/>
      <c r="G8" s="122"/>
      <c r="H8" s="122"/>
      <c r="I8" s="122"/>
      <c r="J8" s="122"/>
    </row>
    <row r="9" spans="2:19" x14ac:dyDescent="0.2">
      <c r="B9" s="65"/>
      <c r="C9" s="65"/>
      <c r="D9" s="65"/>
      <c r="E9" s="65"/>
    </row>
    <row r="10" spans="2:19" x14ac:dyDescent="0.2">
      <c r="B10" s="117" t="s">
        <v>4</v>
      </c>
      <c r="C10" s="118"/>
      <c r="D10" s="118"/>
      <c r="E10" s="118"/>
      <c r="F10" s="118"/>
      <c r="G10" s="118"/>
      <c r="H10" s="118"/>
      <c r="I10" s="118"/>
      <c r="J10" s="114"/>
      <c r="N10" s="117" t="s">
        <v>5</v>
      </c>
      <c r="O10" s="118"/>
      <c r="P10" s="118"/>
      <c r="Q10" s="114"/>
    </row>
    <row r="12" spans="2:19" x14ac:dyDescent="0.2">
      <c r="B12" s="117" t="s">
        <v>6</v>
      </c>
      <c r="C12" s="118"/>
      <c r="D12" s="118"/>
      <c r="E12" s="118"/>
      <c r="F12" s="114"/>
      <c r="G12" s="117" t="s">
        <v>7</v>
      </c>
      <c r="H12" s="118"/>
      <c r="I12" s="118"/>
      <c r="J12" s="114"/>
      <c r="N12" s="8" t="s">
        <v>8</v>
      </c>
    </row>
    <row r="13" spans="2:19" ht="16" customHeight="1" thickBot="1" x14ac:dyDescent="0.25"/>
    <row r="14" spans="2:19" x14ac:dyDescent="0.2">
      <c r="B14" s="110" t="s">
        <v>9</v>
      </c>
      <c r="G14" s="122"/>
      <c r="H14" s="122"/>
      <c r="I14" s="122"/>
      <c r="J14" s="122"/>
      <c r="P14" s="68">
        <v>44501</v>
      </c>
      <c r="Q14" s="69"/>
    </row>
    <row r="15" spans="2:19" ht="16" customHeight="1" thickBot="1" x14ac:dyDescent="0.25">
      <c r="B15" s="110" t="s">
        <v>10</v>
      </c>
      <c r="G15" s="122"/>
      <c r="H15" s="122"/>
      <c r="I15" s="122"/>
      <c r="J15" s="122"/>
      <c r="N15" s="111" t="s">
        <v>11</v>
      </c>
      <c r="P15" s="70" t="s">
        <v>12</v>
      </c>
      <c r="Q15" s="70" t="s">
        <v>13</v>
      </c>
    </row>
    <row r="16" spans="2:19" ht="15.75" customHeight="1" x14ac:dyDescent="0.2">
      <c r="B16" s="110" t="s">
        <v>14</v>
      </c>
      <c r="G16" s="131"/>
      <c r="H16" s="122"/>
      <c r="I16" s="122"/>
      <c r="J16" s="122"/>
      <c r="N16" s="119" t="s">
        <v>0</v>
      </c>
      <c r="O16" s="120"/>
      <c r="P16" s="96">
        <f>Recap!F7</f>
        <v>-2.0311677026205441E-2</v>
      </c>
      <c r="Q16" s="97">
        <f>Recap!G7</f>
        <v>0.16952564686214952</v>
      </c>
      <c r="S16" s="71"/>
    </row>
    <row r="17" spans="2:19" ht="15.75" customHeight="1" x14ac:dyDescent="0.2">
      <c r="G17" s="131"/>
      <c r="H17" s="122"/>
      <c r="I17" s="122"/>
      <c r="J17" s="122"/>
      <c r="N17" s="113" t="s">
        <v>15</v>
      </c>
      <c r="O17" s="114"/>
      <c r="P17" s="98">
        <f>Recap!F8</f>
        <v>-2.4884092414384228E-2</v>
      </c>
      <c r="Q17" s="99">
        <f>Recap!G8</f>
        <v>0.18751200996382184</v>
      </c>
      <c r="S17" s="71"/>
    </row>
    <row r="18" spans="2:19" ht="15.75" customHeight="1" x14ac:dyDescent="0.2">
      <c r="B18" s="110" t="s">
        <v>16</v>
      </c>
      <c r="G18" s="100" t="s">
        <v>0</v>
      </c>
      <c r="H18" s="67"/>
      <c r="I18" s="67"/>
      <c r="J18" s="67"/>
      <c r="N18" s="113" t="s">
        <v>17</v>
      </c>
      <c r="O18" s="114"/>
      <c r="P18" s="98">
        <f>Recap!F9</f>
        <v>-2.7412797291873878E-2</v>
      </c>
      <c r="Q18" s="99">
        <f>Recap!G9</f>
        <v>0.16598461928681812</v>
      </c>
      <c r="S18" s="71"/>
    </row>
    <row r="19" spans="2:19" ht="15.75" customHeight="1" x14ac:dyDescent="0.2">
      <c r="B19" s="110" t="s">
        <v>18</v>
      </c>
      <c r="G19" s="100" t="s">
        <v>15</v>
      </c>
      <c r="H19" s="67"/>
      <c r="I19" s="67"/>
      <c r="J19" s="67"/>
      <c r="N19" s="113" t="s">
        <v>19</v>
      </c>
      <c r="O19" s="114"/>
      <c r="P19" s="98">
        <f>Recap!F10</f>
        <v>-1.7550933282736048E-3</v>
      </c>
      <c r="Q19" s="99">
        <f>Recap!G10</f>
        <v>0.10327924716244201</v>
      </c>
      <c r="S19" s="71"/>
    </row>
    <row r="20" spans="2:19" ht="15.75" customHeight="1" x14ac:dyDescent="0.2">
      <c r="B20" s="110" t="s">
        <v>20</v>
      </c>
      <c r="G20" s="100" t="s">
        <v>17</v>
      </c>
      <c r="H20" s="67"/>
      <c r="I20" s="67"/>
      <c r="J20" s="67"/>
      <c r="N20" s="113" t="s">
        <v>21</v>
      </c>
      <c r="O20" s="114"/>
      <c r="P20" s="98">
        <f>Recap!F11</f>
        <v>-0.10371768995377303</v>
      </c>
      <c r="Q20" s="99">
        <f>Recap!G11</f>
        <v>0.1090581948062411</v>
      </c>
    </row>
    <row r="21" spans="2:19" ht="15.75" customHeight="1" x14ac:dyDescent="0.2">
      <c r="B21" s="110" t="s">
        <v>22</v>
      </c>
      <c r="G21" s="100" t="s">
        <v>23</v>
      </c>
      <c r="H21" s="67"/>
      <c r="I21" s="67"/>
      <c r="J21" s="67"/>
      <c r="N21" s="113" t="s">
        <v>24</v>
      </c>
      <c r="O21" s="114"/>
      <c r="P21" s="98">
        <f>Recap!F12</f>
        <v>-1.3493004807998877E-2</v>
      </c>
      <c r="Q21" s="99">
        <f>Recap!G12</f>
        <v>8.3648538847328452E-2</v>
      </c>
    </row>
    <row r="22" spans="2:19" ht="15.75" customHeight="1" x14ac:dyDescent="0.2">
      <c r="B22" s="110" t="s">
        <v>25</v>
      </c>
      <c r="G22" s="100" t="s">
        <v>26</v>
      </c>
      <c r="H22" s="67"/>
      <c r="I22" s="67"/>
      <c r="J22" s="67"/>
      <c r="N22" s="113" t="s">
        <v>27</v>
      </c>
      <c r="O22" s="114"/>
      <c r="P22" s="98">
        <f>Recap!F13</f>
        <v>-1.6275379419782722E-2</v>
      </c>
      <c r="Q22" s="99">
        <f>Recap!G13</f>
        <v>0.41689783160773591</v>
      </c>
    </row>
    <row r="23" spans="2:19" ht="15.75" customHeight="1" x14ac:dyDescent="0.2">
      <c r="B23" s="110" t="s">
        <v>28</v>
      </c>
      <c r="G23" s="100" t="s">
        <v>29</v>
      </c>
      <c r="H23" s="67"/>
      <c r="I23" s="67"/>
      <c r="J23" s="67"/>
      <c r="N23" s="113" t="s">
        <v>30</v>
      </c>
      <c r="O23" s="114"/>
      <c r="P23" s="98">
        <f>Recap!F14</f>
        <v>-1.4365782545928043E-2</v>
      </c>
      <c r="Q23" s="99">
        <f>Recap!G14</f>
        <v>0.14581173799299077</v>
      </c>
    </row>
    <row r="24" spans="2:19" ht="15.75" customHeight="1" x14ac:dyDescent="0.2">
      <c r="B24" s="110" t="s">
        <v>31</v>
      </c>
      <c r="G24" s="100" t="s">
        <v>32</v>
      </c>
      <c r="H24" s="67"/>
      <c r="I24" s="67"/>
      <c r="J24" s="67"/>
      <c r="N24" s="113" t="s">
        <v>33</v>
      </c>
      <c r="O24" s="114"/>
      <c r="P24" s="98">
        <f>Recap!F15</f>
        <v>-3.7544652620835461E-3</v>
      </c>
      <c r="Q24" s="99">
        <f>Recap!G15</f>
        <v>0.39807662796050947</v>
      </c>
    </row>
    <row r="25" spans="2:19" ht="15.75" customHeight="1" x14ac:dyDescent="0.2">
      <c r="B25" s="110" t="s">
        <v>34</v>
      </c>
      <c r="G25" s="100" t="s">
        <v>35</v>
      </c>
      <c r="H25" s="67"/>
      <c r="I25" s="67"/>
      <c r="J25" s="67"/>
      <c r="N25" s="113" t="s">
        <v>36</v>
      </c>
      <c r="O25" s="114"/>
      <c r="P25" s="98">
        <f>Recap!F16</f>
        <v>2.8610857832869218E-2</v>
      </c>
      <c r="Q25" s="99">
        <f>Recap!G16</f>
        <v>0.12509771152861263</v>
      </c>
    </row>
    <row r="26" spans="2:19" ht="15.75" customHeight="1" x14ac:dyDescent="0.2">
      <c r="B26" s="110" t="s">
        <v>37</v>
      </c>
      <c r="G26" s="101" t="s">
        <v>38</v>
      </c>
      <c r="H26" s="67"/>
      <c r="I26" s="67"/>
      <c r="J26" s="67"/>
      <c r="N26" s="113" t="s">
        <v>29</v>
      </c>
      <c r="O26" s="114"/>
      <c r="P26" s="98">
        <f>Recap!F17</f>
        <v>2.2586555471316654E-2</v>
      </c>
      <c r="Q26" s="99">
        <f>Recap!G17</f>
        <v>8.1593103678706272E-2</v>
      </c>
    </row>
    <row r="27" spans="2:19" ht="15.75" customHeight="1" x14ac:dyDescent="0.2">
      <c r="B27" s="110" t="s">
        <v>39</v>
      </c>
      <c r="G27" s="100" t="s">
        <v>40</v>
      </c>
      <c r="H27" s="67"/>
      <c r="I27" s="67"/>
      <c r="J27" s="67"/>
      <c r="N27" s="113" t="s">
        <v>41</v>
      </c>
      <c r="O27" s="114"/>
      <c r="P27" s="98">
        <f>Recap!F18</f>
        <v>-1.6231927824544183E-2</v>
      </c>
      <c r="Q27" s="99">
        <f>Recap!G18</f>
        <v>0.29688977357551632</v>
      </c>
    </row>
    <row r="28" spans="2:19" ht="15.75" customHeight="1" x14ac:dyDescent="0.2">
      <c r="B28" s="110" t="s">
        <v>42</v>
      </c>
      <c r="G28" s="100" t="s">
        <v>19</v>
      </c>
      <c r="H28" s="67"/>
      <c r="I28" s="67"/>
      <c r="J28" s="67"/>
      <c r="N28" s="113" t="s">
        <v>43</v>
      </c>
      <c r="O28" s="114"/>
      <c r="P28" s="98">
        <f>Recap!F19</f>
        <v>-6.1283380612344715E-2</v>
      </c>
      <c r="Q28" s="99">
        <f>Recap!G19</f>
        <v>0.12390935175967675</v>
      </c>
    </row>
    <row r="29" spans="2:19" ht="15.75" customHeight="1" x14ac:dyDescent="0.2">
      <c r="B29" s="110" t="s">
        <v>44</v>
      </c>
      <c r="G29" s="100" t="s">
        <v>36</v>
      </c>
      <c r="H29" s="67"/>
      <c r="I29" s="67"/>
      <c r="J29" s="67"/>
      <c r="N29" s="113" t="s">
        <v>45</v>
      </c>
      <c r="O29" s="114"/>
      <c r="P29" s="98">
        <f>Recap!F20</f>
        <v>2.6467822114738682E-2</v>
      </c>
      <c r="Q29" s="99">
        <f>Recap!G20</f>
        <v>0.2062840451567064</v>
      </c>
    </row>
    <row r="30" spans="2:19" ht="15.75" customHeight="1" thickBot="1" x14ac:dyDescent="0.25">
      <c r="B30" s="110" t="s">
        <v>46</v>
      </c>
      <c r="G30" s="100" t="s">
        <v>43</v>
      </c>
      <c r="H30" s="67"/>
      <c r="I30" s="67"/>
      <c r="J30" s="67"/>
      <c r="N30" s="115" t="s">
        <v>32</v>
      </c>
      <c r="O30" s="116"/>
      <c r="P30" s="102">
        <f>Recap!F21</f>
        <v>-3.4234995773457309E-2</v>
      </c>
      <c r="Q30" s="103">
        <f>Recap!G21</f>
        <v>0.18133643531084401</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30"/>
      <c r="C33" s="122"/>
      <c r="D33" s="122"/>
      <c r="E33" s="122"/>
      <c r="F33" s="122"/>
      <c r="G33" s="131"/>
      <c r="H33" s="122"/>
      <c r="I33" s="122"/>
      <c r="J33" s="122"/>
    </row>
    <row r="34" spans="2:14" ht="16" customHeight="1" thickBot="1" x14ac:dyDescent="0.25">
      <c r="B34" s="27"/>
      <c r="N34" s="69">
        <f>DATE(YEAR($P$14),MONTH($P$14)-1,DAY($P$14))</f>
        <v>44470</v>
      </c>
    </row>
    <row r="35" spans="2:14" ht="33.75" customHeight="1" thickBot="1" x14ac:dyDescent="0.25">
      <c r="B35" s="129"/>
      <c r="C35" s="122"/>
      <c r="D35" s="122"/>
      <c r="E35" s="122"/>
      <c r="F35" s="122"/>
      <c r="G35" s="122"/>
      <c r="H35" s="122"/>
      <c r="I35" s="122"/>
      <c r="J35" s="122"/>
      <c r="N35" s="72">
        <f>DATE(YEAR($P$14)-1,MONTH($P$14),DAY($P$14))</f>
        <v>44136</v>
      </c>
    </row>
    <row r="36" spans="2:14" x14ac:dyDescent="0.2">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1"/>
  <sheetViews>
    <sheetView topLeftCell="A338" zoomScale="150" zoomScaleNormal="150" workbookViewId="0">
      <selection activeCell="V55" sqref="V55"/>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12">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12">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12">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12">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12">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12">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12">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12">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12">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12">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12">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12">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12">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12">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12">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12">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12">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12">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12">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12">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12">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12">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12">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12">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12">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12">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12">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12">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12">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12">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12">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12">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12">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12">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12">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12">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12">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12">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12">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12">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12">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12">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12">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12">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12">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12">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12">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12">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12">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12">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12">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12">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12">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12">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12">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12">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12">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12">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12">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12">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12">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12">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12">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12">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12">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12">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12">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12">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12">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12">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12">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12">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12">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12">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12">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12">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12">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12">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12">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12">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12">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12">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12">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12">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12">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12">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12">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12">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12">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12">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12">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12">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12">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12">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12">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12">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12">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12">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12">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12">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12">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12">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12">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12">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12">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12">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12">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12">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12">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12">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12">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12">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12">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12">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12">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12">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12">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12">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12">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12">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12">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12">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12">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12">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12">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12">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12">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12">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12">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12">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12">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12">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12">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12">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12">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12">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12">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12">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12">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12">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12">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12">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row r="361" spans="1:17" x14ac:dyDescent="0.2">
      <c r="A361" s="112">
        <v>44531</v>
      </c>
      <c r="B361">
        <v>445904</v>
      </c>
      <c r="C361">
        <v>626833</v>
      </c>
      <c r="D361">
        <v>41740</v>
      </c>
      <c r="E361">
        <v>26061</v>
      </c>
      <c r="F361">
        <v>77353</v>
      </c>
      <c r="G361">
        <v>7398</v>
      </c>
      <c r="H361">
        <v>11795</v>
      </c>
      <c r="I361">
        <v>72531</v>
      </c>
      <c r="J361">
        <v>500566</v>
      </c>
      <c r="K361">
        <v>54662</v>
      </c>
      <c r="L361">
        <v>69639</v>
      </c>
      <c r="M361">
        <v>32371</v>
      </c>
      <c r="N361">
        <v>15280</v>
      </c>
      <c r="O361">
        <v>126267</v>
      </c>
      <c r="P361">
        <v>82596</v>
      </c>
      <c r="Q361">
        <v>9140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4" sqref="E4"/>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17" width="9.1640625" style="110" customWidth="1"/>
    <col min="18" max="16384" width="9.1640625" style="110"/>
  </cols>
  <sheetData>
    <row r="1" spans="2:10" ht="16" customHeight="1" thickBot="1" x14ac:dyDescent="0.25"/>
    <row r="2" spans="2:10" x14ac:dyDescent="0.2">
      <c r="D2" s="4" t="s">
        <v>66</v>
      </c>
      <c r="E2" s="6">
        <f>DATE(YEAR(E3),MONTH(E3)-1,DAY(E3))</f>
        <v>44501</v>
      </c>
    </row>
    <row r="3" spans="2:10" ht="16" customHeight="1" thickBot="1" x14ac:dyDescent="0.25">
      <c r="D3" s="5" t="s">
        <v>67</v>
      </c>
      <c r="E3" s="7">
        <v>44531</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639829</v>
      </c>
      <c r="E7" s="61">
        <f>VLOOKUP($E$3,'Retail Sales'!A:B,2,)</f>
        <v>626833</v>
      </c>
      <c r="F7" s="104">
        <f t="shared" ref="F7:F21" si="0">(E7-D7)/D7</f>
        <v>-2.0311677026205441E-2</v>
      </c>
      <c r="G7" s="104">
        <f>VLOOKUP($E$3,'Retail Sales'!A:D,4,)</f>
        <v>0.16952564686214952</v>
      </c>
      <c r="H7" s="62"/>
      <c r="I7" s="63" t="s">
        <v>51</v>
      </c>
      <c r="J7" s="64" t="s">
        <v>16</v>
      </c>
    </row>
    <row r="8" spans="2:10" ht="25.5" customHeight="1" x14ac:dyDescent="0.25">
      <c r="B8" s="38"/>
      <c r="C8" s="34" t="s">
        <v>15</v>
      </c>
      <c r="D8" s="35">
        <f>VLOOKUP($E$2,'Retail Sales ex Auto'!A:B,2,)</f>
        <v>513340</v>
      </c>
      <c r="E8" s="35">
        <f>VLOOKUP($E$3,'Retail Sales ex Auto'!A:B,2,)</f>
        <v>500566</v>
      </c>
      <c r="F8" s="105">
        <f t="shared" si="0"/>
        <v>-2.4884092414384228E-2</v>
      </c>
      <c r="G8" s="105">
        <f>VLOOKUP($E$3,'Retail Sales ex Auto'!A:D,4,)</f>
        <v>0.18751200996382184</v>
      </c>
      <c r="H8" s="3"/>
      <c r="I8" s="36" t="s">
        <v>58</v>
      </c>
      <c r="J8" s="39" t="s">
        <v>18</v>
      </c>
    </row>
    <row r="9" spans="2:10" ht="25.5" customHeight="1" x14ac:dyDescent="0.25">
      <c r="B9" s="38"/>
      <c r="C9" s="34" t="s">
        <v>17</v>
      </c>
      <c r="D9" s="35">
        <f>VLOOKUP($E$2,'Retail Sales ex Auto and Gas'!A:B,2,)</f>
        <v>458472</v>
      </c>
      <c r="E9" s="35">
        <f>VLOOKUP($E$3,'Retail Sales ex Auto and Gas'!A:B,2,)</f>
        <v>445904</v>
      </c>
      <c r="F9" s="105">
        <f t="shared" si="0"/>
        <v>-2.7412797291873878E-2</v>
      </c>
      <c r="G9" s="105">
        <f>VLOOKUP($E$3,'Retail Sales ex Auto and Gas'!A:D,4,)</f>
        <v>0.16598461928681812</v>
      </c>
      <c r="H9" s="3"/>
      <c r="I9" s="36" t="s">
        <v>50</v>
      </c>
      <c r="J9" s="39" t="s">
        <v>20</v>
      </c>
    </row>
    <row r="10" spans="2:10" ht="25.5" customHeight="1" x14ac:dyDescent="0.25">
      <c r="B10" s="40">
        <v>441</v>
      </c>
      <c r="C10" s="34" t="s">
        <v>75</v>
      </c>
      <c r="D10" s="35">
        <f>VLOOKUP($E$2,Motor!A:B,2,)</f>
        <v>126489</v>
      </c>
      <c r="E10" s="35">
        <f>VLOOKUP($E$3,Motor!A:B,2,)</f>
        <v>126267</v>
      </c>
      <c r="F10" s="105">
        <f t="shared" si="0"/>
        <v>-1.7550933282736048E-3</v>
      </c>
      <c r="G10" s="105">
        <f>VLOOKUP($E$3,Motor!A:D,4,)</f>
        <v>0.10327924716244201</v>
      </c>
      <c r="H10" s="106">
        <f t="shared" ref="H10:H21" si="1">D10/$D$7</f>
        <v>0.19769188330006923</v>
      </c>
      <c r="I10" s="36" t="s">
        <v>63</v>
      </c>
      <c r="J10" s="39" t="s">
        <v>42</v>
      </c>
    </row>
    <row r="11" spans="2:10" ht="25.5" customHeight="1" x14ac:dyDescent="0.25">
      <c r="B11" s="40">
        <v>454</v>
      </c>
      <c r="C11" s="34" t="s">
        <v>21</v>
      </c>
      <c r="D11" s="35">
        <f>VLOOKUP($E$2,'Non Store Retail'!A:B,2,)</f>
        <v>92154</v>
      </c>
      <c r="E11" s="35">
        <f>VLOOKUP($E$3,'Non Store Retail'!A:B,2,)</f>
        <v>82596</v>
      </c>
      <c r="F11" s="105">
        <f t="shared" si="0"/>
        <v>-0.10371768995377303</v>
      </c>
      <c r="G11" s="105">
        <f>VLOOKUP($E$3,'Non Store Retail'!A:D,4,)</f>
        <v>0.1090581948062411</v>
      </c>
      <c r="H11" s="106">
        <f t="shared" si="1"/>
        <v>0.14402910777723424</v>
      </c>
      <c r="I11" s="36" t="s">
        <v>64</v>
      </c>
      <c r="J11" s="39" t="s">
        <v>25</v>
      </c>
    </row>
    <row r="12" spans="2:10" ht="25.5" customHeight="1" x14ac:dyDescent="0.25">
      <c r="B12" s="40">
        <v>445</v>
      </c>
      <c r="C12" s="34" t="s">
        <v>24</v>
      </c>
      <c r="D12" s="35">
        <f>VLOOKUP($E$2,'Food and Beverage'!A:B,2,)</f>
        <v>78411</v>
      </c>
      <c r="E12" s="35">
        <f>VLOOKUP($E$3,'Food and Beverage'!A:B,2,)</f>
        <v>77353</v>
      </c>
      <c r="F12" s="105">
        <f t="shared" si="0"/>
        <v>-1.3493004807998877E-2</v>
      </c>
      <c r="G12" s="105">
        <f>VLOOKUP($E$3,'Food and Beverage'!A:D,4,)</f>
        <v>8.3648538847328452E-2</v>
      </c>
      <c r="H12" s="106">
        <f t="shared" si="1"/>
        <v>0.12254993130977183</v>
      </c>
      <c r="I12" s="36" t="s">
        <v>54</v>
      </c>
      <c r="J12" s="39" t="s">
        <v>22</v>
      </c>
    </row>
    <row r="13" spans="2:10" ht="25.5" customHeight="1" x14ac:dyDescent="0.25">
      <c r="B13" s="40">
        <v>722</v>
      </c>
      <c r="C13" s="34" t="s">
        <v>27</v>
      </c>
      <c r="D13" s="35">
        <f>VLOOKUP($E$2,'Food Services'!A:B,2,)</f>
        <v>73731</v>
      </c>
      <c r="E13" s="35">
        <f>VLOOKUP($E$3,'Food Services'!A:B,2,)</f>
        <v>72531</v>
      </c>
      <c r="F13" s="105">
        <f t="shared" si="0"/>
        <v>-1.6275379419782722E-2</v>
      </c>
      <c r="G13" s="105">
        <f>VLOOKUP($E$3,'Food Services'!A:D,4,)</f>
        <v>0.41689783160773591</v>
      </c>
      <c r="H13" s="106">
        <f t="shared" si="1"/>
        <v>0.11523547697900532</v>
      </c>
      <c r="I13" s="36" t="s">
        <v>57</v>
      </c>
      <c r="J13" s="39" t="s">
        <v>37</v>
      </c>
    </row>
    <row r="14" spans="2:10" ht="25.5" customHeight="1" x14ac:dyDescent="0.25">
      <c r="B14" s="40">
        <v>452</v>
      </c>
      <c r="C14" s="34" t="s">
        <v>30</v>
      </c>
      <c r="D14" s="35">
        <f>VLOOKUP($E$2,'General Merchandising'!A:B,2,)</f>
        <v>70654</v>
      </c>
      <c r="E14" s="35">
        <f>VLOOKUP($E$3,'General Merchandising'!A:B,2,)</f>
        <v>69639</v>
      </c>
      <c r="F14" s="105">
        <f t="shared" si="0"/>
        <v>-1.4365782545928043E-2</v>
      </c>
      <c r="G14" s="105">
        <f>VLOOKUP($E$3,'General Merchandising'!A:D,4,)</f>
        <v>0.14581173799299077</v>
      </c>
      <c r="H14" s="106">
        <f t="shared" si="1"/>
        <v>0.11042637954828556</v>
      </c>
      <c r="I14" s="36" t="s">
        <v>60</v>
      </c>
      <c r="J14" s="39" t="s">
        <v>34</v>
      </c>
    </row>
    <row r="15" spans="2:10" ht="25.5" customHeight="1" x14ac:dyDescent="0.25">
      <c r="B15" s="40">
        <v>447</v>
      </c>
      <c r="C15" s="34" t="s">
        <v>33</v>
      </c>
      <c r="D15" s="35">
        <f>VLOOKUP($E$2,'Gas Station'!A:B,2,)</f>
        <v>54868</v>
      </c>
      <c r="E15" s="35">
        <f>VLOOKUP($E$3,'Gas Station'!A:B,2,)</f>
        <v>54662</v>
      </c>
      <c r="F15" s="105">
        <f t="shared" si="0"/>
        <v>-3.7544652620835461E-3</v>
      </c>
      <c r="G15" s="105">
        <f>VLOOKUP($E$3,'Gas Station'!A:D,4,)</f>
        <v>0.39807662796050947</v>
      </c>
      <c r="H15" s="106">
        <f t="shared" si="1"/>
        <v>8.5754162440277018E-2</v>
      </c>
      <c r="I15" s="36" t="s">
        <v>59</v>
      </c>
      <c r="J15" s="39" t="s">
        <v>39</v>
      </c>
    </row>
    <row r="16" spans="2:10" ht="25.5" customHeight="1" x14ac:dyDescent="0.25">
      <c r="B16" s="40">
        <v>444</v>
      </c>
      <c r="C16" s="34" t="s">
        <v>36</v>
      </c>
      <c r="D16" s="35">
        <f>VLOOKUP($E$2,Housing!A:B,2,)</f>
        <v>40579</v>
      </c>
      <c r="E16" s="35">
        <f>VLOOKUP($E$3,Housing!A:B,2,)</f>
        <v>41740</v>
      </c>
      <c r="F16" s="105">
        <f t="shared" si="0"/>
        <v>2.8610857832869218E-2</v>
      </c>
      <c r="G16" s="105">
        <f>VLOOKUP($E$3,Housing!A:D,4,)</f>
        <v>0.12509771152861263</v>
      </c>
      <c r="H16" s="106">
        <f t="shared" si="1"/>
        <v>6.3421632967558525E-2</v>
      </c>
      <c r="I16" s="36" t="s">
        <v>52</v>
      </c>
      <c r="J16" s="39" t="s">
        <v>44</v>
      </c>
    </row>
    <row r="17" spans="2:10" ht="25.5" customHeight="1" x14ac:dyDescent="0.25">
      <c r="B17" s="40">
        <v>446</v>
      </c>
      <c r="C17" s="34" t="s">
        <v>29</v>
      </c>
      <c r="D17" s="35">
        <f>VLOOKUP($E$2,Health!A:B,2,)</f>
        <v>31656</v>
      </c>
      <c r="E17" s="35">
        <f>VLOOKUP($E$3,Health!A:B,2,)</f>
        <v>32371</v>
      </c>
      <c r="F17" s="105">
        <f t="shared" si="0"/>
        <v>2.2586555471316654E-2</v>
      </c>
      <c r="G17" s="105">
        <f>VLOOKUP($E$3,Health!A:D,4,)</f>
        <v>8.1593103678706272E-2</v>
      </c>
      <c r="H17" s="106">
        <f t="shared" si="1"/>
        <v>4.9475719293748797E-2</v>
      </c>
      <c r="I17" s="36" t="s">
        <v>61</v>
      </c>
      <c r="J17" s="39" t="s">
        <v>28</v>
      </c>
    </row>
    <row r="18" spans="2:10" ht="25.5" customHeight="1" x14ac:dyDescent="0.25">
      <c r="B18" s="40">
        <v>448</v>
      </c>
      <c r="C18" s="34" t="s">
        <v>41</v>
      </c>
      <c r="D18" s="35">
        <f>VLOOKUP($E$2,'Clothing and clothing access'!A:B,2,0)</f>
        <v>26491</v>
      </c>
      <c r="E18" s="35">
        <f>VLOOKUP($E$3,'Clothing and clothing access'!A:B,2,)</f>
        <v>26061</v>
      </c>
      <c r="F18" s="105">
        <f t="shared" si="0"/>
        <v>-1.6231927824544183E-2</v>
      </c>
      <c r="G18" s="105">
        <f>VLOOKUP($E$3,'Clothing and clothing access'!A:D,4,)</f>
        <v>0.29688977357551632</v>
      </c>
      <c r="H18" s="106">
        <f t="shared" si="1"/>
        <v>4.1403249930840894E-2</v>
      </c>
      <c r="I18" s="37" t="s">
        <v>53</v>
      </c>
      <c r="J18" s="41" t="s">
        <v>47</v>
      </c>
    </row>
    <row r="19" spans="2:10" ht="25.5" customHeight="1" x14ac:dyDescent="0.25">
      <c r="B19" s="40" t="s">
        <v>76</v>
      </c>
      <c r="C19" s="34" t="s">
        <v>43</v>
      </c>
      <c r="D19" s="35">
        <f>VLOOKUP($E$2,'Furniture Home'!A:B,2,)</f>
        <v>20446</v>
      </c>
      <c r="E19" s="35">
        <f>VLOOKUP($E$3,'Furniture Home'!A:B,2,)</f>
        <v>19193</v>
      </c>
      <c r="F19" s="105">
        <f t="shared" si="0"/>
        <v>-6.1283380612344715E-2</v>
      </c>
      <c r="G19" s="105">
        <f>VLOOKUP($E$3,'Furniture Home'!A:D,4,)</f>
        <v>0.12390935175967675</v>
      </c>
      <c r="H19" s="106">
        <f t="shared" si="1"/>
        <v>3.1955413086934163E-2</v>
      </c>
      <c r="I19" s="37" t="s">
        <v>77</v>
      </c>
      <c r="J19" s="41" t="s">
        <v>46</v>
      </c>
    </row>
    <row r="20" spans="2:10" ht="25.5" customHeight="1" x14ac:dyDescent="0.25">
      <c r="B20" s="40">
        <v>453</v>
      </c>
      <c r="C20" s="34" t="s">
        <v>45</v>
      </c>
      <c r="D20" s="35">
        <f>VLOOKUP($E$2,'Miscellaneous stores retailers'!A:B,2,)</f>
        <v>14886</v>
      </c>
      <c r="E20" s="35">
        <f>VLOOKUP($E$3,'Miscellaneous stores retailers'!A:B,2,)</f>
        <v>15280</v>
      </c>
      <c r="F20" s="105">
        <f t="shared" si="0"/>
        <v>2.6467822114738682E-2</v>
      </c>
      <c r="G20" s="105">
        <f>VLOOKUP($E$3,'Miscellaneous stores retailers'!A:D,4,)</f>
        <v>0.2062840451567064</v>
      </c>
      <c r="H20" s="106">
        <f t="shared" si="1"/>
        <v>2.3265591275168834E-2</v>
      </c>
      <c r="I20" s="37" t="s">
        <v>62</v>
      </c>
      <c r="J20" s="41" t="s">
        <v>48</v>
      </c>
    </row>
    <row r="21" spans="2:10" ht="25.5" customHeight="1" thickBot="1" x14ac:dyDescent="0.3">
      <c r="B21" s="42">
        <v>451</v>
      </c>
      <c r="C21" s="43" t="s">
        <v>32</v>
      </c>
      <c r="D21" s="44">
        <f>VLOOKUP($E$2,'Sporting Goods'!A:B,2,)</f>
        <v>9464</v>
      </c>
      <c r="E21" s="44">
        <f>VLOOKUP($E$3,'Sporting Goods'!A:B,2,)</f>
        <v>9140</v>
      </c>
      <c r="F21" s="107">
        <f t="shared" si="0"/>
        <v>-3.4234995773457309E-2</v>
      </c>
      <c r="G21" s="107">
        <f>VLOOKUP($E$3,'Sporting Goods'!A:D,4,)</f>
        <v>0.18133643531084401</v>
      </c>
      <c r="H21" s="108">
        <f t="shared" si="1"/>
        <v>1.4791452091105592E-2</v>
      </c>
      <c r="I21" s="47" t="s">
        <v>65</v>
      </c>
      <c r="J21" s="48" t="s">
        <v>31</v>
      </c>
    </row>
    <row r="22" spans="2:10" ht="25.5" customHeight="1" thickBot="1" x14ac:dyDescent="0.3">
      <c r="D22" s="45">
        <f>SUM(D10:D21)</f>
        <v>639829</v>
      </c>
      <c r="E22" s="46">
        <f>SUM(E10:E21)</f>
        <v>626833</v>
      </c>
      <c r="H22" s="109">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6"/>
  <sheetViews>
    <sheetView topLeftCell="B29" zoomScale="140" zoomScaleNormal="140" workbookViewId="0">
      <selection activeCell="P65" sqref="P65"/>
    </sheetView>
  </sheetViews>
  <sheetFormatPr baseColWidth="10" defaultColWidth="9.1640625" defaultRowHeight="15" x14ac:dyDescent="0.2"/>
  <cols>
    <col min="1" max="1" width="3" style="110" customWidth="1"/>
    <col min="2" max="32" width="7.6640625" style="110" customWidth="1"/>
    <col min="33" max="36" width="9.1640625" style="110" customWidth="1"/>
    <col min="37" max="16384" width="9.1640625" style="110"/>
  </cols>
  <sheetData>
    <row r="1" spans="2:32" ht="16" customHeight="1" thickBot="1" x14ac:dyDescent="0.25"/>
    <row r="2" spans="2:32" ht="87" customHeight="1" thickBot="1" x14ac:dyDescent="0.25">
      <c r="B2" s="54"/>
      <c r="C2" s="132" t="s">
        <v>0</v>
      </c>
      <c r="D2" s="126"/>
      <c r="E2" s="133" t="s">
        <v>15</v>
      </c>
      <c r="F2" s="126"/>
      <c r="G2" s="132" t="s">
        <v>17</v>
      </c>
      <c r="H2" s="126"/>
      <c r="I2" s="132" t="s">
        <v>19</v>
      </c>
      <c r="J2" s="126"/>
      <c r="K2" s="132" t="s">
        <v>21</v>
      </c>
      <c r="L2" s="126"/>
      <c r="M2" s="132" t="s">
        <v>24</v>
      </c>
      <c r="N2" s="126"/>
      <c r="O2" s="132" t="s">
        <v>27</v>
      </c>
      <c r="P2" s="126"/>
      <c r="Q2" s="132" t="s">
        <v>78</v>
      </c>
      <c r="R2" s="126"/>
      <c r="S2" s="132" t="s">
        <v>33</v>
      </c>
      <c r="T2" s="126"/>
      <c r="U2" s="132" t="s">
        <v>36</v>
      </c>
      <c r="V2" s="126"/>
      <c r="W2" s="132" t="s">
        <v>29</v>
      </c>
      <c r="X2" s="126"/>
      <c r="Y2" s="132" t="s">
        <v>79</v>
      </c>
      <c r="Z2" s="126"/>
      <c r="AA2" s="132" t="s">
        <v>80</v>
      </c>
      <c r="AB2" s="126"/>
      <c r="AC2" s="132" t="s">
        <v>81</v>
      </c>
      <c r="AD2" s="126"/>
      <c r="AE2" s="132" t="s">
        <v>32</v>
      </c>
      <c r="AF2" s="126"/>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row r="56" spans="2:32" x14ac:dyDescent="0.2">
      <c r="B56" s="56">
        <v>44531</v>
      </c>
      <c r="C56" s="52">
        <f>VLOOKUP(B56,'Retail Sales'!A:D,3,)</f>
        <v>-2.0311677026205441E-2</v>
      </c>
      <c r="D56" s="53">
        <f>VLOOKUP(B56,'Retail Sales'!A:D,4,)</f>
        <v>0.16952564686214952</v>
      </c>
      <c r="E56" s="52">
        <f>VLOOKUP(B56,'Retail Sales ex Auto'!$A:$D,3,)</f>
        <v>-2.4884092414384228E-2</v>
      </c>
      <c r="F56" s="53">
        <f>VLOOKUP(B56,'Retail Sales ex Auto'!$A:$D,4,)</f>
        <v>0.18751200996382184</v>
      </c>
      <c r="G56" s="52">
        <f>VLOOKUP(B56,'Retail Sales ex Auto and Gas'!$A:$D,3,)</f>
        <v>-2.7412797291873878E-2</v>
      </c>
      <c r="H56" s="53">
        <f>VLOOKUP(B56,'Retail Sales ex Auto and Gas'!$A:$D,4,)</f>
        <v>0.16598461928681812</v>
      </c>
      <c r="I56" s="52">
        <f>VLOOKUP(B56,Motor!$A:$D,3,)</f>
        <v>-1.7550933282736048E-3</v>
      </c>
      <c r="J56" s="53">
        <f>VLOOKUP(B56,Motor!$A:$D,4,)</f>
        <v>0.10327924716244201</v>
      </c>
      <c r="K56" s="52">
        <f>VLOOKUP(B56,'Non Store Retail'!$A:$D,3,)</f>
        <v>-0.10371768995377303</v>
      </c>
      <c r="L56" s="53">
        <f>VLOOKUP(B56,'Non Store Retail'!$A:$D,4,)</f>
        <v>0.1090581948062411</v>
      </c>
      <c r="M56" s="52">
        <f>VLOOKUP(B56,'Food and Beverage'!$A:$D,3,)</f>
        <v>-1.3493004807998877E-2</v>
      </c>
      <c r="N56" s="52">
        <f>VLOOKUP(B56,'Food and Beverage'!$A:$D,4,)</f>
        <v>8.3648538847328452E-2</v>
      </c>
      <c r="O56" s="52">
        <f>VLOOKUP(B56,'Food Services'!$A:$D,3,)</f>
        <v>-1.6275379419782722E-2</v>
      </c>
      <c r="P56" s="53">
        <f>VLOOKUP(B56,'Food Services'!$A:$D,4,)</f>
        <v>0.41689783160773591</v>
      </c>
      <c r="Q56" s="52">
        <f>VLOOKUP(B56,'General Merchandising'!$A:$D,3,)</f>
        <v>-1.4365782545928043E-2</v>
      </c>
      <c r="R56" s="53">
        <f>VLOOKUP(B56,'General Merchandising'!$A:$D,4,)</f>
        <v>0.14581173799299077</v>
      </c>
      <c r="S56" s="52">
        <f>VLOOKUP(B56,'Gas Station'!$A:$D,3,)</f>
        <v>-3.7544652620835461E-3</v>
      </c>
      <c r="T56" s="53">
        <f>VLOOKUP(B56,'Gas Station'!$A:$D,4,)</f>
        <v>0.39807662796050947</v>
      </c>
      <c r="U56" s="52">
        <f>VLOOKUP(B56,Housing!$A:$D,3,)</f>
        <v>2.8610857832869218E-2</v>
      </c>
      <c r="V56" s="53">
        <f>VLOOKUP(B56,Housing!$A:$D,4,)</f>
        <v>0.12509771152861263</v>
      </c>
      <c r="W56" s="52">
        <f>VLOOKUP(B56,Health!$A:$D,3,)</f>
        <v>2.2586555471316654E-2</v>
      </c>
      <c r="X56" s="53">
        <f>VLOOKUP(B56,Health!$A:$D,4,)</f>
        <v>8.1593103678706272E-2</v>
      </c>
      <c r="Y56" s="52">
        <f>VLOOKUP(B56,'Clothing and clothing access'!$A:$D,3,)</f>
        <v>-1.6231927824544183E-2</v>
      </c>
      <c r="Z56" s="53">
        <f>VLOOKUP(B56,'Clothing and clothing access'!$A:$D,4,)</f>
        <v>0.29688977357551632</v>
      </c>
      <c r="AA56" s="52">
        <f>VLOOKUP(B56,'Furniture Home'!$A:$D,3,)</f>
        <v>-6.1283380612344715E-2</v>
      </c>
      <c r="AB56" s="53">
        <f>VLOOKUP(B56,'Furniture Home'!$A:$D,4,)</f>
        <v>0.12390935175967675</v>
      </c>
      <c r="AC56" s="52">
        <f>VLOOKUP(B56,'Miscellaneous stores retailers'!$A:$D,3,)</f>
        <v>2.6467822114738682E-2</v>
      </c>
      <c r="AD56" s="53">
        <f>VLOOKUP(B56,'Miscellaneous stores retailers'!$A:$D,4,)</f>
        <v>0.2062840451567064</v>
      </c>
      <c r="AE56" s="52">
        <f>VLOOKUP(B56,'Sporting Goods'!$A:$D,3,)</f>
        <v>-3.4234995773457309E-2</v>
      </c>
      <c r="AF56" s="53">
        <f>VLOOKUP(B56,'Sporting Goods'!$A:$D,4,)</f>
        <v>0.18133643531084401</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6">
    <cfRule type="colorScale" priority="243">
      <colorScale>
        <cfvo type="min"/>
        <cfvo type="percentile" val="50"/>
        <cfvo type="max"/>
        <color rgb="FFF8696B"/>
        <color rgb="FFFFEB84"/>
        <color rgb="FF63BE7B"/>
      </colorScale>
    </cfRule>
  </conditionalFormatting>
  <conditionalFormatting sqref="D4:D56">
    <cfRule type="colorScale" priority="244">
      <colorScale>
        <cfvo type="min"/>
        <cfvo type="percentile" val="50"/>
        <cfvo type="max"/>
        <color rgb="FFF8696B"/>
        <color rgb="FFFFEB84"/>
        <color rgb="FF63BE7B"/>
      </colorScale>
    </cfRule>
  </conditionalFormatting>
  <conditionalFormatting sqref="E4:E56">
    <cfRule type="colorScale" priority="245">
      <colorScale>
        <cfvo type="min"/>
        <cfvo type="percentile" val="50"/>
        <cfvo type="max"/>
        <color rgb="FFF8696B"/>
        <color rgb="FFFFEB84"/>
        <color rgb="FF63BE7B"/>
      </colorScale>
    </cfRule>
  </conditionalFormatting>
  <conditionalFormatting sqref="F4:F56">
    <cfRule type="colorScale" priority="246">
      <colorScale>
        <cfvo type="min"/>
        <cfvo type="percentile" val="50"/>
        <cfvo type="max"/>
        <color rgb="FFF8696B"/>
        <color rgb="FFFFEB84"/>
        <color rgb="FF63BE7B"/>
      </colorScale>
    </cfRule>
  </conditionalFormatting>
  <conditionalFormatting sqref="G4:G56">
    <cfRule type="colorScale" priority="247">
      <colorScale>
        <cfvo type="min"/>
        <cfvo type="percentile" val="50"/>
        <cfvo type="max"/>
        <color rgb="FFF8696B"/>
        <color rgb="FFFFEB84"/>
        <color rgb="FF63BE7B"/>
      </colorScale>
    </cfRule>
  </conditionalFormatting>
  <conditionalFormatting sqref="H4:H56">
    <cfRule type="colorScale" priority="248">
      <colorScale>
        <cfvo type="min"/>
        <cfvo type="percentile" val="50"/>
        <cfvo type="max"/>
        <color rgb="FFF8696B"/>
        <color rgb="FFFFEB84"/>
        <color rgb="FF63BE7B"/>
      </colorScale>
    </cfRule>
  </conditionalFormatting>
  <conditionalFormatting sqref="I4:I56">
    <cfRule type="colorScale" priority="249">
      <colorScale>
        <cfvo type="min"/>
        <cfvo type="percentile" val="50"/>
        <cfvo type="max"/>
        <color rgb="FFF8696B"/>
        <color rgb="FFFFEB84"/>
        <color rgb="FF63BE7B"/>
      </colorScale>
    </cfRule>
  </conditionalFormatting>
  <conditionalFormatting sqref="J4:J56">
    <cfRule type="colorScale" priority="250">
      <colorScale>
        <cfvo type="min"/>
        <cfvo type="percentile" val="50"/>
        <cfvo type="max"/>
        <color rgb="FFF8696B"/>
        <color rgb="FFFFEB84"/>
        <color rgb="FF63BE7B"/>
      </colorScale>
    </cfRule>
  </conditionalFormatting>
  <conditionalFormatting sqref="K4:K56">
    <cfRule type="colorScale" priority="251">
      <colorScale>
        <cfvo type="min"/>
        <cfvo type="percentile" val="50"/>
        <cfvo type="max"/>
        <color rgb="FFF8696B"/>
        <color rgb="FFFFEB84"/>
        <color rgb="FF63BE7B"/>
      </colorScale>
    </cfRule>
  </conditionalFormatting>
  <conditionalFormatting sqref="L4:L56">
    <cfRule type="colorScale" priority="252">
      <colorScale>
        <cfvo type="min"/>
        <cfvo type="percentile" val="50"/>
        <cfvo type="max"/>
        <color rgb="FFF8696B"/>
        <color rgb="FFFFEB84"/>
        <color rgb="FF63BE7B"/>
      </colorScale>
    </cfRule>
  </conditionalFormatting>
  <conditionalFormatting sqref="M4:M56">
    <cfRule type="colorScale" priority="253">
      <colorScale>
        <cfvo type="min"/>
        <cfvo type="percentile" val="50"/>
        <cfvo type="max"/>
        <color rgb="FFF8696B"/>
        <color rgb="FFFFEB84"/>
        <color rgb="FF63BE7B"/>
      </colorScale>
    </cfRule>
  </conditionalFormatting>
  <conditionalFormatting sqref="O4:O56">
    <cfRule type="colorScale" priority="254">
      <colorScale>
        <cfvo type="min"/>
        <cfvo type="percentile" val="50"/>
        <cfvo type="max"/>
        <color rgb="FFF8696B"/>
        <color rgb="FFFFEB84"/>
        <color rgb="FF63BE7B"/>
      </colorScale>
    </cfRule>
  </conditionalFormatting>
  <conditionalFormatting sqref="P4:P56">
    <cfRule type="colorScale" priority="255">
      <colorScale>
        <cfvo type="min"/>
        <cfvo type="percentile" val="50"/>
        <cfvo type="max"/>
        <color rgb="FFF8696B"/>
        <color rgb="FFFFEB84"/>
        <color rgb="FF63BE7B"/>
      </colorScale>
    </cfRule>
  </conditionalFormatting>
  <conditionalFormatting sqref="Q4:Q56">
    <cfRule type="colorScale" priority="256">
      <colorScale>
        <cfvo type="min"/>
        <cfvo type="percentile" val="50"/>
        <cfvo type="max"/>
        <color rgb="FFF8696B"/>
        <color rgb="FFFFEB84"/>
        <color rgb="FF63BE7B"/>
      </colorScale>
    </cfRule>
  </conditionalFormatting>
  <conditionalFormatting sqref="R4:R56">
    <cfRule type="colorScale" priority="257">
      <colorScale>
        <cfvo type="min"/>
        <cfvo type="percentile" val="50"/>
        <cfvo type="max"/>
        <color rgb="FFF8696B"/>
        <color rgb="FFFFEB84"/>
        <color rgb="FF63BE7B"/>
      </colorScale>
    </cfRule>
  </conditionalFormatting>
  <conditionalFormatting sqref="S4:S56">
    <cfRule type="colorScale" priority="258">
      <colorScale>
        <cfvo type="min"/>
        <cfvo type="percentile" val="50"/>
        <cfvo type="max"/>
        <color rgb="FFF8696B"/>
        <color rgb="FFFFEB84"/>
        <color rgb="FF63BE7B"/>
      </colorScale>
    </cfRule>
  </conditionalFormatting>
  <conditionalFormatting sqref="T4:T56">
    <cfRule type="colorScale" priority="259">
      <colorScale>
        <cfvo type="min"/>
        <cfvo type="percentile" val="50"/>
        <cfvo type="max"/>
        <color rgb="FFF8696B"/>
        <color rgb="FFFFEB84"/>
        <color rgb="FF63BE7B"/>
      </colorScale>
    </cfRule>
  </conditionalFormatting>
  <conditionalFormatting sqref="U4:U56">
    <cfRule type="colorScale" priority="260">
      <colorScale>
        <cfvo type="min"/>
        <cfvo type="percentile" val="50"/>
        <cfvo type="max"/>
        <color rgb="FFF8696B"/>
        <color rgb="FFFFEB84"/>
        <color rgb="FF63BE7B"/>
      </colorScale>
    </cfRule>
  </conditionalFormatting>
  <conditionalFormatting sqref="V4:V56">
    <cfRule type="colorScale" priority="261">
      <colorScale>
        <cfvo type="min"/>
        <cfvo type="percentile" val="50"/>
        <cfvo type="max"/>
        <color rgb="FFF8696B"/>
        <color rgb="FFFFEB84"/>
        <color rgb="FF63BE7B"/>
      </colorScale>
    </cfRule>
  </conditionalFormatting>
  <conditionalFormatting sqref="W4:W56">
    <cfRule type="colorScale" priority="262">
      <colorScale>
        <cfvo type="min"/>
        <cfvo type="percentile" val="50"/>
        <cfvo type="max"/>
        <color rgb="FFF8696B"/>
        <color rgb="FFFFEB84"/>
        <color rgb="FF63BE7B"/>
      </colorScale>
    </cfRule>
  </conditionalFormatting>
  <conditionalFormatting sqref="X4:X56">
    <cfRule type="colorScale" priority="265">
      <colorScale>
        <cfvo type="min"/>
        <cfvo type="percentile" val="50"/>
        <cfvo type="max"/>
        <color rgb="FFF8696B"/>
        <color rgb="FFFFEB84"/>
        <color rgb="FF63BE7B"/>
      </colorScale>
    </cfRule>
  </conditionalFormatting>
  <conditionalFormatting sqref="Y4:Y56">
    <cfRule type="colorScale" priority="268">
      <colorScale>
        <cfvo type="min"/>
        <cfvo type="percentile" val="50"/>
        <cfvo type="max"/>
        <color rgb="FFF8696B"/>
        <color rgb="FFFFEB84"/>
        <color rgb="FF63BE7B"/>
      </colorScale>
    </cfRule>
  </conditionalFormatting>
  <conditionalFormatting sqref="Z4:Z56">
    <cfRule type="colorScale" priority="269">
      <colorScale>
        <cfvo type="min"/>
        <cfvo type="percentile" val="50"/>
        <cfvo type="max"/>
        <color rgb="FFF8696B"/>
        <color rgb="FFFFEB84"/>
        <color rgb="FF63BE7B"/>
      </colorScale>
    </cfRule>
  </conditionalFormatting>
  <conditionalFormatting sqref="AA4:AA56">
    <cfRule type="colorScale" priority="270">
      <colorScale>
        <cfvo type="min"/>
        <cfvo type="percentile" val="50"/>
        <cfvo type="max"/>
        <color rgb="FFF8696B"/>
        <color rgb="FFFFEB84"/>
        <color rgb="FF63BE7B"/>
      </colorScale>
    </cfRule>
  </conditionalFormatting>
  <conditionalFormatting sqref="AB4:AB56">
    <cfRule type="colorScale" priority="271">
      <colorScale>
        <cfvo type="min"/>
        <cfvo type="percentile" val="50"/>
        <cfvo type="max"/>
        <color rgb="FFF8696B"/>
        <color rgb="FFFFEB84"/>
        <color rgb="FF63BE7B"/>
      </colorScale>
    </cfRule>
  </conditionalFormatting>
  <conditionalFormatting sqref="AC4:AC56">
    <cfRule type="colorScale" priority="272">
      <colorScale>
        <cfvo type="min"/>
        <cfvo type="percentile" val="50"/>
        <cfvo type="max"/>
        <color rgb="FFF8696B"/>
        <color rgb="FFFFEB84"/>
        <color rgb="FF63BE7B"/>
      </colorScale>
    </cfRule>
  </conditionalFormatting>
  <conditionalFormatting sqref="AD4:AD56">
    <cfRule type="colorScale" priority="273">
      <colorScale>
        <cfvo type="min"/>
        <cfvo type="percentile" val="50"/>
        <cfvo type="max"/>
        <color rgb="FFF8696B"/>
        <color rgb="FFFFEB84"/>
        <color rgb="FF63BE7B"/>
      </colorScale>
    </cfRule>
  </conditionalFormatting>
  <conditionalFormatting sqref="AE4:AE56">
    <cfRule type="colorScale" priority="274">
      <colorScale>
        <cfvo type="min"/>
        <cfvo type="percentile" val="50"/>
        <cfvo type="max"/>
        <color rgb="FFF8696B"/>
        <color rgb="FFFFEB84"/>
        <color rgb="FF63BE7B"/>
      </colorScale>
    </cfRule>
  </conditionalFormatting>
  <conditionalFormatting sqref="AF4:AF56">
    <cfRule type="colorScale" priority="275">
      <colorScale>
        <cfvo type="min"/>
        <cfvo type="percentile" val="50"/>
        <cfvo type="max"/>
        <color rgb="FFF8696B"/>
        <color rgb="FFFFEB84"/>
        <color rgb="FF63BE7B"/>
      </colorScale>
    </cfRule>
  </conditionalFormatting>
  <conditionalFormatting sqref="N4:N5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3"/>
  <sheetViews>
    <sheetView zoomScale="170" zoomScaleNormal="170" workbookViewId="0">
      <pane ySplit="6" topLeftCell="A333" activePane="bottomLeft" state="frozen"/>
      <selection pane="bottomLeft" activeCell="Q370" sqref="Q370"/>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2.6784604080709887E-2</v>
      </c>
      <c r="M2" s="28">
        <f>MAX(D8:D335)</f>
        <v>8.4068563615054048E-2</v>
      </c>
    </row>
    <row r="3" spans="1:13" s="110" customFormat="1" x14ac:dyDescent="0.2">
      <c r="A3" s="111"/>
      <c r="I3" s="21"/>
      <c r="J3" s="21"/>
      <c r="L3" s="28">
        <f>MIN(C8:C335)</f>
        <v>-2.3982568162071963E-2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91"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110" customFormat="1" x14ac:dyDescent="0.2">
      <c r="A336" s="11">
        <v>43617</v>
      </c>
      <c r="B336" s="15">
        <f>VLOOKUP(A336,Database!A:M,MATCH($A$1,Database!$A$1:$M$1,),)</f>
        <v>370338</v>
      </c>
      <c r="C336" s="12">
        <f t="shared" si="10"/>
        <v>6.4216319043413272E-3</v>
      </c>
      <c r="D336" s="13">
        <f t="shared" si="9"/>
        <v>4.2427483709343732E-2</v>
      </c>
    </row>
    <row r="337" spans="1:4" s="110" customFormat="1" x14ac:dyDescent="0.2">
      <c r="A337" s="10">
        <v>43647</v>
      </c>
      <c r="B337" s="15">
        <f>VLOOKUP(A337,Database!A:M,MATCH($A$1,Database!$A$1:$M$1,),)</f>
        <v>372369</v>
      </c>
      <c r="C337" s="12">
        <f t="shared" si="10"/>
        <v>5.4841793172723296E-3</v>
      </c>
      <c r="D337" s="13">
        <f t="shared" si="9"/>
        <v>4.1285776205589965E-2</v>
      </c>
    </row>
    <row r="338" spans="1:4" s="110" customFormat="1" x14ac:dyDescent="0.2">
      <c r="A338" s="11">
        <v>43678</v>
      </c>
      <c r="B338" s="15">
        <f>VLOOKUP(A338,Database!A:M,MATCH($A$1,Database!$A$1:$M$1,),)</f>
        <v>373450</v>
      </c>
      <c r="C338" s="12">
        <f t="shared" si="10"/>
        <v>2.9030343557063022E-3</v>
      </c>
      <c r="D338" s="13">
        <f t="shared" si="9"/>
        <v>4.4358311800172266E-2</v>
      </c>
    </row>
    <row r="339" spans="1:4" s="110" customFormat="1" x14ac:dyDescent="0.2">
      <c r="A339" s="10">
        <v>43709</v>
      </c>
      <c r="B339" s="15">
        <f>VLOOKUP(A339,Database!A:M,MATCH($A$1,Database!$A$1:$M$1,),)</f>
        <v>372355</v>
      </c>
      <c r="C339" s="12">
        <f t="shared" si="10"/>
        <v>-2.9321194269647877E-3</v>
      </c>
      <c r="D339" s="13">
        <f t="shared" ref="D339:D402" si="11">(B339-B327)/B327</f>
        <v>4.3423312849052424E-2</v>
      </c>
    </row>
    <row r="340" spans="1:4" s="110" customFormat="1" x14ac:dyDescent="0.2">
      <c r="A340" s="11">
        <v>43739</v>
      </c>
      <c r="B340" s="15">
        <f>VLOOKUP(A340,Database!A:M,MATCH($A$1,Database!$A$1:$M$1,),)</f>
        <v>373751</v>
      </c>
      <c r="C340" s="12">
        <f t="shared" si="10"/>
        <v>3.7491103919646573E-3</v>
      </c>
      <c r="D340" s="13">
        <f t="shared" si="11"/>
        <v>3.7468112687472417E-2</v>
      </c>
    </row>
    <row r="341" spans="1:4" s="110" customFormat="1" x14ac:dyDescent="0.2">
      <c r="A341" s="10">
        <v>43770</v>
      </c>
      <c r="B341" s="15">
        <f>VLOOKUP(A341,Database!A:M,MATCH($A$1,Database!$A$1:$M$1,),)</f>
        <v>372985</v>
      </c>
      <c r="C341" s="12">
        <f t="shared" si="10"/>
        <v>-2.0494928441663032E-3</v>
      </c>
      <c r="D341" s="13">
        <f t="shared" si="11"/>
        <v>2.8768048985671139E-2</v>
      </c>
    </row>
    <row r="342" spans="1:4" s="110" customFormat="1" x14ac:dyDescent="0.2">
      <c r="A342" s="11">
        <v>43800</v>
      </c>
      <c r="B342" s="15">
        <f>VLOOKUP(A342,Database!A:M,MATCH($A$1,Database!$A$1:$M$1,),)</f>
        <v>374946</v>
      </c>
      <c r="C342" s="12">
        <f t="shared" si="10"/>
        <v>5.2575840851508777E-3</v>
      </c>
      <c r="D342" s="13">
        <f t="shared" si="11"/>
        <v>5.9588537839823659E-2</v>
      </c>
    </row>
    <row r="343" spans="1:4" s="110" customFormat="1" x14ac:dyDescent="0.2">
      <c r="A343" s="10">
        <v>43831</v>
      </c>
      <c r="B343" s="15">
        <f>VLOOKUP(A343,Database!A:M,MATCH($A$1,Database!$A$1:$M$1,),)</f>
        <v>378573</v>
      </c>
      <c r="C343" s="12">
        <f t="shared" si="10"/>
        <v>9.673392968587477E-3</v>
      </c>
      <c r="D343" s="13">
        <f t="shared" si="11"/>
        <v>4.1930654101690439E-2</v>
      </c>
    </row>
    <row r="344" spans="1:4" s="110" customFormat="1" x14ac:dyDescent="0.2">
      <c r="A344" s="11">
        <v>43862</v>
      </c>
      <c r="B344" s="15">
        <f>VLOOKUP(A344,Database!A:M,MATCH($A$1,Database!$A$1:$M$1,),)</f>
        <v>378665</v>
      </c>
      <c r="C344" s="12">
        <f t="shared" si="10"/>
        <v>2.4301785917115061E-4</v>
      </c>
      <c r="D344" s="13">
        <f t="shared" si="11"/>
        <v>4.9416074981847607E-2</v>
      </c>
    </row>
    <row r="345" spans="1:4" s="110" customFormat="1" x14ac:dyDescent="0.2">
      <c r="A345" s="10">
        <v>43891</v>
      </c>
      <c r="B345" s="15">
        <f>VLOOKUP(A345,Database!A:M,MATCH($A$1,Database!$A$1:$M$1,),)</f>
        <v>367684</v>
      </c>
      <c r="C345" s="12">
        <f t="shared" si="10"/>
        <v>-2.8999247355842236E-2</v>
      </c>
      <c r="D345" s="13">
        <f t="shared" si="11"/>
        <v>8.9622356744178382E-3</v>
      </c>
    </row>
    <row r="346" spans="1:4" s="110" customFormat="1" x14ac:dyDescent="0.2">
      <c r="A346" s="11">
        <v>43922</v>
      </c>
      <c r="B346" s="15">
        <f>VLOOKUP(A346,Database!A:M,MATCH($A$1,Database!$A$1:$M$1,),)</f>
        <v>315490</v>
      </c>
      <c r="C346" s="12">
        <f t="shared" si="10"/>
        <v>-0.141953416520708</v>
      </c>
      <c r="D346" s="13">
        <f t="shared" si="11"/>
        <v>-0.13953361516432566</v>
      </c>
    </row>
    <row r="347" spans="1:4" s="110" customFormat="1" x14ac:dyDescent="0.2">
      <c r="A347" s="10">
        <v>43952</v>
      </c>
      <c r="B347" s="15">
        <f>VLOOKUP(A347,Database!A:M,MATCH($A$1,Database!$A$1:$M$1,),)</f>
        <v>353737</v>
      </c>
      <c r="C347" s="12">
        <f t="shared" si="10"/>
        <v>0.12123046689276998</v>
      </c>
      <c r="D347" s="13">
        <f t="shared" si="11"/>
        <v>-3.8692845981384602E-2</v>
      </c>
    </row>
    <row r="348" spans="1:4" s="110" customFormat="1" x14ac:dyDescent="0.2">
      <c r="A348" s="11">
        <v>43983</v>
      </c>
      <c r="B348" s="15">
        <f>VLOOKUP(A348,Database!A:M,MATCH($A$1,Database!$A$1:$M$1,),)</f>
        <v>381322</v>
      </c>
      <c r="C348" s="12">
        <f t="shared" si="10"/>
        <v>7.7981664343848678E-2</v>
      </c>
      <c r="D348" s="13">
        <f t="shared" si="11"/>
        <v>2.9659392230880981E-2</v>
      </c>
    </row>
    <row r="349" spans="1:4" s="110" customFormat="1" x14ac:dyDescent="0.2">
      <c r="A349" s="10">
        <v>44013</v>
      </c>
      <c r="B349" s="15">
        <f>VLOOKUP(A349,Database!A:M,MATCH($A$1,Database!$A$1:$M$1,),)</f>
        <v>388073</v>
      </c>
      <c r="C349" s="12">
        <f t="shared" si="10"/>
        <v>1.7704197502373321E-2</v>
      </c>
      <c r="D349" s="13">
        <f t="shared" si="11"/>
        <v>4.2173220649409593E-2</v>
      </c>
    </row>
    <row r="350" spans="1:4" s="110" customFormat="1" x14ac:dyDescent="0.2">
      <c r="A350" s="11">
        <v>44044</v>
      </c>
      <c r="B350" s="15">
        <f>VLOOKUP(A350,Database!A:M,MATCH($A$1,Database!$A$1:$M$1,),)</f>
        <v>391699</v>
      </c>
      <c r="C350" s="12">
        <f t="shared" si="10"/>
        <v>9.3436028788398059E-3</v>
      </c>
      <c r="D350" s="13">
        <f t="shared" si="11"/>
        <v>4.8865979381443297E-2</v>
      </c>
    </row>
    <row r="351" spans="1:4" s="110" customFormat="1" x14ac:dyDescent="0.2">
      <c r="A351" s="10">
        <v>44075</v>
      </c>
      <c r="B351" s="15">
        <f>VLOOKUP(A351,Database!A:M,MATCH($A$1,Database!$A$1:$M$1,),)</f>
        <v>397938</v>
      </c>
      <c r="C351" s="12">
        <f t="shared" si="10"/>
        <v>1.5928046791030867E-2</v>
      </c>
      <c r="D351" s="13">
        <f t="shared" si="11"/>
        <v>6.8705939224664628E-2</v>
      </c>
    </row>
    <row r="352" spans="1:4" s="110" customFormat="1" x14ac:dyDescent="0.2">
      <c r="A352" s="11">
        <v>44105</v>
      </c>
      <c r="B352" s="15">
        <f>VLOOKUP(A352,Database!A:M,MATCH($A$1,Database!$A$1:$M$1,),)</f>
        <v>398444</v>
      </c>
      <c r="C352" s="12">
        <f t="shared" si="10"/>
        <v>1.2715548653307802E-3</v>
      </c>
      <c r="D352" s="13">
        <f t="shared" si="11"/>
        <v>6.6068050654045071E-2</v>
      </c>
    </row>
    <row r="353" spans="1:4" s="110" customFormat="1" x14ac:dyDescent="0.2">
      <c r="A353" s="10">
        <v>44136</v>
      </c>
      <c r="B353" s="15">
        <f>VLOOKUP(A353,Database!A:M,MATCH($A$1,Database!$A$1:$M$1,),)</f>
        <v>393705</v>
      </c>
      <c r="C353" s="12">
        <f t="shared" si="10"/>
        <v>-1.1893766752667878E-2</v>
      </c>
      <c r="D353" s="13">
        <f t="shared" si="11"/>
        <v>5.5551831843103611E-2</v>
      </c>
    </row>
    <row r="354" spans="1:4" s="110" customFormat="1" x14ac:dyDescent="0.2">
      <c r="A354" s="11">
        <v>44166</v>
      </c>
      <c r="B354" s="15">
        <f>VLOOKUP(A354,Database!A:M,MATCH($A$1,Database!$A$1:$M$1,),)</f>
        <v>382427</v>
      </c>
      <c r="C354" s="12">
        <f t="shared" si="10"/>
        <v>-2.8645813489795658E-2</v>
      </c>
      <c r="D354" s="13">
        <f t="shared" si="11"/>
        <v>1.9952206451062285E-2</v>
      </c>
    </row>
    <row r="355" spans="1:4" s="110" customFormat="1" x14ac:dyDescent="0.2">
      <c r="A355" s="10">
        <v>44197</v>
      </c>
      <c r="B355" s="15">
        <f>VLOOKUP(A355,Database!A:M,MATCH($A$1,Database!$A$1:$M$1,),)</f>
        <v>415492</v>
      </c>
      <c r="C355" s="12">
        <f t="shared" si="10"/>
        <v>8.6460945487635554E-2</v>
      </c>
      <c r="D355" s="13">
        <f t="shared" si="11"/>
        <v>9.7521481986301187E-2</v>
      </c>
    </row>
    <row r="356" spans="1:4" s="110" customFormat="1" x14ac:dyDescent="0.2">
      <c r="A356" s="11">
        <v>44228</v>
      </c>
      <c r="B356" s="15">
        <f>VLOOKUP(A356,Database!A:M,MATCH($A$1,Database!$A$1:$M$1,),)</f>
        <v>402025</v>
      </c>
      <c r="C356" s="12">
        <f t="shared" si="10"/>
        <v>-3.2412176407728671E-2</v>
      </c>
      <c r="D356" s="13">
        <f t="shared" si="11"/>
        <v>6.1690412369772754E-2</v>
      </c>
    </row>
    <row r="357" spans="1:4" s="110" customFormat="1" x14ac:dyDescent="0.2">
      <c r="A357" s="10">
        <v>44256</v>
      </c>
      <c r="B357" s="15">
        <f>VLOOKUP(A357,Database!A:M,MATCH($A$1,Database!$A$1:$M$1,),)</f>
        <v>441234</v>
      </c>
      <c r="C357" s="12">
        <f t="shared" si="10"/>
        <v>9.7528760649213356E-2</v>
      </c>
      <c r="D357" s="13">
        <f t="shared" si="11"/>
        <v>0.20003590039272853</v>
      </c>
    </row>
    <row r="358" spans="1:4" s="110" customFormat="1" x14ac:dyDescent="0.2">
      <c r="A358" s="11">
        <v>44287</v>
      </c>
      <c r="B358" s="15">
        <f>VLOOKUP(A358,Database!A:M,MATCH($A$1,Database!$A$1:$M$1,),)</f>
        <v>441556</v>
      </c>
      <c r="C358" s="12">
        <f t="shared" si="10"/>
        <v>7.2977150446248474E-4</v>
      </c>
      <c r="D358" s="13">
        <f t="shared" si="11"/>
        <v>0.39958794256553298</v>
      </c>
    </row>
    <row r="359" spans="1:4" s="110" customFormat="1" x14ac:dyDescent="0.2">
      <c r="A359" s="10">
        <v>44317</v>
      </c>
      <c r="B359" s="15">
        <f>VLOOKUP(A359,Database!A:M,MATCH($A$1,Database!$A$1:$M$1,),)</f>
        <v>438636</v>
      </c>
      <c r="C359" s="12">
        <f t="shared" si="10"/>
        <v>-6.6129777423475167E-3</v>
      </c>
      <c r="D359" s="13">
        <f t="shared" si="11"/>
        <v>0.24000599315310528</v>
      </c>
    </row>
    <row r="360" spans="1:4" s="110" customFormat="1" x14ac:dyDescent="0.2">
      <c r="A360" s="11">
        <v>44348</v>
      </c>
      <c r="B360" s="15">
        <f>VLOOKUP(A360,Database!A:M,MATCH($A$1,Database!$A$1:$M$1,),)</f>
        <v>445079</v>
      </c>
      <c r="C360" s="12">
        <f t="shared" si="10"/>
        <v>1.4688716840387018E-2</v>
      </c>
      <c r="D360" s="13">
        <f t="shared" si="11"/>
        <v>0.1671998992977064</v>
      </c>
    </row>
    <row r="361" spans="1:4" s="110" customFormat="1" x14ac:dyDescent="0.2">
      <c r="A361" s="10">
        <v>44378</v>
      </c>
      <c r="B361" s="15">
        <f>VLOOKUP(A361,Database!A:M,MATCH($A$1,Database!$A$1:$M$1,),)</f>
        <v>439427</v>
      </c>
      <c r="C361" s="12">
        <f t="shared" si="10"/>
        <v>-1.2698869189514671E-2</v>
      </c>
      <c r="D361" s="13">
        <f t="shared" si="11"/>
        <v>0.1323307728185161</v>
      </c>
    </row>
    <row r="362" spans="1:4" s="110" customFormat="1" x14ac:dyDescent="0.2">
      <c r="A362" s="11">
        <v>44409</v>
      </c>
      <c r="B362" s="15">
        <f>VLOOKUP(A362,Database!A:M,MATCH($A$1,Database!$A$1:$M$1,),)</f>
        <v>449135</v>
      </c>
      <c r="C362" s="12">
        <f t="shared" si="10"/>
        <v>2.2092406702364672E-2</v>
      </c>
      <c r="D362" s="13">
        <f t="shared" si="11"/>
        <v>0.14663300136073873</v>
      </c>
    </row>
    <row r="363" spans="1:4" s="110" customFormat="1" x14ac:dyDescent="0.2">
      <c r="A363" s="11">
        <v>44440</v>
      </c>
      <c r="B363" s="15">
        <f>VLOOKUP(A363,Database!A:M,MATCH($A$1,Database!$A$1:$M$1,),)</f>
        <v>450508</v>
      </c>
      <c r="C363" s="12">
        <f t="shared" si="10"/>
        <v>3.0569873200708029E-3</v>
      </c>
      <c r="D363" s="13">
        <f t="shared" si="11"/>
        <v>0.13210600646331841</v>
      </c>
    </row>
    <row r="364" spans="1:4" s="110" customFormat="1" x14ac:dyDescent="0.2">
      <c r="A364" s="10">
        <v>44470</v>
      </c>
      <c r="B364" s="15">
        <f>VLOOKUP(A364,Database!A:M,MATCH($A$1,Database!$A$1:$M$1,),)</f>
        <v>457642</v>
      </c>
      <c r="C364" s="12">
        <f t="shared" si="10"/>
        <v>1.5835456862031305E-2</v>
      </c>
      <c r="D364" s="13">
        <f t="shared" si="11"/>
        <v>0.14857294877071808</v>
      </c>
    </row>
    <row r="365" spans="1:4" s="110" customFormat="1" x14ac:dyDescent="0.2">
      <c r="A365" s="11">
        <v>44501</v>
      </c>
      <c r="B365" s="15">
        <f>VLOOKUP(A365,Database!A:M,MATCH($A$1,Database!$A$1:$M$1,),)</f>
        <v>458472</v>
      </c>
      <c r="C365" s="12">
        <f t="shared" si="10"/>
        <v>1.8136447266640736E-3</v>
      </c>
      <c r="D365" s="13">
        <f t="shared" si="11"/>
        <v>0.16450641978130834</v>
      </c>
    </row>
    <row r="366" spans="1:4" s="110" customFormat="1" x14ac:dyDescent="0.2">
      <c r="A366" s="11">
        <v>44531</v>
      </c>
      <c r="B366" s="15">
        <f>VLOOKUP(A366,Database!A:M,MATCH($A$1,Database!$A$1:$M$1,),)</f>
        <v>445904</v>
      </c>
      <c r="C366" s="12">
        <f t="shared" si="10"/>
        <v>-2.7412797291873878E-2</v>
      </c>
      <c r="D366" s="13">
        <f t="shared" si="11"/>
        <v>0.16598461928681812</v>
      </c>
    </row>
    <row r="367" spans="1:4" s="110" customFormat="1" x14ac:dyDescent="0.2"/>
    <row r="368" spans="1:4" s="110" customFormat="1" x14ac:dyDescent="0.2"/>
    <row r="369" s="110" customFormat="1" x14ac:dyDescent="0.2"/>
    <row r="370" s="110" customFormat="1" x14ac:dyDescent="0.2"/>
    <row r="371" s="110" customFormat="1" x14ac:dyDescent="0.2"/>
    <row r="372" s="110" customFormat="1" x14ac:dyDescent="0.2"/>
    <row r="373" s="110" customFormat="1" x14ac:dyDescent="0.2"/>
    <row r="374" s="110" customFormat="1" x14ac:dyDescent="0.2"/>
    <row r="375" s="110" customFormat="1" x14ac:dyDescent="0.2"/>
    <row r="376" s="110" customFormat="1" x14ac:dyDescent="0.2"/>
    <row r="377" s="110" customFormat="1" x14ac:dyDescent="0.2"/>
    <row r="378" s="110" customFormat="1" x14ac:dyDescent="0.2"/>
    <row r="379" s="110" customFormat="1" x14ac:dyDescent="0.2"/>
    <row r="380" s="110" customFormat="1" x14ac:dyDescent="0.2"/>
    <row r="381" s="110" customFormat="1" x14ac:dyDescent="0.2"/>
    <row r="382" s="110" customFormat="1" x14ac:dyDescent="0.2"/>
    <row r="383" s="110" customFormat="1" x14ac:dyDescent="0.2"/>
    <row r="38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38"/>
  <sheetViews>
    <sheetView zoomScale="160" zoomScaleNormal="160" workbookViewId="0">
      <pane ySplit="6" topLeftCell="A350" activePane="bottomLeft" state="frozen"/>
      <selection pane="bottomLeft" activeCell="U355" sqref="U355"/>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91"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110" customFormat="1" x14ac:dyDescent="0.2">
      <c r="A338" s="11">
        <v>43678</v>
      </c>
      <c r="B338" s="15">
        <f>VLOOKUP(A338,Database!A:K,MATCH('Retail Sales'!$A$1,Database!$A$1:$K$1,),)</f>
        <v>521833</v>
      </c>
      <c r="C338" s="12">
        <f t="shared" si="10"/>
        <v>4.5933463856755357E-3</v>
      </c>
      <c r="D338" s="13">
        <f t="shared" si="9"/>
        <v>3.9688153126139387E-2</v>
      </c>
    </row>
    <row r="339" spans="1:4" s="110" customFormat="1" x14ac:dyDescent="0.2">
      <c r="A339" s="10">
        <v>43709</v>
      </c>
      <c r="B339" s="15">
        <f>VLOOKUP(A339,Database!A:K,MATCH('Retail Sales'!$A$1,Database!$A$1:$K$1,),)</f>
        <v>518605</v>
      </c>
      <c r="C339" s="12">
        <f t="shared" si="10"/>
        <v>-6.1858870558205402E-3</v>
      </c>
      <c r="D339" s="13">
        <f t="shared" ref="D339:D402" si="11">(B339-B327)/B327</f>
        <v>3.6459603247248992E-2</v>
      </c>
    </row>
    <row r="340" spans="1:4" s="110" customFormat="1" x14ac:dyDescent="0.2">
      <c r="A340" s="11">
        <v>43739</v>
      </c>
      <c r="B340" s="15">
        <f>VLOOKUP(A340,Database!A:K,MATCH('Retail Sales'!$A$1,Database!$A$1:$K$1,),)</f>
        <v>521114</v>
      </c>
      <c r="C340" s="12">
        <f t="shared" si="10"/>
        <v>4.8379788085344336E-3</v>
      </c>
      <c r="D340" s="13">
        <f t="shared" si="11"/>
        <v>2.9849212466156794E-2</v>
      </c>
    </row>
    <row r="341" spans="1:4" s="110" customFormat="1" x14ac:dyDescent="0.2">
      <c r="A341" s="10">
        <v>43770</v>
      </c>
      <c r="B341" s="15">
        <f>VLOOKUP(A341,Database!A:K,MATCH('Retail Sales'!$A$1,Database!$A$1:$K$1,),)</f>
        <v>522805</v>
      </c>
      <c r="C341" s="12">
        <f t="shared" si="10"/>
        <v>3.2449713498389986E-3</v>
      </c>
      <c r="D341" s="13">
        <f t="shared" si="11"/>
        <v>3.1228487513141726E-2</v>
      </c>
    </row>
    <row r="342" spans="1:4" s="110" customFormat="1" x14ac:dyDescent="0.2">
      <c r="A342" s="11">
        <v>43800</v>
      </c>
      <c r="B342" s="15">
        <f>VLOOKUP(A342,Database!A:K,MATCH('Retail Sales'!$A$1,Database!$A$1:$K$1,),)</f>
        <v>523862</v>
      </c>
      <c r="C342" s="12">
        <f t="shared" si="10"/>
        <v>2.0217863256854849E-3</v>
      </c>
      <c r="D342" s="13">
        <f t="shared" si="11"/>
        <v>5.4912171536852107E-2</v>
      </c>
    </row>
    <row r="343" spans="1:4" s="110" customFormat="1" x14ac:dyDescent="0.2">
      <c r="A343" s="10">
        <v>43831</v>
      </c>
      <c r="B343" s="15">
        <f>VLOOKUP(A343,Database!A:K,MATCH('Retail Sales'!$A$1,Database!$A$1:$K$1,),)</f>
        <v>526930</v>
      </c>
      <c r="C343" s="12">
        <f t="shared" si="10"/>
        <v>5.8565041938525792E-3</v>
      </c>
      <c r="D343" s="13">
        <f t="shared" si="11"/>
        <v>4.8149680540415817E-2</v>
      </c>
    </row>
    <row r="344" spans="1:4" s="110" customFormat="1" x14ac:dyDescent="0.2">
      <c r="A344" s="11">
        <v>43862</v>
      </c>
      <c r="B344" s="15">
        <f>VLOOKUP(A344,Database!A:K,MATCH('Retail Sales'!$A$1,Database!$A$1:$K$1,),)</f>
        <v>525810</v>
      </c>
      <c r="C344" s="12">
        <f t="shared" si="10"/>
        <v>-2.1255195187216518E-3</v>
      </c>
      <c r="D344" s="13">
        <f t="shared" si="11"/>
        <v>4.6123666257483181E-2</v>
      </c>
    </row>
    <row r="345" spans="1:4" s="110" customFormat="1" x14ac:dyDescent="0.2">
      <c r="A345" s="10">
        <v>43891</v>
      </c>
      <c r="B345" s="15">
        <f>VLOOKUP(A345,Database!A:K,MATCH('Retail Sales'!$A$1,Database!$A$1:$K$1,),)</f>
        <v>480407</v>
      </c>
      <c r="C345" s="12">
        <f t="shared" si="10"/>
        <v>-8.6348681082520307E-2</v>
      </c>
      <c r="D345" s="13">
        <f t="shared" si="11"/>
        <v>-5.8616162407900928E-2</v>
      </c>
    </row>
    <row r="346" spans="1:4" s="110" customFormat="1" x14ac:dyDescent="0.2">
      <c r="A346" s="11">
        <v>43922</v>
      </c>
      <c r="B346" s="15">
        <f>VLOOKUP(A346,Database!A:K,MATCH('Retail Sales'!$A$1,Database!$A$1:$K$1,),)</f>
        <v>409819</v>
      </c>
      <c r="C346" s="12">
        <f t="shared" si="10"/>
        <v>-0.14693374576140647</v>
      </c>
      <c r="D346" s="13">
        <f t="shared" si="11"/>
        <v>-0.20008158867596024</v>
      </c>
    </row>
    <row r="347" spans="1:4" s="110" customFormat="1" x14ac:dyDescent="0.2">
      <c r="A347" s="10">
        <v>43952</v>
      </c>
      <c r="B347" s="15">
        <f>VLOOKUP(A347,Database!A:K,MATCH('Retail Sales'!$A$1,Database!$A$1:$K$1,),)</f>
        <v>484295</v>
      </c>
      <c r="C347" s="12">
        <f t="shared" si="10"/>
        <v>0.18172900719585963</v>
      </c>
      <c r="D347" s="13">
        <f t="shared" si="11"/>
        <v>-5.7553466830132134E-2</v>
      </c>
    </row>
    <row r="348" spans="1:4" s="110" customFormat="1" x14ac:dyDescent="0.2">
      <c r="A348" s="11">
        <v>43983</v>
      </c>
      <c r="B348" s="15">
        <f>VLOOKUP(A348,Database!A:K,MATCH('Retail Sales'!$A$1,Database!$A$1:$K$1,),)</f>
        <v>526187</v>
      </c>
      <c r="C348" s="12">
        <f t="shared" si="10"/>
        <v>8.6500996293581392E-2</v>
      </c>
      <c r="D348" s="13">
        <f t="shared" si="11"/>
        <v>1.9918164179480568E-2</v>
      </c>
    </row>
    <row r="349" spans="1:4" s="110" customFormat="1" x14ac:dyDescent="0.2">
      <c r="A349" s="10">
        <v>44013</v>
      </c>
      <c r="B349" s="15">
        <f>VLOOKUP(A349,Database!A:K,MATCH('Retail Sales'!$A$1,Database!$A$1:$K$1,),)</f>
        <v>533517</v>
      </c>
      <c r="C349" s="12">
        <f t="shared" si="10"/>
        <v>1.3930408771026271E-2</v>
      </c>
      <c r="D349" s="13">
        <f t="shared" si="11"/>
        <v>2.7086497756267723E-2</v>
      </c>
    </row>
    <row r="350" spans="1:4" s="110" customFormat="1" x14ac:dyDescent="0.2">
      <c r="A350" s="11">
        <v>44044</v>
      </c>
      <c r="B350" s="15">
        <f>VLOOKUP(A350,Database!A:K,MATCH('Retail Sales'!$A$1,Database!$A$1:$K$1,),)</f>
        <v>537980</v>
      </c>
      <c r="C350" s="12">
        <f t="shared" si="10"/>
        <v>8.3652442190220739E-3</v>
      </c>
      <c r="D350" s="13">
        <f t="shared" si="11"/>
        <v>3.0942849532321643E-2</v>
      </c>
    </row>
    <row r="351" spans="1:4" s="110" customFormat="1" x14ac:dyDescent="0.2">
      <c r="A351" s="10">
        <v>44075</v>
      </c>
      <c r="B351" s="15">
        <f>VLOOKUP(A351,Database!A:K,MATCH('Retail Sales'!$A$1,Database!$A$1:$K$1,),)</f>
        <v>549211</v>
      </c>
      <c r="C351" s="12">
        <f t="shared" si="10"/>
        <v>2.087624075244433E-2</v>
      </c>
      <c r="D351" s="13">
        <f t="shared" si="11"/>
        <v>5.9016014114788712E-2</v>
      </c>
    </row>
    <row r="352" spans="1:4" s="110" customFormat="1" x14ac:dyDescent="0.2">
      <c r="A352" s="11">
        <v>44105</v>
      </c>
      <c r="B352" s="15">
        <f>VLOOKUP(A352,Database!A:K,MATCH('Retail Sales'!$A$1,Database!$A$1:$K$1,),)</f>
        <v>548930</v>
      </c>
      <c r="C352" s="12">
        <f t="shared" si="10"/>
        <v>-5.1164306614397744E-4</v>
      </c>
      <c r="D352" s="13">
        <f t="shared" si="11"/>
        <v>5.3377955687239263E-2</v>
      </c>
    </row>
    <row r="353" spans="1:4" s="110" customFormat="1" x14ac:dyDescent="0.2">
      <c r="A353" s="10">
        <v>44136</v>
      </c>
      <c r="B353" s="15">
        <f>VLOOKUP(A353,Database!A:K,MATCH('Retail Sales'!$A$1,Database!$A$1:$K$1,),)</f>
        <v>541247</v>
      </c>
      <c r="C353" s="12">
        <f t="shared" si="10"/>
        <v>-1.3996320113675697E-2</v>
      </c>
      <c r="D353" s="13">
        <f t="shared" si="11"/>
        <v>3.5275102571704554E-2</v>
      </c>
    </row>
    <row r="354" spans="1:4" s="110" customFormat="1" x14ac:dyDescent="0.2">
      <c r="A354" s="11">
        <v>44166</v>
      </c>
      <c r="B354" s="15">
        <f>VLOOKUP(A354,Database!A:K,MATCH('Retail Sales'!$A$1,Database!$A$1:$K$1,),)</f>
        <v>535972</v>
      </c>
      <c r="C354" s="12">
        <f t="shared" si="10"/>
        <v>-9.7460124490297406E-3</v>
      </c>
      <c r="D354" s="13">
        <f t="shared" si="11"/>
        <v>2.311677502853805E-2</v>
      </c>
    </row>
    <row r="355" spans="1:4" s="110" customFormat="1" x14ac:dyDescent="0.2">
      <c r="A355" s="10">
        <v>44197</v>
      </c>
      <c r="B355" s="15">
        <f>VLOOKUP(A355,Database!A:K,MATCH('Retail Sales'!$A$1,Database!$A$1:$K$1,),)</f>
        <v>576466</v>
      </c>
      <c r="C355" s="12">
        <f t="shared" si="10"/>
        <v>7.5552454232683794E-2</v>
      </c>
      <c r="D355" s="13">
        <f t="shared" si="11"/>
        <v>9.4008691856603349E-2</v>
      </c>
    </row>
    <row r="356" spans="1:4" s="110" customFormat="1" x14ac:dyDescent="0.2">
      <c r="A356" s="11">
        <v>44228</v>
      </c>
      <c r="B356" s="15">
        <f>VLOOKUP(A356,Database!A:K,MATCH('Retail Sales'!$A$1,Database!$A$1:$K$1,),)</f>
        <v>559970</v>
      </c>
      <c r="C356" s="12">
        <f t="shared" si="10"/>
        <v>-2.8615737961996023E-2</v>
      </c>
      <c r="D356" s="13">
        <f t="shared" si="11"/>
        <v>6.4966432741864935E-2</v>
      </c>
    </row>
    <row r="357" spans="1:4" s="110" customFormat="1" x14ac:dyDescent="0.2">
      <c r="A357" s="10">
        <v>44256</v>
      </c>
      <c r="B357" s="15">
        <f>VLOOKUP(A357,Database!A:K,MATCH('Retail Sales'!$A$1,Database!$A$1:$K$1,),)</f>
        <v>623119</v>
      </c>
      <c r="C357" s="12">
        <f t="shared" si="10"/>
        <v>0.1127721127917567</v>
      </c>
      <c r="D357" s="13">
        <f t="shared" si="11"/>
        <v>0.29706478048821106</v>
      </c>
    </row>
    <row r="358" spans="1:4" s="110" customFormat="1" x14ac:dyDescent="0.2">
      <c r="A358" s="11">
        <v>44287</v>
      </c>
      <c r="B358" s="15">
        <f>VLOOKUP(A358,Database!A:K,MATCH('Retail Sales'!$A$1,Database!$A$1:$K$1,),)</f>
        <v>628751</v>
      </c>
      <c r="C358" s="12">
        <f t="shared" si="10"/>
        <v>9.0384019745827042E-3</v>
      </c>
      <c r="D358" s="13">
        <f t="shared" si="11"/>
        <v>0.53421632476776337</v>
      </c>
    </row>
    <row r="359" spans="1:4" s="110" customFormat="1" x14ac:dyDescent="0.2">
      <c r="A359" s="10">
        <v>44317</v>
      </c>
      <c r="B359" s="15">
        <f>VLOOKUP(A359,Database!A:K,MATCH('Retail Sales'!$A$1,Database!$A$1:$K$1,),)</f>
        <v>620119</v>
      </c>
      <c r="C359" s="12">
        <f t="shared" si="10"/>
        <v>-1.3728805202695503E-2</v>
      </c>
      <c r="D359" s="13">
        <f t="shared" si="11"/>
        <v>0.28045715937600019</v>
      </c>
    </row>
    <row r="360" spans="1:4" s="110" customFormat="1" x14ac:dyDescent="0.2">
      <c r="A360" s="11">
        <v>44348</v>
      </c>
      <c r="B360" s="15">
        <f>VLOOKUP(A360,Database!A:K,MATCH('Retail Sales'!$A$1,Database!$A$1:$K$1,),)</f>
        <v>625405</v>
      </c>
      <c r="C360" s="12">
        <f t="shared" si="10"/>
        <v>8.5241703608500956E-3</v>
      </c>
      <c r="D360" s="13">
        <f t="shared" si="11"/>
        <v>0.18856034071537306</v>
      </c>
    </row>
    <row r="361" spans="1:4" s="110" customFormat="1" x14ac:dyDescent="0.2">
      <c r="A361" s="10">
        <v>44378</v>
      </c>
      <c r="B361" s="15">
        <f>VLOOKUP(A361,Database!A:K,MATCH('Retail Sales'!$A$1,Database!$A$1:$K$1,),)</f>
        <v>615250</v>
      </c>
      <c r="C361" s="12">
        <f t="shared" si="10"/>
        <v>-1.6237478114182011E-2</v>
      </c>
      <c r="D361" s="13">
        <f t="shared" si="11"/>
        <v>0.15319661791470562</v>
      </c>
    </row>
    <row r="362" spans="1:4" s="110" customFormat="1" x14ac:dyDescent="0.2">
      <c r="A362" s="11">
        <v>44409</v>
      </c>
      <c r="B362" s="15">
        <f>VLOOKUP(A362,Database!A:K,MATCH('Retail Sales'!$A$1,Database!$A$1:$K$1,),)</f>
        <v>622383</v>
      </c>
      <c r="C362" s="12">
        <f t="shared" si="10"/>
        <v>1.1593661113368549E-2</v>
      </c>
      <c r="D362" s="13">
        <f t="shared" si="11"/>
        <v>0.15688873192311981</v>
      </c>
    </row>
    <row r="363" spans="1:4" s="110" customFormat="1" x14ac:dyDescent="0.2">
      <c r="A363" s="11">
        <v>44440</v>
      </c>
      <c r="B363" s="15">
        <f>VLOOKUP(A363,Database!A:K,MATCH('Retail Sales'!$A$1,Database!$A$1:$K$1,),)</f>
        <v>626999</v>
      </c>
      <c r="C363" s="12">
        <f t="shared" si="10"/>
        <v>7.416655017890913E-3</v>
      </c>
      <c r="D363" s="13">
        <f t="shared" si="11"/>
        <v>0.14163591042422674</v>
      </c>
    </row>
    <row r="364" spans="1:4" s="110" customFormat="1" x14ac:dyDescent="0.2">
      <c r="A364" s="10">
        <v>44470</v>
      </c>
      <c r="B364" s="15">
        <f>VLOOKUP(A364,Database!A:K,MATCH('Retail Sales'!$A$1,Database!$A$1:$K$1,),)</f>
        <v>638190</v>
      </c>
      <c r="C364" s="12">
        <f t="shared" si="10"/>
        <v>1.7848513315013262E-2</v>
      </c>
      <c r="D364" s="13">
        <f t="shared" si="11"/>
        <v>0.16260725411254623</v>
      </c>
    </row>
    <row r="365" spans="1:4" s="110" customFormat="1" x14ac:dyDescent="0.2">
      <c r="A365" s="11">
        <v>44501</v>
      </c>
      <c r="B365" s="15">
        <f>VLOOKUP(A365,Database!A:K,MATCH('Retail Sales'!$A$1,Database!$A$1:$K$1,),)</f>
        <v>639829</v>
      </c>
      <c r="C365" s="12">
        <f t="shared" si="10"/>
        <v>2.5682006925837131E-3</v>
      </c>
      <c r="D365" s="13">
        <f t="shared" si="11"/>
        <v>0.18213865388630329</v>
      </c>
    </row>
    <row r="366" spans="1:4" s="110" customFormat="1" x14ac:dyDescent="0.2">
      <c r="A366" s="11">
        <v>44531</v>
      </c>
      <c r="B366" s="15">
        <f>VLOOKUP(A366,Database!A:K,MATCH('Retail Sales'!$A$1,Database!$A$1:$K$1,),)</f>
        <v>626833</v>
      </c>
      <c r="C366" s="12">
        <f t="shared" si="10"/>
        <v>-2.0311677026205441E-2</v>
      </c>
      <c r="D366" s="13">
        <f t="shared" si="11"/>
        <v>0.16952564686214952</v>
      </c>
    </row>
    <row r="367" spans="1:4" s="110" customFormat="1" x14ac:dyDescent="0.2">
      <c r="A367" s="54"/>
      <c r="B367" s="14"/>
      <c r="C367" s="54"/>
      <c r="D367" s="54"/>
    </row>
    <row r="368" spans="1:4" s="110" customFormat="1" x14ac:dyDescent="0.2">
      <c r="A368" s="54"/>
      <c r="B368" s="14"/>
      <c r="C368" s="54"/>
      <c r="D368" s="54"/>
    </row>
    <row r="369" spans="1:4" s="110" customFormat="1" x14ac:dyDescent="0.2">
      <c r="A369" s="54"/>
      <c r="B369" s="14"/>
      <c r="C369" s="54"/>
      <c r="D369" s="54"/>
    </row>
    <row r="370" spans="1:4" s="110" customFormat="1" x14ac:dyDescent="0.2">
      <c r="A370" s="54"/>
      <c r="B370" s="14"/>
      <c r="C370" s="54"/>
      <c r="D370" s="54"/>
    </row>
    <row r="371" spans="1:4" s="110" customFormat="1" x14ac:dyDescent="0.2">
      <c r="A371" s="54"/>
      <c r="B371" s="14"/>
      <c r="C371" s="54"/>
      <c r="D371" s="54"/>
    </row>
    <row r="372" spans="1:4" s="110" customFormat="1" x14ac:dyDescent="0.2">
      <c r="A372" s="54"/>
      <c r="B372" s="14"/>
      <c r="C372" s="54"/>
      <c r="D372" s="54"/>
    </row>
    <row r="373" spans="1:4" s="110" customFormat="1" x14ac:dyDescent="0.2">
      <c r="A373" s="54"/>
      <c r="B373" s="14"/>
      <c r="C373" s="54"/>
      <c r="D373" s="54"/>
    </row>
    <row r="374" spans="1:4" s="110" customFormat="1" x14ac:dyDescent="0.2">
      <c r="A374" s="54"/>
      <c r="B374" s="14"/>
      <c r="C374" s="54"/>
      <c r="D374" s="54"/>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sheetData>
  <conditionalFormatting sqref="C8:C366">
    <cfRule type="colorScale" priority="42">
      <colorScale>
        <cfvo type="min"/>
        <cfvo type="percentile" val="50"/>
        <cfvo type="max"/>
        <color rgb="FFF8696B"/>
        <color rgb="FFFFEB84"/>
        <color rgb="FF63BE7B"/>
      </colorScale>
    </cfRule>
  </conditionalFormatting>
  <conditionalFormatting sqref="D19:D366">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04"/>
  <sheetViews>
    <sheetView zoomScale="160" zoomScaleNormal="160" workbookViewId="0">
      <pane ySplit="6" topLeftCell="A350" activePane="bottomLeft" state="frozen"/>
      <selection pane="bottomLeft" activeCell="P368" sqref="P368"/>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91"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110" customFormat="1" x14ac:dyDescent="0.2">
      <c r="A336" s="11">
        <v>43617</v>
      </c>
      <c r="B336" s="15">
        <f>VLOOKUP(A336,Database!A:M,MATCH($A$1,Database!$A$1:$M$1,),)</f>
        <v>412955</v>
      </c>
      <c r="C336" s="12">
        <f t="shared" si="10"/>
        <v>4.1434549703222604E-3</v>
      </c>
      <c r="D336" s="13">
        <f t="shared" si="9"/>
        <v>3.4876377688340461E-2</v>
      </c>
    </row>
    <row r="337" spans="1:4" s="110" customFormat="1" x14ac:dyDescent="0.2">
      <c r="A337" s="10">
        <v>43647</v>
      </c>
      <c r="B337" s="15">
        <f>VLOOKUP(A337,Database!A:M,MATCH($A$1,Database!$A$1:$M$1,),)</f>
        <v>415767</v>
      </c>
      <c r="C337" s="12">
        <f t="shared" si="10"/>
        <v>6.8094586577229967E-3</v>
      </c>
      <c r="D337" s="13">
        <f t="shared" si="9"/>
        <v>3.4815159577777831E-2</v>
      </c>
    </row>
    <row r="338" spans="1:4" s="110" customFormat="1" x14ac:dyDescent="0.2">
      <c r="A338" s="11">
        <v>43678</v>
      </c>
      <c r="B338" s="15">
        <f>VLOOKUP(A338,Database!A:M,MATCH($A$1,Database!$A$1:$M$1,),)</f>
        <v>416233</v>
      </c>
      <c r="C338" s="12">
        <f t="shared" si="10"/>
        <v>1.1208200747053036E-3</v>
      </c>
      <c r="D338" s="13">
        <f t="shared" si="9"/>
        <v>3.4880309494684292E-2</v>
      </c>
    </row>
    <row r="339" spans="1:4" s="110" customFormat="1" x14ac:dyDescent="0.2">
      <c r="A339" s="10">
        <v>43709</v>
      </c>
      <c r="B339" s="15">
        <f>VLOOKUP(A339,Database!A:M,MATCH($A$1,Database!$A$1:$M$1,),)</f>
        <v>414893</v>
      </c>
      <c r="C339" s="12">
        <f t="shared" si="10"/>
        <v>-3.2193507002087774E-3</v>
      </c>
      <c r="D339" s="13">
        <f t="shared" ref="D339:D402" si="11">(B339-B327)/B327</f>
        <v>3.4780071231182097E-2</v>
      </c>
    </row>
    <row r="340" spans="1:4" s="110" customFormat="1" x14ac:dyDescent="0.2">
      <c r="A340" s="11">
        <v>43739</v>
      </c>
      <c r="B340" s="15">
        <f>VLOOKUP(A340,Database!A:M,MATCH($A$1,Database!$A$1:$M$1,),)</f>
        <v>417017</v>
      </c>
      <c r="C340" s="12">
        <f t="shared" si="10"/>
        <v>5.1193922288397253E-3</v>
      </c>
      <c r="D340" s="13">
        <f t="shared" si="11"/>
        <v>2.6804159249109276E-2</v>
      </c>
    </row>
    <row r="341" spans="1:4" s="110" customFormat="1" x14ac:dyDescent="0.2">
      <c r="A341" s="10">
        <v>43770</v>
      </c>
      <c r="B341" s="15">
        <f>VLOOKUP(A341,Database!A:M,MATCH($A$1,Database!$A$1:$M$1,),)</f>
        <v>416225</v>
      </c>
      <c r="C341" s="12">
        <f t="shared" si="10"/>
        <v>-1.8992031499914872E-3</v>
      </c>
      <c r="D341" s="13">
        <f t="shared" si="11"/>
        <v>2.4485757254287099E-2</v>
      </c>
    </row>
    <row r="342" spans="1:4" s="110" customFormat="1" x14ac:dyDescent="0.2">
      <c r="A342" s="11">
        <v>43800</v>
      </c>
      <c r="B342" s="15">
        <f>VLOOKUP(A342,Database!A:M,MATCH($A$1,Database!$A$1:$M$1,),)</f>
        <v>419039</v>
      </c>
      <c r="C342" s="12">
        <f t="shared" si="10"/>
        <v>6.7607664123971413E-3</v>
      </c>
      <c r="D342" s="13">
        <f t="shared" si="11"/>
        <v>6.1336501005516408E-2</v>
      </c>
    </row>
    <row r="343" spans="1:4" s="110" customFormat="1" x14ac:dyDescent="0.2">
      <c r="A343" s="10">
        <v>43831</v>
      </c>
      <c r="B343" s="15">
        <f>VLOOKUP(A343,Database!A:M,MATCH($A$1,Database!$A$1:$M$1,),)</f>
        <v>421768</v>
      </c>
      <c r="C343" s="12">
        <f t="shared" si="10"/>
        <v>6.5125203143382836E-3</v>
      </c>
      <c r="D343" s="13">
        <f t="shared" si="11"/>
        <v>4.6261773818649085E-2</v>
      </c>
    </row>
    <row r="344" spans="1:4" s="110" customFormat="1" x14ac:dyDescent="0.2">
      <c r="A344" s="11">
        <v>43862</v>
      </c>
      <c r="B344" s="15">
        <f>VLOOKUP(A344,Database!A:M,MATCH($A$1,Database!$A$1:$M$1,),)</f>
        <v>420290</v>
      </c>
      <c r="C344" s="12">
        <f t="shared" si="10"/>
        <v>-3.5042962007549175E-3</v>
      </c>
      <c r="D344" s="13">
        <f t="shared" si="11"/>
        <v>4.4785395029258664E-2</v>
      </c>
    </row>
    <row r="345" spans="1:4" s="110" customFormat="1" x14ac:dyDescent="0.2">
      <c r="A345" s="10">
        <v>43891</v>
      </c>
      <c r="B345" s="15">
        <f>VLOOKUP(A345,Database!A:M,MATCH($A$1,Database!$A$1:$M$1,),)</f>
        <v>402361</v>
      </c>
      <c r="C345" s="12">
        <f t="shared" si="10"/>
        <v>-4.265864046253777E-2</v>
      </c>
      <c r="D345" s="13">
        <f t="shared" si="11"/>
        <v>-1.1592316006681733E-2</v>
      </c>
    </row>
    <row r="346" spans="1:4" s="110" customFormat="1" x14ac:dyDescent="0.2">
      <c r="A346" s="11">
        <v>43922</v>
      </c>
      <c r="B346" s="15">
        <f>VLOOKUP(A346,Database!A:M,MATCH($A$1,Database!$A$1:$M$1,),)</f>
        <v>341621</v>
      </c>
      <c r="C346" s="12">
        <f t="shared" si="10"/>
        <v>-0.15095896471079454</v>
      </c>
      <c r="D346" s="13">
        <f t="shared" si="11"/>
        <v>-0.16705637384581248</v>
      </c>
    </row>
    <row r="347" spans="1:4" s="110" customFormat="1" x14ac:dyDescent="0.2">
      <c r="A347" s="10">
        <v>43952</v>
      </c>
      <c r="B347" s="15">
        <f>VLOOKUP(A347,Database!A:M,MATCH($A$1,Database!$A$1:$M$1,),)</f>
        <v>383353</v>
      </c>
      <c r="C347" s="12">
        <f t="shared" si="10"/>
        <v>0.12215876658636325</v>
      </c>
      <c r="D347" s="13">
        <f t="shared" si="11"/>
        <v>-6.7836917113879361E-2</v>
      </c>
    </row>
    <row r="348" spans="1:4" s="110" customFormat="1" x14ac:dyDescent="0.2">
      <c r="A348" s="11">
        <v>43983</v>
      </c>
      <c r="B348" s="15">
        <f>VLOOKUP(A348,Database!A:M,MATCH($A$1,Database!$A$1:$M$1,),)</f>
        <v>415613</v>
      </c>
      <c r="C348" s="12">
        <f t="shared" si="10"/>
        <v>8.4152204365167349E-2</v>
      </c>
      <c r="D348" s="13">
        <f t="shared" si="11"/>
        <v>6.4365366686442837E-3</v>
      </c>
    </row>
    <row r="349" spans="1:4" s="110" customFormat="1" x14ac:dyDescent="0.2">
      <c r="A349" s="10">
        <v>44013</v>
      </c>
      <c r="B349" s="15">
        <f>VLOOKUP(A349,Database!A:M,MATCH($A$1,Database!$A$1:$M$1,),)</f>
        <v>424069</v>
      </c>
      <c r="C349" s="12">
        <f t="shared" si="10"/>
        <v>2.0345850586964316E-2</v>
      </c>
      <c r="D349" s="13">
        <f t="shared" si="11"/>
        <v>1.9967914721466591E-2</v>
      </c>
    </row>
    <row r="350" spans="1:4" s="110" customFormat="1" x14ac:dyDescent="0.2">
      <c r="A350" s="11">
        <v>44044</v>
      </c>
      <c r="B350" s="15">
        <f>VLOOKUP(A350,Database!A:M,MATCH($A$1,Database!$A$1:$M$1,),)</f>
        <v>428168</v>
      </c>
      <c r="C350" s="12">
        <f t="shared" si="10"/>
        <v>9.6658798450252204E-3</v>
      </c>
      <c r="D350" s="13">
        <f t="shared" si="11"/>
        <v>2.8673843736561011E-2</v>
      </c>
    </row>
    <row r="351" spans="1:4" s="110" customFormat="1" x14ac:dyDescent="0.2">
      <c r="A351" s="10">
        <v>44075</v>
      </c>
      <c r="B351" s="15">
        <f>VLOOKUP(A351,Database!A:M,MATCH($A$1,Database!$A$1:$M$1,),)</f>
        <v>434837</v>
      </c>
      <c r="C351" s="12">
        <f t="shared" si="10"/>
        <v>1.5575661889725529E-2</v>
      </c>
      <c r="D351" s="13">
        <f t="shared" si="11"/>
        <v>4.8070225335206912E-2</v>
      </c>
    </row>
    <row r="352" spans="1:4" s="110" customFormat="1" x14ac:dyDescent="0.2">
      <c r="A352" s="11">
        <v>44105</v>
      </c>
      <c r="B352" s="15">
        <f>VLOOKUP(A352,Database!A:M,MATCH($A$1,Database!$A$1:$M$1,),)</f>
        <v>435315</v>
      </c>
      <c r="C352" s="12">
        <f t="shared" si="10"/>
        <v>1.0992624822634689E-3</v>
      </c>
      <c r="D352" s="13">
        <f t="shared" si="11"/>
        <v>4.387830711937403E-2</v>
      </c>
    </row>
    <row r="353" spans="1:4" s="110" customFormat="1" x14ac:dyDescent="0.2">
      <c r="A353" s="10">
        <v>44136</v>
      </c>
      <c r="B353" s="15">
        <f>VLOOKUP(A353,Database!A:M,MATCH($A$1,Database!$A$1:$M$1,),)</f>
        <v>429720</v>
      </c>
      <c r="C353" s="12">
        <f t="shared" si="10"/>
        <v>-1.2852761793184246E-2</v>
      </c>
      <c r="D353" s="13">
        <f t="shared" si="11"/>
        <v>3.2422367709772359E-2</v>
      </c>
    </row>
    <row r="354" spans="1:4" s="110" customFormat="1" x14ac:dyDescent="0.2">
      <c r="A354" s="11">
        <v>44166</v>
      </c>
      <c r="B354" s="15">
        <f>VLOOKUP(A354,Database!A:M,MATCH($A$1,Database!$A$1:$M$1,),)</f>
        <v>421525</v>
      </c>
      <c r="C354" s="12">
        <f t="shared" si="10"/>
        <v>-1.9070557572372707E-2</v>
      </c>
      <c r="D354" s="13">
        <f t="shared" si="11"/>
        <v>5.9326220232484329E-3</v>
      </c>
    </row>
    <row r="355" spans="1:4" s="110" customFormat="1" x14ac:dyDescent="0.2">
      <c r="A355" s="10">
        <v>44197</v>
      </c>
      <c r="B355" s="15">
        <f>VLOOKUP(A355,Database!A:M,MATCH($A$1,Database!$A$1:$M$1,),)</f>
        <v>456387</v>
      </c>
      <c r="C355" s="12">
        <f t="shared" si="10"/>
        <v>8.2704465927287821E-2</v>
      </c>
      <c r="D355" s="13">
        <f t="shared" si="11"/>
        <v>8.2080669941768936E-2</v>
      </c>
    </row>
    <row r="356" spans="1:4" s="110" customFormat="1" x14ac:dyDescent="0.2">
      <c r="A356" s="11">
        <v>44228</v>
      </c>
      <c r="B356" s="15">
        <f>VLOOKUP(A356,Database!A:M,MATCH($A$1,Database!$A$1:$M$1,),)</f>
        <v>444228</v>
      </c>
      <c r="C356" s="12">
        <f t="shared" si="10"/>
        <v>-2.6641863155611355E-2</v>
      </c>
      <c r="D356" s="13">
        <f t="shared" si="11"/>
        <v>5.6955911394513309E-2</v>
      </c>
    </row>
    <row r="357" spans="1:4" s="110" customFormat="1" x14ac:dyDescent="0.2">
      <c r="A357" s="10">
        <v>44256</v>
      </c>
      <c r="B357" s="15">
        <f>VLOOKUP(A357,Database!A:M,MATCH($A$1,Database!$A$1:$M$1,),)</f>
        <v>487687</v>
      </c>
      <c r="C357" s="12">
        <f t="shared" si="10"/>
        <v>9.7830393401586571E-2</v>
      </c>
      <c r="D357" s="13">
        <f t="shared" si="11"/>
        <v>0.21206329639304008</v>
      </c>
    </row>
    <row r="358" spans="1:4" s="110" customFormat="1" x14ac:dyDescent="0.2">
      <c r="A358" s="11">
        <v>44287</v>
      </c>
      <c r="B358" s="15">
        <f>VLOOKUP(A358,Database!A:M,MATCH($A$1,Database!$A$1:$M$1,),)</f>
        <v>487364</v>
      </c>
      <c r="C358" s="12">
        <f t="shared" si="10"/>
        <v>-6.6231004722291139E-4</v>
      </c>
      <c r="D358" s="13">
        <f t="shared" si="11"/>
        <v>0.4266218997075707</v>
      </c>
    </row>
    <row r="359" spans="1:4" s="110" customFormat="1" x14ac:dyDescent="0.2">
      <c r="A359" s="10">
        <v>44317</v>
      </c>
      <c r="B359" s="15">
        <f>VLOOKUP(A359,Database!A:M,MATCH($A$1,Database!$A$1:$M$1,),)</f>
        <v>485272</v>
      </c>
      <c r="C359" s="12">
        <f t="shared" si="10"/>
        <v>-4.2924795430109731E-3</v>
      </c>
      <c r="D359" s="13">
        <f t="shared" si="11"/>
        <v>0.26586201229676043</v>
      </c>
    </row>
    <row r="360" spans="1:4" s="110" customFormat="1" x14ac:dyDescent="0.2">
      <c r="A360" s="11">
        <v>44348</v>
      </c>
      <c r="B360" s="15">
        <f>VLOOKUP(A360,Database!A:M,MATCH($A$1,Database!$A$1:$M$1,),)</f>
        <v>493387</v>
      </c>
      <c r="C360" s="12">
        <f t="shared" si="10"/>
        <v>1.6722580326085163E-2</v>
      </c>
      <c r="D360" s="13">
        <f t="shared" si="11"/>
        <v>0.18713081640853391</v>
      </c>
    </row>
    <row r="361" spans="1:4" s="110" customFormat="1" x14ac:dyDescent="0.2">
      <c r="A361" s="10">
        <v>44378</v>
      </c>
      <c r="B361" s="15">
        <f>VLOOKUP(A361,Database!A:M,MATCH($A$1,Database!$A$1:$M$1,),)</f>
        <v>488908</v>
      </c>
      <c r="C361" s="12">
        <f t="shared" si="10"/>
        <v>-9.078066507629913E-3</v>
      </c>
      <c r="D361" s="13">
        <f t="shared" si="11"/>
        <v>0.15289728794134916</v>
      </c>
    </row>
    <row r="362" spans="1:4" s="110" customFormat="1" x14ac:dyDescent="0.2">
      <c r="A362" s="11">
        <v>44409</v>
      </c>
      <c r="B362" s="15">
        <f>VLOOKUP(A362,Database!A:M,MATCH($A$1,Database!$A$1:$M$1,),)</f>
        <v>499439</v>
      </c>
      <c r="C362" s="12">
        <f t="shared" si="10"/>
        <v>2.1539839806262118E-2</v>
      </c>
      <c r="D362" s="13">
        <f t="shared" si="11"/>
        <v>0.16645569028979279</v>
      </c>
    </row>
    <row r="363" spans="1:4" s="110" customFormat="1" x14ac:dyDescent="0.2">
      <c r="A363" s="11">
        <v>44440</v>
      </c>
      <c r="B363" s="15">
        <f>VLOOKUP(A363,Database!A:M,MATCH($A$1,Database!$A$1:$M$1,),)</f>
        <v>502551</v>
      </c>
      <c r="C363" s="12">
        <f t="shared" si="10"/>
        <v>6.2309911720950907E-3</v>
      </c>
      <c r="D363" s="13">
        <f t="shared" si="11"/>
        <v>0.1557227190878421</v>
      </c>
    </row>
    <row r="364" spans="1:4" s="110" customFormat="1" x14ac:dyDescent="0.2">
      <c r="A364" s="10">
        <v>44470</v>
      </c>
      <c r="B364" s="15">
        <f>VLOOKUP(A364,Database!A:M,MATCH($A$1,Database!$A$1:$M$1,),)</f>
        <v>511618</v>
      </c>
      <c r="C364" s="12">
        <f t="shared" si="10"/>
        <v>1.8041949971246699E-2</v>
      </c>
      <c r="D364" s="13">
        <f t="shared" si="11"/>
        <v>0.17528226686422477</v>
      </c>
    </row>
    <row r="365" spans="1:4" s="110" customFormat="1" x14ac:dyDescent="0.2">
      <c r="A365" s="11">
        <v>44501</v>
      </c>
      <c r="B365" s="15">
        <f>VLOOKUP(A365,Database!A:M,MATCH($A$1,Database!$A$1:$M$1,),)</f>
        <v>513340</v>
      </c>
      <c r="C365" s="12">
        <f t="shared" si="10"/>
        <v>3.3657924467082861E-3</v>
      </c>
      <c r="D365" s="13">
        <f t="shared" si="11"/>
        <v>0.19459182723633994</v>
      </c>
    </row>
    <row r="366" spans="1:4" s="110" customFormat="1" x14ac:dyDescent="0.2">
      <c r="A366" s="10">
        <v>44531</v>
      </c>
      <c r="B366" s="15">
        <f>VLOOKUP(A366,Database!A:M,MATCH($A$1,Database!$A$1:$M$1,),)</f>
        <v>500566</v>
      </c>
      <c r="C366" s="12">
        <f t="shared" si="10"/>
        <v>-2.4884092414384228E-2</v>
      </c>
      <c r="D366" s="13">
        <f t="shared" si="11"/>
        <v>0.18751200996382184</v>
      </c>
    </row>
    <row r="367" spans="1:4" s="110" customFormat="1" x14ac:dyDescent="0.2">
      <c r="B367" s="22"/>
    </row>
    <row r="368" spans="1:4" s="110" customFormat="1" x14ac:dyDescent="0.2">
      <c r="B368" s="22"/>
    </row>
    <row r="369" spans="2:2" s="110" customFormat="1" x14ac:dyDescent="0.2">
      <c r="B369" s="22"/>
    </row>
    <row r="370" spans="2:2" s="110" customFormat="1" x14ac:dyDescent="0.2">
      <c r="B370" s="22"/>
    </row>
    <row r="371" spans="2:2" s="110" customFormat="1" x14ac:dyDescent="0.2">
      <c r="B371" s="22"/>
    </row>
    <row r="372" spans="2:2" s="110" customFormat="1" x14ac:dyDescent="0.2">
      <c r="B372" s="22"/>
    </row>
    <row r="373" spans="2:2" s="110" customFormat="1" x14ac:dyDescent="0.2">
      <c r="B373" s="22"/>
    </row>
    <row r="374" spans="2:2" s="110" customFormat="1" x14ac:dyDescent="0.2">
      <c r="B374" s="22"/>
    </row>
    <row r="375" spans="2:2" s="110" customFormat="1" x14ac:dyDescent="0.2">
      <c r="B375" s="22"/>
    </row>
    <row r="376" spans="2:2" s="110" customFormat="1" x14ac:dyDescent="0.2">
      <c r="B376" s="22"/>
    </row>
    <row r="377" spans="2:2" s="110" customFormat="1" x14ac:dyDescent="0.2">
      <c r="B377" s="22"/>
    </row>
    <row r="378" spans="2:2" s="110" customFormat="1" x14ac:dyDescent="0.2">
      <c r="B378" s="22"/>
    </row>
    <row r="379" spans="2:2" s="110" customFormat="1" x14ac:dyDescent="0.2">
      <c r="B379" s="22"/>
    </row>
    <row r="380" spans="2:2" s="110" customFormat="1" x14ac:dyDescent="0.2">
      <c r="B380" s="22"/>
    </row>
    <row r="381" spans="2:2" s="110" customFormat="1" x14ac:dyDescent="0.2">
      <c r="B381" s="22"/>
    </row>
    <row r="382" spans="2:2" s="110" customFormat="1" x14ac:dyDescent="0.2">
      <c r="B382" s="22"/>
    </row>
    <row r="383" spans="2:2" s="110" customFormat="1" x14ac:dyDescent="0.2">
      <c r="B383" s="22"/>
    </row>
    <row r="384" spans="2:2"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6"/>
  <sheetViews>
    <sheetView zoomScale="160" zoomScaleNormal="160" workbookViewId="0">
      <pane ySplit="6" topLeftCell="A349" activePane="bottomLeft" state="frozen"/>
      <selection pane="bottomLeft" activeCell="P366" sqref="P366"/>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91"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40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si="11"/>
        <v>6.7924370567499406E-2</v>
      </c>
    </row>
    <row r="364" spans="1:4" x14ac:dyDescent="0.2">
      <c r="A364" s="10">
        <v>44470</v>
      </c>
      <c r="B364" s="15">
        <f>VLOOKUP(A364,Database!A:K,MATCH($A$1,Database!$A$1:$K$1,),)</f>
        <v>77426</v>
      </c>
      <c r="C364" s="12">
        <f t="shared" si="10"/>
        <v>1.0176656316050414E-2</v>
      </c>
      <c r="D364" s="13">
        <f t="shared" si="11"/>
        <v>8.6451975022802219E-2</v>
      </c>
    </row>
    <row r="365" spans="1:4" x14ac:dyDescent="0.2">
      <c r="A365" s="11">
        <v>44501</v>
      </c>
      <c r="B365" s="15">
        <f>VLOOKUP(A365,Database!A:K,MATCH($A$1,Database!$A$1:$K$1,),)</f>
        <v>78411</v>
      </c>
      <c r="C365" s="12">
        <f t="shared" si="10"/>
        <v>1.2721824710045722E-2</v>
      </c>
      <c r="D365" s="13">
        <f t="shared" si="11"/>
        <v>8.581438502229484E-2</v>
      </c>
    </row>
    <row r="366" spans="1:4" x14ac:dyDescent="0.2">
      <c r="A366" s="11">
        <v>44531</v>
      </c>
      <c r="B366" s="15">
        <f>VLOOKUP(A366,Database!A:K,MATCH($A$1,Database!$A$1:$K$1,),)</f>
        <v>77353</v>
      </c>
      <c r="C366" s="12">
        <f t="shared" si="10"/>
        <v>-1.3493004807998877E-2</v>
      </c>
      <c r="D366" s="13">
        <f t="shared" si="11"/>
        <v>8.3648538847328452E-2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6"/>
  <sheetViews>
    <sheetView zoomScale="200" zoomScaleNormal="200" workbookViewId="0">
      <pane ySplit="6" topLeftCell="A356" activePane="bottomLeft" state="frozen"/>
      <selection pane="bottomLeft" activeCell="CX328" sqref="CX328"/>
    </sheetView>
  </sheetViews>
  <sheetFormatPr baseColWidth="10" defaultColWidth="9.1640625" defaultRowHeight="15" x14ac:dyDescent="0.2"/>
  <cols>
    <col min="1" max="1" width="14" style="54" customWidth="1"/>
    <col min="2" max="4" width="14.1640625" style="54" customWidth="1"/>
    <col min="5" max="8" width="9.1640625" style="110" customWidth="1"/>
    <col min="9"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91"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40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si="11"/>
        <v>9.5123821775809608E-2</v>
      </c>
    </row>
    <row r="364" spans="1:4" x14ac:dyDescent="0.2">
      <c r="A364" s="10">
        <v>44470</v>
      </c>
      <c r="B364" s="15">
        <f>VLOOKUP(A364,Database!A:Q,MATCH($A$1,Database!$A$1:$Q$1,),)</f>
        <v>92138</v>
      </c>
      <c r="C364" s="12">
        <f t="shared" si="10"/>
        <v>4.0731035105950393E-2</v>
      </c>
      <c r="D364" s="13">
        <f t="shared" si="11"/>
        <v>0.10670958752732601</v>
      </c>
    </row>
    <row r="365" spans="1:4" x14ac:dyDescent="0.2">
      <c r="A365" s="11">
        <v>44501</v>
      </c>
      <c r="B365" s="15">
        <f>VLOOKUP(A365,Database!A:Q,MATCH($A$1,Database!$A$1:$Q$1,),)</f>
        <v>92154</v>
      </c>
      <c r="C365" s="12">
        <f t="shared" si="10"/>
        <v>1.736525646313139E-4</v>
      </c>
      <c r="D365" s="13">
        <f t="shared" si="11"/>
        <v>0.12094488572088893</v>
      </c>
    </row>
    <row r="366" spans="1:4" x14ac:dyDescent="0.2">
      <c r="A366" s="11">
        <v>44531</v>
      </c>
      <c r="B366" s="15">
        <f>VLOOKUP(A366,Database!A:Q,MATCH($A$1,Database!$A$1:$Q$1,),)</f>
        <v>82596</v>
      </c>
      <c r="C366" s="12">
        <f t="shared" si="10"/>
        <v>-0.10371768995377303</v>
      </c>
      <c r="D366" s="13">
        <f t="shared" si="11"/>
        <v>0.1090581948062411</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6"/>
  <sheetViews>
    <sheetView zoomScale="160" zoomScaleNormal="160" workbookViewId="0">
      <pane ySplit="6" topLeftCell="A352" activePane="bottomLeft" state="frozen"/>
      <selection pane="bottomLeft" activeCell="P348" sqref="P348"/>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91"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40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si="11"/>
        <v>7.780595222207394E-2</v>
      </c>
    </row>
    <row r="364" spans="1:4" x14ac:dyDescent="0.2">
      <c r="A364" s="10">
        <v>44470</v>
      </c>
      <c r="B364" s="15">
        <f>VLOOKUP(A364,Database!A:Q,MATCH($A$1,Database!$A$1:$Q$1,),)</f>
        <v>31855</v>
      </c>
      <c r="C364" s="12">
        <f t="shared" si="10"/>
        <v>-1.3899207528479444E-2</v>
      </c>
      <c r="D364" s="13">
        <f t="shared" si="11"/>
        <v>6.5990697051835495E-2</v>
      </c>
    </row>
    <row r="365" spans="1:4" x14ac:dyDescent="0.2">
      <c r="A365" s="11">
        <v>44501</v>
      </c>
      <c r="B365" s="15">
        <f>VLOOKUP(A365,Database!A:Q,MATCH($A$1,Database!$A$1:$Q$1,),)</f>
        <v>31656</v>
      </c>
      <c r="C365" s="12">
        <f t="shared" si="10"/>
        <v>-6.2470569769266992E-3</v>
      </c>
      <c r="D365" s="13">
        <f t="shared" si="11"/>
        <v>7.2357723577235772E-2</v>
      </c>
    </row>
    <row r="366" spans="1:4" x14ac:dyDescent="0.2">
      <c r="A366" s="10">
        <v>44531</v>
      </c>
      <c r="B366" s="15">
        <f>VLOOKUP(A366,Database!A:Q,MATCH($A$1,Database!$A$1:$Q$1,),)</f>
        <v>32371</v>
      </c>
      <c r="C366" s="12">
        <f t="shared" si="10"/>
        <v>2.2586555471316654E-2</v>
      </c>
      <c r="D366" s="13">
        <f t="shared" si="11"/>
        <v>8.1593103678706272E-2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6"/>
  <sheetViews>
    <sheetView zoomScale="160" zoomScaleNormal="160" workbookViewId="0">
      <pane ySplit="6" topLeftCell="A350" activePane="bottomLeft" state="frozen"/>
      <selection pane="bottomLeft" activeCell="U357" sqref="U357"/>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91"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40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si="11"/>
        <v>0.1415036298757229</v>
      </c>
    </row>
    <row r="364" spans="1:4" x14ac:dyDescent="0.2">
      <c r="A364" s="10">
        <v>44470</v>
      </c>
      <c r="B364" s="15">
        <f>VLOOKUP(A364,Database!A:Q,MATCH($A$1,Database!$A$1:$Q$1,),)</f>
        <v>9341</v>
      </c>
      <c r="C364" s="12">
        <f t="shared" si="10"/>
        <v>6.8987819338148107E-3</v>
      </c>
      <c r="D364" s="13">
        <f t="shared" si="11"/>
        <v>0.16384251183653128</v>
      </c>
    </row>
    <row r="365" spans="1:4" x14ac:dyDescent="0.2">
      <c r="A365" s="11">
        <v>44501</v>
      </c>
      <c r="B365" s="15">
        <f>VLOOKUP(A365,Database!A:Q,MATCH($A$1,Database!$A$1:$Q$1,),)</f>
        <v>9464</v>
      </c>
      <c r="C365" s="12">
        <f t="shared" si="10"/>
        <v>1.3167755058344931E-2</v>
      </c>
      <c r="D365" s="13">
        <f t="shared" si="11"/>
        <v>0.199949283631292</v>
      </c>
    </row>
    <row r="366" spans="1:4" x14ac:dyDescent="0.2">
      <c r="A366" s="10">
        <v>44531</v>
      </c>
      <c r="B366" s="15">
        <f>VLOOKUP(A366,Database!A:Q,MATCH($A$1,Database!$A$1:$Q$1,),)</f>
        <v>9140</v>
      </c>
      <c r="C366" s="12">
        <f t="shared" si="10"/>
        <v>-3.4234995773457309E-2</v>
      </c>
      <c r="D366" s="13">
        <f t="shared" si="11"/>
        <v>0.18133643531084401</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6"/>
  <sheetViews>
    <sheetView zoomScale="150" zoomScaleNormal="150" workbookViewId="0">
      <pane ySplit="6" topLeftCell="A350" activePane="bottomLeft" state="frozen"/>
      <selection pane="bottomLeft" activeCell="F375" sqref="F375"/>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91"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40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si="11"/>
        <v>0.10804691676362378</v>
      </c>
    </row>
    <row r="364" spans="1:4" x14ac:dyDescent="0.2">
      <c r="A364" s="10">
        <v>44470</v>
      </c>
      <c r="B364" s="15">
        <f>VLOOKUP(A364,Database!A:Q,MATCH($A$1,Database!$A$1:$Q$1,),)</f>
        <v>71506</v>
      </c>
      <c r="C364" s="12">
        <f t="shared" si="10"/>
        <v>1.4643698385220082E-2</v>
      </c>
      <c r="D364" s="13">
        <f t="shared" si="11"/>
        <v>0.14044657097288676</v>
      </c>
    </row>
    <row r="365" spans="1:4" x14ac:dyDescent="0.2">
      <c r="A365" s="11">
        <v>44501</v>
      </c>
      <c r="B365" s="15">
        <f>VLOOKUP(A365,Database!A:Q,MATCH($A$1,Database!$A$1:$Q$1,),)</f>
        <v>70654</v>
      </c>
      <c r="C365" s="12">
        <f t="shared" si="10"/>
        <v>-1.1915084048891002E-2</v>
      </c>
      <c r="D365" s="13">
        <f t="shared" si="11"/>
        <v>0.14208586577007629</v>
      </c>
    </row>
    <row r="366" spans="1:4" x14ac:dyDescent="0.2">
      <c r="A366" s="10">
        <v>44531</v>
      </c>
      <c r="B366" s="15">
        <f>VLOOKUP(A366,Database!A:Q,MATCH($A$1,Database!$A$1:$Q$1,),)</f>
        <v>69639</v>
      </c>
      <c r="C366" s="12">
        <f t="shared" si="10"/>
        <v>-1.4365782545928043E-2</v>
      </c>
      <c r="D366" s="13">
        <f t="shared" si="11"/>
        <v>0.14581173799299077</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6"/>
  <sheetViews>
    <sheetView zoomScale="190" zoomScaleNormal="190" workbookViewId="0">
      <pane ySplit="6" topLeftCell="A356" activePane="bottomLeft" state="frozen"/>
      <selection pane="bottomLeft" activeCell="P360" sqref="P360"/>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91"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40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si="11"/>
        <v>0.30405017921146954</v>
      </c>
    </row>
    <row r="364" spans="1:4" x14ac:dyDescent="0.2">
      <c r="A364" s="10">
        <v>44470</v>
      </c>
      <c r="B364" s="15">
        <f>VLOOKUP(A364,Database!A:K,MATCH($A$1,Database!$A$1:$K$1,),)</f>
        <v>72990</v>
      </c>
      <c r="C364" s="12">
        <f t="shared" si="10"/>
        <v>3.0783607728884369E-3</v>
      </c>
      <c r="D364" s="13">
        <f t="shared" si="11"/>
        <v>0.30357908272610373</v>
      </c>
    </row>
    <row r="365" spans="1:4" x14ac:dyDescent="0.2">
      <c r="A365" s="11">
        <v>44501</v>
      </c>
      <c r="B365" s="15">
        <f>VLOOKUP(A365,Database!A:K,MATCH($A$1,Database!$A$1:$K$1,),)</f>
        <v>73731</v>
      </c>
      <c r="C365" s="12">
        <f t="shared" si="10"/>
        <v>1.0152075626798191E-2</v>
      </c>
      <c r="D365" s="13">
        <f t="shared" si="11"/>
        <v>0.37437321751449287</v>
      </c>
    </row>
    <row r="366" spans="1:4" x14ac:dyDescent="0.2">
      <c r="A366" s="11">
        <v>44531</v>
      </c>
      <c r="B366" s="15">
        <f>VLOOKUP(A366,Database!A:K,MATCH($A$1,Database!$A$1:$K$1,),)</f>
        <v>72531</v>
      </c>
      <c r="C366" s="12">
        <f t="shared" si="10"/>
        <v>-1.6275379419782722E-2</v>
      </c>
      <c r="D366" s="13">
        <f t="shared" si="11"/>
        <v>0.41689783160773591</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6"/>
  <sheetViews>
    <sheetView zoomScale="190" zoomScaleNormal="190" workbookViewId="0">
      <pane ySplit="6" topLeftCell="A335" activePane="bottomLeft" state="frozen"/>
      <selection pane="bottomLeft" activeCell="Q352" sqref="Q352"/>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91"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40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si="11"/>
        <v>0.41041762649394292</v>
      </c>
    </row>
    <row r="364" spans="1:4" x14ac:dyDescent="0.2">
      <c r="A364" s="10">
        <v>44470</v>
      </c>
      <c r="B364" s="15">
        <f>VLOOKUP(A364,Database!A:K,MATCH($A$1,Database!$A$1:$K$1,),)</f>
        <v>53976</v>
      </c>
      <c r="C364" s="12">
        <f t="shared" si="10"/>
        <v>3.7142363045942775E-2</v>
      </c>
      <c r="D364" s="13">
        <f t="shared" si="11"/>
        <v>0.46391472973339482</v>
      </c>
    </row>
    <row r="365" spans="1:4" x14ac:dyDescent="0.2">
      <c r="A365" s="11">
        <v>44501</v>
      </c>
      <c r="B365" s="15">
        <f>VLOOKUP(A365,Database!A:K,MATCH($A$1,Database!$A$1:$K$1,),)</f>
        <v>54868</v>
      </c>
      <c r="C365" s="12">
        <f t="shared" si="10"/>
        <v>1.6525863346672595E-2</v>
      </c>
      <c r="D365" s="13">
        <f t="shared" si="11"/>
        <v>0.52347632930723309</v>
      </c>
    </row>
    <row r="366" spans="1:4" x14ac:dyDescent="0.2">
      <c r="A366" s="10">
        <v>44531</v>
      </c>
      <c r="B366" s="15">
        <f>VLOOKUP(A366,Database!A:K,MATCH($A$1,Database!$A$1:$K$1,),)</f>
        <v>54662</v>
      </c>
      <c r="C366" s="12">
        <f t="shared" si="10"/>
        <v>-3.7544652620835461E-3</v>
      </c>
      <c r="D366" s="13">
        <f t="shared" si="11"/>
        <v>0.39807662796050947</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6"/>
  <sheetViews>
    <sheetView zoomScale="200" zoomScaleNormal="200" workbookViewId="0">
      <pane ySplit="6" topLeftCell="A359" activePane="bottomLeft" state="frozen"/>
      <selection pane="bottomLeft" activeCell="O344" sqref="O344"/>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91"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40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si="11"/>
        <v>8.8079458618217421E-2</v>
      </c>
    </row>
    <row r="364" spans="1:4" x14ac:dyDescent="0.2">
      <c r="A364" s="10">
        <v>44470</v>
      </c>
      <c r="B364" s="15">
        <f>VLOOKUP(A364,Database!A:Q,MATCH($A$1,Database!$A$1:$Q$1,),)</f>
        <v>126572</v>
      </c>
      <c r="C364" s="12">
        <f t="shared" si="10"/>
        <v>1.7067369503728464E-2</v>
      </c>
      <c r="D364" s="13">
        <f t="shared" si="11"/>
        <v>0.11404304009153721</v>
      </c>
    </row>
    <row r="365" spans="1:4" x14ac:dyDescent="0.2">
      <c r="A365" s="11">
        <v>44501</v>
      </c>
      <c r="B365" s="15">
        <f>VLOOKUP(A365,Database!A:Q,MATCH($A$1,Database!$A$1:$Q$1,),)</f>
        <v>126489</v>
      </c>
      <c r="C365" s="12">
        <f t="shared" si="10"/>
        <v>-6.5575324716366965E-4</v>
      </c>
      <c r="D365" s="13">
        <f t="shared" si="11"/>
        <v>0.13415585463609708</v>
      </c>
    </row>
    <row r="366" spans="1:4" x14ac:dyDescent="0.2">
      <c r="A366" s="11">
        <v>44531</v>
      </c>
      <c r="B366" s="15">
        <f>VLOOKUP(A366,Database!A:Q,MATCH($A$1,Database!$A$1:$Q$1,),)</f>
        <v>126267</v>
      </c>
      <c r="C366" s="12">
        <f t="shared" si="10"/>
        <v>-1.7550933282736048E-3</v>
      </c>
      <c r="D366" s="13">
        <f t="shared" si="11"/>
        <v>0.10327924716244201</v>
      </c>
    </row>
  </sheetData>
  <conditionalFormatting sqref="D19:D366">
    <cfRule type="colorScale" priority="50">
      <colorScale>
        <cfvo type="min"/>
        <cfvo type="percentile" val="50"/>
        <cfvo type="max"/>
        <color rgb="FFF8696B"/>
        <color rgb="FFFFEB84"/>
        <color rgb="FF63BE7B"/>
      </colorScale>
    </cfRule>
  </conditionalFormatting>
  <conditionalFormatting sqref="C8:C366">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6"/>
  <sheetViews>
    <sheetView zoomScale="200" zoomScaleNormal="200" workbookViewId="0">
      <pane ySplit="6" topLeftCell="A353" activePane="bottomLeft" state="frozen"/>
      <selection pane="bottomLeft" activeCell="Q351" sqref="Q351"/>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8" width="9.1640625" style="110" customWidth="1"/>
    <col min="9"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91"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402"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si="11"/>
        <v>6.1131362224922374E-2</v>
      </c>
    </row>
    <row r="364" spans="1:4" x14ac:dyDescent="0.2">
      <c r="A364" s="17">
        <v>44470</v>
      </c>
      <c r="B364" s="15">
        <f>VLOOKUP(A364,Database!A:K,MATCH($A$1,Database!$A$1:$K$1,),)</f>
        <v>40279</v>
      </c>
      <c r="C364" s="12">
        <f t="shared" si="10"/>
        <v>2.4937021298251864E-2</v>
      </c>
      <c r="D364" s="13">
        <f t="shared" si="11"/>
        <v>9.5967566390944711E-2</v>
      </c>
    </row>
    <row r="365" spans="1:4" x14ac:dyDescent="0.2">
      <c r="A365" s="11">
        <v>44501</v>
      </c>
      <c r="B365" s="31">
        <f>VLOOKUP(A365,Database!A:K,MATCH($A$1,Database!$A$1:$K$1,),)</f>
        <v>40579</v>
      </c>
      <c r="C365" s="32">
        <f t="shared" si="10"/>
        <v>7.4480498522803444E-3</v>
      </c>
      <c r="D365" s="33">
        <f t="shared" si="11"/>
        <v>9.3154818027531588E-2</v>
      </c>
    </row>
    <row r="366" spans="1:4" x14ac:dyDescent="0.2">
      <c r="A366" s="11">
        <v>44531</v>
      </c>
      <c r="B366" s="31">
        <f>VLOOKUP(A366,Database!A:K,MATCH($A$1,Database!$A$1:$K$1,),)</f>
        <v>41740</v>
      </c>
      <c r="C366" s="32">
        <f t="shared" si="10"/>
        <v>2.8610857832869218E-2</v>
      </c>
      <c r="D366" s="33">
        <f t="shared" si="11"/>
        <v>0.12509771152861263</v>
      </c>
    </row>
  </sheetData>
  <conditionalFormatting sqref="D19:D366">
    <cfRule type="colorScale" priority="48">
      <colorScale>
        <cfvo type="min"/>
        <cfvo type="percentile" val="50"/>
        <cfvo type="max"/>
        <color rgb="FFF8696B"/>
        <color rgb="FFFFEB84"/>
        <color rgb="FF63BE7B"/>
      </colorScale>
    </cfRule>
  </conditionalFormatting>
  <conditionalFormatting sqref="C8:C366">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6"/>
  <sheetViews>
    <sheetView zoomScale="210" zoomScaleNormal="210" workbookViewId="0">
      <pane ySplit="6" topLeftCell="A355" activePane="bottomLeft" state="frozen"/>
      <selection pane="bottomLeft" activeCell="P351" sqref="P351"/>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91"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402"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si="11"/>
        <v>0.14219614039047512</v>
      </c>
    </row>
    <row r="364" spans="1:4" x14ac:dyDescent="0.2">
      <c r="A364" s="30">
        <v>44470</v>
      </c>
      <c r="B364" s="31">
        <f>VLOOKUP(A364,Database!A:K,MATCH($A$1,Database!$A$1:$K$1,),)+VLOOKUP(A364,Database!A:K,MATCH($B$1,Database!$A$1:$K$1,),)</f>
        <v>20829</v>
      </c>
      <c r="C364" s="32">
        <f t="shared" si="10"/>
        <v>2.8999110759806344E-2</v>
      </c>
      <c r="D364" s="33">
        <f t="shared" si="11"/>
        <v>0.15858271220380465</v>
      </c>
    </row>
    <row r="365" spans="1:4" x14ac:dyDescent="0.2">
      <c r="A365" s="11">
        <v>44501</v>
      </c>
      <c r="B365" s="15">
        <f>VLOOKUP(A365,Database!A:K,MATCH($A$1,Database!$A$1:$K$1,),)+VLOOKUP(A365,Database!A:K,MATCH($B$1,Database!$A$1:$K$1,),)</f>
        <v>20446</v>
      </c>
      <c r="C365" s="12">
        <f t="shared" si="10"/>
        <v>-1.8387824667530847E-2</v>
      </c>
      <c r="D365" s="13">
        <f t="shared" si="11"/>
        <v>0.16461608566871724</v>
      </c>
    </row>
    <row r="366" spans="1:4" x14ac:dyDescent="0.2">
      <c r="A366" s="11">
        <v>44531</v>
      </c>
      <c r="B366" s="15">
        <f>VLOOKUP(A366,Database!A:K,MATCH($A$1,Database!$A$1:$K$1,),)+VLOOKUP(A366,Database!A:K,MATCH($B$1,Database!$A$1:$K$1,),)</f>
        <v>19193</v>
      </c>
      <c r="C366" s="12">
        <f t="shared" si="10"/>
        <v>-6.1283380612344715E-2</v>
      </c>
      <c r="D366" s="13">
        <f t="shared" si="11"/>
        <v>0.12390935175967675</v>
      </c>
    </row>
  </sheetData>
  <conditionalFormatting sqref="D19:D366">
    <cfRule type="colorScale" priority="46">
      <colorScale>
        <cfvo type="min"/>
        <cfvo type="percentile" val="50"/>
        <cfvo type="max"/>
        <color rgb="FFF8696B"/>
        <color rgb="FFFFEB84"/>
        <color rgb="FF63BE7B"/>
      </colorScale>
    </cfRule>
  </conditionalFormatting>
  <conditionalFormatting sqref="C8:C366">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6"/>
  <sheetViews>
    <sheetView zoomScale="170" zoomScaleNormal="170" workbookViewId="0">
      <pane ySplit="6" topLeftCell="A354" activePane="bottomLeft" state="frozen"/>
      <selection pane="bottomLeft" activeCell="Q356" sqref="Q356"/>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91"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402"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si="11"/>
        <v>0.25074575982272224</v>
      </c>
    </row>
    <row r="364" spans="1:4" x14ac:dyDescent="0.2">
      <c r="A364" s="30">
        <v>44470</v>
      </c>
      <c r="B364" s="31">
        <f>VLOOKUP(A364,Database!A:Q,MATCH($A$1,Database!$A$1:$Q$1,),)</f>
        <v>14929</v>
      </c>
      <c r="C364" s="32">
        <f t="shared" si="10"/>
        <v>1.7308347529812605E-2</v>
      </c>
      <c r="D364" s="33">
        <f t="shared" si="11"/>
        <v>0.26549122658302959</v>
      </c>
    </row>
    <row r="365" spans="1:4" x14ac:dyDescent="0.2">
      <c r="A365" s="11">
        <v>44501</v>
      </c>
      <c r="B365" s="15">
        <f>VLOOKUP(A365,Database!A:Q,MATCH($A$1,Database!$A$1:$Q$1,),)</f>
        <v>14886</v>
      </c>
      <c r="C365" s="12">
        <f t="shared" si="10"/>
        <v>-2.8803000870788399E-3</v>
      </c>
      <c r="D365" s="13">
        <f t="shared" si="11"/>
        <v>0.23761223811107415</v>
      </c>
    </row>
    <row r="366" spans="1:4" x14ac:dyDescent="0.2">
      <c r="A366" s="11">
        <v>44531</v>
      </c>
      <c r="B366" s="15">
        <f>VLOOKUP(A366,Database!A:Q,MATCH($A$1,Database!$A$1:$Q$1,),)</f>
        <v>15280</v>
      </c>
      <c r="C366" s="12">
        <f t="shared" si="10"/>
        <v>2.6467822114738682E-2</v>
      </c>
      <c r="D366" s="13">
        <f t="shared" si="11"/>
        <v>0.2062840451567064</v>
      </c>
    </row>
  </sheetData>
  <conditionalFormatting sqref="D19:D366">
    <cfRule type="colorScale" priority="44">
      <colorScale>
        <cfvo type="min"/>
        <cfvo type="percentile" val="50"/>
        <cfvo type="max"/>
        <color rgb="FFF8696B"/>
        <color rgb="FFFFEB84"/>
        <color rgb="FF63BE7B"/>
      </colorScale>
    </cfRule>
  </conditionalFormatting>
  <conditionalFormatting sqref="C8:C366">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6"/>
  <sheetViews>
    <sheetView zoomScale="190" zoomScaleNormal="190" workbookViewId="0">
      <pane ySplit="6" topLeftCell="A357" activePane="bottomLeft" state="frozen"/>
      <selection pane="bottomLeft" activeCell="O363" sqref="O363"/>
    </sheetView>
  </sheetViews>
  <sheetFormatPr baseColWidth="10" defaultColWidth="9.1640625" defaultRowHeight="15" x14ac:dyDescent="0.2"/>
  <cols>
    <col min="1" max="1" width="14" style="54" customWidth="1"/>
    <col min="2" max="2" width="20.6640625" style="54" customWidth="1"/>
    <col min="3" max="4" width="14.1640625" style="54" customWidth="1"/>
    <col min="5" max="8" width="9.1640625" style="110" customWidth="1"/>
    <col min="9"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91"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402"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si="11"/>
        <v>0.23244586106684167</v>
      </c>
    </row>
    <row r="364" spans="1:4" x14ac:dyDescent="0.2">
      <c r="A364" s="30">
        <v>44470</v>
      </c>
      <c r="B364" s="31">
        <f>VLOOKUP(A364,Database!A:Q,MATCH($A$1,Database!$A$1:$Q$1,),)</f>
        <v>26349</v>
      </c>
      <c r="C364" s="32">
        <f t="shared" si="10"/>
        <v>2.1298444452896208E-3</v>
      </c>
      <c r="D364" s="33">
        <f t="shared" si="11"/>
        <v>0.2669615809972592</v>
      </c>
    </row>
    <row r="365" spans="1:4" x14ac:dyDescent="0.2">
      <c r="A365" s="11">
        <v>44501</v>
      </c>
      <c r="B365" s="15">
        <f>VLOOKUP(A365,Database!A:Q,MATCH($A$1,Database!$A$1:$Q$1,),)</f>
        <v>26491</v>
      </c>
      <c r="C365" s="12">
        <f t="shared" si="10"/>
        <v>5.3891988310751831E-3</v>
      </c>
      <c r="D365" s="13">
        <f t="shared" si="11"/>
        <v>0.34766241033728446</v>
      </c>
    </row>
    <row r="366" spans="1:4" x14ac:dyDescent="0.2">
      <c r="A366" s="30">
        <v>44531</v>
      </c>
      <c r="B366" s="31">
        <f>VLOOKUP(A366,Database!A:Q,MATCH($A$1,Database!$A$1:$Q$1,),)</f>
        <v>26061</v>
      </c>
      <c r="C366" s="32">
        <f t="shared" si="10"/>
        <v>-1.6231927824544183E-2</v>
      </c>
      <c r="D366" s="33">
        <f t="shared" si="11"/>
        <v>0.29688977357551632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2022-02-16T07:29:11Z</dcterms:modified>
</cp:coreProperties>
</file>