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340" yWindow="-640" windowWidth="49400" windowHeight="274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yyyy-mm-dd h:mm:ss"/>
    <numFmt numFmtId="169" formatCode="dd-mm-YYYY"/>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5">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0" fillId="2" borderId="0" applyAlignment="1" pivotButton="0" quotePrefix="0" xfId="0">
      <alignment wrapText="1"/>
    </xf>
    <xf numFmtId="0" fontId="0" fillId="2" borderId="0" pivotButton="0" quotePrefix="0" xfId="0"/>
    <xf numFmtId="0" fontId="5" fillId="2" borderId="0" applyAlignment="1" pivotButton="0" quotePrefix="0" xfId="1">
      <alignment wrapText="1"/>
    </xf>
    <xf numFmtId="166" fontId="0" fillId="2" borderId="0" applyAlignment="1" pivotButton="0" quotePrefix="0" xfId="0">
      <alignment horizontal="left" vertical="center" wrapText="1"/>
    </xf>
    <xf numFmtId="0" fontId="1" fillId="6" borderId="1" applyAlignment="1" pivotButton="0" quotePrefix="0" xfId="0">
      <alignment horizontal="center"/>
    </xf>
    <xf numFmtId="0" fontId="0" fillId="0" borderId="29" pivotButton="0" quotePrefix="0" xfId="0"/>
    <xf numFmtId="0" fontId="0" fillId="0" borderId="30" pivotButton="0" quotePrefix="0" xfId="0"/>
    <xf numFmtId="0" fontId="22" fillId="2" borderId="14" applyAlignment="1" pivotButton="0" quotePrefix="0" xfId="0">
      <alignment horizontal="center"/>
    </xf>
    <xf numFmtId="0" fontId="0" fillId="0" borderId="34" pivotButton="0" quotePrefix="0" xfId="0"/>
    <xf numFmtId="0" fontId="22" fillId="2" borderId="16" applyAlignment="1" pivotButton="0" quotePrefix="0" xfId="0">
      <alignment horizontal="center"/>
    </xf>
    <xf numFmtId="0" fontId="1" fillId="2" borderId="28" applyAlignment="1" pivotButton="0" quotePrefix="0" xfId="0">
      <alignment horizontal="center" vertical="center"/>
    </xf>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22" fillId="2" borderId="18" applyAlignment="1" pivotButton="0" quotePrefix="0" xfId="0">
      <alignment horizontal="center"/>
    </xf>
    <xf numFmtId="0" fontId="0" fillId="0" borderId="35" pivotButton="0" quotePrefix="0" xfId="0"/>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9"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Gas'!$A$8:$A$372</f>
              <numCache>
                <formatCode>[$-409]mmm\-yy;@</formatCode>
                <ptCount val="36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'Retail Sales ex Auto and Gas'!$C$8:$C$372</f>
              <numCache>
                <formatCode>0.00%</formatCode>
                <ptCount val="365"/>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Gas'!$A$8:$A$369</f>
              <numCache>
                <formatCode>[$-409]mmm\-yy;@</formatCode>
                <ptCount val="36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'Retail Sales ex Auto and Gas'!$C$8:$C$369</f>
              <numCache>
                <formatCode>0.00%</formatCode>
                <ptCount val="362"/>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Gas'!$A$19:$A$369</f>
              <numCache>
                <formatCode>[$-409]mmm\-yy;@</formatCode>
                <ptCount val="351"/>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numCache>
            </numRef>
          </cat>
          <val>
            <numRef>
              <f>'Retail Sales ex Auto and Gas'!$D$19:$D$369</f>
              <numCache>
                <formatCode>0.00%</formatCode>
                <ptCount val="351"/>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-0.001823074575639761</v>
                </pt>
                <pt idx="205">
                  <v>0.01018176902770268</v>
                </pt>
                <pt idx="206">
                  <v>0.03429881124355384</v>
                </pt>
                <pt idx="207">
                  <v>0.0372217403873952</v>
                </pt>
                <pt idx="208">
                  <v>0.02559686637642733</v>
                </pt>
                <pt idx="209">
                  <v>0.02743930499365739</v>
                </pt>
                <pt idx="210">
                  <v>0.02634329583545252</v>
                </pt>
                <pt idx="211">
                  <v>0.03292532042426936</v>
                </pt>
                <pt idx="212">
                  <v>0.03467600420509008</v>
                </pt>
                <pt idx="213">
                  <v>0.03927287255293647</v>
                </pt>
                <pt idx="214">
                  <v>0.04880872999077649</v>
                </pt>
                <pt idx="215">
                  <v>0.04292107969866289</v>
                </pt>
                <pt idx="216">
                  <v>0.04816942678699759</v>
                </pt>
                <pt idx="217">
                  <v>0.04482287702340518</v>
                </pt>
                <pt idx="218">
                  <v>0.0423802872948869</v>
                </pt>
                <pt idx="219">
                  <v>0.04207604580400901</v>
                </pt>
                <pt idx="220">
                  <v>0.05104854141445699</v>
                </pt>
                <pt idx="221">
                  <v>0.05843725901057043</v>
                </pt>
                <pt idx="222">
                  <v>0.06021515445936296</v>
                </pt>
                <pt idx="223">
                  <v>0.05854169089429003</v>
                </pt>
                <pt idx="224">
                  <v>0.05703347138088762</v>
                </pt>
                <pt idx="225">
                  <v>0.05854764925229693</v>
                </pt>
                <pt idx="226">
                  <v>0.04958674539633229</v>
                </pt>
                <pt idx="227">
                  <v>0.04650463218579006</v>
                </pt>
                <pt idx="228">
                  <v>0.05399764387692098</v>
                </pt>
                <pt idx="229">
                  <v>0.0568446349603357</v>
                </pt>
                <pt idx="230">
                  <v>0.05346108501600015</v>
                </pt>
                <pt idx="231">
                  <v>0.04114983264422131</v>
                </pt>
                <pt idx="232">
                  <v>0.03991201670493643</v>
                </pt>
                <pt idx="233">
                  <v>0.02868360821024588</v>
                </pt>
                <pt idx="234">
                  <v>0.03402487183167533</v>
                </pt>
                <pt idx="235">
                  <v>0.0321490302923771</v>
                </pt>
                <pt idx="236">
                  <v>0.03523981126489797</v>
                </pt>
                <pt idx="237">
                  <v>0.02741865194654271</v>
                </pt>
                <pt idx="238">
                  <v>0.03278973942313273</v>
                </pt>
                <pt idx="239">
                  <v>0.04162906793968679</v>
                </pt>
                <pt idx="240">
                  <v>0.03652856444610563</v>
                </pt>
                <pt idx="241">
                  <v>0.03109039131194109</v>
                </pt>
                <pt idx="242">
                  <v>0.02531717524842878</v>
                </pt>
                <pt idx="243">
                  <v>0.02645719749950047</v>
                </pt>
                <pt idx="244">
                  <v>0.03256349058895829</v>
                </pt>
                <pt idx="245">
                  <v>0.03235164709375324</v>
                </pt>
                <pt idx="246">
                  <v>0.03532556467514718</v>
                </pt>
                <pt idx="247">
                  <v>0.03116185502268929</v>
                </pt>
                <pt idx="248">
                  <v>0.03053100938030665</v>
                </pt>
                <pt idx="249">
                  <v>0.03578169735958432</v>
                </pt>
                <pt idx="250">
                  <v>0.0329322600584401</v>
                </pt>
                <pt idx="251">
                  <v>0.03127434302222005</v>
                </pt>
                <pt idx="252">
                  <v>0.01513459911515471</v>
                </pt>
                <pt idx="253">
                  <v>0.02289036682659735</v>
                </pt>
                <pt idx="254">
                  <v>0.03357300022522913</v>
                </pt>
                <pt idx="255">
                  <v>0.04603394755960637</v>
                </pt>
                <pt idx="256">
                  <v>0.04453664039197503</v>
                </pt>
                <pt idx="257">
                  <v>0.05269285543508768</v>
                </pt>
                <pt idx="258">
                  <v>0.04522436856055528</v>
                </pt>
                <pt idx="259">
                  <v>0.05490066544175836</v>
                </pt>
                <pt idx="260">
                  <v>0.0513564530440115</v>
                </pt>
                <pt idx="261">
                  <v>0.05413724734074319</v>
                </pt>
                <pt idx="262">
                  <v>0.05428865776079262</v>
                </pt>
                <pt idx="263">
                  <v>0.05380962381362075</v>
                </pt>
                <pt idx="264">
                  <v>0.0635466583782196</v>
                </pt>
                <pt idx="265">
                  <v>0.05014970565772488</v>
                </pt>
                <pt idx="266">
                  <v>0.04923495728902656</v>
                </pt>
                <pt idx="267">
                  <v>0.04203414838396661</v>
                </pt>
                <pt idx="268">
                  <v>0.04332342837455982</v>
                </pt>
                <pt idx="269">
                  <v>0.03702057905755026</v>
                </pt>
                <pt idx="270">
                  <v>0.04448128194502003</v>
                </pt>
                <pt idx="271">
                  <v>0.03751263902932254</v>
                </pt>
                <pt idx="272">
                  <v>0.03646233854254917</v>
                </pt>
                <pt idx="273">
                  <v>0.02883809166162183</v>
                </pt>
                <pt idx="274">
                  <v>0.02896994324045407</v>
                </pt>
                <pt idx="275">
                  <v>0.03288847746149297</v>
                </pt>
                <pt idx="276">
                  <v>0.02832854821409073</v>
                </pt>
                <pt idx="277">
                  <v>0.04231964833920078</v>
                </pt>
                <pt idx="278">
                  <v>0.03227465891299486</v>
                </pt>
                <pt idx="279">
                  <v>0.03195129651657838</v>
                </pt>
                <pt idx="280">
                  <v>0.02966213362883279</v>
                </pt>
                <pt idx="281">
                  <v>0.03803193768627936</v>
                </pt>
                <pt idx="282">
                  <v>0.02440153418859939</v>
                </pt>
                <pt idx="283">
                  <v>0.02617489963563886</v>
                </pt>
                <pt idx="284">
                  <v>0.0286152627309939</v>
                </pt>
                <pt idx="285">
                  <v>0.0314029042966599</v>
                </pt>
                <pt idx="286">
                  <v>0.0286902586636495</v>
                </pt>
                <pt idx="287">
                  <v>0.0245002240589524</v>
                </pt>
                <pt idx="288">
                  <v>0.04369103350062304</v>
                </pt>
                <pt idx="289">
                  <v>0.03138883314552107</v>
                </pt>
                <pt idx="290">
                  <v>0.03851784901770818</v>
                </pt>
                <pt idx="291">
                  <v>0.04258784264037826</v>
                </pt>
                <pt idx="292">
                  <v>0.03639038018557521</v>
                </pt>
                <pt idx="293">
                  <v>0.03181941883540805</v>
                </pt>
                <pt idx="294">
                  <v>0.03744724279228185</v>
                </pt>
                <pt idx="295">
                  <v>0.03940358498485066</v>
                </pt>
                <pt idx="296">
                  <v>0.04716612059269402</v>
                </pt>
                <pt idx="297">
                  <v>0.04525527403633479</v>
                </pt>
                <pt idx="298">
                  <v>0.05841257460765286</v>
                </pt>
                <pt idx="299">
                  <v>0.06100535513050662</v>
                </pt>
                <pt idx="300">
                  <v>0.04266995418814876</v>
                </pt>
                <pt idx="301">
                  <v>0.04994731674609066</v>
                </pt>
                <pt idx="302">
                  <v>0.04505610777461514</v>
                </pt>
                <pt idx="303">
                  <v>0.04383305026217428</v>
                </pt>
                <pt idx="304">
                  <v>0.06018030884584486</v>
                </pt>
                <pt idx="305">
                  <v>0.05282732582777924</v>
                </pt>
                <pt idx="306">
                  <v>0.05959234710053245</v>
                </pt>
                <pt idx="307">
                  <v>0.05396443634884564</v>
                </pt>
                <pt idx="308">
                  <v>0.04157132182968688</v>
                </pt>
                <pt idx="309">
                  <v>0.05146824898794287</v>
                </pt>
                <pt idx="310">
                  <v>0.04365711061662862</v>
                </pt>
                <pt idx="311">
                  <v>0.01305178055602475</v>
                </pt>
                <pt idx="312">
                  <v>0.04271738225815246</v>
                </pt>
                <pt idx="313">
                  <v>0.02872635834392943</v>
                </pt>
                <pt idx="314">
                  <v>0.0393175751214949</v>
                </pt>
                <pt idx="315">
                  <v>0.04114902643408233</v>
                </pt>
                <pt idx="316">
                  <v>0.03272095555630396</v>
                </pt>
                <pt idx="317">
                  <v>0.04242748370934373</v>
                </pt>
                <pt idx="318">
                  <v>0.04128577620558996</v>
                </pt>
                <pt idx="319">
                  <v>0.04435831180017227</v>
                </pt>
                <pt idx="320">
                  <v>0.04342331284905242</v>
                </pt>
                <pt idx="321">
                  <v>0.03746811268747242</v>
                </pt>
                <pt idx="322">
                  <v>0.02876804898567114</v>
                </pt>
                <pt idx="323">
                  <v>0.05958853783982366</v>
                </pt>
                <pt idx="324">
                  <v>0.04193065410169044</v>
                </pt>
                <pt idx="325">
                  <v>0.04941607498184761</v>
                </pt>
                <pt idx="326">
                  <v>0.008962235674417838</v>
                </pt>
                <pt idx="327">
                  <v>-0.1395336151643257</v>
                </pt>
                <pt idx="328">
                  <v>-0.0386928459813846</v>
                </pt>
                <pt idx="329">
                  <v>0.02965939223088098</v>
                </pt>
                <pt idx="330">
                  <v>0.04217322064940959</v>
                </pt>
                <pt idx="331">
                  <v>0.0488659793814433</v>
                </pt>
                <pt idx="332">
                  <v>0.06870593922466463</v>
                </pt>
                <pt idx="333">
                  <v>0.06606805065404507</v>
                </pt>
                <pt idx="334">
                  <v>0.05555183184310361</v>
                </pt>
                <pt idx="335">
                  <v>0.01995220645106228</v>
                </pt>
                <pt idx="336">
                  <v>0.09752148198630119</v>
                </pt>
                <pt idx="337">
                  <v>0.06169041236977275</v>
                </pt>
                <pt idx="338">
                  <v>0.2000359003927285</v>
                </pt>
                <pt idx="339">
                  <v>0.399587942565533</v>
                </pt>
                <pt idx="340">
                  <v>0.2400059931531053</v>
                </pt>
                <pt idx="341">
                  <v>0.1671998992977064</v>
                </pt>
                <pt idx="342">
                  <v>0.1323307728185161</v>
                </pt>
                <pt idx="343">
                  <v>0.1466330013607387</v>
                </pt>
                <pt idx="344">
                  <v>0.1321060064633184</v>
                </pt>
                <pt idx="345">
                  <v>0.1485729487707181</v>
                </pt>
                <pt idx="346">
                  <v>0.1645064197813083</v>
                </pt>
                <pt idx="347">
                  <v>0.1659846192868181</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Gas'!$A$7:$A$369</f>
              <numCache>
                <formatCode>[$-409]mmm\-yy;@</formatCode>
                <ptCount val="36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 ex Auto and Gas'!$B$7:$B$369</f>
              <numCache>
                <formatCode>#,##0</formatCode>
                <ptCount val="363"/>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251861</v>
                </pt>
                <pt idx="217">
                  <v>254089</v>
                </pt>
                <pt idx="218">
                  <v>256322</v>
                </pt>
                <pt idx="219">
                  <v>258318</v>
                </pt>
                <pt idx="220">
                  <v>256070</v>
                </pt>
                <pt idx="221">
                  <v>256754</v>
                </pt>
                <pt idx="222">
                  <v>256281</v>
                </pt>
                <pt idx="223">
                  <v>257970</v>
                </pt>
                <pt idx="224">
                  <v>258848</v>
                </pt>
                <pt idx="225">
                  <v>260130</v>
                </pt>
                <pt idx="226">
                  <v>262671</v>
                </pt>
                <pt idx="227">
                  <v>262619</v>
                </pt>
                <pt idx="228">
                  <v>263993</v>
                </pt>
                <pt idx="229">
                  <v>265478</v>
                </pt>
                <pt idx="230">
                  <v>267185</v>
                </pt>
                <pt idx="231">
                  <v>269187</v>
                </pt>
                <pt idx="232">
                  <v>269142</v>
                </pt>
                <pt idx="233">
                  <v>271758</v>
                </pt>
                <pt idx="234">
                  <v>271713</v>
                </pt>
                <pt idx="235">
                  <v>273072</v>
                </pt>
                <pt idx="236">
                  <v>273611</v>
                </pt>
                <pt idx="237">
                  <v>275360</v>
                </pt>
                <pt idx="238">
                  <v>275696</v>
                </pt>
                <pt idx="239">
                  <v>274832</v>
                </pt>
                <pt idx="240">
                  <v>278248</v>
                </pt>
                <pt idx="241">
                  <v>280569</v>
                </pt>
                <pt idx="242">
                  <v>281469</v>
                </pt>
                <pt idx="243">
                  <v>280264</v>
                </pt>
                <pt idx="244">
                  <v>279884</v>
                </pt>
                <pt idx="245">
                  <v>279553</v>
                </pt>
                <pt idx="246">
                  <v>280958</v>
                </pt>
                <pt idx="247">
                  <v>281851</v>
                </pt>
                <pt idx="248">
                  <v>283253</v>
                </pt>
                <pt idx="249">
                  <v>282910</v>
                </pt>
                <pt idx="250">
                  <v>284736</v>
                </pt>
                <pt idx="251">
                  <v>286273</v>
                </pt>
                <pt idx="252">
                  <v>288412</v>
                </pt>
                <pt idx="253">
                  <v>289292</v>
                </pt>
                <pt idx="254">
                  <v>288595</v>
                </pt>
                <pt idx="255">
                  <v>287679</v>
                </pt>
                <pt idx="256">
                  <v>288998</v>
                </pt>
                <pt idx="257">
                  <v>288597</v>
                </pt>
                <pt idx="258">
                  <v>290883</v>
                </pt>
                <pt idx="259">
                  <v>290634</v>
                </pt>
                <pt idx="260">
                  <v>291901</v>
                </pt>
                <pt idx="261">
                  <v>293033</v>
                </pt>
                <pt idx="262">
                  <v>294113</v>
                </pt>
                <pt idx="263">
                  <v>295226</v>
                </pt>
                <pt idx="264">
                  <v>292777</v>
                </pt>
                <pt idx="265">
                  <v>295914</v>
                </pt>
                <pt idx="266">
                  <v>298284</v>
                </pt>
                <pt idx="267">
                  <v>300922</v>
                </pt>
                <pt idx="268">
                  <v>301869</v>
                </pt>
                <pt idx="269">
                  <v>303804</v>
                </pt>
                <pt idx="270">
                  <v>304038</v>
                </pt>
                <pt idx="271">
                  <v>306590</v>
                </pt>
                <pt idx="272">
                  <v>306892</v>
                </pt>
                <pt idx="273">
                  <v>308897</v>
                </pt>
                <pt idx="274">
                  <v>310080</v>
                </pt>
                <pt idx="275">
                  <v>311112</v>
                </pt>
                <pt idx="276">
                  <v>311382</v>
                </pt>
                <pt idx="277">
                  <v>310754</v>
                </pt>
                <pt idx="278">
                  <v>312970</v>
                </pt>
                <pt idx="279">
                  <v>313571</v>
                </pt>
                <pt idx="280">
                  <v>314947</v>
                </pt>
                <pt idx="281">
                  <v>315051</v>
                </pt>
                <pt idx="282">
                  <v>317562</v>
                </pt>
                <pt idx="283">
                  <v>318091</v>
                </pt>
                <pt idx="284">
                  <v>318082</v>
                </pt>
                <pt idx="285">
                  <v>317805</v>
                </pt>
                <pt idx="286">
                  <v>319063</v>
                </pt>
                <pt idx="287">
                  <v>321344</v>
                </pt>
                <pt idx="288">
                  <v>320203</v>
                </pt>
                <pt idx="289">
                  <v>323905</v>
                </pt>
                <pt idx="290">
                  <v>323071</v>
                </pt>
                <pt idx="291">
                  <v>323590</v>
                </pt>
                <pt idx="292">
                  <v>324289</v>
                </pt>
                <pt idx="293">
                  <v>327033</v>
                </pt>
                <pt idx="294">
                  <v>325311</v>
                </pt>
                <pt idx="295">
                  <v>326417</v>
                </pt>
                <pt idx="296">
                  <v>327184</v>
                </pt>
                <pt idx="297">
                  <v>327785</v>
                </pt>
                <pt idx="298">
                  <v>328217</v>
                </pt>
                <pt idx="299">
                  <v>329217</v>
                </pt>
                <pt idx="300">
                  <v>334193</v>
                </pt>
                <pt idx="301">
                  <v>334072</v>
                </pt>
                <pt idx="302">
                  <v>335515</v>
                </pt>
                <pt idx="303">
                  <v>337371</v>
                </pt>
                <pt idx="304">
                  <v>336090</v>
                </pt>
                <pt idx="305">
                  <v>337439</v>
                </pt>
                <pt idx="306">
                  <v>337493</v>
                </pt>
                <pt idx="307">
                  <v>339279</v>
                </pt>
                <pt idx="308">
                  <v>342616</v>
                </pt>
                <pt idx="309">
                  <v>342619</v>
                </pt>
                <pt idx="310">
                  <v>347389</v>
                </pt>
                <pt idx="311">
                  <v>349301</v>
                </pt>
                <pt idx="312">
                  <v>348453</v>
                </pt>
                <pt idx="313">
                  <v>350758</v>
                </pt>
                <pt idx="314">
                  <v>350632</v>
                </pt>
                <pt idx="315">
                  <v>352159</v>
                </pt>
                <pt idx="316">
                  <v>356316</v>
                </pt>
                <pt idx="317">
                  <v>355265</v>
                </pt>
                <pt idx="318">
                  <v>357605</v>
                </pt>
                <pt idx="319">
                  <v>357588</v>
                </pt>
                <pt idx="320">
                  <v>356859</v>
                </pt>
                <pt idx="321">
                  <v>360253</v>
                </pt>
                <pt idx="322">
                  <v>362555</v>
                </pt>
                <pt idx="323">
                  <v>353860</v>
                </pt>
                <pt idx="324">
                  <v>363338</v>
                </pt>
                <pt idx="325">
                  <v>360834</v>
                </pt>
                <pt idx="326">
                  <v>364418</v>
                </pt>
                <pt idx="327">
                  <v>366650</v>
                </pt>
                <pt idx="328">
                  <v>367975</v>
                </pt>
                <pt idx="329">
                  <v>370338</v>
                </pt>
                <pt idx="330">
                  <v>372369</v>
                </pt>
                <pt idx="331">
                  <v>373450</v>
                </pt>
                <pt idx="332">
                  <v>372355</v>
                </pt>
                <pt idx="333">
                  <v>373751</v>
                </pt>
                <pt idx="334">
                  <v>372985</v>
                </pt>
                <pt idx="335">
                  <v>374946</v>
                </pt>
                <pt idx="336">
                  <v>378573</v>
                </pt>
                <pt idx="337">
                  <v>378665</v>
                </pt>
                <pt idx="338">
                  <v>367684</v>
                </pt>
                <pt idx="339">
                  <v>315490</v>
                </pt>
                <pt idx="340">
                  <v>353737</v>
                </pt>
                <pt idx="341">
                  <v>381322</v>
                </pt>
                <pt idx="342">
                  <v>388073</v>
                </pt>
                <pt idx="343">
                  <v>391699</v>
                </pt>
                <pt idx="344">
                  <v>397938</v>
                </pt>
                <pt idx="345">
                  <v>398444</v>
                </pt>
                <pt idx="346">
                  <v>393705</v>
                </pt>
                <pt idx="347">
                  <v>382427</v>
                </pt>
                <pt idx="348">
                  <v>415492</v>
                </pt>
                <pt idx="349">
                  <v>402025</v>
                </pt>
                <pt idx="350">
                  <v>441234</v>
                </pt>
                <pt idx="351">
                  <v>441556</v>
                </pt>
                <pt idx="352">
                  <v>438636</v>
                </pt>
                <pt idx="353">
                  <v>445079</v>
                </pt>
                <pt idx="354">
                  <v>439427</v>
                </pt>
                <pt idx="355">
                  <v>449135</v>
                </pt>
                <pt idx="356">
                  <v>450508</v>
                </pt>
                <pt idx="357">
                  <v>457642</v>
                </pt>
                <pt idx="358">
                  <v>458472</v>
                </pt>
                <pt idx="359">
                  <v>445904</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Sales'!$A$7:$A$371</f>
              <numCache>
                <formatCode>[$-409]mmm\-yy;@</formatCode>
                <ptCount val="36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Sales'!$D$7:$D$371</f>
              <numCache>
                <formatCode>General</formatCode>
                <ptCount val="365"/>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0.02680089870566203</v>
                </pt>
                <pt idx="217">
                  <formatCode>0.00%</formatCode>
                  <v>0.03373006412854316</v>
                </pt>
                <pt idx="218">
                  <formatCode>0.00%</formatCode>
                  <v>0.07469969400783025</v>
                </pt>
                <pt idx="219">
                  <formatCode>0.00%</formatCode>
                  <v>0.07850563750935562</v>
                </pt>
                <pt idx="220">
                  <formatCode>0.00%</formatCode>
                  <v>0.05996302235412378</v>
                </pt>
                <pt idx="221">
                  <formatCode>0.00%</formatCode>
                  <v>0.04083758234451267</v>
                </pt>
                <pt idx="222">
                  <formatCode>0.00%</formatCode>
                  <v>0.04154858641418784</v>
                </pt>
                <pt idx="223">
                  <formatCode>0.00%</formatCode>
                  <v>0.02925565670901266</v>
                </pt>
                <pt idx="224">
                  <formatCode>0.00%</formatCode>
                  <v>0.06191304758838075</v>
                </pt>
                <pt idx="225">
                  <formatCode>0.00%</formatCode>
                  <v>0.063473572678792</v>
                </pt>
                <pt idx="226">
                  <formatCode>0.00%</formatCode>
                  <v>0.06701996370235935</v>
                </pt>
                <pt idx="227">
                  <formatCode>0.00%</formatCode>
                  <v>0.0666422016227837</v>
                </pt>
                <pt idx="228">
                  <formatCode>0.00%</formatCode>
                  <v>0.07543668469385101</v>
                </pt>
                <pt idx="229">
                  <formatCode>0.00%</formatCode>
                  <v>0.08128396200579426</v>
                </pt>
                <pt idx="230">
                  <formatCode>0.00%</formatCode>
                  <v>0.0682969363308774</v>
                </pt>
                <pt idx="231">
                  <formatCode>0.00%</formatCode>
                  <v>0.06476011920585396</v>
                </pt>
                <pt idx="232">
                  <formatCode>0.00%</formatCode>
                  <v>0.07353675850058848</v>
                </pt>
                <pt idx="233">
                  <formatCode>0.00%</formatCode>
                  <v>0.083041471267487</v>
                </pt>
                <pt idx="234">
                  <formatCode>0.00%</formatCode>
                  <v>0.07957932133139724</v>
                </pt>
                <pt idx="235">
                  <formatCode>0.00%</formatCode>
                  <v>0.07621983688797959</v>
                </pt>
                <pt idx="236">
                  <formatCode>0.00%</formatCode>
                  <v>0.07801594035580654</v>
                </pt>
                <pt idx="237">
                  <formatCode>0.00%</formatCode>
                  <v>0.07361149336709419</v>
                </pt>
                <pt idx="238">
                  <formatCode>0.00%</formatCode>
                  <v>0.06554816236001687</v>
                </pt>
                <pt idx="239">
                  <formatCode>0.00%</formatCode>
                  <v>0.06088016579300256</v>
                </pt>
                <pt idx="240">
                  <formatCode>0.00%</formatCode>
                  <v>0.06360046982048449</v>
                </pt>
                <pt idx="241">
                  <formatCode>0.00%</formatCode>
                  <v>0.067282160110053</v>
                </pt>
                <pt idx="242">
                  <formatCode>0.00%</formatCode>
                  <v>0.06096169389986845</v>
                </pt>
                <pt idx="243">
                  <formatCode>0.00%</formatCode>
                  <v>0.05178866147360896</v>
                </pt>
                <pt idx="244">
                  <formatCode>0.00%</formatCode>
                  <v>0.0498957547331032</v>
                </pt>
                <pt idx="245">
                  <formatCode>0.00%</formatCode>
                  <v>0.03248159941535731</v>
                </pt>
                <pt idx="246">
                  <formatCode>0.00%</formatCode>
                  <v>0.03833486989701976</v>
                </pt>
                <pt idx="247">
                  <formatCode>0.00%</formatCode>
                  <v>0.04728051124201185</v>
                </pt>
                <pt idx="248">
                  <formatCode>0.00%</formatCode>
                  <v>0.04656924097246774</v>
                </pt>
                <pt idx="249">
                  <formatCode>0.00%</formatCode>
                  <v>0.04002450741631332</v>
                </pt>
                <pt idx="250">
                  <formatCode>0.00%</formatCode>
                  <v>0.04049384355661349</v>
                </pt>
                <pt idx="251">
                  <formatCode>0.00%</formatCode>
                  <v>0.04447815162100877</v>
                </pt>
                <pt idx="252">
                  <formatCode>0.00%</formatCode>
                  <v>0.04153189123622764</v>
                </pt>
                <pt idx="253">
                  <formatCode>0.00%</formatCode>
                  <v>0.04204042175310807</v>
                </pt>
                <pt idx="254">
                  <formatCode>0.00%</formatCode>
                  <v>0.03094898434251769</v>
                </pt>
                <pt idx="255">
                  <formatCode>0.00%</formatCode>
                  <v>0.03004142783610768</v>
                </pt>
                <pt idx="256">
                  <formatCode>0.00%</formatCode>
                  <v>0.03750773168123687</v>
                </pt>
                <pt idx="257">
                  <formatCode>0.00%</formatCode>
                  <v>0.05095491487290974</v>
                </pt>
                <pt idx="258">
                  <formatCode>0.00%</formatCode>
                  <v>0.05291435154326189</v>
                </pt>
                <pt idx="259">
                  <formatCode>0.00%</formatCode>
                  <v>0.03849692412510381</v>
                </pt>
                <pt idx="260">
                  <formatCode>0.00%</formatCode>
                  <v>0.03031401412878648</v>
                </pt>
                <pt idx="261">
                  <formatCode>0.00%</formatCode>
                  <v>0.03426185423183197</v>
                </pt>
                <pt idx="262">
                  <formatCode>0.00%</formatCode>
                  <v>0.03255309330479435</v>
                </pt>
                <pt idx="263">
                  <formatCode>0.00%</formatCode>
                  <v>0.03504911668206911</v>
                </pt>
                <pt idx="264">
                  <formatCode>0.00%</formatCode>
                  <v>0.01647923718018706</v>
                </pt>
                <pt idx="265">
                  <formatCode>0.00%</formatCode>
                  <v>0.01880817625893244</v>
                </pt>
                <pt idx="266">
                  <formatCode>0.00%</formatCode>
                  <v>0.03759068033190692</v>
                </pt>
                <pt idx="267">
                  <formatCode>0.00%</formatCode>
                  <v>0.05237035976877379</v>
                </pt>
                <pt idx="268">
                  <formatCode>0.00%</formatCode>
                  <v>0.04907206939747869</v>
                </pt>
                <pt idx="269">
                  <formatCode>0.00%</formatCode>
                  <v>0.04828475352502273</v>
                </pt>
                <pt idx="270">
                  <formatCode>0.00%</formatCode>
                  <v>0.042613066286992</v>
                </pt>
                <pt idx="271">
                  <formatCode>0.00%</formatCode>
                  <v>0.05276263995172922</v>
                </pt>
                <pt idx="272">
                  <formatCode>0.00%</formatCode>
                  <v>0.05024063716797216</v>
                </pt>
                <pt idx="273">
                  <formatCode>0.00%</formatCode>
                  <v>0.04901107962602389</v>
                </pt>
                <pt idx="274">
                  <formatCode>0.00%</formatCode>
                  <v>0.04963176737397126</v>
                </pt>
                <pt idx="275">
                  <formatCode>0.00%</formatCode>
                  <v>0.03711953363787964</v>
                </pt>
                <pt idx="276">
                  <formatCode>0.00%</formatCode>
                  <v>0.04185493630459223</v>
                </pt>
                <pt idx="277">
                  <formatCode>0.00%</formatCode>
                  <v>0.02551028811425748</v>
                </pt>
                <pt idx="278">
                  <formatCode>0.00%</formatCode>
                  <v>0.02985863174897244</v>
                </pt>
                <pt idx="279">
                  <formatCode>0.00%</formatCode>
                  <v>0.02136570883257343</v>
                </pt>
                <pt idx="280">
                  <formatCode>0.00%</formatCode>
                  <v>0.02735367200441745</v>
                </pt>
                <pt idx="281">
                  <formatCode>0.00%</formatCode>
                  <v>0.02644923545716541</v>
                </pt>
                <pt idx="282">
                  <formatCode>0.00%</formatCode>
                  <v>0.03186677725791743</v>
                </pt>
                <pt idx="283">
                  <formatCode>0.00%</formatCode>
                  <v>0.02465656841339156</v>
                </pt>
                <pt idx="284">
                  <formatCode>0.00%</formatCode>
                  <v>0.02231554864848852</v>
                </pt>
                <pt idx="285">
                  <formatCode>0.00%</formatCode>
                  <v>0.01612580765351096</v>
                </pt>
                <pt idx="286">
                  <formatCode>0.00%</formatCode>
                  <v>0.01717866719814466</v>
                </pt>
                <pt idx="287">
                  <formatCode>0.00%</formatCode>
                  <v>0.02668096939716724</v>
                </pt>
                <pt idx="288">
                  <formatCode>0.00%</formatCode>
                  <v>0.02591630353599919</v>
                </pt>
                <pt idx="289">
                  <formatCode>0.00%</formatCode>
                  <v>0.03784584957565384</v>
                </pt>
                <pt idx="290">
                  <formatCode>0.00%</formatCode>
                  <v>0.01885479121420516</v>
                </pt>
                <pt idx="291">
                  <formatCode>0.00%</formatCode>
                  <v>0.02106771685530191</v>
                </pt>
                <pt idx="292">
                  <formatCode>0.00%</formatCode>
                  <v>0.01772337295002116</v>
                </pt>
                <pt idx="293">
                  <formatCode>0.00%</formatCode>
                  <v>0.02617454615362261</v>
                </pt>
                <pt idx="294">
                  <formatCode>0.00%</formatCode>
                  <v>0.01712001776396136</v>
                </pt>
                <pt idx="295">
                  <formatCode>0.00%</formatCode>
                  <v>0.01831213195389338</v>
                </pt>
                <pt idx="296">
                  <formatCode>0.00%</formatCode>
                  <v>0.02828357127731898</v>
                </pt>
                <pt idx="297">
                  <formatCode>0.00%</formatCode>
                  <v>0.03467318931632913</v>
                </pt>
                <pt idx="298">
                  <formatCode>0.00%</formatCode>
                  <v>0.02958222839724707</v>
                </pt>
                <pt idx="299">
                  <formatCode>0.00%</formatCode>
                  <v>0.03830813324105131</v>
                </pt>
                <pt idx="300">
                  <formatCode>0.00%</formatCode>
                  <v>0.05737013001514089</v>
                </pt>
                <pt idx="301">
                  <formatCode>0.00%</formatCode>
                  <v>0.04565793138819742</v>
                </pt>
                <pt idx="302">
                  <formatCode>0.00%</formatCode>
                  <v>0.04695561519863363</v>
                </pt>
                <pt idx="303">
                  <formatCode>0.00%</formatCode>
                  <v>0.04847821762482594</v>
                </pt>
                <pt idx="304">
                  <formatCode>0.00%</formatCode>
                  <v>0.03865611308789001</v>
                </pt>
                <pt idx="305">
                  <formatCode>0.00%</formatCode>
                  <v>0.03205737040683844</v>
                </pt>
                <pt idx="306">
                  <formatCode>0.00%</formatCode>
                  <v>0.03470942671265773</v>
                </pt>
                <pt idx="307">
                  <formatCode>0.00%</formatCode>
                  <v>0.03472756560462627</v>
                </pt>
                <pt idx="308">
                  <formatCode>0.00%</formatCode>
                  <v>0.04998872809565511</v>
                </pt>
                <pt idx="309">
                  <formatCode>0.00%</formatCode>
                  <v>0.04816431488644467</v>
                </pt>
                <pt idx="310">
                  <formatCode>0.00%</formatCode>
                  <v>0.05968767773844254</v>
                </pt>
                <pt idx="311">
                  <formatCode>0.00%</formatCode>
                  <v>0.05200176900019442</v>
                </pt>
                <pt idx="312">
                  <formatCode>0.00%</formatCode>
                  <v>0.03803296415507176</v>
                </pt>
                <pt idx="313">
                  <formatCode>0.00%</formatCode>
                  <v>0.04389898413302466</v>
                </pt>
                <pt idx="314">
                  <formatCode>0.00%</formatCode>
                  <v>0.04528399424575052</v>
                </pt>
                <pt idx="315">
                  <formatCode>0.00%</formatCode>
                  <v>0.04355736008078202</v>
                </pt>
                <pt idx="316">
                  <formatCode>0.00%</formatCode>
                  <v>0.06082286392237453</v>
                </pt>
                <pt idx="317">
                  <formatCode>0.00%</formatCode>
                  <v>0.0545900103004002</v>
                </pt>
                <pt idx="318">
                  <formatCode>0.00%</formatCode>
                  <v>0.06119305678339266</v>
                </pt>
                <pt idx="319">
                  <formatCode>0.00%</formatCode>
                  <v>0.05732005064219101</v>
                </pt>
                <pt idx="320">
                  <formatCode>0.00%</formatCode>
                  <v>0.03298409323162361</v>
                </pt>
                <pt idx="321">
                  <formatCode>0.00%</formatCode>
                  <v>0.04319268377661274</v>
                </pt>
                <pt idx="322">
                  <formatCode>0.00%</formatCode>
                  <v>0.03462399516741597</v>
                </pt>
                <pt idx="323">
                  <formatCode>0.00%</formatCode>
                  <v>0.008513386447224925</v>
                </pt>
                <pt idx="324">
                  <formatCode>0.00%</formatCode>
                  <v>0.02285286433960268</v>
                </pt>
                <pt idx="325">
                  <formatCode>0.00%</formatCode>
                  <v>0.01796017895370008</v>
                </pt>
                <pt idx="326">
                  <formatCode>0.00%</formatCode>
                  <v>0.03434926516043642</v>
                </pt>
                <pt idx="327">
                  <formatCode>0.00%</formatCode>
                  <v>0.03494975001262562</v>
                </pt>
                <pt idx="328">
                  <formatCode>0.00%</formatCode>
                  <v>0.02626423203433463</v>
                </pt>
                <pt idx="329">
                  <formatCode>0.00%</formatCode>
                  <v>0.03258404702670571</v>
                </pt>
                <pt idx="330">
                  <formatCode>0.00%</formatCode>
                  <v>0.03277583594784497</v>
                </pt>
                <pt idx="331">
                  <formatCode>0.00%</formatCode>
                  <v>0.03968815312613939</v>
                </pt>
                <pt idx="332">
                  <formatCode>0.00%</formatCode>
                  <v>0.03645960324724899</v>
                </pt>
                <pt idx="333">
                  <formatCode>0.00%</formatCode>
                  <v>0.02984921246615679</v>
                </pt>
                <pt idx="334">
                  <formatCode>0.00%</formatCode>
                  <v>0.03122848751314173</v>
                </pt>
                <pt idx="335">
                  <formatCode>0.00%</formatCode>
                  <v>0.05491217153685211</v>
                </pt>
                <pt idx="336">
                  <formatCode>0.00%</formatCode>
                  <v>0.04814968054041582</v>
                </pt>
                <pt idx="337">
                  <formatCode>0.00%</formatCode>
                  <v>0.04612366625748318</v>
                </pt>
                <pt idx="338">
                  <formatCode>0.00%</formatCode>
                  <v>-0.05861616240790093</v>
                </pt>
                <pt idx="339">
                  <formatCode>0.00%</formatCode>
                  <v>-0.2000815886759602</v>
                </pt>
                <pt idx="340">
                  <formatCode>0.00%</formatCode>
                  <v>-0.05755346683013213</v>
                </pt>
                <pt idx="341">
                  <formatCode>0.00%</formatCode>
                  <v>0.01991816417948057</v>
                </pt>
                <pt idx="342">
                  <formatCode>0.00%</formatCode>
                  <v>0.02708649775626772</v>
                </pt>
                <pt idx="343">
                  <formatCode>0.00%</formatCode>
                  <v>0.03094284953232164</v>
                </pt>
                <pt idx="344">
                  <formatCode>0.00%</formatCode>
                  <v>0.05901601411478871</v>
                </pt>
                <pt idx="345">
                  <formatCode>0.00%</formatCode>
                  <v>0.05337795568723926</v>
                </pt>
                <pt idx="346">
                  <formatCode>0.00%</formatCode>
                  <v>0.03527510257170455</v>
                </pt>
                <pt idx="347">
                  <formatCode>0.00%</formatCode>
                  <v>0.02311677502853805</v>
                </pt>
                <pt idx="348">
                  <formatCode>0.00%</formatCode>
                  <v>0.09400869185660335</v>
                </pt>
                <pt idx="349">
                  <formatCode>0.00%</formatCode>
                  <v>0.06496643274186494</v>
                </pt>
                <pt idx="350">
                  <formatCode>0.00%</formatCode>
                  <v>0.2970647804882111</v>
                </pt>
                <pt idx="351">
                  <formatCode>0.00%</formatCode>
                  <v>0.5342163247677634</v>
                </pt>
                <pt idx="352">
                  <formatCode>0.00%</formatCode>
                  <v>0.2804571593760002</v>
                </pt>
                <pt idx="353">
                  <formatCode>0.00%</formatCode>
                  <v>0.1885603407153731</v>
                </pt>
                <pt idx="354">
                  <formatCode>0.00%</formatCode>
                  <v>0.1531966179147056</v>
                </pt>
                <pt idx="355">
                  <formatCode>0.00%</formatCode>
                  <v>0.1568887319231198</v>
                </pt>
                <pt idx="356">
                  <formatCode>0.00%</formatCode>
                  <v>0.1416359104242267</v>
                </pt>
                <pt idx="357">
                  <formatCode>0.00%</formatCode>
                  <v>0.1626072541125462</v>
                </pt>
                <pt idx="358">
                  <formatCode>0.00%</formatCode>
                  <v>0.1821386538863033</v>
                </pt>
                <pt idx="359">
                  <formatCode>0.00%</formatCode>
                  <v>0.1695256468621495</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5320"/>
        <crosses val="autoZero"/>
        <lblOffset val="100"/>
        <baseTimeUnit val="months"/>
        <majorUnit val="12"/>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Sales'!$B$7:$B$366</f>
              <numCache>
                <formatCode>#,##0</formatCode>
                <ptCount val="360"/>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345959</v>
                </pt>
                <pt idx="217">
                  <v>346895</v>
                </pt>
                <pt idx="218">
                  <v>354379</v>
                </pt>
                <pt idx="219">
                  <v>357365</v>
                </pt>
                <pt idx="220">
                  <v>354299</v>
                </pt>
                <pt idx="221">
                  <v>353763</v>
                </pt>
                <pt idx="222">
                  <v>354665</v>
                </pt>
                <pt idx="223">
                  <v>356810</v>
                </pt>
                <pt idx="224">
                  <v>359465</v>
                </pt>
                <pt idx="225">
                  <v>363340</v>
                </pt>
                <pt idx="226">
                  <v>367455</v>
                </pt>
                <pt idx="227">
                  <v>369135</v>
                </pt>
                <pt idx="228">
                  <v>372057</v>
                </pt>
                <pt idx="229">
                  <v>375092</v>
                </pt>
                <pt idx="230">
                  <v>378582</v>
                </pt>
                <pt idx="231">
                  <v>380508</v>
                </pt>
                <pt idx="232">
                  <v>380353</v>
                </pt>
                <pt idx="233">
                  <v>383140</v>
                </pt>
                <pt idx="234">
                  <v>382889</v>
                </pt>
                <pt idx="235">
                  <v>384006</v>
                </pt>
                <pt idx="236">
                  <v>387509</v>
                </pt>
                <pt idx="237">
                  <v>390086</v>
                </pt>
                <pt idx="238">
                  <v>391541</v>
                </pt>
                <pt idx="239">
                  <v>391608</v>
                </pt>
                <pt idx="240">
                  <v>395720</v>
                </pt>
                <pt idx="241">
                  <v>400329</v>
                </pt>
                <pt idx="242">
                  <v>401661</v>
                </pt>
                <pt idx="243">
                  <v>400214</v>
                </pt>
                <pt idx="244">
                  <v>399331</v>
                </pt>
                <pt idx="245">
                  <v>395585</v>
                </pt>
                <pt idx="246">
                  <v>397567</v>
                </pt>
                <pt idx="247">
                  <v>402162</v>
                </pt>
                <pt idx="248">
                  <v>405555</v>
                </pt>
                <pt idx="249">
                  <v>405699</v>
                </pt>
                <pt idx="250">
                  <v>407396</v>
                </pt>
                <pt idx="251">
                  <v>409026</v>
                </pt>
                <pt idx="252">
                  <v>412155</v>
                </pt>
                <pt idx="253">
                  <v>417159</v>
                </pt>
                <pt idx="254">
                  <v>414092</v>
                </pt>
                <pt idx="255">
                  <v>412237</v>
                </pt>
                <pt idx="256">
                  <v>414309</v>
                </pt>
                <pt idx="257">
                  <v>415742</v>
                </pt>
                <pt idx="258">
                  <v>418604</v>
                </pt>
                <pt idx="259">
                  <v>417644</v>
                </pt>
                <pt idx="260">
                  <v>417849</v>
                </pt>
                <pt idx="261">
                  <v>419599</v>
                </pt>
                <pt idx="262">
                  <v>420658</v>
                </pt>
                <pt idx="263">
                  <v>423362</v>
                </pt>
                <pt idx="264">
                  <v>418947</v>
                </pt>
                <pt idx="265">
                  <v>425005</v>
                </pt>
                <pt idx="266">
                  <v>429658</v>
                </pt>
                <pt idx="267">
                  <v>433826</v>
                </pt>
                <pt idx="268">
                  <v>434640</v>
                </pt>
                <pt idx="269">
                  <v>435816</v>
                </pt>
                <pt idx="270">
                  <v>436442</v>
                </pt>
                <pt idx="271">
                  <v>439680</v>
                </pt>
                <pt idx="272">
                  <v>438842</v>
                </pt>
                <pt idx="273">
                  <v>440164</v>
                </pt>
                <pt idx="274">
                  <v>441536</v>
                </pt>
                <pt idx="275">
                  <v>439077</v>
                </pt>
                <pt idx="276">
                  <v>436482</v>
                </pt>
                <pt idx="277">
                  <v>435847</v>
                </pt>
                <pt idx="278">
                  <v>442487</v>
                </pt>
                <pt idx="279">
                  <v>443095</v>
                </pt>
                <pt idx="280">
                  <v>446529</v>
                </pt>
                <pt idx="281">
                  <v>447343</v>
                </pt>
                <pt idx="282">
                  <v>450350</v>
                </pt>
                <pt idx="283">
                  <v>450521</v>
                </pt>
                <pt idx="284">
                  <v>448635</v>
                </pt>
                <pt idx="285">
                  <v>447262</v>
                </pt>
                <pt idx="286">
                  <v>449121</v>
                </pt>
                <pt idx="287">
                  <v>450792</v>
                </pt>
                <pt idx="288">
                  <v>447794</v>
                </pt>
                <pt idx="289">
                  <v>452342</v>
                </pt>
                <pt idx="290">
                  <v>450830</v>
                </pt>
                <pt idx="291">
                  <v>452430</v>
                </pt>
                <pt idx="292">
                  <v>454443</v>
                </pt>
                <pt idx="293">
                  <v>459052</v>
                </pt>
                <pt idx="294">
                  <v>458060</v>
                </pt>
                <pt idx="295">
                  <v>458771</v>
                </pt>
                <pt idx="296">
                  <v>461324</v>
                </pt>
                <pt idx="297">
                  <v>462770</v>
                </pt>
                <pt idx="298">
                  <v>462407</v>
                </pt>
                <pt idx="299">
                  <v>468061</v>
                </pt>
                <pt idx="300">
                  <v>473484</v>
                </pt>
                <pt idx="301">
                  <v>472995</v>
                </pt>
                <pt idx="302">
                  <v>471999</v>
                </pt>
                <pt idx="303">
                  <v>474363</v>
                </pt>
                <pt idx="304">
                  <v>472010</v>
                </pt>
                <pt idx="305">
                  <v>473768</v>
                </pt>
                <pt idx="306">
                  <v>473959</v>
                </pt>
                <pt idx="307">
                  <v>474703</v>
                </pt>
                <pt idx="308">
                  <v>484385</v>
                </pt>
                <pt idx="309">
                  <v>485059</v>
                </pt>
                <pt idx="310">
                  <v>490007</v>
                </pt>
                <pt idx="311">
                  <v>492401</v>
                </pt>
                <pt idx="312">
                  <v>491492</v>
                </pt>
                <pt idx="313">
                  <v>493759</v>
                </pt>
                <pt idx="314">
                  <v>493373</v>
                </pt>
                <pt idx="315">
                  <v>495025</v>
                </pt>
                <pt idx="316">
                  <v>500719</v>
                </pt>
                <pt idx="317">
                  <v>499631</v>
                </pt>
                <pt idx="318">
                  <v>502962</v>
                </pt>
                <pt idx="319">
                  <v>501913</v>
                </pt>
                <pt idx="320">
                  <v>500362</v>
                </pt>
                <pt idx="321">
                  <v>506010</v>
                </pt>
                <pt idx="322">
                  <v>506973</v>
                </pt>
                <pt idx="323">
                  <v>496593</v>
                </pt>
                <pt idx="324">
                  <v>502724</v>
                </pt>
                <pt idx="325">
                  <v>502627</v>
                </pt>
                <pt idx="326">
                  <v>510320</v>
                </pt>
                <pt idx="327">
                  <v>512326</v>
                </pt>
                <pt idx="328">
                  <v>513870</v>
                </pt>
                <pt idx="329">
                  <v>515911</v>
                </pt>
                <pt idx="330">
                  <v>519447</v>
                </pt>
                <pt idx="331">
                  <v>521833</v>
                </pt>
                <pt idx="332">
                  <v>518605</v>
                </pt>
                <pt idx="333">
                  <v>521114</v>
                </pt>
                <pt idx="334">
                  <v>522805</v>
                </pt>
                <pt idx="335">
                  <v>523862</v>
                </pt>
                <pt idx="336">
                  <v>526930</v>
                </pt>
                <pt idx="337">
                  <v>525810</v>
                </pt>
                <pt idx="338">
                  <v>480407</v>
                </pt>
                <pt idx="339">
                  <v>409819</v>
                </pt>
                <pt idx="340">
                  <v>484295</v>
                </pt>
                <pt idx="341">
                  <v>526187</v>
                </pt>
                <pt idx="342">
                  <v>533517</v>
                </pt>
                <pt idx="343">
                  <v>537980</v>
                </pt>
                <pt idx="344">
                  <v>549211</v>
                </pt>
                <pt idx="345">
                  <v>548930</v>
                </pt>
                <pt idx="346">
                  <v>541247</v>
                </pt>
                <pt idx="347">
                  <v>535972</v>
                </pt>
                <pt idx="348">
                  <v>576466</v>
                </pt>
                <pt idx="349">
                  <v>559970</v>
                </pt>
                <pt idx="350">
                  <v>623119</v>
                </pt>
                <pt idx="351">
                  <v>628751</v>
                </pt>
                <pt idx="352">
                  <v>620119</v>
                </pt>
                <pt idx="353">
                  <v>625405</v>
                </pt>
                <pt idx="354">
                  <v>615250</v>
                </pt>
                <pt idx="355">
                  <v>622383</v>
                </pt>
                <pt idx="356">
                  <v>626999</v>
                </pt>
                <pt idx="357">
                  <v>638190</v>
                </pt>
                <pt idx="358">
                  <v>639829</v>
                </pt>
                <pt idx="359">
                  <v>626833</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Auto'!$A$19:$A$335</f>
              <numCache>
                <formatCode>[$-409]mmm\-yy;@</formatCode>
                <ptCount val="317"/>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numCache>
            </numRef>
          </cat>
          <val>
            <numRef>
              <f>'Retail Sales ex Auto'!$C$19:$C$335</f>
              <numCache>
                <formatCode>0.00%</formatCode>
                <ptCount val="317"/>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0.000782025862218116</v>
                </pt>
                <pt idx="205">
                  <v>0.006292809255270228</v>
                </pt>
                <pt idx="206">
                  <v>0.008394064025783486</v>
                </pt>
                <pt idx="207">
                  <v>0.006998725645865845</v>
                </pt>
                <pt idx="208">
                  <v>-0.009677332033999241</v>
                </pt>
                <pt idx="209">
                  <v>-0.0009566893083136301</v>
                </pt>
                <pt idx="210">
                  <v>-0.001200426818424329</v>
                </pt>
                <pt idx="211">
                  <v>0.007238610488109709</v>
                </pt>
                <pt idx="212">
                  <v>0.006955422067657287</v>
                </pt>
                <pt idx="213">
                  <v>0.008119376782971253</v>
                </pt>
                <pt idx="214">
                  <v>0.01116171595057098</v>
                </pt>
                <pt idx="215">
                  <v>0.006474731985838387</v>
                </pt>
                <pt idx="216">
                  <v>0.006163252143811411</v>
                </pt>
                <pt idx="217">
                  <v>0.00654411307808785</v>
                </pt>
                <pt idx="218">
                  <v>0.0105142768023082</v>
                </pt>
                <pt idx="219">
                  <v>0.00894832287272353</v>
                </pt>
                <pt idx="220">
                  <v>0.002074629291471075</v>
                </pt>
                <pt idx="221">
                  <v>0.00613785690206779</v>
                </pt>
                <pt idx="222">
                  <v>0.0003002794179004463</v>
                </pt>
                <pt idx="223">
                  <v>0.005308610376437354</v>
                </pt>
                <pt idx="224">
                  <v>0.001716187799979255</v>
                </pt>
                <pt idx="225">
                  <v>0.004747515634168306</v>
                </pt>
                <pt idx="226">
                  <v>0.003472764407912406</v>
                </pt>
                <pt idx="227">
                  <v>-0.003719057133431678</v>
                </pt>
                <pt idx="228">
                  <v>0.01211096984596546</v>
                </pt>
                <pt idx="229">
                  <v>0.01154320987654321</v>
                </pt>
                <pt idx="230">
                  <v>0.003875022883993409</v>
                </pt>
                <pt idx="231">
                  <v>-0.005288593051882922</v>
                </pt>
                <pt idx="232">
                  <v>-0.004821706847557063</v>
                </pt>
                <pt idx="233">
                  <v>-0.007654471095390737</v>
                </pt>
                <pt idx="234">
                  <v>0.003845927741113061</v>
                </pt>
                <pt idx="235">
                  <v>0.01171241701136105</v>
                </pt>
                <pt idx="236">
                  <v>0.006452556345623047</v>
                </pt>
                <pt idx="237">
                  <v>0.001592202445816685</v>
                </pt>
                <pt idx="238">
                  <v>0.002030910948181549</v>
                </pt>
                <pt idx="239">
                  <v>0.001812654196249223</v>
                </pt>
                <pt idx="240">
                  <v>0.006915362823226226</v>
                </pt>
                <pt idx="241">
                  <v>0.01160690793407802</v>
                </pt>
                <pt idx="242">
                  <v>-0.006372325898953118</v>
                </pt>
                <pt idx="243">
                  <v>-0.006942667959617112</v>
                </pt>
                <pt idx="244">
                  <v>0.002225563729601495</v>
                </pt>
                <pt idx="245">
                  <v>-0.0004961281086460783</v>
                </pt>
                <pt idx="246">
                  <v>0.007367870225013082</v>
                </pt>
                <pt idx="247">
                  <v>-0.001831463775902449</v>
                </pt>
                <pt idx="248">
                  <v>0.004106794499690727</v>
                </pt>
                <pt idx="249">
                  <v>0.001347537264588201</v>
                </pt>
                <pt idx="250">
                  <v>0.002153158162480628</v>
                </pt>
                <pt idx="251">
                  <v>0.00903682017259087</v>
                </pt>
                <pt idx="252">
                  <v>-0.005808749978063633</v>
                </pt>
                <pt idx="253">
                  <v>0.01036738920661818</v>
                </pt>
                <pt idx="254">
                  <v>0.004996564134220059</v>
                </pt>
                <pt idx="255">
                  <v>0.008280409790469127</v>
                </pt>
                <pt idx="256">
                  <v>0.001856268498031666</v>
                </pt>
                <pt idx="257">
                  <v>0.002673121931072461</v>
                </pt>
                <pt idx="258">
                  <v>0.0007580351728320194</v>
                </pt>
                <pt idx="259">
                  <v>0.007460276173135575</v>
                </pt>
                <pt idx="260">
                  <v>-0.0003716702178668399</v>
                </pt>
                <pt idx="261">
                  <v>0.003056775995368005</v>
                </pt>
                <pt idx="262">
                  <v>0.0008828298090880538</v>
                </pt>
                <pt idx="263">
                  <v>-0.005965153327057201</v>
                </pt>
                <pt idx="264">
                  <v>-0.01037510203036879</v>
                </pt>
                <pt idx="265">
                  <v>0.001721447395269037</v>
                </pt>
                <pt idx="266">
                  <v>0.007989970220505965</v>
                </pt>
                <pt idx="267">
                  <v>0.0001593865893262217</v>
                </pt>
                <pt idx="268">
                  <v>0.008005054026288904</v>
                </pt>
                <pt idx="269">
                  <v>0.002038304311493552</v>
                </pt>
                <pt idx="270">
                  <v>0.008218336723596797</v>
                </pt>
                <pt idx="271">
                  <v>-0.001495018932249095</v>
                </pt>
                <pt idx="272">
                  <v>-0.006394828165230046</v>
                </pt>
                <pt idx="273">
                  <v>-0.001870238145534947</v>
                </pt>
                <pt idx="274">
                  <v>0.00233089050740608</v>
                </pt>
                <pt idx="275">
                  <v>0.005976964895536843</v>
                </pt>
                <pt idx="276">
                  <v>-0.007329564535990149</v>
                </pt>
                <pt idx="277">
                  <v>0.005833081947894142</v>
                </pt>
                <pt idx="278">
                  <v>0.001409871906270146</v>
                </pt>
                <pt idx="279">
                  <v>0.003968953713266886</v>
                </pt>
                <pt idx="280">
                  <v>0.004547089277400325</v>
                </pt>
                <pt idx="281">
                  <v>0.01104012522132981</v>
                </pt>
                <pt idx="282">
                  <v>-0.005989569036508372</v>
                </pt>
                <pt idx="283">
                  <v>0.0008754052546407525</v>
                </pt>
                <pt idx="284">
                  <v>0.00472360561204078</v>
                </pt>
                <pt idx="285">
                  <v>0.004369114670723637</v>
                </pt>
                <pt idx="286">
                  <v>0.0001558492691489536</v>
                </pt>
                <pt idx="287">
                  <v>0.007714703590809059</v>
                </pt>
                <pt idx="288">
                  <v>0.01477685510977519</v>
                </pt>
                <pt idx="289">
                  <v>0.0003047606826639292</v>
                </pt>
                <pt idx="290">
                  <v>0.002982537722688132</v>
                </pt>
                <pt idx="291">
                  <v>0.00430595746268259</v>
                </pt>
                <pt idx="292">
                  <v>-0.007330662492372185</v>
                </pt>
                <pt idx="293">
                  <v>0.002472290303009245</v>
                </pt>
                <pt idx="294">
                  <v>-9.064926200836106e-05</v>
                </pt>
                <pt idx="295">
                  <v>0.00801518779430351</v>
                </pt>
                <pt idx="296">
                  <v>0.0142628900339643</v>
                </pt>
                <pt idx="297">
                  <v>0.0003207836509873877</v>
                </pt>
                <pt idx="298">
                  <v>0.01521278343097151</v>
                </pt>
                <pt idx="299">
                  <v>0.006746380272936923</v>
                </pt>
                <pt idx="300">
                  <v>-0.002061114072970581</v>
                </pt>
                <pt idx="301">
                  <v>0.006975739558756995</v>
                </pt>
                <pt idx="302">
                  <v>-0.001771834432479908</v>
                </pt>
                <pt idx="303">
                  <v>0.003351608670443796</v>
                </pt>
                <pt idx="304">
                  <v>0.0133793928457378</v>
                </pt>
                <pt idx="305">
                  <v>-0.002008298298573683</v>
                </pt>
                <pt idx="306">
                  <v>0.006869019993083365</v>
                </pt>
                <pt idx="307">
                  <v>0.001057795454715154</v>
                </pt>
                <pt idx="308">
                  <v>-0.003122793408320156</v>
                </pt>
                <pt idx="309">
                  <v>0.01292686333389866</v>
                </pt>
                <pt idx="310">
                  <v>0.0003594899182776001</v>
                </pt>
                <pt idx="311">
                  <v>-0.02819504919057687</v>
                </pt>
                <pt idx="312">
                  <v>0.02101453313138579</v>
                </pt>
                <pt idx="313">
                  <v>-0.002096155229597216</v>
                </pt>
                <pt idx="314">
                  <v>0.01194708084539394</v>
                </pt>
                <pt idx="315">
                  <v>0.007509580426451803</v>
                </pt>
                <pt idx="316">
                  <v>0.002716165573942365</v>
                </pt>
              </numCache>
            </numRef>
          </val>
        </ser>
        <dLbls>
          <showLegendKey val="0"/>
          <showVal val="0"/>
          <showCatName val="0"/>
          <showSerName val="0"/>
          <showPercent val="0"/>
          <showBubbleSize val="0"/>
        </dLbls>
        <gapWidth val="219"/>
        <overlap val="-27"/>
        <axId val="986129336"/>
        <axId val="986131632"/>
      </barChart>
      <dateAx>
        <axId val="98612933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 ex Auto'!$B$7:$B$366</f>
              <numCache>
                <formatCode>#,##0</formatCode>
                <ptCount val="360"/>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289219</v>
                </pt>
                <pt idx="217">
                  <v>291039</v>
                </pt>
                <pt idx="218">
                  <v>293482</v>
                </pt>
                <pt idx="219">
                  <v>295536</v>
                </pt>
                <pt idx="220">
                  <v>292676</v>
                </pt>
                <pt idx="221">
                  <v>292396</v>
                </pt>
                <pt idx="222">
                  <v>292045</v>
                </pt>
                <pt idx="223">
                  <v>294159</v>
                </pt>
                <pt idx="224">
                  <v>296205</v>
                </pt>
                <pt idx="225">
                  <v>298610</v>
                </pt>
                <pt idx="226">
                  <v>301943</v>
                </pt>
                <pt idx="227">
                  <v>303898</v>
                </pt>
                <pt idx="228">
                  <v>305771</v>
                </pt>
                <pt idx="229">
                  <v>307772</v>
                </pt>
                <pt idx="230">
                  <v>311008</v>
                </pt>
                <pt idx="231">
                  <v>313791</v>
                </pt>
                <pt idx="232">
                  <v>314442</v>
                </pt>
                <pt idx="233">
                  <v>316372</v>
                </pt>
                <pt idx="234">
                  <v>316467</v>
                </pt>
                <pt idx="235">
                  <v>318147</v>
                </pt>
                <pt idx="236">
                  <v>318693</v>
                </pt>
                <pt idx="237">
                  <v>320206</v>
                </pt>
                <pt idx="238">
                  <v>321318</v>
                </pt>
                <pt idx="239">
                  <v>320123</v>
                </pt>
                <pt idx="240">
                  <v>324000</v>
                </pt>
                <pt idx="241">
                  <v>327740</v>
                </pt>
                <pt idx="242">
                  <v>329010</v>
                </pt>
                <pt idx="243">
                  <v>327270</v>
                </pt>
                <pt idx="244">
                  <v>325692</v>
                </pt>
                <pt idx="245">
                  <v>323199</v>
                </pt>
                <pt idx="246">
                  <v>324442</v>
                </pt>
                <pt idx="247">
                  <v>328242</v>
                </pt>
                <pt idx="248">
                  <v>330360</v>
                </pt>
                <pt idx="249">
                  <v>330886</v>
                </pt>
                <pt idx="250">
                  <v>331558</v>
                </pt>
                <pt idx="251">
                  <v>332159</v>
                </pt>
                <pt idx="252">
                  <v>334456</v>
                </pt>
                <pt idx="253">
                  <v>338338</v>
                </pt>
                <pt idx="254">
                  <v>336182</v>
                </pt>
                <pt idx="255">
                  <v>333848</v>
                </pt>
                <pt idx="256">
                  <v>334591</v>
                </pt>
                <pt idx="257">
                  <v>334425</v>
                </pt>
                <pt idx="258">
                  <v>336889</v>
                </pt>
                <pt idx="259">
                  <v>336272</v>
                </pt>
                <pt idx="260">
                  <v>337653</v>
                </pt>
                <pt idx="261">
                  <v>338108</v>
                </pt>
                <pt idx="262">
                  <v>338836</v>
                </pt>
                <pt idx="263">
                  <v>341898</v>
                </pt>
                <pt idx="264">
                  <v>339912</v>
                </pt>
                <pt idx="265">
                  <v>343436</v>
                </pt>
                <pt idx="266">
                  <v>345152</v>
                </pt>
                <pt idx="267">
                  <v>348010</v>
                </pt>
                <pt idx="268">
                  <v>348656</v>
                </pt>
                <pt idx="269">
                  <v>349588</v>
                </pt>
                <pt idx="270">
                  <v>349853</v>
                </pt>
                <pt idx="271">
                  <v>352463</v>
                </pt>
                <pt idx="272">
                  <v>352332</v>
                </pt>
                <pt idx="273">
                  <v>353409</v>
                </pt>
                <pt idx="274">
                  <v>353721</v>
                </pt>
                <pt idx="275">
                  <v>351611</v>
                </pt>
                <pt idx="276">
                  <v>347963</v>
                </pt>
                <pt idx="277">
                  <v>348562</v>
                </pt>
                <pt idx="278">
                  <v>351347</v>
                </pt>
                <pt idx="279">
                  <v>351403</v>
                </pt>
                <pt idx="280">
                  <v>354216</v>
                </pt>
                <pt idx="281">
                  <v>354938</v>
                </pt>
                <pt idx="282">
                  <v>357855</v>
                </pt>
                <pt idx="283">
                  <v>357320</v>
                </pt>
                <pt idx="284">
                  <v>355035</v>
                </pt>
                <pt idx="285">
                  <v>354371</v>
                </pt>
                <pt idx="286">
                  <v>355197</v>
                </pt>
                <pt idx="287">
                  <v>357320</v>
                </pt>
                <pt idx="288">
                  <v>354701</v>
                </pt>
                <pt idx="289">
                  <v>356770</v>
                </pt>
                <pt idx="290">
                  <v>357273</v>
                </pt>
                <pt idx="291">
                  <v>358691</v>
                </pt>
                <pt idx="292">
                  <v>360322</v>
                </pt>
                <pt idx="293">
                  <v>364300</v>
                </pt>
                <pt idx="294">
                  <v>362118</v>
                </pt>
                <pt idx="295">
                  <v>362435</v>
                </pt>
                <pt idx="296">
                  <v>364147</v>
                </pt>
                <pt idx="297">
                  <v>365738</v>
                </pt>
                <pt idx="298">
                  <v>365795</v>
                </pt>
                <pt idx="299">
                  <v>368617</v>
                </pt>
                <pt idx="300">
                  <v>374064</v>
                </pt>
                <pt idx="301">
                  <v>374178</v>
                </pt>
                <pt idx="302">
                  <v>375294</v>
                </pt>
                <pt idx="303">
                  <v>376910</v>
                </pt>
                <pt idx="304">
                  <v>374147</v>
                </pt>
                <pt idx="305">
                  <v>375072</v>
                </pt>
                <pt idx="306">
                  <v>375038</v>
                </pt>
                <pt idx="307">
                  <v>378044</v>
                </pt>
                <pt idx="308">
                  <v>383436</v>
                </pt>
                <pt idx="309">
                  <v>383559</v>
                </pt>
                <pt idx="310">
                  <v>389394</v>
                </pt>
                <pt idx="311">
                  <v>392021</v>
                </pt>
                <pt idx="312">
                  <v>391213</v>
                </pt>
                <pt idx="313">
                  <v>393942</v>
                </pt>
                <pt idx="314">
                  <v>393244</v>
                </pt>
                <pt idx="315">
                  <v>394562</v>
                </pt>
                <pt idx="316">
                  <v>399841</v>
                </pt>
                <pt idx="317">
                  <v>399038</v>
                </pt>
                <pt idx="318">
                  <v>401779</v>
                </pt>
                <pt idx="319">
                  <v>402204</v>
                </pt>
                <pt idx="320">
                  <v>400948</v>
                </pt>
                <pt idx="321">
                  <v>406131</v>
                </pt>
                <pt idx="322">
                  <v>406277</v>
                </pt>
                <pt idx="323">
                  <v>394822</v>
                </pt>
                <pt idx="324">
                  <v>403119</v>
                </pt>
                <pt idx="325">
                  <v>402274</v>
                </pt>
                <pt idx="326">
                  <v>407080</v>
                </pt>
                <pt idx="327">
                  <v>410137</v>
                </pt>
                <pt idx="328">
                  <v>411251</v>
                </pt>
                <pt idx="329">
                  <v>412955</v>
                </pt>
                <pt idx="330">
                  <v>415767</v>
                </pt>
                <pt idx="331">
                  <v>416233</v>
                </pt>
                <pt idx="332">
                  <v>414893</v>
                </pt>
                <pt idx="333">
                  <v>417017</v>
                </pt>
                <pt idx="334">
                  <v>416225</v>
                </pt>
                <pt idx="335">
                  <v>419039</v>
                </pt>
                <pt idx="336">
                  <v>421768</v>
                </pt>
                <pt idx="337">
                  <v>420290</v>
                </pt>
                <pt idx="338">
                  <v>402361</v>
                </pt>
                <pt idx="339">
                  <v>341621</v>
                </pt>
                <pt idx="340">
                  <v>383353</v>
                </pt>
                <pt idx="341">
                  <v>415613</v>
                </pt>
                <pt idx="342">
                  <v>424069</v>
                </pt>
                <pt idx="343">
                  <v>428168</v>
                </pt>
                <pt idx="344">
                  <v>434837</v>
                </pt>
                <pt idx="345">
                  <v>435315</v>
                </pt>
                <pt idx="346">
                  <v>429720</v>
                </pt>
                <pt idx="347">
                  <v>421525</v>
                </pt>
                <pt idx="348">
                  <v>456387</v>
                </pt>
                <pt idx="349">
                  <v>444228</v>
                </pt>
                <pt idx="350">
                  <v>487687</v>
                </pt>
                <pt idx="351">
                  <v>487364</v>
                </pt>
                <pt idx="352">
                  <v>485272</v>
                </pt>
                <pt idx="353">
                  <v>493387</v>
                </pt>
                <pt idx="354">
                  <v>488908</v>
                </pt>
                <pt idx="355">
                  <v>499439</v>
                </pt>
                <pt idx="356">
                  <v>502551</v>
                </pt>
                <pt idx="357">
                  <v>511618</v>
                </pt>
                <pt idx="358">
                  <v>513340</v>
                </pt>
                <pt idx="359">
                  <v>500566</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'Retail Sales ex Auto'!$A$7:$A$366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 ex Auto'!$D$7:$D$366</f>
              <numCache>
                <formatCode>General</formatCode>
                <ptCount val="360"/>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0.02874023170033329</v>
                </pt>
                <pt idx="217">
                  <formatCode>0.00%</formatCode>
                  <v>0.03429783786088959</v>
                </pt>
                <pt idx="218">
                  <formatCode>0.00%</formatCode>
                  <v>0.0608537233369601</v>
                </pt>
                <pt idx="219">
                  <formatCode>0.00%</formatCode>
                  <v>0.06386364045429184</v>
                </pt>
                <pt idx="220">
                  <formatCode>0.00%</formatCode>
                  <v>0.04464837043620412</v>
                </pt>
                <pt idx="221">
                  <formatCode>0.00%</formatCode>
                  <v>0.03220932531277359</v>
                </pt>
                <pt idx="222">
                  <formatCode>0.00%</formatCode>
                  <v>0.03280416170089366</v>
                </pt>
                <pt idx="223">
                  <formatCode>0.00%</formatCode>
                  <v>0.03429616216311247</v>
                </pt>
                <pt idx="224">
                  <formatCode>0.00%</formatCode>
                  <v>0.03941426029834405</v>
                </pt>
                <pt idx="225">
                  <formatCode>0.00%</formatCode>
                  <v>0.04707470589266616</v>
                </pt>
                <pt idx="226">
                  <formatCode>0.00%</formatCode>
                  <v>0.05199289248136019</v>
                </pt>
                <pt idx="227">
                  <formatCode>0.00%</formatCode>
                  <v>0.05157564370071247</v>
                </pt>
                <pt idx="228">
                  <formatCode>0.00%</formatCode>
                  <v>0.05722998834793012</v>
                </pt>
                <pt idx="229">
                  <formatCode>0.00%</formatCode>
                  <v>0.05749401282989565</v>
                </pt>
                <pt idx="230">
                  <formatCode>0.00%</formatCode>
                  <v>0.05971746137752912</v>
                </pt>
                <pt idx="231">
                  <formatCode>0.00%</formatCode>
                  <v>0.061769124573656</v>
                </pt>
                <pt idx="232">
                  <formatCode>0.00%</formatCode>
                  <v>0.07436892673126598</v>
                </pt>
                <pt idx="233">
                  <formatCode>0.00%</formatCode>
                  <v>0.08199838575083107</v>
                </pt>
                <pt idx="234">
                  <formatCode>0.00%</formatCode>
                  <v>0.08362409902583506</v>
                </pt>
                <pt idx="235">
                  <formatCode>0.00%</formatCode>
                  <v>0.08154773438854497</v>
                </pt>
                <pt idx="236">
                  <formatCode>0.00%</formatCode>
                  <v>0.07592039297108422</v>
                </pt>
                <pt idx="237">
                  <formatCode>0.00%</formatCode>
                  <v>0.07232175747630688</v>
                </pt>
                <pt idx="238">
                  <formatCode>0.00%</formatCode>
                  <v>0.06416774026885869</v>
                </pt>
                <pt idx="239">
                  <formatCode>0.00%</formatCode>
                  <v>0.05338962415020829</v>
                </pt>
                <pt idx="240">
                  <formatCode>0.00%</formatCode>
                  <v>0.05961651039503419</v>
                </pt>
                <pt idx="241">
                  <formatCode>0.00%</formatCode>
                  <v>0.06487919628816137</v>
                </pt>
                <pt idx="242">
                  <formatCode>0.00%</formatCode>
                  <v>0.05788275542751312</v>
                </pt>
                <pt idx="243">
                  <formatCode>0.00%</formatCode>
                  <v>0.04295534288746331</v>
                </pt>
                <pt idx="244">
                  <formatCode>0.00%</formatCode>
                  <v>0.03577766328925525</v>
                </pt>
                <pt idx="245">
                  <formatCode>0.00%</formatCode>
                  <v>0.02157902722111944</v>
                </pt>
                <pt idx="246">
                  <formatCode>0.00%</formatCode>
                  <v>0.02520009985243327</v>
                </pt>
                <pt idx="247">
                  <formatCode>0.00%</formatCode>
                  <v>0.03173061509302304</v>
                </pt>
                <pt idx="248">
                  <formatCode>0.00%</formatCode>
                  <v>0.03660889947378825</v>
                </pt>
                <pt idx="249">
                  <formatCode>0.00%</formatCode>
                  <v>0.03335352866592131</v>
                </pt>
                <pt idx="250">
                  <formatCode>0.00%</formatCode>
                  <v>0.03186874062455262</v>
                </pt>
                <pt idx="251">
                  <formatCode>0.00%</formatCode>
                  <v>0.03759804825020382</v>
                </pt>
                <pt idx="252">
                  <formatCode>0.00%</formatCode>
                  <v>0.0322716049382716</v>
                </pt>
                <pt idx="253">
                  <formatCode>0.00%</formatCode>
                  <v>0.03233660828705681</v>
                </pt>
                <pt idx="254">
                  <formatCode>0.00%</formatCode>
                  <v>0.02179872952189903</v>
                </pt>
                <pt idx="255">
                  <formatCode>0.00%</formatCode>
                  <v>0.02009961194121062</v>
                </pt>
                <pt idx="256">
                  <formatCode>0.00%</formatCode>
                  <v>0.02732336072117215</v>
                </pt>
                <pt idx="257">
                  <formatCode>0.00%</formatCode>
                  <v>0.03473401836020532</v>
                </pt>
                <pt idx="258">
                  <formatCode>0.00%</formatCode>
                  <v>0.0383643301422134</v>
                </pt>
                <pt idx="259">
                  <formatCode>0.00%</formatCode>
                  <v>0.02446365791093157</v>
                </pt>
                <pt idx="260">
                  <formatCode>0.00%</formatCode>
                  <v>0.02207591718125681</v>
                </pt>
                <pt idx="261">
                  <formatCode>0.00%</formatCode>
                  <v>0.02182624831512968</v>
                </pt>
                <pt idx="262">
                  <formatCode>0.00%</formatCode>
                  <v>0.0219509105495871</v>
                </pt>
                <pt idx="263">
                  <formatCode>0.00%</formatCode>
                  <v>0.02932029540069665</v>
                </pt>
                <pt idx="264">
                  <formatCode>0.00%</formatCode>
                  <v>0.01631305762192934</v>
                </pt>
                <pt idx="265">
                  <formatCode>0.00%</formatCode>
                  <v>0.01506777246422217</v>
                </pt>
                <pt idx="266">
                  <formatCode>0.00%</formatCode>
                  <v>0.02668197583451821</v>
                </pt>
                <pt idx="267">
                  <formatCode>0.00%</formatCode>
                  <v>0.04242050274376363</v>
                </pt>
                <pt idx="268">
                  <formatCode>0.00%</formatCode>
                  <v>0.04203639667534393</v>
                </pt>
                <pt idx="269">
                  <formatCode>0.00%</formatCode>
                  <v>0.04534050983030575</v>
                </pt>
                <pt idx="270">
                  <formatCode>0.00%</formatCode>
                  <v>0.03848151765121449</v>
                </pt>
                <pt idx="271">
                  <formatCode>0.00%</formatCode>
                  <v>0.04814852262454204</v>
                </pt>
                <pt idx="272">
                  <formatCode>0.00%</formatCode>
                  <v>0.0434736252898686</v>
                </pt>
                <pt idx="273">
                  <formatCode>0.00%</formatCode>
                  <v>0.04525477066499461</v>
                </pt>
                <pt idx="274">
                  <formatCode>0.00%</formatCode>
                  <v>0.04392980675016822</v>
                </pt>
                <pt idx="275">
                  <formatCode>0.00%</formatCode>
                  <v>0.02840905767217123</v>
                </pt>
                <pt idx="276">
                  <formatCode>0.00%</formatCode>
                  <v>0.02368554214031867</v>
                </pt>
                <pt idx="277">
                  <formatCode>0.00%</formatCode>
                  <v>0.01492563388811889</v>
                </pt>
                <pt idx="278">
                  <formatCode>0.00%</formatCode>
                  <v>0.01794861394400148</v>
                </pt>
                <pt idx="279">
                  <formatCode>0.00%</formatCode>
                  <v>0.009749719835636907</v>
                </pt>
                <pt idx="280">
                  <formatCode>0.00%</formatCode>
                  <v>0.01594695057592584</v>
                </pt>
                <pt idx="281">
                  <formatCode>0.00%</formatCode>
                  <v>0.01530372896094832</v>
                </pt>
                <pt idx="282">
                  <formatCode>0.00%</formatCode>
                  <v>0.02287246357755972</v>
                </pt>
                <pt idx="283">
                  <formatCode>0.00%</formatCode>
                  <v>0.01378016983342932</v>
                </pt>
                <pt idx="284">
                  <formatCode>0.00%</formatCode>
                  <v>0.00767174142570076</v>
                </pt>
                <pt idx="285">
                  <formatCode>0.00%</formatCode>
                  <v>0.002722058578021499</v>
                </pt>
                <pt idx="286">
                  <formatCode>0.00%</formatCode>
                  <v>0.004172780242055179</v>
                </pt>
                <pt idx="287">
                  <formatCode>0.00%</formatCode>
                  <v>0.01623669339127615</v>
                </pt>
                <pt idx="288">
                  <formatCode>0.00%</formatCode>
                  <v>0.01936412779519662</v>
                </pt>
                <pt idx="289">
                  <formatCode>0.00%</formatCode>
                  <v>0.02354817794251812</v>
                </pt>
                <pt idx="290">
                  <formatCode>0.00%</formatCode>
                  <v>0.01686651657762838</v>
                </pt>
                <pt idx="291">
                  <formatCode>0.00%</formatCode>
                  <v>0.02073972049185693</v>
                </pt>
                <pt idx="292">
                  <formatCode>0.00%</formatCode>
                  <v>0.01723806942656458</v>
                </pt>
                <pt idx="293">
                  <formatCode>0.00%</formatCode>
                  <v>0.0263764375750131</v>
                </pt>
                <pt idx="294">
                  <formatCode>0.00%</formatCode>
                  <v>0.01191264618351008</v>
                </pt>
                <pt idx="295">
                  <formatCode>0.00%</formatCode>
                  <v>0.01431489980969439</v>
                </pt>
                <pt idx="296">
                  <formatCode>0.00%</formatCode>
                  <v>0.02566507527426874</v>
                </pt>
                <pt idx="297">
                  <formatCode>0.00%</formatCode>
                  <v>0.03207655253957011</v>
                </pt>
                <pt idx="298">
                  <formatCode>0.00%</formatCode>
                  <v>0.02983696371309442</v>
                </pt>
                <pt idx="299">
                  <formatCode>0.00%</formatCode>
                  <v>0.03161591850442181</v>
                </pt>
                <pt idx="300">
                  <formatCode>0.00%</formatCode>
                  <v>0.05458964028858108</v>
                </pt>
                <pt idx="301">
                  <formatCode>0.00%</formatCode>
                  <v>0.0487933402472181</v>
                </pt>
                <pt idx="302">
                  <formatCode>0.00%</formatCode>
                  <v>0.05044041951113015</v>
                </pt>
                <pt idx="303">
                  <formatCode>0.00%</formatCode>
                  <v>0.05079302240647243</v>
                </pt>
                <pt idx="304">
                  <formatCode>0.00%</formatCode>
                  <v>0.03836845932249488</v>
                </pt>
                <pt idx="305">
                  <formatCode>0.00%</formatCode>
                  <v>0.02956903650837222</v>
                </pt>
                <pt idx="306">
                  <formatCode>0.00%</formatCode>
                  <v>0.03567897757084707</v>
                </pt>
                <pt idx="307">
                  <formatCode>0.00%</formatCode>
                  <v>0.04306703270931339</v>
                </pt>
                <pt idx="308">
                  <formatCode>0.00%</formatCode>
                  <v>0.05297036636303471</v>
                </pt>
                <pt idx="309">
                  <formatCode>0.00%</formatCode>
                  <v>0.04872613728953513</v>
                </pt>
                <pt idx="310">
                  <formatCode>0.00%</formatCode>
                  <v>0.06451427712243196</v>
                </pt>
                <pt idx="311">
                  <formatCode>0.00%</formatCode>
                  <v>0.06349137451609665</v>
                </pt>
                <pt idx="312">
                  <formatCode>0.00%</formatCode>
                  <v>0.04584509602634843</v>
                </pt>
                <pt idx="313">
                  <formatCode>0.00%</formatCode>
                  <v>0.05281978095986403</v>
                </pt>
                <pt idx="314">
                  <formatCode>0.00%</formatCode>
                  <v>0.04782916859848545</v>
                </pt>
                <pt idx="315">
                  <formatCode>0.00%</formatCode>
                  <v>0.04683346156907484</v>
                </pt>
                <pt idx="316">
                  <formatCode>0.00%</formatCode>
                  <v>0.06867354275191302</v>
                </pt>
                <pt idx="317">
                  <formatCode>0.00%</formatCode>
                  <v>0.06389706509683474</v>
                </pt>
                <pt idx="318">
                  <formatCode>0.00%</formatCode>
                  <v>0.07130210805305062</v>
                </pt>
                <pt idx="319">
                  <formatCode>0.00%</formatCode>
                  <v>0.06390790489995873</v>
                </pt>
                <pt idx="320">
                  <formatCode>0.00%</formatCode>
                  <v>0.04567124630968401</v>
                </pt>
                <pt idx="321">
                  <formatCode>0.00%</formatCode>
                  <v>0.05884883420803579</v>
                </pt>
                <pt idx="322">
                  <formatCode>0.00%</formatCode>
                  <v>0.04335711387437916</v>
                </pt>
                <pt idx="323">
                  <formatCode>0.00%</formatCode>
                  <v>0.007145025394047768</v>
                </pt>
                <pt idx="324">
                  <formatCode>0.00%</formatCode>
                  <v>0.03043354898738028</v>
                </pt>
                <pt idx="325">
                  <formatCode>0.00%</formatCode>
                  <v>0.02115032162094928</v>
                </pt>
                <pt idx="326">
                  <formatCode>0.00%</formatCode>
                  <v>0.03518426218836142</v>
                </pt>
                <pt idx="327">
                  <formatCode>0.00%</formatCode>
                  <v>0.0394741510839868</v>
                </pt>
                <pt idx="328">
                  <formatCode>0.00%</formatCode>
                  <v>0.02853634319642058</v>
                </pt>
                <pt idx="329">
                  <formatCode>0.00%</formatCode>
                  <v>0.03487637768834046</v>
                </pt>
                <pt idx="330">
                  <formatCode>0.00%</formatCode>
                  <v>0.03481515957777783</v>
                </pt>
                <pt idx="331">
                  <formatCode>0.00%</formatCode>
                  <v>0.03488030949468429</v>
                </pt>
                <pt idx="332">
                  <formatCode>0.00%</formatCode>
                  <v>0.0347800712311821</v>
                </pt>
                <pt idx="333">
                  <formatCode>0.00%</formatCode>
                  <v>0.02680415924910928</v>
                </pt>
                <pt idx="334">
                  <formatCode>0.00%</formatCode>
                  <v>0.0244857572542871</v>
                </pt>
                <pt idx="335">
                  <formatCode>0.00%</formatCode>
                  <v>0.06133650100551641</v>
                </pt>
                <pt idx="336">
                  <formatCode>0.00%</formatCode>
                  <v>0.04626177381864909</v>
                </pt>
                <pt idx="337">
                  <formatCode>0.00%</formatCode>
                  <v>0.04478539502925866</v>
                </pt>
                <pt idx="338">
                  <formatCode>0.00%</formatCode>
                  <v>-0.01159231600668173</v>
                </pt>
                <pt idx="339">
                  <formatCode>0.00%</formatCode>
                  <v>-0.1670563738458125</v>
                </pt>
                <pt idx="340">
                  <formatCode>0.00%</formatCode>
                  <v>-0.06783691711387936</v>
                </pt>
                <pt idx="341">
                  <formatCode>0.00%</formatCode>
                  <v>0.006436536668644284</v>
                </pt>
                <pt idx="342">
                  <formatCode>0.00%</formatCode>
                  <v>0.01996791472146659</v>
                </pt>
                <pt idx="343">
                  <formatCode>0.00%</formatCode>
                  <v>0.02867384373656101</v>
                </pt>
                <pt idx="344">
                  <formatCode>0.00%</formatCode>
                  <v>0.04807022533520691</v>
                </pt>
                <pt idx="345">
                  <formatCode>0.00%</formatCode>
                  <v>0.04387830711937403</v>
                </pt>
                <pt idx="346">
                  <formatCode>0.00%</formatCode>
                  <v>0.03242236770977236</v>
                </pt>
                <pt idx="347">
                  <formatCode>0.00%</formatCode>
                  <v>0.005932622023248433</v>
                </pt>
                <pt idx="348">
                  <formatCode>0.00%</formatCode>
                  <v>0.08208066994176894</v>
                </pt>
                <pt idx="349">
                  <formatCode>0.00%</formatCode>
                  <v>0.05695591139451331</v>
                </pt>
                <pt idx="350">
                  <formatCode>0.00%</formatCode>
                  <v>0.2120632963930401</v>
                </pt>
                <pt idx="351">
                  <formatCode>0.00%</formatCode>
                  <v>0.4266218997075707</v>
                </pt>
                <pt idx="352">
                  <formatCode>0.00%</formatCode>
                  <v>0.2658620122967604</v>
                </pt>
                <pt idx="353">
                  <formatCode>0.00%</formatCode>
                  <v>0.1871308164085339</v>
                </pt>
                <pt idx="354">
                  <formatCode>0.00%</formatCode>
                  <v>0.1528972879413492</v>
                </pt>
                <pt idx="355">
                  <formatCode>0.00%</formatCode>
                  <v>0.1664556902897928</v>
                </pt>
                <pt idx="356">
                  <formatCode>0.00%</formatCode>
                  <v>0.1557227190878421</v>
                </pt>
                <pt idx="357">
                  <formatCode>0.00%</formatCode>
                  <v>0.1752822668642248</v>
                </pt>
                <pt idx="358">
                  <formatCode>0.00%</formatCode>
                  <v>0.1945918272363399</v>
                </pt>
                <pt idx="359">
                  <formatCode>0.00%</formatCode>
                  <v>0.1875120099638218</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'Food and Beverage'!$A$19:$A$366</f>
              <numCache>
                <formatCode>[$-409]mmm\-yy;@</formatCode>
                <ptCount val="348"/>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numCache>
            </numRef>
          </cat>
          <val>
            <numRef>
              <f>'Food and Beverage'!$D$19:$D$366</f>
              <numCache>
                <formatCode>0.00%</formatCode>
                <ptCount val="348"/>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0.004995906715086379</v>
                </pt>
                <pt idx="205">
                  <v>0.03773866348448687</v>
                </pt>
                <pt idx="206">
                  <v>0.02901176671214188</v>
                </pt>
                <pt idx="207">
                  <v>0.02206521969745189</v>
                </pt>
                <pt idx="208">
                  <v>0.02066964569347085</v>
                </pt>
                <pt idx="209">
                  <v>0.01189017951425554</v>
                </pt>
                <pt idx="210">
                  <v>0.01219099936615255</v>
                </pt>
                <pt idx="211">
                  <v>0.02016529624384367</v>
                </pt>
                <pt idx="212">
                  <v>0.02346559010912761</v>
                </pt>
                <pt idx="213">
                  <v>0.02027183160725165</v>
                </pt>
                <pt idx="214">
                  <v>0.03027951938602193</v>
                </pt>
                <pt idx="215">
                  <v>0.02181410229775211</v>
                </pt>
                <pt idx="216">
                  <v>0.0375336800551413</v>
                </pt>
                <pt idx="217">
                  <v>0.0270642107640814</v>
                </pt>
                <pt idx="218">
                  <v>0.03743293352391606</v>
                </pt>
                <pt idx="219">
                  <v>0.05527992859070434</v>
                </pt>
                <pt idx="220">
                  <v>0.04544039838157485</v>
                </pt>
                <pt idx="221">
                  <v>0.06323962181453885</v>
                </pt>
                <pt idx="222">
                  <v>0.06422860959776233</v>
                </pt>
                <pt idx="223">
                  <v>0.06048111389677393</v>
                </pt>
                <pt idx="224">
                  <v>0.04877247046738572</v>
                </pt>
                <pt idx="225">
                  <v>0.05674518201284796</v>
                </pt>
                <pt idx="226">
                  <v>0.04646571550688947</v>
                </pt>
                <pt idx="227">
                  <v>0.04129391672088484</v>
                </pt>
                <pt idx="228">
                  <v>0.03756492329991545</v>
                </pt>
                <pt idx="229">
                  <v>0.03280884499270248</v>
                </pt>
                <pt idx="230">
                  <v>0.040435303514377</v>
                </pt>
                <pt idx="231">
                  <v>0.02871980486269573</v>
                </pt>
                <pt idx="232">
                  <v>0.03679666567430783</v>
                </pt>
                <pt idx="233">
                  <v>0.02477278526981136</v>
                </pt>
                <pt idx="234">
                  <v>0.02445865369527695</v>
                </pt>
                <pt idx="235">
                  <v>0.0229963659098902</v>
                </pt>
                <pt idx="236">
                  <v>0.02928558835628514</v>
                </pt>
                <pt idx="237">
                  <v>0.0298495830410724</v>
                </pt>
                <pt idx="238">
                  <v>0.02438929516103936</v>
                </pt>
                <pt idx="239">
                  <v>0.02878063067460705</v>
                </pt>
                <pt idx="240">
                  <v>0.02161428017074117</v>
                </pt>
                <pt idx="241">
                  <v>0.03043091099152116</v>
                </pt>
                <pt idx="242">
                  <v>0.01915363208905095</v>
                </pt>
                <pt idx="243">
                  <v>0.008356279638978125</v>
                </pt>
                <pt idx="244">
                  <v>0.01941078504565555</v>
                </pt>
                <pt idx="245">
                  <v>0.01938511636816397</v>
                </pt>
                <pt idx="246">
                  <v>0.02655511094943616</v>
                </pt>
                <pt idx="247">
                  <v>0.02547795030462767</v>
                </pt>
                <pt idx="248">
                  <v>0.02428440925700365</v>
                </pt>
                <pt idx="249">
                  <v>0.02056530952020584</v>
                </pt>
                <pt idx="250">
                  <v>0.02650465160432884</v>
                </pt>
                <pt idx="251">
                  <v>0.03638330581335763</v>
                </pt>
                <pt idx="252">
                  <v>0.04069966194401185</v>
                </pt>
                <pt idx="253">
                  <v>0.02872440353184295</v>
                </pt>
                <pt idx="254">
                  <v>0.03361392011750749</v>
                </pt>
                <pt idx="255">
                  <v>0.04828096258509851</v>
                </pt>
                <pt idx="256">
                  <v>0.04127466997164479</v>
                </pt>
                <pt idx="257">
                  <v>0.05165642557829265</v>
                </pt>
                <pt idx="258">
                  <v>0.0471110447983886</v>
                </pt>
                <pt idx="259">
                  <v>0.04853519080699532</v>
                </pt>
                <pt idx="260">
                  <v>0.04934968413229283</v>
                </pt>
                <pt idx="261">
                  <v>0.05251839905084997</v>
                </pt>
                <pt idx="262">
                  <v>0.0499019716642622</v>
                </pt>
                <pt idx="263">
                  <v>0.04591070578324726</v>
                </pt>
                <pt idx="264">
                  <v>0.04224683833056554</v>
                </pt>
                <pt idx="265">
                  <v>0.04450409978268412</v>
                </pt>
                <pt idx="266">
                  <v>0.04190351260749162</v>
                </pt>
                <pt idx="267">
                  <v>0.03279726478409523</v>
                </pt>
                <pt idx="268">
                  <v>0.03087410506573371</v>
                </pt>
                <pt idx="269">
                  <v>0.02596219133045063</v>
                </pt>
                <pt idx="270">
                  <v>0.02545240809347393</v>
                </pt>
                <pt idx="271">
                  <v>0.02298442245865823</v>
                </pt>
                <pt idx="272">
                  <v>0.01648487853247397</v>
                </pt>
                <pt idx="273">
                  <v>0.006305481189234888</v>
                </pt>
                <pt idx="274">
                  <v>0.0136706363187936</v>
                </pt>
                <pt idx="275">
                  <v>0.004412305429586959</v>
                </pt>
                <pt idx="276">
                  <v>0.008894803193724611</v>
                </pt>
                <pt idx="277">
                  <v>0.008532065179383173</v>
                </pt>
                <pt idx="278">
                  <v>0.0001224033013919004</v>
                </pt>
                <pt idx="279">
                  <v>0.01346948784418132</v>
                </pt>
                <pt idx="280">
                  <v>0.01684656158704057</v>
                </pt>
                <pt idx="281">
                  <v>0.0192967484630523</v>
                </pt>
                <pt idx="282">
                  <v>0.01040418251610998</v>
                </pt>
                <pt idx="283">
                  <v>0.01481082770475579</v>
                </pt>
                <pt idx="284">
                  <v>0.0228195167836675</v>
                </pt>
                <pt idx="285">
                  <v>0.03360520880736514</v>
                </pt>
                <pt idx="286">
                  <v>0.02719847062912756</v>
                </pt>
                <pt idx="287">
                  <v>0.03421947180336442</v>
                </pt>
                <pt idx="288">
                  <v>0.0336862200624783</v>
                </pt>
                <pt idx="289">
                  <v>0.03723736218015394</v>
                </pt>
                <pt idx="290">
                  <v>0.05467261124224145</v>
                </pt>
                <pt idx="291">
                  <v>0.04493527591987695</v>
                </pt>
                <pt idx="292">
                  <v>0.04280356466985514</v>
                </pt>
                <pt idx="293">
                  <v>0.03222444341927657</v>
                </pt>
                <pt idx="294">
                  <v>0.0390394003988173</v>
                </pt>
                <pt idx="295">
                  <v>0.03962632173288164</v>
                </pt>
                <pt idx="296">
                  <v>0.04451862322666349</v>
                </pt>
                <pt idx="297">
                  <v>0.04248653774511464</v>
                </pt>
                <pt idx="298">
                  <v>0.0450215717790373</v>
                </pt>
                <pt idx="299">
                  <v>0.04979099244875944</v>
                </pt>
                <pt idx="300">
                  <v>0.0398582965363241</v>
                </pt>
                <pt idx="301">
                  <v>0.03666934082096537</v>
                </pt>
                <pt idx="302">
                  <v>0.030569278206956</v>
                </pt>
                <pt idx="303">
                  <v>0.03398885231802319</v>
                </pt>
                <pt idx="304">
                  <v>0.03137888936549312</v>
                </pt>
                <pt idx="305">
                  <v>0.03206263552546637</v>
                </pt>
                <pt idx="306">
                  <v>0.03755604453782903</v>
                </pt>
                <pt idx="307">
                  <v>0.02876797998749218</v>
                </pt>
                <pt idx="308">
                  <v>0.02416396275945281</v>
                </pt>
                <pt idx="309">
                  <v>0.02425157968260156</v>
                </pt>
                <pt idx="310">
                  <v>0.02221286792086261</v>
                </pt>
                <pt idx="311">
                  <v>0.01119103432773514</v>
                </pt>
                <pt idx="312">
                  <v>0.03237264874465165</v>
                </pt>
                <pt idx="313">
                  <v>0.007529100699706574</v>
                </pt>
                <pt idx="314">
                  <v>0.02506193095904514</v>
                </pt>
                <pt idx="315">
                  <v>0.02293812783927315</v>
                </pt>
                <pt idx="316">
                  <v>0.02487363235011837</v>
                </pt>
                <pt idx="317">
                  <v>0.03539695268644747</v>
                </pt>
                <pt idx="318">
                  <v>0.04195302409388803</v>
                </pt>
                <pt idx="319">
                  <v>0.04508078707406815</v>
                </pt>
                <pt idx="320">
                  <v>0.03276391829716779</v>
                </pt>
                <pt idx="321">
                  <v>0.0294817305252474</v>
                </pt>
                <pt idx="322">
                  <v>0.03284868066774367</v>
                </pt>
                <pt idx="323">
                  <v>0.04282379840899347</v>
                </pt>
                <pt idx="324">
                  <v>0.02159837347513294</v>
                </pt>
                <pt idx="325">
                  <v>0.04533307730465812</v>
                </pt>
                <pt idx="326">
                  <v>0.2984589793484401</v>
                </pt>
                <pt idx="327">
                  <v>0.1266301798279906</v>
                </pt>
                <pt idx="328">
                  <v>0.1503176163943126</v>
                </pt>
                <pt idx="329">
                  <v>0.1232089471319919</v>
                </pt>
                <pt idx="330">
                  <v>0.1128030117531831</v>
                </pt>
                <pt idx="331">
                  <v>0.09850293901542984</v>
                </pt>
                <pt idx="332">
                  <v>0.1063649396494582</v>
                </pt>
                <pt idx="333">
                  <v>0.09782022644997304</v>
                </pt>
                <pt idx="334">
                  <v>0.1073728761577624</v>
                </pt>
                <pt idx="335">
                  <v>0.08688105243924721</v>
                </pt>
                <pt idx="336">
                  <v>0.1134244729872476</v>
                </pt>
                <pt idx="337">
                  <v>0.1074151180234516</v>
                </pt>
                <pt idx="338">
                  <v>-0.1182939946581584</v>
                </pt>
                <pt idx="339">
                  <v>0.02004219409282701</v>
                </pt>
                <pt idx="340">
                  <v>0.008778594882092752</v>
                </pt>
                <pt idx="341">
                  <v>0.03533257023072361</v>
                </pt>
                <pt idx="342">
                  <v>0.02633569414838754</v>
                </pt>
                <pt idx="343">
                  <v>0.06305477753159706</v>
                </pt>
                <pt idx="344">
                  <v>0.06792437056749941</v>
                </pt>
                <pt idx="345">
                  <v>0.08645197502280222</v>
                </pt>
                <pt idx="346">
                  <v>0.08581438502229484</v>
                </pt>
                <pt idx="347">
                  <v>0.08364853884732845</v>
                </pt>
              </numCache>
            </numRef>
          </val>
          <smooth val="0"/>
        </ser>
        <dLbls>
          <showLegendKey val="0"/>
          <showVal val="0"/>
          <showCatName val="0"/>
          <showSerName val="0"/>
          <showPercent val="0"/>
          <showBubbleSize val="0"/>
        </dLbls>
        <smooth val="0"/>
        <axId val="1033339464"/>
        <axId val="1033342744"/>
      </lineChart>
      <dateAx>
        <axId val="1033339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and Beverage'!$A$7:$A$366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and Beverage'!$B$7:$B$366</f>
              <numCache>
                <formatCode>#,##0</formatCode>
                <ptCount val="36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47877</v>
                </pt>
                <pt idx="217">
                  <v>48699</v>
                </pt>
                <pt idx="218">
                  <v>48273</v>
                </pt>
                <pt idx="219">
                  <v>48173</v>
                </pt>
                <pt idx="220">
                  <v>48195</v>
                </pt>
                <pt idx="221">
                  <v>47913</v>
                </pt>
                <pt idx="222">
                  <v>47907</v>
                </pt>
                <pt idx="223">
                  <v>48263</v>
                </pt>
                <pt idx="224">
                  <v>48675</v>
                </pt>
                <pt idx="225">
                  <v>48568</v>
                </pt>
                <pt idx="226">
                  <v>49133</v>
                </pt>
                <pt idx="227">
                  <v>49184</v>
                </pt>
                <pt idx="228">
                  <v>49674</v>
                </pt>
                <pt idx="229">
                  <v>50017</v>
                </pt>
                <pt idx="230">
                  <v>50080</v>
                </pt>
                <pt idx="231">
                  <v>50836</v>
                </pt>
                <pt idx="232">
                  <v>50385</v>
                </pt>
                <pt idx="233">
                  <v>50943</v>
                </pt>
                <pt idx="234">
                  <v>50984</v>
                </pt>
                <pt idx="235">
                  <v>51182</v>
                </pt>
                <pt idx="236">
                  <v>51049</v>
                </pt>
                <pt idx="237">
                  <v>51324</v>
                </pt>
                <pt idx="238">
                  <v>51416</v>
                </pt>
                <pt idx="239">
                  <v>51215</v>
                </pt>
                <pt idx="240">
                  <v>51540</v>
                </pt>
                <pt idx="241">
                  <v>51658</v>
                </pt>
                <pt idx="242">
                  <v>52105</v>
                </pt>
                <pt idx="243">
                  <v>52296</v>
                </pt>
                <pt idx="244">
                  <v>52239</v>
                </pt>
                <pt idx="245">
                  <v>52205</v>
                </pt>
                <pt idx="246">
                  <v>52231</v>
                </pt>
                <pt idx="247">
                  <v>52359</v>
                </pt>
                <pt idx="248">
                  <v>52544</v>
                </pt>
                <pt idx="249">
                  <v>52856</v>
                </pt>
                <pt idx="250">
                  <v>52670</v>
                </pt>
                <pt idx="251">
                  <v>52689</v>
                </pt>
                <pt idx="252">
                  <v>52654</v>
                </pt>
                <pt idx="253">
                  <v>53230</v>
                </pt>
                <pt idx="254">
                  <v>53103</v>
                </pt>
                <pt idx="255">
                  <v>52733</v>
                </pt>
                <pt idx="256">
                  <v>53253</v>
                </pt>
                <pt idx="257">
                  <v>53217</v>
                </pt>
                <pt idx="258">
                  <v>53618</v>
                </pt>
                <pt idx="259">
                  <v>53693</v>
                </pt>
                <pt idx="260">
                  <v>53820</v>
                </pt>
                <pt idx="261">
                  <v>53943</v>
                </pt>
                <pt idx="262">
                  <v>54066</v>
                </pt>
                <pt idx="263">
                  <v>54606</v>
                </pt>
                <pt idx="264">
                  <v>54797</v>
                </pt>
                <pt idx="265">
                  <v>54759</v>
                </pt>
                <pt idx="266">
                  <v>54888</v>
                </pt>
                <pt idx="267">
                  <v>55279</v>
                </pt>
                <pt idx="268">
                  <v>55451</v>
                </pt>
                <pt idx="269">
                  <v>55966</v>
                </pt>
                <pt idx="270">
                  <v>56144</v>
                </pt>
                <pt idx="271">
                  <v>56299</v>
                </pt>
                <pt idx="272">
                  <v>56476</v>
                </pt>
                <pt idx="273">
                  <v>56776</v>
                </pt>
                <pt idx="274">
                  <v>56764</v>
                </pt>
                <pt idx="275">
                  <v>57113</v>
                </pt>
                <pt idx="276">
                  <v>57112</v>
                </pt>
                <pt idx="277">
                  <v>57196</v>
                </pt>
                <pt idx="278">
                  <v>57188</v>
                </pt>
                <pt idx="279">
                  <v>57092</v>
                </pt>
                <pt idx="280">
                  <v>57163</v>
                </pt>
                <pt idx="281">
                  <v>57419</v>
                </pt>
                <pt idx="282">
                  <v>57573</v>
                </pt>
                <pt idx="283">
                  <v>57593</v>
                </pt>
                <pt idx="284">
                  <v>57407</v>
                </pt>
                <pt idx="285">
                  <v>57134</v>
                </pt>
                <pt idx="286">
                  <v>57540</v>
                </pt>
                <pt idx="287">
                  <v>57365</v>
                </pt>
                <pt idx="288">
                  <v>57620</v>
                </pt>
                <pt idx="289">
                  <v>57684</v>
                </pt>
                <pt idx="290">
                  <v>57195</v>
                </pt>
                <pt idx="291">
                  <v>57861</v>
                </pt>
                <pt idx="292">
                  <v>58126</v>
                </pt>
                <pt idx="293">
                  <v>58527</v>
                </pt>
                <pt idx="294">
                  <v>58172</v>
                </pt>
                <pt idx="295">
                  <v>58446</v>
                </pt>
                <pt idx="296">
                  <v>58717</v>
                </pt>
                <pt idx="297">
                  <v>59054</v>
                </pt>
                <pt idx="298">
                  <v>59105</v>
                </pt>
                <pt idx="299">
                  <v>59328</v>
                </pt>
                <pt idx="300">
                  <v>59561</v>
                </pt>
                <pt idx="301">
                  <v>59832</v>
                </pt>
                <pt idx="302">
                  <v>60322</v>
                </pt>
                <pt idx="303">
                  <v>60461</v>
                </pt>
                <pt idx="304">
                  <v>60614</v>
                </pt>
                <pt idx="305">
                  <v>60413</v>
                </pt>
                <pt idx="306">
                  <v>60443</v>
                </pt>
                <pt idx="307">
                  <v>60762</v>
                </pt>
                <pt idx="308">
                  <v>61331</v>
                </pt>
                <pt idx="309">
                  <v>61563</v>
                </pt>
                <pt idx="310">
                  <v>61766</v>
                </pt>
                <pt idx="311">
                  <v>62282</v>
                </pt>
                <pt idx="312">
                  <v>61935</v>
                </pt>
                <pt idx="313">
                  <v>62026</v>
                </pt>
                <pt idx="314">
                  <v>62166</v>
                </pt>
                <pt idx="315">
                  <v>62516</v>
                </pt>
                <pt idx="316">
                  <v>62516</v>
                </pt>
                <pt idx="317">
                  <v>62350</v>
                </pt>
                <pt idx="318">
                  <v>62713</v>
                </pt>
                <pt idx="319">
                  <v>62510</v>
                </pt>
                <pt idx="320">
                  <v>62813</v>
                </pt>
                <pt idx="321">
                  <v>63056</v>
                </pt>
                <pt idx="322">
                  <v>63138</v>
                </pt>
                <pt idx="323">
                  <v>62979</v>
                </pt>
                <pt idx="324">
                  <v>63940</v>
                </pt>
                <pt idx="325">
                  <v>62493</v>
                </pt>
                <pt idx="326">
                  <v>63724</v>
                </pt>
                <pt idx="327">
                  <v>63950</v>
                </pt>
                <pt idx="328">
                  <v>64071</v>
                </pt>
                <pt idx="329">
                  <v>64557</v>
                </pt>
                <pt idx="330">
                  <v>65344</v>
                </pt>
                <pt idx="331">
                  <v>65328</v>
                </pt>
                <pt idx="332">
                  <v>64871</v>
                </pt>
                <pt idx="333">
                  <v>64915</v>
                </pt>
                <pt idx="334">
                  <v>65212</v>
                </pt>
                <pt idx="335">
                  <v>65676</v>
                </pt>
                <pt idx="336">
                  <v>65321</v>
                </pt>
                <pt idx="337">
                  <v>65326</v>
                </pt>
                <pt idx="338">
                  <v>82743</v>
                </pt>
                <pt idx="339">
                  <v>72048</v>
                </pt>
                <pt idx="340">
                  <v>73702</v>
                </pt>
                <pt idx="341">
                  <v>72511</v>
                </pt>
                <pt idx="342">
                  <v>72715</v>
                </pt>
                <pt idx="343">
                  <v>71763</v>
                </pt>
                <pt idx="344">
                  <v>71771</v>
                </pt>
                <pt idx="345">
                  <v>71265</v>
                </pt>
                <pt idx="346">
                  <v>72214</v>
                </pt>
                <pt idx="347">
                  <v>71382</v>
                </pt>
                <pt idx="348">
                  <v>72730</v>
                </pt>
                <pt idx="349">
                  <v>72343</v>
                </pt>
                <pt idx="350">
                  <v>72955</v>
                </pt>
                <pt idx="351">
                  <v>73492</v>
                </pt>
                <pt idx="352">
                  <v>74349</v>
                </pt>
                <pt idx="353">
                  <v>75073</v>
                </pt>
                <pt idx="354">
                  <v>74630</v>
                </pt>
                <pt idx="355">
                  <v>76288</v>
                </pt>
                <pt idx="356">
                  <v>76646</v>
                </pt>
                <pt idx="357">
                  <v>77426</v>
                </pt>
                <pt idx="358">
                  <v>78411</v>
                </pt>
                <pt idx="359">
                  <v>77353</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9216"/>
        <crosses val="autoZero"/>
        <lblOffset val="100"/>
        <baseTimeUnit val="months"/>
      </dateAx>
      <valAx>
        <axId val="644219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'Non Store Retail'!$A$7:$A$366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'Non Store Retail'!$B$7:$B$366</f>
              <numCache>
                <formatCode>#,##0</formatCode>
                <ptCount val="36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27302</v>
                </pt>
                <pt idx="217">
                  <v>27253</v>
                </pt>
                <pt idx="218">
                  <v>27854</v>
                </pt>
                <pt idx="219">
                  <v>27719</v>
                </pt>
                <pt idx="220">
                  <v>27799</v>
                </pt>
                <pt idx="221">
                  <v>28462</v>
                </pt>
                <pt idx="222">
                  <v>28114</v>
                </pt>
                <pt idx="223">
                  <v>28756</v>
                </pt>
                <pt idx="224">
                  <v>28872</v>
                </pt>
                <pt idx="225">
                  <v>28946</v>
                </pt>
                <pt idx="226">
                  <v>28951</v>
                </pt>
                <pt idx="227">
                  <v>29642</v>
                </pt>
                <pt idx="228">
                  <v>30626</v>
                </pt>
                <pt idx="229">
                  <v>30116</v>
                </pt>
                <pt idx="230">
                  <v>30457</v>
                </pt>
                <pt idx="231">
                  <v>30751</v>
                </pt>
                <pt idx="232">
                  <v>30950</v>
                </pt>
                <pt idx="233">
                  <v>31119</v>
                </pt>
                <pt idx="234">
                  <v>31208</v>
                </pt>
                <pt idx="235">
                  <v>31679</v>
                </pt>
                <pt idx="236">
                  <v>31417</v>
                </pt>
                <pt idx="237">
                  <v>32499</v>
                </pt>
                <pt idx="238">
                  <v>32762</v>
                </pt>
                <pt idx="239">
                  <v>32468</v>
                </pt>
                <pt idx="240">
                  <v>32433</v>
                </pt>
                <pt idx="241">
                  <v>32918</v>
                </pt>
                <pt idx="242">
                  <v>32879</v>
                </pt>
                <pt idx="243">
                  <v>33207</v>
                </pt>
                <pt idx="244">
                  <v>33790</v>
                </pt>
                <pt idx="245">
                  <v>33745</v>
                </pt>
                <pt idx="246">
                  <v>34188</v>
                </pt>
                <pt idx="247">
                  <v>34407</v>
                </pt>
                <pt idx="248">
                  <v>34740</v>
                </pt>
                <pt idx="249">
                  <v>34739</v>
                </pt>
                <pt idx="250">
                  <v>35242</v>
                </pt>
                <pt idx="251">
                  <v>35266</v>
                </pt>
                <pt idx="252">
                  <v>35599</v>
                </pt>
                <pt idx="253">
                  <v>35576</v>
                </pt>
                <pt idx="254">
                  <v>35421</v>
                </pt>
                <pt idx="255">
                  <v>35140</v>
                </pt>
                <pt idx="256">
                  <v>35127</v>
                </pt>
                <pt idx="257">
                  <v>35316</v>
                </pt>
                <pt idx="258">
                  <v>35628</v>
                </pt>
                <pt idx="259">
                  <v>35734</v>
                </pt>
                <pt idx="260">
                  <v>35619</v>
                </pt>
                <pt idx="261">
                  <v>35599</v>
                </pt>
                <pt idx="262">
                  <v>36449</v>
                </pt>
                <pt idx="263">
                  <v>37559</v>
                </pt>
                <pt idx="264">
                  <v>36326</v>
                </pt>
                <pt idx="265">
                  <v>37254</v>
                </pt>
                <pt idx="266">
                  <v>37750</v>
                </pt>
                <pt idx="267">
                  <v>37839</v>
                </pt>
                <pt idx="268">
                  <v>37922</v>
                </pt>
                <pt idx="269">
                  <v>38712</v>
                </pt>
                <pt idx="270">
                  <v>38579</v>
                </pt>
                <pt idx="271">
                  <v>39064</v>
                </pt>
                <pt idx="272">
                  <v>39151</v>
                </pt>
                <pt idx="273">
                  <v>39513</v>
                </pt>
                <pt idx="274">
                  <v>39837</v>
                </pt>
                <pt idx="275">
                  <v>39908</v>
                </pt>
                <pt idx="276">
                  <v>39830</v>
                </pt>
                <pt idx="277">
                  <v>40837</v>
                </pt>
                <pt idx="278">
                  <v>40661</v>
                </pt>
                <pt idx="279">
                  <v>40897</v>
                </pt>
                <pt idx="280">
                  <v>40766</v>
                </pt>
                <pt idx="281">
                  <v>41040</v>
                </pt>
                <pt idx="282">
                  <v>41617</v>
                </pt>
                <pt idx="283">
                  <v>41642</v>
                </pt>
                <pt idx="284">
                  <v>42054</v>
                </pt>
                <pt idx="285">
                  <v>42262</v>
                </pt>
                <pt idx="286">
                  <v>42146</v>
                </pt>
                <pt idx="287">
                  <v>42355</v>
                </pt>
                <pt idx="288">
                  <v>43174</v>
                </pt>
                <pt idx="289">
                  <v>43388</v>
                </pt>
                <pt idx="290">
                  <v>43437</v>
                </pt>
                <pt idx="291">
                  <v>43975</v>
                </pt>
                <pt idx="292">
                  <v>44827</v>
                </pt>
                <pt idx="293">
                  <v>45364</v>
                </pt>
                <pt idx="294">
                  <v>45324</v>
                </pt>
                <pt idx="295">
                  <v>45586</v>
                </pt>
                <pt idx="296">
                  <v>45918</v>
                </pt>
                <pt idx="297">
                  <v>46508</v>
                </pt>
                <pt idx="298">
                  <v>46534</v>
                </pt>
                <pt idx="299">
                  <v>47605</v>
                </pt>
                <pt idx="300">
                  <v>48132</v>
                </pt>
                <pt idx="301">
                  <v>48312</v>
                </pt>
                <pt idx="302">
                  <v>48903</v>
                </pt>
                <pt idx="303">
                  <v>49624</v>
                </pt>
                <pt idx="304">
                  <v>49991</v>
                </pt>
                <pt idx="305">
                  <v>50267</v>
                </pt>
                <pt idx="306">
                  <v>50713</v>
                </pt>
                <pt idx="307">
                  <v>51035</v>
                </pt>
                <pt idx="308">
                  <v>51561</v>
                </pt>
                <pt idx="309">
                  <v>51074</v>
                </pt>
                <pt idx="310">
                  <v>53421</v>
                </pt>
                <pt idx="311">
                  <v>54363</v>
                </pt>
                <pt idx="312">
                  <v>54331</v>
                </pt>
                <pt idx="313">
                  <v>54637</v>
                </pt>
                <pt idx="314">
                  <v>55316</v>
                </pt>
                <pt idx="315">
                  <v>56131</v>
                </pt>
                <pt idx="316">
                  <v>55818</v>
                </pt>
                <pt idx="317">
                  <v>55751</v>
                </pt>
                <pt idx="318">
                  <v>56714</v>
                </pt>
                <pt idx="319">
                  <v>56948</v>
                </pt>
                <pt idx="320">
                  <v>57753</v>
                </pt>
                <pt idx="321">
                  <v>58219</v>
                </pt>
                <pt idx="322">
                  <v>60268</v>
                </pt>
                <pt idx="323">
                  <v>54472</v>
                </pt>
                <pt idx="324">
                  <v>60570</v>
                </pt>
                <pt idx="325">
                  <v>61022</v>
                </pt>
                <pt idx="326">
                  <v>60845</v>
                </pt>
                <pt idx="327">
                  <v>61862</v>
                </pt>
                <pt idx="328">
                  <v>63306</v>
                </pt>
                <pt idx="329">
                  <v>64217</v>
                </pt>
                <pt idx="330">
                  <v>64423</v>
                </pt>
                <pt idx="331">
                  <v>64972</v>
                </pt>
                <pt idx="332">
                  <v>64658</v>
                </pt>
                <pt idx="333">
                  <v>65294</v>
                </pt>
                <pt idx="334">
                  <v>64774</v>
                </pt>
                <pt idx="335">
                  <v>64552</v>
                </pt>
                <pt idx="336">
                  <v>65240</v>
                </pt>
                <pt idx="337">
                  <v>65600</v>
                </pt>
                <pt idx="338">
                  <v>68433</v>
                </pt>
                <pt idx="339">
                  <v>76629</v>
                </pt>
                <pt idx="340">
                  <v>81508</v>
                </pt>
                <pt idx="341">
                  <v>78600</v>
                </pt>
                <pt idx="342">
                  <v>80675</v>
                </pt>
                <pt idx="343">
                  <v>82235</v>
                </pt>
                <pt idx="344">
                  <v>80842</v>
                </pt>
                <pt idx="345">
                  <v>83254</v>
                </pt>
                <pt idx="346">
                  <v>82211</v>
                </pt>
                <pt idx="347">
                  <v>74474</v>
                </pt>
                <pt idx="348">
                  <v>87028</v>
                </pt>
                <pt idx="349">
                  <v>84324</v>
                </pt>
                <pt idx="350">
                  <v>88886</v>
                </pt>
                <pt idx="351">
                  <v>88975</v>
                </pt>
                <pt idx="352">
                  <v>87917</v>
                </pt>
                <pt idx="353">
                  <v>88003</v>
                </pt>
                <pt idx="354">
                  <v>83934</v>
                </pt>
                <pt idx="355">
                  <v>88903</v>
                </pt>
                <pt idx="356">
                  <v>88532</v>
                </pt>
                <pt idx="357">
                  <v>92138</v>
                </pt>
                <pt idx="358">
                  <v>92154</v>
                </pt>
                <pt idx="359">
                  <v>82596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'Non Store Retail'!$A$7:$A$366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'Non Store Retail'!$D$7:$D$366</f>
              <numCache>
                <formatCode>General</formatCode>
                <ptCount val="360"/>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0.0899437103277576</v>
                </pt>
                <pt idx="217">
                  <formatCode>0.00%</formatCode>
                  <v>0.07971158036527871</v>
                </pt>
                <pt idx="218">
                  <formatCode>0.00%</formatCode>
                  <v>0.1167956377049838</v>
                </pt>
                <pt idx="219">
                  <formatCode>0.00%</formatCode>
                  <v>0.1117840526231349</v>
                </pt>
                <pt idx="220">
                  <formatCode>0.00%</formatCode>
                  <v>0.1049326284828491</v>
                </pt>
                <pt idx="221">
                  <formatCode>0.00%</formatCode>
                  <v>0.1045482769326296</v>
                </pt>
                <pt idx="222">
                  <formatCode>0.00%</formatCode>
                  <v>0.07675220222137112</v>
                </pt>
                <pt idx="223">
                  <formatCode>0.00%</formatCode>
                  <v>0.09965583173996176</v>
                </pt>
                <pt idx="224">
                  <formatCode>0.00%</formatCode>
                  <v>0.09616917878431223</v>
                </pt>
                <pt idx="225">
                  <formatCode>0.00%</formatCode>
                  <v>0.08680633776376061</v>
                </pt>
                <pt idx="226">
                  <formatCode>0.00%</formatCode>
                  <v>0.08568964224105603</v>
                </pt>
                <pt idx="227">
                  <formatCode>0.00%</formatCode>
                  <v>0.09850281648384228</v>
                </pt>
                <pt idx="228">
                  <formatCode>0.00%</formatCode>
                  <v>0.1217493223939638</v>
                </pt>
                <pt idx="229">
                  <formatCode>0.00%</formatCode>
                  <v>0.1050526547536051</v>
                </pt>
                <pt idx="230">
                  <formatCode>0.00%</formatCode>
                  <v>0.09345156889495225</v>
                </pt>
                <pt idx="231">
                  <formatCode>0.00%</formatCode>
                  <v>0.1093834553916086</v>
                </pt>
                <pt idx="232">
                  <formatCode>0.00%</formatCode>
                  <v>0.113349401057592</v>
                </pt>
                <pt idx="233">
                  <formatCode>0.00%</formatCode>
                  <v>0.09335254022907737</v>
                </pt>
                <pt idx="234">
                  <formatCode>0.00%</formatCode>
                  <v>0.1100519314220673</v>
                </pt>
                <pt idx="235">
                  <formatCode>0.00%</formatCode>
                  <v>0.1016483516483516</v>
                </pt>
                <pt idx="236">
                  <formatCode>0.00%</formatCode>
                  <v>0.08814768633970629</v>
                </pt>
                <pt idx="237">
                  <formatCode>0.00%</formatCode>
                  <v>0.1227458025288468</v>
                </pt>
                <pt idx="238">
                  <formatCode>0.00%</formatCode>
                  <v>0.1316362129114711</v>
                </pt>
                <pt idx="239">
                  <formatCode>0.00%</formatCode>
                  <v>0.09533769651170636</v>
                </pt>
                <pt idx="240">
                  <formatCode>0.00%</formatCode>
                  <v>0.05900215503167244</v>
                </pt>
                <pt idx="241">
                  <formatCode>0.00%</formatCode>
                  <v>0.09304024438836499</v>
                </pt>
                <pt idx="242">
                  <formatCode>0.00%</formatCode>
                  <v>0.07952194897724661</v>
                </pt>
                <pt idx="243">
                  <formatCode>0.00%</formatCode>
                  <v>0.07986732138792234</v>
                </pt>
                <pt idx="244">
                  <formatCode>0.00%</formatCode>
                  <v>0.09176090468497576</v>
                </pt>
                <pt idx="245">
                  <formatCode>0.00%</formatCode>
                  <v>0.08438574504322119</v>
                </pt>
                <pt idx="246">
                  <formatCode>0.00%</formatCode>
                  <v>0.09548833632401948</v>
                </pt>
                <pt idx="247">
                  <formatCode>0.00%</formatCode>
                  <v>0.08611382935067395</v>
                </pt>
                <pt idx="248">
                  <formatCode>0.00%</formatCode>
                  <v>0.1057707610529331</v>
                </pt>
                <pt idx="249">
                  <formatCode>0.00%</formatCode>
                  <v>0.06892519769839071</v>
                </pt>
                <pt idx="250">
                  <formatCode>0.00%</formatCode>
                  <v>0.07569745436786521</v>
                </pt>
                <pt idx="251">
                  <formatCode>0.00%</formatCode>
                  <v>0.0861771590489097</v>
                </pt>
                <pt idx="252">
                  <formatCode>0.00%</formatCode>
                  <v>0.09761662504239509</v>
                </pt>
                <pt idx="253">
                  <formatCode>0.00%</formatCode>
                  <v>0.08074609636065375</v>
                </pt>
                <pt idx="254">
                  <formatCode>0.00%</formatCode>
                  <v>0.07731378691566045</v>
                </pt>
                <pt idx="255">
                  <formatCode>0.00%</formatCode>
                  <v>0.05821061824314151</v>
                </pt>
                <pt idx="256">
                  <formatCode>0.00%</formatCode>
                  <v>0.03956791950281148</v>
                </pt>
                <pt idx="257">
                  <formatCode>0.00%</formatCode>
                  <v>0.04655504519188028</v>
                </pt>
                <pt idx="258">
                  <formatCode>0.00%</formatCode>
                  <v>0.04212004212004212</v>
                </pt>
                <pt idx="259">
                  <formatCode>0.00%</formatCode>
                  <v>0.03856773331008225</v>
                </pt>
                <pt idx="260">
                  <formatCode>0.00%</formatCode>
                  <v>0.02530224525043178</v>
                </pt>
                <pt idx="261">
                  <formatCode>0.00%</formatCode>
                  <v>0.02475603788249518</v>
                </pt>
                <pt idx="262">
                  <formatCode>0.00%</formatCode>
                  <v>0.03424890755348731</v>
                </pt>
                <pt idx="263">
                  <formatCode>0.00%</formatCode>
                  <v>0.06502013270572223</v>
                </pt>
                <pt idx="264">
                  <formatCode>0.00%</formatCode>
                  <v>0.02042192196410011</v>
                </pt>
                <pt idx="265">
                  <formatCode>0.00%</formatCode>
                  <v>0.04716662918821678</v>
                </pt>
                <pt idx="266">
                  <formatCode>0.00%</formatCode>
                  <v>0.06575195505491092</v>
                </pt>
                <pt idx="267">
                  <formatCode>0.00%</formatCode>
                  <v>0.07680705748434832</v>
                </pt>
                <pt idx="268">
                  <formatCode>0.00%</formatCode>
                  <v>0.07956842315028326</v>
                </pt>
                <pt idx="269">
                  <formatCode>0.00%</formatCode>
                  <v>0.09616038056405028</v>
                </pt>
                <pt idx="270">
                  <formatCode>0.00%</formatCode>
                  <v>0.08282811272033232</v>
                </pt>
                <pt idx="271">
                  <formatCode>0.00%</formatCode>
                  <v>0.09318855991492696</v>
                </pt>
                <pt idx="272">
                  <formatCode>0.00%</formatCode>
                  <v>0.09916056037508071</v>
                </pt>
                <pt idx="273">
                  <formatCode>0.00%</formatCode>
                  <v>0.1099469086210287</v>
                </pt>
                <pt idx="274">
                  <formatCode>0.00%</formatCode>
                  <v>0.09295179565968888</v>
                </pt>
                <pt idx="275">
                  <formatCode>0.00%</formatCode>
                  <v>0.06254160121408983</v>
                </pt>
                <pt idx="276">
                  <formatCode>0.00%</formatCode>
                  <v>0.09645983593018774</v>
                </pt>
                <pt idx="277">
                  <formatCode>0.00%</formatCode>
                  <v>0.09617759166800881</v>
                </pt>
                <pt idx="278">
                  <formatCode>0.00%</formatCode>
                  <v>0.07711258278145695</v>
                </pt>
                <pt idx="279">
                  <formatCode>0.00%</formatCode>
                  <v>0.08081608922011681</v>
                </pt>
                <pt idx="280">
                  <formatCode>0.00%</formatCode>
                  <v>0.07499604451242023</v>
                </pt>
                <pt idx="281">
                  <formatCode>0.00%</formatCode>
                  <v>0.06013639181649101</v>
                </pt>
                <pt idx="282">
                  <formatCode>0.00%</formatCode>
                  <v>0.07874750511936546</v>
                </pt>
                <pt idx="283">
                  <formatCode>0.00%</formatCode>
                  <v>0.06599426582019251</v>
                </pt>
                <pt idx="284">
                  <formatCode>0.00%</formatCode>
                  <v>0.07414880845955403</v>
                </pt>
                <pt idx="285">
                  <formatCode>0.00%</formatCode>
                  <v>0.06957203958190974</v>
                </pt>
                <pt idx="286">
                  <formatCode>0.00%</formatCode>
                  <v>0.05796119185681653</v>
                </pt>
                <pt idx="287">
                  <formatCode>0.00%</formatCode>
                  <v>0.0613160268617821</v>
                </pt>
                <pt idx="288">
                  <formatCode>0.00%</formatCode>
                  <v>0.08395681646999749</v>
                </pt>
                <pt idx="289">
                  <formatCode>0.00%</formatCode>
                  <v>0.06246786002889537</v>
                </pt>
                <pt idx="290">
                  <formatCode>0.00%</formatCode>
                  <v>0.06827180836673963</v>
                </pt>
                <pt idx="291">
                  <formatCode>0.00%</formatCode>
                  <v>0.07526224417438931</v>
                </pt>
                <pt idx="292">
                  <formatCode>0.00%</formatCode>
                  <v>0.09961732816562822</v>
                </pt>
                <pt idx="293">
                  <formatCode>0.00%</formatCode>
                  <v>0.1053606237816764</v>
                </pt>
                <pt idx="294">
                  <formatCode>0.00%</formatCode>
                  <v>0.0890741764182906</v>
                </pt>
                <pt idx="295">
                  <formatCode>0.00%</formatCode>
                  <v>0.09471206954517074</v>
                </pt>
                <pt idx="296">
                  <formatCode>0.00%</formatCode>
                  <v>0.09188186617206449</v>
                </pt>
                <pt idx="297">
                  <formatCode>0.00%</formatCode>
                  <v>0.1004685059864654</v>
                </pt>
                <pt idx="298">
                  <formatCode>0.00%</formatCode>
                  <v>0.1041142694443126</v>
                </pt>
                <pt idx="299">
                  <formatCode>0.00%</formatCode>
                  <v>0.1239523078739228</v>
                </pt>
                <pt idx="300">
                  <formatCode>0.00%</formatCode>
                  <v>0.1148376337610599</v>
                </pt>
                <pt idx="301">
                  <formatCode>0.00%</formatCode>
                  <v>0.1134876002581359</v>
                </pt>
                <pt idx="302">
                  <formatCode>0.00%</formatCode>
                  <v>0.125837419711306</v>
                </pt>
                <pt idx="303">
                  <formatCode>0.00%</formatCode>
                  <v>0.1284593519044912</v>
                </pt>
                <pt idx="304">
                  <formatCode>0.00%</formatCode>
                  <v>0.1151984295179245</v>
                </pt>
                <pt idx="305">
                  <formatCode>0.00%</formatCode>
                  <v>0.1080812979455075</v>
                </pt>
                <pt idx="306">
                  <formatCode>0.00%</formatCode>
                  <v>0.1188994793045627</v>
                </pt>
                <pt idx="307">
                  <formatCode>0.00%</formatCode>
                  <v>0.1195323125520993</v>
                </pt>
                <pt idx="308">
                  <formatCode>0.00%</formatCode>
                  <v>0.1228929831438652</v>
                </pt>
                <pt idx="309">
                  <formatCode>0.00%</formatCode>
                  <v>0.09817665777930679</v>
                </pt>
                <pt idx="310">
                  <formatCode>0.00%</formatCode>
                  <v>0.1479993123307689</v>
                </pt>
                <pt idx="311">
                  <formatCode>0.00%</formatCode>
                  <v>0.1419598781640584</v>
                </pt>
                <pt idx="312">
                  <formatCode>0.00%</formatCode>
                  <v>0.1287916562785673</v>
                </pt>
                <pt idx="313">
                  <formatCode>0.00%</formatCode>
                  <v>0.13091985428051</v>
                </pt>
                <pt idx="314">
                  <formatCode>0.00%</formatCode>
                  <v>0.1311371490501605</v>
                </pt>
                <pt idx="315">
                  <formatCode>0.00%</formatCode>
                  <v>0.1311260680315976</v>
                </pt>
                <pt idx="316">
                  <formatCode>0.00%</formatCode>
                  <v>0.1165609809765758</v>
                </pt>
                <pt idx="317">
                  <formatCode>0.00%</formatCode>
                  <v>0.1090974197783834</v>
                </pt>
                <pt idx="318">
                  <formatCode>0.00%</formatCode>
                  <v>0.1183325774456254</v>
                </pt>
                <pt idx="319">
                  <formatCode>0.00%</formatCode>
                  <v>0.1158616635642206</v>
                </pt>
                <pt idx="320">
                  <formatCode>0.00%</formatCode>
                  <v>0.1200907662768371</v>
                </pt>
                <pt idx="321">
                  <formatCode>0.00%</formatCode>
                  <v>0.1398950542350315</v>
                </pt>
                <pt idx="322">
                  <formatCode>0.00%</formatCode>
                  <v>0.128170569626177</v>
                </pt>
                <pt idx="323">
                  <formatCode>0.00%</formatCode>
                  <v>0.002005040192778176</v>
                </pt>
                <pt idx="324">
                  <formatCode>0.00%</formatCode>
                  <v>0.1148331523439657</v>
                </pt>
                <pt idx="325">
                  <formatCode>0.00%</formatCode>
                  <v>0.116862199608324</v>
                </pt>
                <pt idx="326">
                  <formatCode>0.00%</formatCode>
                  <v>0.09995299732446308</v>
                </pt>
                <pt idx="327">
                  <formatCode>0.00%</formatCode>
                  <v>0.102100443605138</v>
                </pt>
                <pt idx="328">
                  <formatCode>0.00%</formatCode>
                  <v>0.1341502741051274</v>
                </pt>
                <pt idx="329">
                  <formatCode>0.00%</formatCode>
                  <v>0.1518537784075622</v>
                </pt>
                <pt idx="330">
                  <formatCode>0.00%</formatCode>
                  <v>0.1359276369150474</v>
                </pt>
                <pt idx="331">
                  <formatCode>0.00%</formatCode>
                  <v>0.1409004706047622</v>
                </pt>
                <pt idx="332">
                  <formatCode>0.00%</formatCode>
                  <v>0.119560888611847</v>
                </pt>
                <pt idx="333">
                  <formatCode>0.00%</formatCode>
                  <v>0.1215239011319329</v>
                </pt>
                <pt idx="334">
                  <formatCode>0.00%</formatCode>
                  <v>0.07476604499900445</v>
                </pt>
                <pt idx="335">
                  <formatCode>0.00%</formatCode>
                  <v>0.1850491995887796</v>
                </pt>
                <pt idx="336">
                  <formatCode>0.00%</formatCode>
                  <v>0.07710087502063728</v>
                </pt>
                <pt idx="337">
                  <formatCode>0.00%</formatCode>
                  <v>0.07502212316869326</v>
                </pt>
                <pt idx="338">
                  <formatCode>0.00%</formatCode>
                  <v>0.1247103295258444</v>
                </pt>
                <pt idx="339">
                  <formatCode>0.00%</formatCode>
                  <v>0.2387087388057289</v>
                </pt>
                <pt idx="340">
                  <formatCode>0.00%</formatCode>
                  <v>0.2875240893438221</v>
                </pt>
                <pt idx="341">
                  <formatCode>0.00%</formatCode>
                  <v>0.2239749599015837</v>
                </pt>
                <pt idx="342">
                  <formatCode>0.00%</formatCode>
                  <v>0.2522701519643605</v>
                </pt>
                <pt idx="343">
                  <formatCode>0.00%</formatCode>
                  <v>0.2656990703687742</v>
                </pt>
                <pt idx="344">
                  <formatCode>0.00%</formatCode>
                  <v>0.2503015868106035</v>
                </pt>
                <pt idx="345">
                  <formatCode>0.00%</formatCode>
                  <v>0.2750635586730787</v>
                </pt>
                <pt idx="346">
                  <formatCode>0.00%</formatCode>
                  <v>0.2691975175224627</v>
                </pt>
                <pt idx="347">
                  <formatCode>0.00%</formatCode>
                  <v>0.1537055397199157</v>
                </pt>
                <pt idx="348">
                  <formatCode>0.00%</formatCode>
                  <v>0.3339668914776211</v>
                </pt>
                <pt idx="349">
                  <formatCode>0.00%</formatCode>
                  <v>0.2854268292682927</v>
                </pt>
                <pt idx="350">
                  <formatCode>0.00%</formatCode>
                  <v>0.2988762731430742</v>
                </pt>
                <pt idx="351">
                  <formatCode>0.00%</formatCode>
                  <v>0.1611139385872189</v>
                </pt>
                <pt idx="352">
                  <formatCode>0.00%</formatCode>
                  <v>0.07863031849634392</v>
                </pt>
                <pt idx="353">
                  <formatCode>0.00%</formatCode>
                  <v>0.1196310432569975</v>
                </pt>
                <pt idx="354">
                  <formatCode>0.00%</formatCode>
                  <v>0.04039665323830183</v>
                </pt>
                <pt idx="355">
                  <formatCode>0.00%</formatCode>
                  <v>0.08108469629719706</v>
                </pt>
                <pt idx="356">
                  <formatCode>0.00%</formatCode>
                  <v>0.09512382177580961</v>
                </pt>
                <pt idx="357">
                  <formatCode>0.00%</formatCode>
                  <v>0.106709587527326</v>
                </pt>
                <pt idx="358">
                  <formatCode>0.00%</formatCode>
                  <v>0.1209448857208889</v>
                </pt>
                <pt idx="359">
                  <formatCode>0.00%</formatCode>
                  <v>0.1090581948062411</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Health!$B$7:$B$366</f>
              <numCache>
                <formatCode>#,##0</formatCode>
                <ptCount val="36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21165</v>
                </pt>
                <pt idx="217">
                  <v>21199</v>
                </pt>
                <pt idx="218">
                  <v>21363</v>
                </pt>
                <pt idx="219">
                  <v>21471</v>
                </pt>
                <pt idx="220">
                  <v>21399</v>
                </pt>
                <pt idx="221">
                  <v>21661</v>
                </pt>
                <pt idx="222">
                  <v>21733</v>
                </pt>
                <pt idx="223">
                  <v>21863</v>
                </pt>
                <pt idx="224">
                  <v>21910</v>
                </pt>
                <pt idx="225">
                  <v>22128</v>
                </pt>
                <pt idx="226">
                  <v>22180</v>
                </pt>
                <pt idx="227">
                  <v>22272</v>
                </pt>
                <pt idx="228">
                  <v>22695</v>
                </pt>
                <pt idx="229">
                  <v>22428</v>
                </pt>
                <pt idx="230">
                  <v>22563</v>
                </pt>
                <pt idx="231">
                  <v>22448</v>
                </pt>
                <pt idx="232">
                  <v>22608</v>
                </pt>
                <pt idx="233">
                  <v>22607</v>
                </pt>
                <pt idx="234">
                  <v>22728</v>
                </pt>
                <pt idx="235">
                  <v>22822</v>
                </pt>
                <pt idx="236">
                  <v>22695</v>
                </pt>
                <pt idx="237">
                  <v>22830</v>
                </pt>
                <pt idx="238">
                  <v>22735</v>
                </pt>
                <pt idx="239">
                  <v>22677</v>
                </pt>
                <pt idx="240">
                  <v>22973</v>
                </pt>
                <pt idx="241">
                  <v>22999</v>
                </pt>
                <pt idx="242">
                  <v>22945</v>
                </pt>
                <pt idx="243">
                  <v>23045</v>
                </pt>
                <pt idx="244">
                  <v>22883</v>
                </pt>
                <pt idx="245">
                  <v>22449</v>
                </pt>
                <pt idx="246">
                  <v>22793</v>
                </pt>
                <pt idx="247">
                  <v>22741</v>
                </pt>
                <pt idx="248">
                  <v>22608</v>
                </pt>
                <pt idx="249">
                  <v>22527</v>
                </pt>
                <pt idx="250">
                  <v>22661</v>
                </pt>
                <pt idx="251">
                  <v>22898</v>
                </pt>
                <pt idx="252">
                  <v>23173</v>
                </pt>
                <pt idx="253">
                  <v>23008</v>
                </pt>
                <pt idx="254">
                  <v>23049</v>
                </pt>
                <pt idx="255">
                  <v>22953</v>
                </pt>
                <pt idx="256">
                  <v>23055</v>
                </pt>
                <pt idx="257">
                  <v>23043</v>
                </pt>
                <pt idx="258">
                  <v>23308</v>
                </pt>
                <pt idx="259">
                  <v>23305</v>
                </pt>
                <pt idx="260">
                  <v>23728</v>
                </pt>
                <pt idx="261">
                  <v>23771</v>
                </pt>
                <pt idx="262">
                  <v>23772</v>
                </pt>
                <pt idx="263">
                  <v>23824</v>
                </pt>
                <pt idx="264">
                  <v>23768</v>
                </pt>
                <pt idx="265">
                  <v>23906</v>
                </pt>
                <pt idx="266">
                  <v>24053</v>
                </pt>
                <pt idx="267">
                  <v>24259</v>
                </pt>
                <pt idx="268">
                  <v>24594</v>
                </pt>
                <pt idx="269">
                  <v>24797</v>
                </pt>
                <pt idx="270">
                  <v>24813</v>
                </pt>
                <pt idx="271">
                  <v>24902</v>
                </pt>
                <pt idx="272">
                  <v>25046</v>
                </pt>
                <pt idx="273">
                  <v>24962</v>
                </pt>
                <pt idx="274">
                  <v>25064</v>
                </pt>
                <pt idx="275">
                  <v>25240</v>
                </pt>
                <pt idx="276">
                  <v>25440</v>
                </pt>
                <pt idx="277">
                  <v>25249</v>
                </pt>
                <pt idx="278">
                  <v>25793</v>
                </pt>
                <pt idx="279">
                  <v>25393</v>
                </pt>
                <pt idx="280">
                  <v>25348</v>
                </pt>
                <pt idx="281">
                  <v>25534</v>
                </pt>
                <pt idx="282">
                  <v>25783</v>
                </pt>
                <pt idx="283">
                  <v>25955</v>
                </pt>
                <pt idx="284">
                  <v>26194</v>
                </pt>
                <pt idx="285">
                  <v>26043</v>
                </pt>
                <pt idx="286">
                  <v>26210</v>
                </pt>
                <pt idx="287">
                  <v>26433</v>
                </pt>
                <pt idx="288">
                  <v>26247</v>
                </pt>
                <pt idx="289">
                  <v>26787</v>
                </pt>
                <pt idx="290">
                  <v>26617</v>
                </pt>
                <pt idx="291">
                  <v>26811</v>
                </pt>
                <pt idx="292">
                  <v>26722</v>
                </pt>
                <pt idx="293">
                  <v>26892</v>
                </pt>
                <pt idx="294">
                  <v>26822</v>
                </pt>
                <pt idx="295">
                  <v>26747</v>
                </pt>
                <pt idx="296">
                  <v>26683</v>
                </pt>
                <pt idx="297">
                  <v>25885</v>
                </pt>
                <pt idx="298">
                  <v>26114</v>
                </pt>
                <pt idx="299">
                  <v>26179</v>
                </pt>
                <pt idx="300">
                  <v>26160</v>
                </pt>
                <pt idx="301">
                  <v>26436</v>
                </pt>
                <pt idx="302">
                  <v>26569</v>
                </pt>
                <pt idx="303">
                  <v>26755</v>
                </pt>
                <pt idx="304">
                  <v>26761</v>
                </pt>
                <pt idx="305">
                  <v>26983</v>
                </pt>
                <pt idx="306">
                  <v>27020</v>
                </pt>
                <pt idx="307">
                  <v>27336</v>
                </pt>
                <pt idx="308">
                  <v>27372</v>
                </pt>
                <pt idx="309">
                  <v>27568</v>
                </pt>
                <pt idx="310">
                  <v>27763</v>
                </pt>
                <pt idx="311">
                  <v>27669</v>
                </pt>
                <pt idx="312">
                  <v>27671</v>
                </pt>
                <pt idx="313">
                  <v>27510</v>
                </pt>
                <pt idx="314">
                  <v>27674</v>
                </pt>
                <pt idx="315">
                  <v>27937</v>
                </pt>
                <pt idx="316">
                  <v>28309</v>
                </pt>
                <pt idx="317">
                  <v>28076</v>
                </pt>
                <pt idx="318">
                  <v>28258</v>
                </pt>
                <pt idx="319">
                  <v>28533</v>
                </pt>
                <pt idx="320">
                  <v>28319</v>
                </pt>
                <pt idx="321">
                  <v>28555</v>
                </pt>
                <pt idx="322">
                  <v>29077</v>
                </pt>
                <pt idx="323">
                  <v>27944</v>
                </pt>
                <pt idx="324">
                  <v>28639</v>
                </pt>
                <pt idx="325">
                  <v>28756</v>
                </pt>
                <pt idx="326">
                  <v>28700</v>
                </pt>
                <pt idx="327">
                  <v>28545</v>
                </pt>
                <pt idx="328">
                  <v>28684</v>
                </pt>
                <pt idx="329">
                  <v>28615</v>
                </pt>
                <pt idx="330">
                  <v>28398</v>
                </pt>
                <pt idx="331">
                  <v>28414</v>
                </pt>
                <pt idx="332">
                  <v>28434</v>
                </pt>
                <pt idx="333">
                  <v>28718</v>
                </pt>
                <pt idx="334">
                  <v>28499</v>
                </pt>
                <pt idx="335">
                  <v>28359</v>
                </pt>
                <pt idx="336">
                  <v>28872</v>
                </pt>
                <pt idx="337">
                  <v>29064</v>
                </pt>
                <pt idx="338">
                  <v>30492</v>
                </pt>
                <pt idx="339">
                  <v>25958</v>
                </pt>
                <pt idx="340">
                  <v>26251</v>
                </pt>
                <pt idx="341">
                  <v>28336</v>
                </pt>
                <pt idx="342">
                  <v>29811</v>
                </pt>
                <pt idx="343">
                  <v>29599</v>
                </pt>
                <pt idx="344">
                  <v>29972</v>
                </pt>
                <pt idx="345">
                  <v>29883</v>
                </pt>
                <pt idx="346">
                  <v>29520</v>
                </pt>
                <pt idx="347">
                  <v>29929</v>
                </pt>
                <pt idx="348">
                  <v>30204</v>
                </pt>
                <pt idx="349">
                  <v>29691</v>
                </pt>
                <pt idx="350">
                  <v>32081</v>
                </pt>
                <pt idx="351">
                  <v>32113</v>
                </pt>
                <pt idx="352">
                  <v>31138</v>
                </pt>
                <pt idx="353">
                  <v>32559</v>
                </pt>
                <pt idx="354">
                  <v>32389</v>
                </pt>
                <pt idx="355">
                  <v>32624</v>
                </pt>
                <pt idx="356">
                  <v>32304</v>
                </pt>
                <pt idx="357">
                  <v>31855</v>
                </pt>
                <pt idx="358">
                  <v>31656</v>
                </pt>
                <pt idx="359">
                  <v>32371</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Health!$D$7:$D$366</f>
              <numCache>
                <formatCode>General</formatCode>
                <ptCount val="360"/>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0.01985255143834626</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0.03198153643257501</v>
                </pt>
                <pt idx="225">
                  <formatCode>0.00%</formatCode>
                  <v>0.03994736347401071</v>
                </pt>
                <pt idx="226">
                  <formatCode>0.00%</formatCode>
                  <v>0.04190154077414506</v>
                </pt>
                <pt idx="227">
                  <formatCode>0.00%</formatCode>
                  <v>0.0508138711960368</v>
                </pt>
                <pt idx="228">
                  <formatCode>0.00%</formatCode>
                  <v>0.07228915662650602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0.03582838886353264</v>
                </pt>
                <pt idx="237">
                  <formatCode>0.00%</formatCode>
                  <v>0.03172451193058568</v>
                </pt>
                <pt idx="238">
                  <formatCode>0.00%</formatCode>
                  <v>0.02502254283137962</v>
                </pt>
                <pt idx="239">
                  <formatCode>0.00%</formatCode>
                  <v>0.01818426724137931</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-0.006988985712389968</v>
                </pt>
                <pt idx="246">
                  <formatCode>0.00%</formatCode>
                  <v>0.002859908482928546</v>
                </pt>
                <pt idx="247">
                  <formatCode>0.00%</formatCode>
                  <v>-0.003549206905617387</v>
                </pt>
                <pt idx="248">
                  <formatCode>0.00%</formatCode>
                  <v>-0.003833443489755453</v>
                </pt>
                <pt idx="249">
                  <formatCode>0.00%</formatCode>
                  <v>-0.01327201051248357</v>
                </pt>
                <pt idx="250">
                  <formatCode>0.00%</formatCode>
                  <v>-0.00325489333626567</v>
                </pt>
                <pt idx="251">
                  <formatCode>0.00%</formatCode>
                  <v>0.009745557172465493</v>
                </pt>
                <pt idx="252">
                  <formatCode>0.00%</formatCode>
                  <v>0.008705872110738692</v>
                </pt>
                <pt idx="253">
                  <formatCode>0.00%</formatCode>
                  <v>0.000391321361798339</v>
                </pt>
                <pt idx="254">
                  <formatCode>0.00%</formatCode>
                  <v>0.004532577903682719</v>
                </pt>
                <pt idx="255">
                  <formatCode>0.00%</formatCode>
                  <v>-0.003992189195053157</v>
                </pt>
                <pt idx="256">
                  <formatCode>0.00%</formatCode>
                  <v>0.00751649696281082</v>
                </pt>
                <pt idx="257">
                  <formatCode>0.00%</formatCode>
                  <v>0.02645997594547641</v>
                </pt>
                <pt idx="258">
                  <formatCode>0.00%</formatCode>
                  <v>0.0225946562541131</v>
                </pt>
                <pt idx="259">
                  <formatCode>0.00%</formatCode>
                  <v>0.02480102018380898</v>
                </pt>
                <pt idx="260">
                  <formatCode>0.00%</formatCode>
                  <v>0.04953998584571833</v>
                </pt>
                <pt idx="261">
                  <formatCode>0.00%</formatCode>
                  <v>0.05522262174279753</v>
                </pt>
                <pt idx="262">
                  <formatCode>0.00%</formatCode>
                  <v>0.04902696262300869</v>
                </pt>
                <pt idx="263">
                  <formatCode>0.00%</formatCode>
                  <v>0.0404402131190497</v>
                </pt>
                <pt idx="264">
                  <formatCode>0.00%</formatCode>
                  <v>0.02567643378069305</v>
                </pt>
                <pt idx="265">
                  <formatCode>0.00%</formatCode>
                  <v>0.03902990264255911</v>
                </pt>
                <pt idx="266">
                  <formatCode>0.00%</formatCode>
                  <v>0.04355937350861209</v>
                </pt>
                <pt idx="267">
                  <formatCode>0.00%</formatCode>
                  <v>0.05689888032065525</v>
                </pt>
                <pt idx="268">
                  <formatCode>0.00%</formatCode>
                  <v>0.0667534157449577</v>
                </pt>
                <pt idx="269">
                  <formatCode>0.00%</formatCode>
                  <v>0.07611856095126503</v>
                </pt>
                <pt idx="270">
                  <formatCode>0.00%</formatCode>
                  <v>0.06457010468508667</v>
                </pt>
                <pt idx="271">
                  <formatCode>0.00%</formatCode>
                  <v>0.06852606736751771</v>
                </pt>
                <pt idx="272">
                  <formatCode>0.00%</formatCode>
                  <v>0.05554619015509103</v>
                </pt>
                <pt idx="273">
                  <formatCode>0.00%</formatCode>
                  <v>0.05010306676202095</v>
                </pt>
                <pt idx="274">
                  <formatCode>0.00%</formatCode>
                  <v>0.05434965505636884</v>
                </pt>
                <pt idx="275">
                  <formatCode>0.00%</formatCode>
                  <v>0.05943586299529886</v>
                </pt>
                <pt idx="276">
                  <formatCode>0.00%</formatCode>
                  <v>0.07034668461797375</v>
                </pt>
                <pt idx="277">
                  <formatCode>0.00%</formatCode>
                  <v>0.05617836526395047</v>
                </pt>
                <pt idx="278">
                  <formatCode>0.00%</formatCode>
                  <v>0.07234024861763605</v>
                </pt>
                <pt idx="279">
                  <formatCode>0.00%</formatCode>
                  <v>0.04674553773857125</v>
                </pt>
                <pt idx="280">
                  <formatCode>0.00%</formatCode>
                  <v>0.03065788403675693</v>
                </pt>
                <pt idx="281">
                  <formatCode>0.00%</formatCode>
                  <v>0.02972133725853934</v>
                </pt>
                <pt idx="282">
                  <formatCode>0.00%</formatCode>
                  <v>0.03909241123604562</v>
                </pt>
                <pt idx="283">
                  <formatCode>0.00%</formatCode>
                  <v>0.04228576017990523</v>
                </pt>
                <pt idx="284">
                  <formatCode>0.00%</formatCode>
                  <v>0.04583566238121856</v>
                </pt>
                <pt idx="285">
                  <formatCode>0.00%</formatCode>
                  <v>0.04330582485377774</v>
                </pt>
                <pt idx="286">
                  <formatCode>0.00%</formatCode>
                  <v>0.0457229492499202</v>
                </pt>
                <pt idx="287">
                  <formatCode>0.00%</formatCode>
                  <v>0.0472662440570523</v>
                </pt>
                <pt idx="288">
                  <formatCode>0.00%</formatCode>
                  <v>0.03172169811320755</v>
                </pt>
                <pt idx="289">
                  <formatCode>0.00%</formatCode>
                  <v>0.0609133034971682</v>
                </pt>
                <pt idx="290">
                  <formatCode>0.00%</formatCode>
                  <v>0.03194665219245531</v>
                </pt>
                <pt idx="291">
                  <formatCode>0.00%</formatCode>
                  <v>0.0558421612255346</v>
                </pt>
                <pt idx="292">
                  <formatCode>0.00%</formatCode>
                  <v>0.05420545999684393</v>
                </pt>
                <pt idx="293">
                  <formatCode>0.00%</formatCode>
                  <v>0.05318398997415211</v>
                </pt>
                <pt idx="294">
                  <formatCode>0.00%</formatCode>
                  <v>0.04029787068998953</v>
                </pt>
                <pt idx="295">
                  <formatCode>0.00%</formatCode>
                  <v>0.03051435176266615</v>
                </pt>
                <pt idx="296">
                  <formatCode>0.00%</formatCode>
                  <v>0.01866839734290296</v>
                </pt>
                <pt idx="297">
                  <formatCode>0.00%</formatCode>
                  <v>-0.006066889375263986</v>
                </pt>
                <pt idx="298">
                  <formatCode>0.00%</formatCode>
                  <v>-0.003662724151087371</v>
                </pt>
                <pt idx="299">
                  <formatCode>0.00%</formatCode>
                  <v>-0.009609200620436575</v>
                </pt>
                <pt idx="300">
                  <formatCode>0.00%</formatCode>
                  <v>-0.003314664533089496</v>
                </pt>
                <pt idx="301">
                  <formatCode>0.00%</formatCode>
                  <v>-0.01310337103819017</v>
                </pt>
                <pt idx="302">
                  <formatCode>0.00%</formatCode>
                  <v>-0.001803358755682459</v>
                </pt>
                <pt idx="303">
                  <formatCode>0.00%</formatCode>
                  <v>-0.002088694938644586</v>
                </pt>
                <pt idx="304">
                  <formatCode>0.00%</formatCode>
                  <v>0.001459471596437392</v>
                </pt>
                <pt idx="305">
                  <formatCode>0.00%</formatCode>
                  <v>0.003383905994347761</v>
                </pt>
                <pt idx="306">
                  <formatCode>0.00%</formatCode>
                  <v>0.00738199985086869</v>
                </pt>
                <pt idx="307">
                  <formatCode>0.00%</formatCode>
                  <v>0.02202116125172917</v>
                </pt>
                <pt idx="308">
                  <formatCode>0.00%</formatCode>
                  <v>0.02582168421841622</v>
                </pt>
                <pt idx="309">
                  <formatCode>0.00%</formatCode>
                  <v>0.06501835039598224</v>
                </pt>
                <pt idx="310">
                  <formatCode>0.00%</formatCode>
                  <v>0.06314620510071225</v>
                </pt>
                <pt idx="311">
                  <formatCode>0.00%</formatCode>
                  <v>0.05691584858092364</v>
                </pt>
                <pt idx="312">
                  <formatCode>0.00%</formatCode>
                  <v>0.05775993883792049</v>
                </pt>
                <pt idx="313">
                  <formatCode>0.00%</formatCode>
                  <v>0.04062641852019973</v>
                </pt>
                <pt idx="314">
                  <formatCode>0.00%</formatCode>
                  <v>0.041589822725733</v>
                </pt>
                <pt idx="315">
                  <formatCode>0.00%</formatCode>
                  <v>0.04417865819472996</v>
                </pt>
                <pt idx="316">
                  <formatCode>0.00%</formatCode>
                  <v>0.05784537199656216</v>
                </pt>
                <pt idx="317">
                  <formatCode>0.00%</formatCode>
                  <v>0.04050698587999852</v>
                </pt>
                <pt idx="318">
                  <formatCode>0.00%</formatCode>
                  <v>0.0458179126572909</v>
                </pt>
                <pt idx="319">
                  <formatCode>0.00%</formatCode>
                  <v>0.04378841088674276</v>
                </pt>
                <pt idx="320">
                  <formatCode>0.00%</formatCode>
                  <v>0.03459739880169516</v>
                </pt>
                <pt idx="321">
                  <formatCode>0.00%</formatCode>
                  <v>0.03580237957051654</v>
                </pt>
                <pt idx="322">
                  <formatCode>0.00%</formatCode>
                  <v>0.04732917912329359</v>
                </pt>
                <pt idx="323">
                  <formatCode>0.00%</formatCode>
                  <v>0.009938920813907261</v>
                </pt>
                <pt idx="324">
                  <formatCode>0.00%</formatCode>
                  <v>0.03498247262476961</v>
                </pt>
                <pt idx="325">
                  <formatCode>0.00%</formatCode>
                  <v>0.04529262086513995</v>
                </pt>
                <pt idx="326">
                  <formatCode>0.00%</formatCode>
                  <v>0.03707451037074511</v>
                </pt>
                <pt idx="327">
                  <formatCode>0.00%</formatCode>
                  <v>0.02176325303361134</v>
                </pt>
                <pt idx="328">
                  <formatCode>0.00%</formatCode>
                  <v>0.01324667067010491</v>
                </pt>
                <pt idx="329">
                  <formatCode>0.00%</formatCode>
                  <v>0.01919789143752671</v>
                </pt>
                <pt idx="330">
                  <formatCode>0.00%</formatCode>
                  <v>0.004954349210842948</v>
                </pt>
                <pt idx="331">
                  <formatCode>0.00%</formatCode>
                  <v>-0.004170609469736796</v>
                </pt>
                <pt idx="332">
                  <formatCode>0.00%</formatCode>
                  <v>0.004060877855856493</v>
                </pt>
                <pt idx="333">
                  <formatCode>0.00%</formatCode>
                  <v>0.005708282262300823</v>
                </pt>
                <pt idx="334">
                  <formatCode>0.00%</formatCode>
                  <v>-0.01987825429033256</v>
                </pt>
                <pt idx="335">
                  <formatCode>0.00%</formatCode>
                  <v>0.01485113083309476</v>
                </pt>
                <pt idx="336">
                  <formatCode>0.00%</formatCode>
                  <v>0.008135758930130242</v>
                </pt>
                <pt idx="337">
                  <formatCode>0.00%</formatCode>
                  <v>0.01071080817916261</v>
                </pt>
                <pt idx="338">
                  <formatCode>0.00%</formatCode>
                  <v>0.0624390243902439</v>
                </pt>
                <pt idx="339">
                  <formatCode>0.00%</formatCode>
                  <v>-0.0906288316692941</v>
                </pt>
                <pt idx="340">
                  <formatCode>0.00%</formatCode>
                  <v>-0.08482080602426439</v>
                </pt>
                <pt idx="341">
                  <formatCode>0.00%</formatCode>
                  <v>-0.009750131050148523</v>
                </pt>
                <pt idx="342">
                  <formatCode>0.00%</formatCode>
                  <v>0.04975702514261568</v>
                </pt>
                <pt idx="343">
                  <formatCode>0.00%</formatCode>
                  <v>0.04170479341169846</v>
                </pt>
                <pt idx="344">
                  <formatCode>0.00%</formatCode>
                  <v>0.05409017373566857</v>
                </pt>
                <pt idx="345">
                  <formatCode>0.00%</formatCode>
                  <v>0.04056689184483599</v>
                </pt>
                <pt idx="346">
                  <formatCode>0.00%</formatCode>
                  <v>0.03582581844977017</v>
                </pt>
                <pt idx="347">
                  <formatCode>0.00%</formatCode>
                  <v>0.0553616135970944</v>
                </pt>
                <pt idx="348">
                  <formatCode>0.00%</formatCode>
                  <v>0.04613466334164588</v>
                </pt>
                <pt idx="349">
                  <formatCode>0.00%</formatCode>
                  <v>0.02157308009909166</v>
                </pt>
                <pt idx="350">
                  <formatCode>0.00%</formatCode>
                  <v>0.05211202938475665</v>
                </pt>
                <pt idx="351">
                  <formatCode>0.00%</formatCode>
                  <v>0.2371137992141151</v>
                </pt>
                <pt idx="352">
                  <formatCode>0.00%</formatCode>
                  <v>0.1861643365967011</v>
                </pt>
                <pt idx="353">
                  <formatCode>0.00%</formatCode>
                  <v>0.1490330321852061</v>
                </pt>
                <pt idx="354">
                  <formatCode>0.00%</formatCode>
                  <v>0.08647814565093422</v>
                </pt>
                <pt idx="355">
                  <formatCode>0.00%</formatCode>
                  <v>0.102199398628332</v>
                </pt>
                <pt idx="356">
                  <formatCode>0.00%</formatCode>
                  <v>0.07780595222207394</v>
                </pt>
                <pt idx="357">
                  <formatCode>0.00%</formatCode>
                  <v>0.0659906970518355</v>
                </pt>
                <pt idx="358">
                  <formatCode>0.00%</formatCode>
                  <v>0.07235772357723577</v>
                </pt>
                <pt idx="359">
                  <formatCode>0.00%</formatCode>
                  <v>0.08159310367870627</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Goods'!$B$7:$B$366</f>
              <numCache>
                <formatCode>#,##0</formatCode>
                <ptCount val="360"/>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6501</v>
                </pt>
                <pt idx="217">
                  <v>6412</v>
                </pt>
                <pt idx="218">
                  <v>6522</v>
                </pt>
                <pt idx="219">
                  <v>6416</v>
                </pt>
                <pt idx="220">
                  <v>6496</v>
                </pt>
                <pt idx="221">
                  <v>6497</v>
                </pt>
                <pt idx="222">
                  <v>6488</v>
                </pt>
                <pt idx="223">
                  <v>6446</v>
                </pt>
                <pt idx="224">
                  <v>6462</v>
                </pt>
                <pt idx="225">
                  <v>6571</v>
                </pt>
                <pt idx="226">
                  <v>6775</v>
                </pt>
                <pt idx="227">
                  <v>6584</v>
                </pt>
                <pt idx="228">
                  <v>6565</v>
                </pt>
                <pt idx="229">
                  <v>6611</v>
                </pt>
                <pt idx="230">
                  <v>6559</v>
                </pt>
                <pt idx="231">
                  <v>6615</v>
                </pt>
                <pt idx="232">
                  <v>6542</v>
                </pt>
                <pt idx="233">
                  <v>6578</v>
                </pt>
                <pt idx="234">
                  <v>6421</v>
                </pt>
                <pt idx="235">
                  <v>6661</v>
                </pt>
                <pt idx="236">
                  <v>6693</v>
                </pt>
                <pt idx="237">
                  <v>6589</v>
                </pt>
                <pt idx="238">
                  <v>6594</v>
                </pt>
                <pt idx="239">
                  <v>6353</v>
                </pt>
                <pt idx="240">
                  <v>6575</v>
                </pt>
                <pt idx="241">
                  <v>6667</v>
                </pt>
                <pt idx="242">
                  <v>6815</v>
                </pt>
                <pt idx="243">
                  <v>6843</v>
                </pt>
                <pt idx="244">
                  <v>6862</v>
                </pt>
                <pt idx="245">
                  <v>6804</v>
                </pt>
                <pt idx="246">
                  <v>6775</v>
                </pt>
                <pt idx="247">
                  <v>6750</v>
                </pt>
                <pt idx="248">
                  <v>6706</v>
                </pt>
                <pt idx="249">
                  <v>6749</v>
                </pt>
                <pt idx="250">
                  <v>6700</v>
                </pt>
                <pt idx="251">
                  <v>6820</v>
                </pt>
                <pt idx="252">
                  <v>7010</v>
                </pt>
                <pt idx="253">
                  <v>7009</v>
                </pt>
                <pt idx="254">
                  <v>6891</v>
                </pt>
                <pt idx="255">
                  <v>6795</v>
                </pt>
                <pt idx="256">
                  <v>6857</v>
                </pt>
                <pt idx="257">
                  <v>6893</v>
                </pt>
                <pt idx="258">
                  <v>6938</v>
                </pt>
                <pt idx="259">
                  <v>6764</v>
                </pt>
                <pt idx="260">
                  <v>6876</v>
                </pt>
                <pt idx="261">
                  <v>6863</v>
                </pt>
                <pt idx="262">
                  <v>6903</v>
                </pt>
                <pt idx="263">
                  <v>6870</v>
                </pt>
                <pt idx="264">
                  <v>6485</v>
                </pt>
                <pt idx="265">
                  <v>6798</v>
                </pt>
                <pt idx="266">
                  <v>6794</v>
                </pt>
                <pt idx="267">
                  <v>6903</v>
                </pt>
                <pt idx="268">
                  <v>6877</v>
                </pt>
                <pt idx="269">
                  <v>6952</v>
                </pt>
                <pt idx="270">
                  <v>6928</v>
                </pt>
                <pt idx="271">
                  <v>7166</v>
                </pt>
                <pt idx="272">
                  <v>7061</v>
                </pt>
                <pt idx="273">
                  <v>7157</v>
                </pt>
                <pt idx="274">
                  <v>7137</v>
                </pt>
                <pt idx="275">
                  <v>7074</v>
                </pt>
                <pt idx="276">
                  <v>6951</v>
                </pt>
                <pt idx="277">
                  <v>6985</v>
                </pt>
                <pt idx="278">
                  <v>7076</v>
                </pt>
                <pt idx="279">
                  <v>7082</v>
                </pt>
                <pt idx="280">
                  <v>7123</v>
                </pt>
                <pt idx="281">
                  <v>7094</v>
                </pt>
                <pt idx="282">
                  <v>7140</v>
                </pt>
                <pt idx="283">
                  <v>7170</v>
                </pt>
                <pt idx="284">
                  <v>7197</v>
                </pt>
                <pt idx="285">
                  <v>7106</v>
                </pt>
                <pt idx="286">
                  <v>7213</v>
                </pt>
                <pt idx="287">
                  <v>7353</v>
                </pt>
                <pt idx="288">
                  <v>7303</v>
                </pt>
                <pt idx="289">
                  <v>7296</v>
                </pt>
                <pt idx="290">
                  <v>7280</v>
                </pt>
                <pt idx="291">
                  <v>7213</v>
                </pt>
                <pt idx="292">
                  <v>7261</v>
                </pt>
                <pt idx="293">
                  <v>7562</v>
                </pt>
                <pt idx="294">
                  <v>7216</v>
                </pt>
                <pt idx="295">
                  <v>7039</v>
                </pt>
                <pt idx="296">
                  <v>7058</v>
                </pt>
                <pt idx="297">
                  <v>7084</v>
                </pt>
                <pt idx="298">
                  <v>6961</v>
                </pt>
                <pt idx="299">
                  <v>7075</v>
                </pt>
                <pt idx="300">
                  <v>7227</v>
                </pt>
                <pt idx="301">
                  <v>7051</v>
                </pt>
                <pt idx="302">
                  <v>6964</v>
                </pt>
                <pt idx="303">
                  <v>7028</v>
                </pt>
                <pt idx="304">
                  <v>6948</v>
                </pt>
                <pt idx="305">
                  <v>6945</v>
                </pt>
                <pt idx="306">
                  <v>6841</v>
                </pt>
                <pt idx="307">
                  <v>6913</v>
                </pt>
                <pt idx="308">
                  <v>7002</v>
                </pt>
                <pt idx="309">
                  <v>7031</v>
                </pt>
                <pt idx="310">
                  <v>7144</v>
                </pt>
                <pt idx="311">
                  <v>7059</v>
                </pt>
                <pt idx="312">
                  <v>6879</v>
                </pt>
                <pt idx="313">
                  <v>7163</v>
                </pt>
                <pt idx="314">
                  <v>7237</v>
                </pt>
                <pt idx="315">
                  <v>7127</v>
                </pt>
                <pt idx="316">
                  <v>7138</v>
                </pt>
                <pt idx="317">
                  <v>6919</v>
                </pt>
                <pt idx="318">
                  <v>6673</v>
                </pt>
                <pt idx="319">
                  <v>6608</v>
                </pt>
                <pt idx="320">
                  <v>6503</v>
                </pt>
                <pt idx="321">
                  <v>6501</v>
                </pt>
                <pt idx="322">
                  <v>6579</v>
                </pt>
                <pt idx="323">
                  <v>6398</v>
                </pt>
                <pt idx="324">
                  <v>6541</v>
                </pt>
                <pt idx="325">
                  <v>6594</v>
                </pt>
                <pt idx="326">
                  <v>6632</v>
                </pt>
                <pt idx="327">
                  <v>6775</v>
                </pt>
                <pt idx="328">
                  <v>6815</v>
                </pt>
                <pt idx="329">
                  <v>6892</v>
                </pt>
                <pt idx="330">
                  <v>6785</v>
                </pt>
                <pt idx="331">
                  <v>6775</v>
                </pt>
                <pt idx="332">
                  <v>6823</v>
                </pt>
                <pt idx="333">
                  <v>6846</v>
                </pt>
                <pt idx="334">
                  <v>6633</v>
                </pt>
                <pt idx="335">
                  <v>6702</v>
                </pt>
                <pt idx="336">
                  <v>6759</v>
                </pt>
                <pt idx="337">
                  <v>6769</v>
                </pt>
                <pt idx="338">
                  <v>5642</v>
                </pt>
                <pt idx="339">
                  <v>3771</v>
                </pt>
                <pt idx="340">
                  <v>6680</v>
                </pt>
                <pt idx="341">
                  <v>8552</v>
                </pt>
                <pt idx="342">
                  <v>8108</v>
                </pt>
                <pt idx="343">
                  <v>7526</v>
                </pt>
                <pt idx="344">
                  <v>8127</v>
                </pt>
                <pt idx="345">
                  <v>8026</v>
                </pt>
                <pt idx="346">
                  <v>7887</v>
                </pt>
                <pt idx="347">
                  <v>7737</v>
                </pt>
                <pt idx="348">
                  <v>8579</v>
                </pt>
                <pt idx="349">
                  <v>8030</v>
                </pt>
                <pt idx="350">
                  <v>9931</v>
                </pt>
                <pt idx="351">
                  <v>9749</v>
                </pt>
                <pt idx="352">
                  <v>9583</v>
                </pt>
                <pt idx="353">
                  <v>9449</v>
                </pt>
                <pt idx="354">
                  <v>9256</v>
                </pt>
                <pt idx="355">
                  <v>8910</v>
                </pt>
                <pt idx="356">
                  <v>9277</v>
                </pt>
                <pt idx="357">
                  <v>9341</v>
                </pt>
                <pt idx="358">
                  <v>9464</v>
                </pt>
                <pt idx="359">
                  <v>9140</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Goods'!$D$7:$D$366</f>
              <numCache>
                <formatCode>General</formatCode>
                <ptCount val="360"/>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-0.02402041735475154</v>
                </pt>
                <pt idx="217">
                  <formatCode>0.00%</formatCode>
                  <v>-0.01882172915072686</v>
                </pt>
                <pt idx="218">
                  <formatCode>0.00%</formatCode>
                  <v>0.02547169811320755</v>
                </pt>
                <pt idx="219">
                  <formatCode>0.00%</formatCode>
                  <v>-0.01504451949646914</v>
                </pt>
                <pt idx="220">
                  <formatCode>0.00%</formatCode>
                  <v>0.0066635673330234</v>
                </pt>
                <pt idx="221">
                  <formatCode>0.00%</formatCode>
                  <v>0.003707708944847829</v>
                </pt>
                <pt idx="222">
                  <formatCode>0.00%</formatCode>
                  <v>0.005112316034082106</v>
                </pt>
                <pt idx="223">
                  <formatCode>0.00%</formatCode>
                  <v>-0.02745926372963187</v>
                </pt>
                <pt idx="224">
                  <formatCode>0.00%</formatCode>
                  <v>-0.003392967304133251</v>
                </pt>
                <pt idx="225">
                  <formatCode>0.00%</formatCode>
                  <v>0.02543695380774032</v>
                </pt>
                <pt idx="226">
                  <formatCode>0.00%</formatCode>
                  <v>0.07420326621214524</v>
                </pt>
                <pt idx="227">
                  <formatCode>0.00%</formatCode>
                  <v>0.00935152537176146</v>
                </pt>
                <pt idx="228">
                  <formatCode>0.00%</formatCode>
                  <v>0.009844639286263652</v>
                </pt>
                <pt idx="229">
                  <formatCode>0.00%</formatCode>
                  <v>0.03103555832813475</v>
                </pt>
                <pt idx="230">
                  <formatCode>0.00%</formatCode>
                  <v>0.00567310640907697</v>
                </pt>
                <pt idx="231">
                  <formatCode>0.00%</formatCode>
                  <v>0.03101620947630923</v>
                </pt>
                <pt idx="232">
                  <formatCode>0.00%</formatCode>
                  <v>0.00708128078817734</v>
                </pt>
                <pt idx="233">
                  <formatCode>0.00%</formatCode>
                  <v>0.01246729259658304</v>
                </pt>
                <pt idx="234">
                  <formatCode>0.00%</formatCode>
                  <v>-0.01032675709001233</v>
                </pt>
                <pt idx="235">
                  <formatCode>0.00%</formatCode>
                  <v>0.03335401799565622</v>
                </pt>
                <pt idx="236">
                  <formatCode>0.00%</formatCode>
                  <v>0.03574744661095636</v>
                </pt>
                <pt idx="237">
                  <formatCode>0.00%</formatCode>
                  <v>0.002739309085375133</v>
                </pt>
                <pt idx="238">
                  <formatCode>0.00%</formatCode>
                  <v>-0.02671586715867159</v>
                </pt>
                <pt idx="239">
                  <formatCode>0.00%</formatCode>
                  <v>-0.03508505467800729</v>
                </pt>
                <pt idx="240">
                  <formatCode>0.00%</formatCode>
                  <v>0.001523229246001523</v>
                </pt>
                <pt idx="241">
                  <formatCode>0.00%</formatCode>
                  <v>0.008470730600514294</v>
                </pt>
                <pt idx="242">
                  <formatCode>0.00%</formatCode>
                  <v>0.03903033999085227</v>
                </pt>
                <pt idx="243">
                  <formatCode>0.00%</formatCode>
                  <v>0.03446712018140589</v>
                </pt>
                <pt idx="244">
                  <formatCode>0.00%</formatCode>
                  <v>0.04891470498318557</v>
                </pt>
                <pt idx="245">
                  <formatCode>0.00%</formatCode>
                  <v>0.03435694740042566</v>
                </pt>
                <pt idx="246">
                  <formatCode>0.00%</formatCode>
                  <v>0.05513159943933967</v>
                </pt>
                <pt idx="247">
                  <formatCode>0.00%</formatCode>
                  <v>0.01336135715358054</v>
                </pt>
                <pt idx="248">
                  <formatCode>0.00%</formatCode>
                  <v>0.00194232780516958</v>
                </pt>
                <pt idx="249">
                  <formatCode>0.00%</formatCode>
                  <v>0.02428289573531643</v>
                </pt>
                <pt idx="250">
                  <formatCode>0.00%</formatCode>
                  <v>0.01607521989687595</v>
                </pt>
                <pt idx="251">
                  <formatCode>0.00%</formatCode>
                  <v>0.073508578624272</v>
                </pt>
                <pt idx="252">
                  <formatCode>0.00%</formatCode>
                  <v>0.0661596958174905</v>
                </pt>
                <pt idx="253">
                  <formatCode>0.00%</formatCode>
                  <v>0.05129743512824358</v>
                </pt>
                <pt idx="254">
                  <formatCode>0.00%</formatCode>
                  <v>0.0111518708730741</v>
                </pt>
                <pt idx="255">
                  <formatCode>0.00%</formatCode>
                  <v>-0.007014467338886454</v>
                </pt>
                <pt idx="256">
                  <formatCode>0.00%</formatCode>
                  <v>-0.000728650539201399</v>
                </pt>
                <pt idx="257">
                  <formatCode>0.00%</formatCode>
                  <v>0.01308054085831864</v>
                </pt>
                <pt idx="258">
                  <formatCode>0.00%</formatCode>
                  <v>0.02405904059040591</v>
                </pt>
                <pt idx="259">
                  <formatCode>0.00%</formatCode>
                  <v>0.002074074074074074</v>
                </pt>
                <pt idx="260">
                  <formatCode>0.00%</formatCode>
                  <v>0.02535043244855353</v>
                </pt>
                <pt idx="261">
                  <formatCode>0.00%</formatCode>
                  <v>0.01689139131723218</v>
                </pt>
                <pt idx="262">
                  <formatCode>0.00%</formatCode>
                  <v>0.03029850746268657</v>
                </pt>
                <pt idx="263">
                  <formatCode>0.00%</formatCode>
                  <v>0.007331378299120235</v>
                </pt>
                <pt idx="264">
                  <formatCode>0.00%</formatCode>
                  <v>-0.07489300998573467</v>
                </pt>
                <pt idx="265">
                  <formatCode>0.00%</formatCode>
                  <v>-0.03010415180482237</v>
                </pt>
                <pt idx="266">
                  <formatCode>0.00%</formatCode>
                  <v>-0.01407633144681469</v>
                </pt>
                <pt idx="267">
                  <formatCode>0.00%</formatCode>
                  <v>0.01589403973509934</v>
                </pt>
                <pt idx="268">
                  <formatCode>0.00%</formatCode>
                  <v>0.002916727431821496</v>
                </pt>
                <pt idx="269">
                  <formatCode>0.00%</formatCode>
                  <v>0.008559408095169013</v>
                </pt>
                <pt idx="270">
                  <formatCode>0.00%</formatCode>
                  <v>-0.001441337561256846</v>
                </pt>
                <pt idx="271">
                  <formatCode>0.00%</formatCode>
                  <v>0.05943228858663513</v>
                </pt>
                <pt idx="272">
                  <formatCode>0.00%</formatCode>
                  <v>0.02690517742873764</v>
                </pt>
                <pt idx="273">
                  <formatCode>0.00%</formatCode>
                  <v>0.04283840885909952</v>
                </pt>
                <pt idx="274">
                  <formatCode>0.00%</formatCode>
                  <v>0.03389830508474576</v>
                </pt>
                <pt idx="275">
                  <formatCode>0.00%</formatCode>
                  <v>0.0296943231441048</v>
                </pt>
                <pt idx="276">
                  <formatCode>0.00%</formatCode>
                  <v>0.07185813415574402</v>
                </pt>
                <pt idx="277">
                  <formatCode>0.00%</formatCode>
                  <v>0.02750809061488673</v>
                </pt>
                <pt idx="278">
                  <formatCode>0.00%</formatCode>
                  <v>0.0415072122460995</v>
                </pt>
                <pt idx="279">
                  <formatCode>0.00%</formatCode>
                  <v>0.02593075474431407</v>
                </pt>
                <pt idx="280">
                  <formatCode>0.00%</formatCode>
                  <v>0.03577141195288643</v>
                </pt>
                <pt idx="281">
                  <formatCode>0.00%</formatCode>
                  <v>0.02042577675489068</v>
                </pt>
                <pt idx="282">
                  <formatCode>0.00%</formatCode>
                  <v>0.03060046189376443</v>
                </pt>
                <pt idx="283">
                  <formatCode>0.00%</formatCode>
                  <v>0.0005581914596706671</v>
                </pt>
                <pt idx="284">
                  <formatCode>0.00%</formatCode>
                  <v>0.01926072794221782</v>
                </pt>
                <pt idx="285">
                  <formatCode>0.00%</formatCode>
                  <v>-0.007125890736342043</v>
                </pt>
                <pt idx="286">
                  <formatCode>0.00%</formatCode>
                  <v>0.01064873196020737</v>
                </pt>
                <pt idx="287">
                  <formatCode>0.00%</formatCode>
                  <v>0.03944020356234097</v>
                </pt>
                <pt idx="288">
                  <formatCode>0.00%</formatCode>
                  <v>0.0506401956553014</v>
                </pt>
                <pt idx="289">
                  <formatCode>0.00%</formatCode>
                  <v>0.04452397995705083</v>
                </pt>
                <pt idx="290">
                  <formatCode>0.00%</formatCode>
                  <v>0.02882984737139627</v>
                </pt>
                <pt idx="291">
                  <formatCode>0.00%</formatCode>
                  <v>0.01849759954815024</v>
                </pt>
                <pt idx="292">
                  <formatCode>0.00%</formatCode>
                  <v>0.01937385932893444</v>
                </pt>
                <pt idx="293">
                  <formatCode>0.00%</formatCode>
                  <v>0.06597124330420073</v>
                </pt>
                <pt idx="294">
                  <formatCode>0.00%</formatCode>
                  <v>0.01064425770308123</v>
                </pt>
                <pt idx="295">
                  <formatCode>0.00%</formatCode>
                  <v>-0.01827057182705718</v>
                </pt>
                <pt idx="296">
                  <formatCode>0.00%</formatCode>
                  <v>-0.0193136028900931</v>
                </pt>
                <pt idx="297">
                  <formatCode>0.00%</formatCode>
                  <v>-0.003095975232198143</v>
                </pt>
                <pt idx="298">
                  <formatCode>0.00%</formatCode>
                  <v>-0.03493691945099127</v>
                </pt>
                <pt idx="299">
                  <formatCode>0.00%</formatCode>
                  <v>-0.03780769753841969</v>
                </pt>
                <pt idx="300">
                  <formatCode>0.00%</formatCode>
                  <v>-0.01040668218540326</v>
                </pt>
                <pt idx="301">
                  <formatCode>0.00%</formatCode>
                  <v>-0.03358004385964912</v>
                </pt>
                <pt idx="302">
                  <formatCode>0.00%</formatCode>
                  <v>-0.04340659340659341</v>
                </pt>
                <pt idx="303">
                  <formatCode>0.00%</formatCode>
                  <v>-0.02564813531124359</v>
                </pt>
                <pt idx="304">
                  <formatCode>0.00%</formatCode>
                  <v>-0.04310701005371161</v>
                </pt>
                <pt idx="305">
                  <formatCode>0.00%</formatCode>
                  <v>-0.08159217138323195</v>
                </pt>
                <pt idx="306">
                  <formatCode>0.00%</formatCode>
                  <v>-0.05196784922394679</v>
                </pt>
                <pt idx="307">
                  <formatCode>0.00%</formatCode>
                  <v>-0.01790026992470522</v>
                </pt>
                <pt idx="308">
                  <formatCode>0.00%</formatCode>
                  <v>-0.00793425899688297</v>
                </pt>
                <pt idx="309">
                  <formatCode>0.00%</formatCode>
                  <v>-0.007481648785996612</v>
                </pt>
                <pt idx="310">
                  <formatCode>0.00%</formatCode>
                  <v>0.02628932624622899</v>
                </pt>
                <pt idx="311">
                  <formatCode>0.00%</formatCode>
                  <v>-0.002261484098939929</v>
                </pt>
                <pt idx="312">
                  <formatCode>0.00%</formatCode>
                  <v>-0.04815276048152761</v>
                </pt>
                <pt idx="313">
                  <formatCode>0.00%</formatCode>
                  <v>0.01588427173450574</v>
                </pt>
                <pt idx="314">
                  <formatCode>0.00%</formatCode>
                  <v>0.03920160827110856</v>
                </pt>
                <pt idx="315">
                  <formatCode>0.00%</formatCode>
                  <v>0.01408651109846329</v>
                </pt>
                <pt idx="316">
                  <formatCode>0.00%</formatCode>
                  <v>0.02734599884858952</v>
                </pt>
                <pt idx="317">
                  <formatCode>0.00%</formatCode>
                  <v>-0.003743700503959683</v>
                </pt>
                <pt idx="318">
                  <formatCode>0.00%</formatCode>
                  <v>-0.02455781318520684</v>
                </pt>
                <pt idx="319">
                  <formatCode>0.00%</formatCode>
                  <v>-0.04411977433820338</v>
                </pt>
                <pt idx="320">
                  <formatCode>0.00%</formatCode>
                  <v>-0.07126535275635533</v>
                </pt>
                <pt idx="321">
                  <formatCode>0.00%</formatCode>
                  <v>-0.075380457971839</v>
                </pt>
                <pt idx="322">
                  <formatCode>0.00%</formatCode>
                  <v>-0.07908734602463606</v>
                </pt>
                <pt idx="323">
                  <formatCode>0.00%</formatCode>
                  <v>-0.09363932568352458</v>
                </pt>
                <pt idx="324">
                  <formatCode>0.00%</formatCode>
                  <v>-0.0491350486989388</v>
                </pt>
                <pt idx="325">
                  <formatCode>0.00%</formatCode>
                  <v>-0.0794359905067709</v>
                </pt>
                <pt idx="326">
                  <formatCode>0.00%</formatCode>
                  <v>-0.0835981760397955</v>
                </pt>
                <pt idx="327">
                  <formatCode>0.00%</formatCode>
                  <v>-0.04938964501192648</v>
                </pt>
                <pt idx="328">
                  <formatCode>0.00%</formatCode>
                  <v>-0.04525077052395629</v>
                </pt>
                <pt idx="329">
                  <formatCode>0.00%</formatCode>
                  <v>-0.003902298019945079</v>
                </pt>
                <pt idx="330">
                  <formatCode>0.00%</formatCode>
                  <v>0.01678405514760977</v>
                </pt>
                <pt idx="331">
                  <formatCode>0.00%</formatCode>
                  <v>0.02527239709443099</v>
                </pt>
                <pt idx="332">
                  <formatCode>0.00%</formatCode>
                  <v>0.04920805781946794</v>
                </pt>
                <pt idx="333">
                  <formatCode>0.00%</formatCode>
                  <v>0.053068758652515</v>
                </pt>
                <pt idx="334">
                  <formatCode>0.00%</formatCode>
                  <v>0.008207934336525308</v>
                </pt>
                <pt idx="335">
                  <formatCode>0.00%</formatCode>
                  <v>0.04751484839012191</v>
                </pt>
                <pt idx="336">
                  <formatCode>0.00%</formatCode>
                  <v>0.03332823727258829</v>
                </pt>
                <pt idx="337">
                  <formatCode>0.00%</formatCode>
                  <v>0.02653927813163482</v>
                </pt>
                <pt idx="338">
                  <formatCode>0.00%</formatCode>
                  <v>-0.1492762364294331</v>
                </pt>
                <pt idx="339">
                  <formatCode>0.00%</formatCode>
                  <v>-0.4433948339483395</v>
                </pt>
                <pt idx="340">
                  <formatCode>0.00%</formatCode>
                  <v>-0.0198092443140132</v>
                </pt>
                <pt idx="341">
                  <formatCode>0.00%</formatCode>
                  <v>0.240858966918166</v>
                </pt>
                <pt idx="342">
                  <formatCode>0.00%</formatCode>
                  <v>0.1949889462048637</v>
                </pt>
                <pt idx="343">
                  <formatCode>0.00%</formatCode>
                  <v>0.1108487084870849</v>
                </pt>
                <pt idx="344">
                  <formatCode>0.00%</formatCode>
                  <v>0.1911182764179979</v>
                </pt>
                <pt idx="345">
                  <formatCode>0.00%</formatCode>
                  <v>0.1723634238971662</v>
                </pt>
                <pt idx="346">
                  <formatCode>0.00%</formatCode>
                  <v>0.1890547263681592</v>
                </pt>
                <pt idx="347">
                  <formatCode>0.00%</formatCode>
                  <v>0.1544315129811996</v>
                </pt>
                <pt idx="348">
                  <formatCode>0.00%</formatCode>
                  <v>0.2692706021600829</v>
                </pt>
                <pt idx="349">
                  <formatCode>0.00%</formatCode>
                  <v>0.1862904417196041</v>
                </pt>
                <pt idx="350">
                  <formatCode>0.00%</formatCode>
                  <v>0.760191421481744</v>
                </pt>
                <pt idx="351">
                  <formatCode>0.00%</formatCode>
                  <v>1.5852559002917</v>
                </pt>
                <pt idx="352">
                  <formatCode>0.00%</formatCode>
                  <v>0.4345808383233533</v>
                </pt>
                <pt idx="353">
                  <formatCode>0.00%</formatCode>
                  <v>0.104887745556595</v>
                </pt>
                <pt idx="354">
                  <formatCode>0.00%</formatCode>
                  <v>0.1415885545140602</v>
                </pt>
                <pt idx="355">
                  <formatCode>0.00%</formatCode>
                  <v>0.1838958277969705</v>
                </pt>
                <pt idx="356">
                  <formatCode>0.00%</formatCode>
                  <v>0.1415036298757229</v>
                </pt>
                <pt idx="357">
                  <formatCode>0.00%</formatCode>
                  <v>0.1638425118365313</v>
                </pt>
                <pt idx="358">
                  <formatCode>0.00%</formatCode>
                  <v>0.199949283631292</v>
                </pt>
                <pt idx="359">
                  <formatCode>0.00%</formatCode>
                  <v>0.181336435310844</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Merchandising'!$B$7:$B$366</f>
              <numCache>
                <formatCode>#,##0</formatCode>
                <ptCount val="360"/>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49849</v>
                </pt>
                <pt idx="217">
                  <v>50538</v>
                </pt>
                <pt idx="218">
                  <v>50064</v>
                </pt>
                <pt idx="219">
                  <v>50656</v>
                </pt>
                <pt idx="220">
                  <v>49985</v>
                </pt>
                <pt idx="221">
                  <v>49971</v>
                </pt>
                <pt idx="222">
                  <v>49870</v>
                </pt>
                <pt idx="223">
                  <v>50160</v>
                </pt>
                <pt idx="224">
                  <v>50254</v>
                </pt>
                <pt idx="225">
                  <v>50259</v>
                </pt>
                <pt idx="226">
                  <v>51386</v>
                </pt>
                <pt idx="227">
                  <v>50916</v>
                </pt>
                <pt idx="228">
                  <v>50839</v>
                </pt>
                <pt idx="229">
                  <v>51513</v>
                </pt>
                <pt idx="230">
                  <v>51641</v>
                </pt>
                <pt idx="231">
                  <v>52005</v>
                </pt>
                <pt idx="232">
                  <v>51790</v>
                </pt>
                <pt idx="233">
                  <v>52353</v>
                </pt>
                <pt idx="234">
                  <v>52123</v>
                </pt>
                <pt idx="235">
                  <v>52136</v>
                </pt>
                <pt idx="236">
                  <v>52575</v>
                </pt>
                <pt idx="237">
                  <v>52455</v>
                </pt>
                <pt idx="238">
                  <v>52657</v>
                </pt>
                <pt idx="239">
                  <v>52458</v>
                </pt>
                <pt idx="240">
                  <v>53149</v>
                </pt>
                <pt idx="241">
                  <v>53944</v>
                </pt>
                <pt idx="242">
                  <v>53658</v>
                </pt>
                <pt idx="243">
                  <v>53285</v>
                </pt>
                <pt idx="244">
                  <v>53154</v>
                </pt>
                <pt idx="245">
                  <v>53132</v>
                </pt>
                <pt idx="246">
                  <v>53280</v>
                </pt>
                <pt idx="247">
                  <v>53554</v>
                </pt>
                <pt idx="248">
                  <v>53450</v>
                </pt>
                <pt idx="249">
                  <v>53674</v>
                </pt>
                <pt idx="250">
                  <v>53464</v>
                </pt>
                <pt idx="251">
                  <v>53676</v>
                </pt>
                <pt idx="252">
                  <v>54074</v>
                </pt>
                <pt idx="253">
                  <v>54534</v>
                </pt>
                <pt idx="254">
                  <v>54236</v>
                </pt>
                <pt idx="255">
                  <v>54198</v>
                </pt>
                <pt idx="256">
                  <v>54453</v>
                </pt>
                <pt idx="257">
                  <v>54447</v>
                </pt>
                <pt idx="258">
                  <v>54636</v>
                </pt>
                <pt idx="259">
                  <v>54466</v>
                </pt>
                <pt idx="260">
                  <v>54836</v>
                </pt>
                <pt idx="261">
                  <v>54919</v>
                </pt>
                <pt idx="262">
                  <v>54770</v>
                </pt>
                <pt idx="263">
                  <v>54662</v>
                </pt>
                <pt idx="264">
                  <v>54538</v>
                </pt>
                <pt idx="265">
                  <v>55390</v>
                </pt>
                <pt idx="266">
                  <v>55469</v>
                </pt>
                <pt idx="267">
                  <v>55963</v>
                </pt>
                <pt idx="268">
                  <v>55960</v>
                </pt>
                <pt idx="269">
                  <v>55952</v>
                </pt>
                <pt idx="270">
                  <v>56067</v>
                </pt>
                <pt idx="271">
                  <v>56433</v>
                </pt>
                <pt idx="272">
                  <v>56032</v>
                </pt>
                <pt idx="273">
                  <v>56249</v>
                </pt>
                <pt idx="274">
                  <v>56338</v>
                </pt>
                <pt idx="275">
                  <v>56388</v>
                </pt>
                <pt idx="276">
                  <v>56497</v>
                </pt>
                <pt idx="277">
                  <v>56158</v>
                </pt>
                <pt idx="278">
                  <v>56368</v>
                </pt>
                <pt idx="279">
                  <v>56245</v>
                </pt>
                <pt idx="280">
                  <v>56778</v>
                </pt>
                <pt idx="281">
                  <v>56644</v>
                </pt>
                <pt idx="282">
                  <v>56924</v>
                </pt>
                <pt idx="283">
                  <v>56743</v>
                </pt>
                <pt idx="284">
                  <v>57113</v>
                </pt>
                <pt idx="285">
                  <v>56750</v>
                </pt>
                <pt idx="286">
                  <v>56938</v>
                </pt>
                <pt idx="287">
                  <v>57161</v>
                </pt>
                <pt idx="288">
                  <v>56318</v>
                </pt>
                <pt idx="289">
                  <v>57185</v>
                </pt>
                <pt idx="290">
                  <v>56993</v>
                </pt>
                <pt idx="291">
                  <v>56917</v>
                </pt>
                <pt idx="292">
                  <v>56668</v>
                </pt>
                <pt idx="293">
                  <v>57085</v>
                </pt>
                <pt idx="294">
                  <v>56755</v>
                </pt>
                <pt idx="295">
                  <v>56858</v>
                </pt>
                <pt idx="296">
                  <v>56245</v>
                </pt>
                <pt idx="297">
                  <v>56762</v>
                </pt>
                <pt idx="298">
                  <v>56538</v>
                </pt>
                <pt idx="299">
                  <v>56446</v>
                </pt>
                <pt idx="300">
                  <v>57695</v>
                </pt>
                <pt idx="301">
                  <v>56965</v>
                </pt>
                <pt idx="302">
                  <v>57274</v>
                </pt>
                <pt idx="303">
                  <v>57655</v>
                </pt>
                <pt idx="304">
                  <v>56600</v>
                </pt>
                <pt idx="305">
                  <v>57767</v>
                </pt>
                <pt idx="306">
                  <v>57438</v>
                </pt>
                <pt idx="307">
                  <v>57654</v>
                </pt>
                <pt idx="308">
                  <v>58294</v>
                </pt>
                <pt idx="309">
                  <v>57996</v>
                </pt>
                <pt idx="310">
                  <v>58065</v>
                </pt>
                <pt idx="311">
                  <v>58591</v>
                </pt>
                <pt idx="312">
                  <v>58607</v>
                </pt>
                <pt idx="313">
                  <v>58670</v>
                </pt>
                <pt idx="314">
                  <v>58081</v>
                </pt>
                <pt idx="315">
                  <v>58423</v>
                </pt>
                <pt idx="316">
                  <v>59682</v>
                </pt>
                <pt idx="317">
                  <v>58687</v>
                </pt>
                <pt idx="318">
                  <v>58966</v>
                </pt>
                <pt idx="319">
                  <v>59202</v>
                </pt>
                <pt idx="320">
                  <v>58992</v>
                </pt>
                <pt idx="321">
                  <v>59355</v>
                </pt>
                <pt idx="322">
                  <v>59962</v>
                </pt>
                <pt idx="323">
                  <v>59257</v>
                </pt>
                <pt idx="324">
                  <v>59432</v>
                </pt>
                <pt idx="325">
                  <v>58756</v>
                </pt>
                <pt idx="326">
                  <v>59647</v>
                </pt>
                <pt idx="327">
                  <v>60161</v>
                </pt>
                <pt idx="328">
                  <v>59648</v>
                </pt>
                <pt idx="329">
                  <v>59693</v>
                </pt>
                <pt idx="330">
                  <v>60138</v>
                </pt>
                <pt idx="331">
                  <v>60073</v>
                </pt>
                <pt idx="332">
                  <v>59589</v>
                </pt>
                <pt idx="333">
                  <v>59869</v>
                </pt>
                <pt idx="334">
                  <v>59958</v>
                </pt>
                <pt idx="335">
                  <v>60259</v>
                </pt>
                <pt idx="336">
                  <v>60594</v>
                </pt>
                <pt idx="337">
                  <v>60699</v>
                </pt>
                <pt idx="338">
                  <v>65710</v>
                </pt>
                <pt idx="339">
                  <v>57089</v>
                </pt>
                <pt idx="340">
                  <v>61069</v>
                </pt>
                <pt idx="341">
                  <v>62024</v>
                </pt>
                <pt idx="342">
                  <v>61745</v>
                </pt>
                <pt idx="343">
                  <v>61180</v>
                </pt>
                <pt idx="344">
                  <v>63602</v>
                </pt>
                <pt idx="345">
                  <v>62700</v>
                </pt>
                <pt idx="346">
                  <v>61864</v>
                </pt>
                <pt idx="347">
                  <v>60777</v>
                </pt>
                <pt idx="348">
                  <v>66933</v>
                </pt>
                <pt idx="349">
                  <v>62909</v>
                </pt>
                <pt idx="350">
                  <v>71164</v>
                </pt>
                <pt idx="351">
                  <v>69437</v>
                </pt>
                <pt idx="352">
                  <v>67394</v>
                </pt>
                <pt idx="353">
                  <v>68999</v>
                </pt>
                <pt idx="354">
                  <v>68273</v>
                </pt>
                <pt idx="355">
                  <v>70665</v>
                </pt>
                <pt idx="356">
                  <v>70474</v>
                </pt>
                <pt idx="357">
                  <v>71506</v>
                </pt>
                <pt idx="358">
                  <v>70654</v>
                </pt>
                <pt idx="359">
                  <v>69639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Merchandising'!$D$7:$D$366</f>
              <numCache>
                <formatCode>General</formatCode>
                <ptCount val="360"/>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0.01138208083103392</v>
                </pt>
                <pt idx="217">
                  <formatCode>0.00%</formatCode>
                  <v>0.02721600032520986</v>
                </pt>
                <pt idx="218">
                  <formatCode>0.00%</formatCode>
                  <v>0.02506142506142506</v>
                </pt>
                <pt idx="219">
                  <formatCode>0.00%</formatCode>
                  <v>0.03618548898480169</v>
                </pt>
                <pt idx="220">
                  <formatCode>0.00%</formatCode>
                  <v>0.01833554038912091</v>
                </pt>
                <pt idx="221">
                  <formatCode>0.00%</formatCode>
                  <v>0.02416379734382686</v>
                </pt>
                <pt idx="222">
                  <formatCode>0.00%</formatCode>
                  <v>0.02167499795132345</v>
                </pt>
                <pt idx="223">
                  <formatCode>0.00%</formatCode>
                  <v>0.02505415457555074</v>
                </pt>
                <pt idx="224">
                  <formatCode>0.00%</formatCode>
                  <v>0.021007720438846</v>
                </pt>
                <pt idx="225">
                  <formatCode>0.00%</formatCode>
                  <v>0.01073906485671192</v>
                </pt>
                <pt idx="226">
                  <formatCode>0.00%</formatCode>
                  <v>0.04536577426967207</v>
                </pt>
                <pt idx="227">
                  <formatCode>0.00%</formatCode>
                  <v>0.02535392794570755</v>
                </pt>
                <pt idx="228">
                  <formatCode>0.00%</formatCode>
                  <v>0.01985997713093543</v>
                </pt>
                <pt idx="229">
                  <formatCode>0.00%</formatCode>
                  <v>0.01929241362934821</v>
                </pt>
                <pt idx="230">
                  <formatCode>0.00%</formatCode>
                  <v>0.03149968040907638</v>
                </pt>
                <pt idx="231">
                  <formatCode>0.00%</formatCode>
                  <v>0.02663060644346178</v>
                </pt>
                <pt idx="232">
                  <formatCode>0.00%</formatCode>
                  <v>0.03611083324997499</v>
                </pt>
                <pt idx="233">
                  <formatCode>0.00%</formatCode>
                  <v>0.04766764723539653</v>
                </pt>
                <pt idx="234">
                  <formatCode>0.00%</formatCode>
                  <v>0.04517746139963906</v>
                </pt>
                <pt idx="235">
                  <formatCode>0.00%</formatCode>
                  <v>0.03939393939393939</v>
                </pt>
                <pt idx="236">
                  <formatCode>0.00%</formatCode>
                  <v>0.04618537827834601</v>
                </pt>
                <pt idx="237">
                  <formatCode>0.00%</formatCode>
                  <v>0.04369366680594521</v>
                </pt>
                <pt idx="238">
                  <formatCode>0.00%</formatCode>
                  <v>0.02473436344529639</v>
                </pt>
                <pt idx="239">
                  <formatCode>0.00%</formatCode>
                  <v>0.03028517558331369</v>
                </pt>
                <pt idx="240">
                  <formatCode>0.00%</formatCode>
                  <v>0.04543755778044415</v>
                </pt>
                <pt idx="241">
                  <formatCode>0.00%</formatCode>
                  <v>0.04719197095878711</v>
                </pt>
                <pt idx="242">
                  <formatCode>0.00%</formatCode>
                  <v>0.03905811273987723</v>
                </pt>
                <pt idx="243">
                  <formatCode>0.00%</formatCode>
                  <v>0.02461301797904048</v>
                </pt>
                <pt idx="244">
                  <formatCode>0.00%</formatCode>
                  <v>0.02633713072021626</v>
                </pt>
                <pt idx="245">
                  <formatCode>0.00%</formatCode>
                  <v>0.01487975856206903</v>
                </pt>
                <pt idx="246">
                  <formatCode>0.00%</formatCode>
                  <v>0.02219749438827389</v>
                </pt>
                <pt idx="247">
                  <formatCode>0.00%</formatCode>
                  <v>0.02719809728402639</v>
                </pt>
                <pt idx="248">
                  <formatCode>0.00%</formatCode>
                  <v>0.01664289110794104</v>
                </pt>
                <pt idx="249">
                  <formatCode>0.00%</formatCode>
                  <v>0.02323896673339053</v>
                </pt>
                <pt idx="250">
                  <formatCode>0.00%</formatCode>
                  <v>0.01532559773629337</v>
                </pt>
                <pt idx="251">
                  <formatCode>0.00%</formatCode>
                  <v>0.02321857485988791</v>
                </pt>
                <pt idx="252">
                  <formatCode>0.00%</formatCode>
                  <v>0.017403902237107</v>
                </pt>
                <pt idx="253">
                  <formatCode>0.00%</formatCode>
                  <v>0.01093726827821444</v>
                </pt>
                <pt idx="254">
                  <formatCode>0.00%</formatCode>
                  <v>0.01077192590107719</v>
                </pt>
                <pt idx="255">
                  <formatCode>0.00%</formatCode>
                  <v>0.01713427793938256</v>
                </pt>
                <pt idx="256">
                  <formatCode>0.00%</formatCode>
                  <v>0.02443842420137713</v>
                </pt>
                <pt idx="257">
                  <formatCode>0.00%</formatCode>
                  <v>0.02474968004215915</v>
                </pt>
                <pt idx="258">
                  <formatCode>0.00%</formatCode>
                  <v>0.02545045045045045</v>
                </pt>
                <pt idx="259">
                  <formatCode>0.00%</formatCode>
                  <v>0.01702954027710349</v>
                </pt>
                <pt idx="260">
                  <formatCode>0.00%</formatCode>
                  <v>0.02593077642656689</v>
                </pt>
                <pt idx="261">
                  <formatCode>0.00%</formatCode>
                  <v>0.02319558818049708</v>
                </pt>
                <pt idx="262">
                  <formatCode>0.00%</formatCode>
                  <v>0.02442765225198264</v>
                </pt>
                <pt idx="263">
                  <formatCode>0.00%</formatCode>
                  <v>0.01836947611595499</v>
                </pt>
                <pt idx="264">
                  <formatCode>0.00%</formatCode>
                  <v>0.008580833672374893</v>
                </pt>
                <pt idx="265">
                  <formatCode>0.00%</formatCode>
                  <v>0.0156966296255547</v>
                </pt>
                <pt idx="266">
                  <formatCode>0.00%</formatCode>
                  <v>0.02273397743196401</v>
                </pt>
                <pt idx="267">
                  <formatCode>0.00%</formatCode>
                  <v>0.03256577733495701</v>
                </pt>
                <pt idx="268">
                  <formatCode>0.00%</formatCode>
                  <v>0.02767524286999798</v>
                </pt>
                <pt idx="269">
                  <formatCode>0.00%</formatCode>
                  <v>0.02764155968189248</v>
                </pt>
                <pt idx="270">
                  <formatCode>0.00%</formatCode>
                  <v>0.02619152207335822</v>
                </pt>
                <pt idx="271">
                  <formatCode>0.00%</formatCode>
                  <v>0.03611427312451805</v>
                </pt>
                <pt idx="272">
                  <formatCode>0.00%</formatCode>
                  <v>0.02181048945947918</v>
                </pt>
                <pt idx="273">
                  <formatCode>0.00%</formatCode>
                  <v>0.02421748393088002</v>
                </pt>
                <pt idx="274">
                  <formatCode>0.00%</formatCode>
                  <v>0.02862881139309841</v>
                </pt>
                <pt idx="275">
                  <formatCode>0.00%</formatCode>
                  <v>0.03157586623248326</v>
                </pt>
                <pt idx="276">
                  <formatCode>0.00%</formatCode>
                  <v>0.03591990905423741</v>
                </pt>
                <pt idx="277">
                  <formatCode>0.00%</formatCode>
                  <v>0.01386531864957573</v>
                </pt>
                <pt idx="278">
                  <formatCode>0.00%</formatCode>
                  <v>0.01620725089689736</v>
                </pt>
                <pt idx="279">
                  <formatCode>0.00%</formatCode>
                  <v>0.005039043653842718</v>
                </pt>
                <pt idx="280">
                  <formatCode>0.00%</formatCode>
                  <v>0.01461758398856326</v>
                </pt>
                <pt idx="281">
                  <formatCode>0.00%</formatCode>
                  <v>0.01236774378038319</v>
                </pt>
                <pt idx="282">
                  <formatCode>0.00%</formatCode>
                  <v>0.01528528367845613</v>
                </pt>
                <pt idx="283">
                  <formatCode>0.00%</formatCode>
                  <v>0.005493239771055943</v>
                </pt>
                <pt idx="284">
                  <formatCode>0.00%</formatCode>
                  <v>0.01929254711593375</v>
                </pt>
                <pt idx="285">
                  <formatCode>0.00%</formatCode>
                  <v>0.008906825010222405</v>
                </pt>
                <pt idx="286">
                  <formatCode>0.00%</formatCode>
                  <v>0.01065000532500266</v>
                </pt>
                <pt idx="287">
                  <formatCode>0.00%</formatCode>
                  <v>0.01370859048024402</v>
                </pt>
                <pt idx="288">
                  <formatCode>0.00%</formatCode>
                  <v>-0.003168309821760447</v>
                </pt>
                <pt idx="289">
                  <formatCode>0.00%</formatCode>
                  <v>0.01828768830798818</v>
                </pt>
                <pt idx="290">
                  <formatCode>0.00%</formatCode>
                  <v>0.01108785126312802</v>
                </pt>
                <pt idx="291">
                  <formatCode>0.00%</formatCode>
                  <v>0.0119477286869944</v>
                </pt>
                <pt idx="292">
                  <formatCode>0.00%</formatCode>
                  <v>-0.001937370108140477</v>
                </pt>
                <pt idx="293">
                  <formatCode>0.00%</formatCode>
                  <v>0.007785467128027681</v>
                </pt>
                <pt idx="294">
                  <formatCode>0.00%</formatCode>
                  <v>-0.002968870775068513</v>
                </pt>
                <pt idx="295">
                  <formatCode>0.00%</formatCode>
                  <v>0.002026681705232364</v>
                </pt>
                <pt idx="296">
                  <formatCode>0.00%</formatCode>
                  <v>-0.01519794092413286</v>
                </pt>
                <pt idx="297">
                  <formatCode>0.00%</formatCode>
                  <v>0.0002114537444933921</v>
                </pt>
                <pt idx="298">
                  <formatCode>0.00%</formatCode>
                  <v>-0.007025185289262004</v>
                </pt>
                <pt idx="299">
                  <formatCode>0.00%</formatCode>
                  <v>-0.01250852854218786</v>
                </pt>
                <pt idx="300">
                  <formatCode>0.00%</formatCode>
                  <v>0.02445044213217799</v>
                </pt>
                <pt idx="301">
                  <formatCode>0.00%</formatCode>
                  <v>-0.003847162717495847</v>
                </pt>
                <pt idx="302">
                  <formatCode>0.00%</formatCode>
                  <v>0.004930430052813503</v>
                </pt>
                <pt idx="303">
                  <formatCode>0.00%</formatCode>
                  <v>0.01296624909956604</v>
                </pt>
                <pt idx="304">
                  <formatCode>0.00%</formatCode>
                  <v>-0.001199971765370227</v>
                </pt>
                <pt idx="305">
                  <formatCode>0.00%</formatCode>
                  <v>0.01194709643514058</v>
                </pt>
                <pt idx="306">
                  <formatCode>0.00%</formatCode>
                  <v>0.01203418201039556</v>
                </pt>
                <pt idx="307">
                  <formatCode>0.00%</formatCode>
                  <v>0.01399978894790531</v>
                </pt>
                <pt idx="308">
                  <formatCode>0.00%</formatCode>
                  <v>0.03642990488043382</v>
                </pt>
                <pt idx="309">
                  <formatCode>0.00%</formatCode>
                  <v>0.02173989640956978</v>
                </pt>
                <pt idx="310">
                  <formatCode>0.00%</formatCode>
                  <v>0.0270083837419081</v>
                </pt>
                <pt idx="311">
                  <formatCode>0.00%</formatCode>
                  <v>0.03800092123445417</v>
                </pt>
                <pt idx="312">
                  <formatCode>0.00%</formatCode>
                  <v>0.01580726232775804</v>
                </pt>
                <pt idx="313">
                  <formatCode>0.00%</formatCode>
                  <v>0.02993065917668744</v>
                </pt>
                <pt idx="314">
                  <formatCode>0.00%</formatCode>
                  <v>0.01409016307574117</v>
                </pt>
                <pt idx="315">
                  <formatCode>0.00%</formatCode>
                  <v>0.01332061399705143</v>
                </pt>
                <pt idx="316">
                  <formatCode>0.00%</formatCode>
                  <v>0.05445229681978798</v>
                </pt>
                <pt idx="317">
                  <formatCode>0.00%</formatCode>
                  <v>0.01592604774352139</v>
                </pt>
                <pt idx="318">
                  <formatCode>0.00%</formatCode>
                  <v>0.02660259758348132</v>
                </pt>
                <pt idx="319">
                  <formatCode>0.00%</formatCode>
                  <v>0.02684982828598189</v>
                </pt>
                <pt idx="320">
                  <formatCode>0.00%</formatCode>
                  <v>0.0119737880399355</v>
                </pt>
                <pt idx="321">
                  <formatCode>0.00%</formatCode>
                  <v>0.02343265052762259</v>
                </pt>
                <pt idx="322">
                  <formatCode>0.00%</formatCode>
                  <v>0.03267028330319469</v>
                </pt>
                <pt idx="323">
                  <formatCode>0.00%</formatCode>
                  <v>0.01136693348807837</v>
                </pt>
                <pt idx="324">
                  <formatCode>0.00%</formatCode>
                  <v>0.01407681676250277</v>
                </pt>
                <pt idx="325">
                  <formatCode>0.00%</formatCode>
                  <v>0.001465825805351969</v>
                </pt>
                <pt idx="326">
                  <formatCode>0.00%</formatCode>
                  <v>0.02696234568964033</v>
                </pt>
                <pt idx="327">
                  <formatCode>0.00%</formatCode>
                  <v>0.02974855793095185</v>
                </pt>
                <pt idx="328">
                  <formatCode>0.00%</formatCode>
                  <v>-0.0005696860024798097</v>
                </pt>
                <pt idx="329">
                  <formatCode>0.00%</formatCode>
                  <v>0.01714178608550446</v>
                </pt>
                <pt idx="330">
                  <formatCode>0.00%</formatCode>
                  <v>0.01987586066546823</v>
                </pt>
                <pt idx="331">
                  <formatCode>0.00%</formatCode>
                  <v>0.01471234079929732</v>
                </pt>
                <pt idx="332">
                  <formatCode>0.00%</formatCode>
                  <v>0.010120016273393</v>
                </pt>
                <pt idx="333">
                  <formatCode>0.00%</formatCode>
                  <v>0.008659759076741639</v>
                </pt>
                <pt idx="334">
                  <formatCode>0.00%</formatCode>
                  <v>-6.670891564657616e-05</v>
                </pt>
                <pt idx="335">
                  <formatCode>0.00%</formatCode>
                  <v>0.01690939467067182</v>
                </pt>
                <pt idx="336">
                  <formatCode>0.00%</formatCode>
                  <v>0.01955175662942522</v>
                </pt>
                <pt idx="337">
                  <formatCode>0.00%</formatCode>
                  <v>0.03306896316971884</v>
                </pt>
                <pt idx="338">
                  <formatCode>0.00%</formatCode>
                  <v>0.1016480292386876</v>
                </pt>
                <pt idx="339">
                  <formatCode>0.00%</formatCode>
                  <v>-0.0510629810009807</v>
                </pt>
                <pt idx="340">
                  <formatCode>0.00%</formatCode>
                  <v>0.02382309549356223</v>
                </pt>
                <pt idx="341">
                  <formatCode>0.00%</formatCode>
                  <v>0.03904980483473774</v>
                </pt>
                <pt idx="342">
                  <formatCode>0.00%</formatCode>
                  <v>0.02672187302537497</v>
                </pt>
                <pt idx="343">
                  <formatCode>0.00%</formatCode>
                  <v>0.01842757977793684</v>
                </pt>
                <pt idx="344">
                  <formatCode>0.00%</formatCode>
                  <v>0.06734464414573159</v>
                </pt>
                <pt idx="345">
                  <formatCode>0.00%</formatCode>
                  <v>0.04728657569025706</v>
                </pt>
                <pt idx="346">
                  <formatCode>0.00%</formatCode>
                  <v>0.0317889189099036</v>
                </pt>
                <pt idx="347">
                  <formatCode>0.00%</formatCode>
                  <v>0.008596226289848819</v>
                </pt>
                <pt idx="348">
                  <formatCode>0.00%</formatCode>
                  <v>0.1046143182493316</v>
                </pt>
                <pt idx="349">
                  <formatCode>0.00%</formatCode>
                  <v>0.03640916654310615</v>
                </pt>
                <pt idx="350">
                  <formatCode>0.00%</formatCode>
                  <v>0.08300106528686653</v>
                </pt>
                <pt idx="351">
                  <formatCode>0.00%</formatCode>
                  <v>0.216293856960185</v>
                </pt>
                <pt idx="352">
                  <formatCode>0.00%</formatCode>
                  <v>0.1035713700895708</v>
                </pt>
                <pt idx="353">
                  <formatCode>0.00%</formatCode>
                  <v>0.1124564684638205</v>
                </pt>
                <pt idx="354">
                  <formatCode>0.00%</formatCode>
                  <v>0.1057251599319783</v>
                </pt>
                <pt idx="355">
                  <formatCode>0.00%</formatCode>
                  <v>0.1550343249427918</v>
                </pt>
                <pt idx="356">
                  <formatCode>0.00%</formatCode>
                  <v>0.1080469167636238</v>
                </pt>
                <pt idx="357">
                  <formatCode>0.00%</formatCode>
                  <v>0.1404465709728868</v>
                </pt>
                <pt idx="358">
                  <formatCode>0.00%</formatCode>
                  <v>0.1420858657700763</v>
                </pt>
                <pt idx="359">
                  <formatCode>0.00%</formatCode>
                  <v>0.1458117379929908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Services'!$B$7:$B$366</f>
              <numCache>
                <formatCode>#,##0</formatCode>
                <ptCount val="360"/>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37660</v>
                </pt>
                <pt idx="217">
                  <v>38267</v>
                </pt>
                <pt idx="218">
                  <v>38376</v>
                </pt>
                <pt idx="219">
                  <v>38658</v>
                </pt>
                <pt idx="220">
                  <v>38695</v>
                </pt>
                <pt idx="221">
                  <v>38838</v>
                </pt>
                <pt idx="222">
                  <v>39033</v>
                </pt>
                <pt idx="223">
                  <v>39402</v>
                </pt>
                <pt idx="224">
                  <v>39385</v>
                </pt>
                <pt idx="225">
                  <v>39440</v>
                </pt>
                <pt idx="226">
                  <v>39710</v>
                </pt>
                <pt idx="227">
                  <v>39508</v>
                </pt>
                <pt idx="228">
                  <v>39700</v>
                </pt>
                <pt idx="229">
                  <v>40382</v>
                </pt>
                <pt idx="230">
                  <v>40575</v>
                </pt>
                <pt idx="231">
                  <v>40624</v>
                </pt>
                <pt idx="232">
                  <v>41050</v>
                </pt>
                <pt idx="233">
                  <v>41540</v>
                </pt>
                <pt idx="234">
                  <v>41516</v>
                </pt>
                <pt idx="235">
                  <v>41718</v>
                </pt>
                <pt idx="236">
                  <v>42013</v>
                </pt>
                <pt idx="237">
                  <v>42162</v>
                </pt>
                <pt idx="238">
                  <v>42237</v>
                </pt>
                <pt idx="239">
                  <v>41864</v>
                </pt>
                <pt idx="240">
                  <v>42858</v>
                </pt>
                <pt idx="241">
                  <v>42950</v>
                </pt>
                <pt idx="242">
                  <v>42942</v>
                </pt>
                <pt idx="243">
                  <v>43365</v>
                </pt>
                <pt idx="244">
                  <v>43313</v>
                </pt>
                <pt idx="245">
                  <v>43542</v>
                </pt>
                <pt idx="246">
                  <v>43676</v>
                </pt>
                <pt idx="247">
                  <v>43712</v>
                </pt>
                <pt idx="248">
                  <v>44085</v>
                </pt>
                <pt idx="249">
                  <v>43708</v>
                </pt>
                <pt idx="250">
                  <v>44520</v>
                </pt>
                <pt idx="251">
                  <v>44538</v>
                </pt>
                <pt idx="252">
                  <v>45146</v>
                </pt>
                <pt idx="253">
                  <v>44868</v>
                </pt>
                <pt idx="254">
                  <v>45011</v>
                </pt>
                <pt idx="255">
                  <v>44723</v>
                </pt>
                <pt idx="256">
                  <v>44816</v>
                </pt>
                <pt idx="257">
                  <v>44701</v>
                </pt>
                <pt idx="258">
                  <v>45050</v>
                </pt>
                <pt idx="259">
                  <v>45155</v>
                </pt>
                <pt idx="260">
                  <v>45344</v>
                </pt>
                <pt idx="261">
                  <v>45936</v>
                </pt>
                <pt idx="262">
                  <v>46744</v>
                </pt>
                <pt idx="263">
                  <v>46330</v>
                </pt>
                <pt idx="264">
                  <v>45914</v>
                </pt>
                <pt idx="265">
                  <v>46424</v>
                </pt>
                <pt idx="266">
                  <v>47057</v>
                </pt>
                <pt idx="267">
                  <v>47137</v>
                </pt>
                <pt idx="268">
                  <v>47540</v>
                </pt>
                <pt idx="269">
                  <v>47710</v>
                </pt>
                <pt idx="270">
                  <v>48083</v>
                </pt>
                <pt idx="271">
                  <v>48375</v>
                </pt>
                <pt idx="272">
                  <v>48982</v>
                </pt>
                <pt idx="273">
                  <v>49658</v>
                </pt>
                <pt idx="274">
                  <v>49731</v>
                </pt>
                <pt idx="275">
                  <v>50508</v>
                </pt>
                <pt idx="276">
                  <v>50834</v>
                </pt>
                <pt idx="277">
                  <v>50690</v>
                </pt>
                <pt idx="278">
                  <v>51067</v>
                </pt>
                <pt idx="279">
                  <v>51739</v>
                </pt>
                <pt idx="280">
                  <v>51811</v>
                </pt>
                <pt idx="281">
                  <v>51879</v>
                </pt>
                <pt idx="282">
                  <v>52157</v>
                </pt>
                <pt idx="283">
                  <v>52416</v>
                </pt>
                <pt idx="284">
                  <v>52387</v>
                </pt>
                <pt idx="285">
                  <v>52759</v>
                </pt>
                <pt idx="286">
                  <v>52881</v>
                </pt>
                <pt idx="287">
                  <v>53740</v>
                </pt>
                <pt idx="288">
                  <v>53045</v>
                </pt>
                <pt idx="289">
                  <v>54237</v>
                </pt>
                <pt idx="290">
                  <v>53919</v>
                </pt>
                <pt idx="291">
                  <v>54240</v>
                </pt>
                <pt idx="292">
                  <v>54300</v>
                </pt>
                <pt idx="293">
                  <v>54296</v>
                </pt>
                <pt idx="294">
                  <v>54330</v>
                </pt>
                <pt idx="295">
                  <v>54803</v>
                </pt>
                <pt idx="296">
                  <v>55366</v>
                </pt>
                <pt idx="297">
                  <v>55375</v>
                </pt>
                <pt idx="298">
                  <v>56346</v>
                </pt>
                <pt idx="299">
                  <v>55451</v>
                </pt>
                <pt idx="300">
                  <v>57403</v>
                </pt>
                <pt idx="301">
                  <v>57492</v>
                </pt>
                <pt idx="302">
                  <v>57379</v>
                </pt>
                <pt idx="303">
                  <v>57474</v>
                </pt>
                <pt idx="304">
                  <v>57470</v>
                </pt>
                <pt idx="305">
                  <v>57263</v>
                </pt>
                <pt idx="306">
                  <v>57215</v>
                </pt>
                <pt idx="307">
                  <v>57524</v>
                </pt>
                <pt idx="308">
                  <v>57884</v>
                </pt>
                <pt idx="309">
                  <v>58126</v>
                </pt>
                <pt idx="310">
                  <v>58849</v>
                </pt>
                <pt idx="311">
                  <v>59119</v>
                </pt>
                <pt idx="312">
                  <v>59344</v>
                </pt>
                <pt idx="313">
                  <v>59653</v>
                </pt>
                <pt idx="314">
                  <v>60141</v>
                </pt>
                <pt idx="315">
                  <v>59415</v>
                </pt>
                <pt idx="316">
                  <v>60723</v>
                </pt>
                <pt idx="317">
                  <v>61440</v>
                </pt>
                <pt idx="318">
                  <v>62259</v>
                </pt>
                <pt idx="319">
                  <v>62635</v>
                </pt>
                <pt idx="320">
                  <v>61377</v>
                </pt>
                <pt idx="321">
                  <v>61972</v>
                </pt>
                <pt idx="322">
                  <v>61731</v>
                </pt>
                <pt idx="323">
                  <v>61790</v>
                </pt>
                <pt idx="324">
                  <v>61973</v>
                </pt>
                <pt idx="325">
                  <v>62631</v>
                </pt>
                <pt idx="326">
                  <v>63153</v>
                </pt>
                <pt idx="327">
                  <v>63617</v>
                </pt>
                <pt idx="328">
                  <v>64318</v>
                </pt>
                <pt idx="329">
                  <v>64984</v>
                </pt>
                <pt idx="330">
                  <v>65435</v>
                </pt>
                <pt idx="331">
                  <v>65333</v>
                </pt>
                <pt idx="332">
                  <v>65756</v>
                </pt>
                <pt idx="333">
                  <v>65628</v>
                </pt>
                <pt idx="334">
                  <v>65147</v>
                </pt>
                <pt idx="335">
                  <v>65807</v>
                </pt>
                <pt idx="336">
                  <v>66344</v>
                </pt>
                <pt idx="337">
                  <v>66200</v>
                </pt>
                <pt idx="338">
                  <v>46126</v>
                </pt>
                <pt idx="339">
                  <v>29927</v>
                </pt>
                <pt idx="340">
                  <v>39664</v>
                </pt>
                <pt idx="341">
                  <v>50464</v>
                </pt>
                <pt idx="342">
                  <v>52214</v>
                </pt>
                <pt idx="343">
                  <v>54558</v>
                </pt>
                <pt idx="344">
                  <v>55800</v>
                </pt>
                <pt idx="345">
                  <v>55992</v>
                </pt>
                <pt idx="346">
                  <v>53647</v>
                </pt>
                <pt idx="347">
                  <v>51190</v>
                </pt>
                <pt idx="348">
                  <v>56304</v>
                </pt>
                <pt idx="349">
                  <v>55512</v>
                </pt>
                <pt idx="350">
                  <v>63248</v>
                </pt>
                <pt idx="351">
                  <v>66482</v>
                </pt>
                <pt idx="352">
                  <v>69338</v>
                </pt>
                <pt idx="353">
                  <v>71017</v>
                </pt>
                <pt idx="354">
                  <v>72059</v>
                </pt>
                <pt idx="355">
                  <v>72090</v>
                </pt>
                <pt idx="356">
                  <v>72766</v>
                </pt>
                <pt idx="357">
                  <v>72990</v>
                </pt>
                <pt idx="358">
                  <v>73731</v>
                </pt>
                <pt idx="359">
                  <v>72531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Services'!$D$7:$D$366</f>
              <numCache>
                <formatCode>General</formatCode>
                <ptCount val="360"/>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-0.01557925554161439</v>
                </pt>
                <pt idx="217">
                  <formatCode>0.00%</formatCode>
                  <v>0.008485966530504678</v>
                </pt>
                <pt idx="218">
                  <formatCode>0.00%</formatCode>
                  <v>0.0248083958661575</v>
                </pt>
                <pt idx="219">
                  <formatCode>0.00%</formatCode>
                  <v>0.02437861041920611</v>
                </pt>
                <pt idx="220">
                  <formatCode>0.00%</formatCode>
                  <v>0.02489736458747186</v>
                </pt>
                <pt idx="221">
                  <formatCode>0.00%</formatCode>
                  <v>0.02980325608527337</v>
                </pt>
                <pt idx="222">
                  <formatCode>0.00%</formatCode>
                  <v>0.03494630783507888</v>
                </pt>
                <pt idx="223">
                  <formatCode>0.00%</formatCode>
                  <v>0.04667286492230044</v>
                </pt>
                <pt idx="224">
                  <formatCode>0.00%</formatCode>
                  <v>0.05099535678070129</v>
                </pt>
                <pt idx="225">
                  <formatCode>0.00%</formatCode>
                  <v>0.05173333333333333</v>
                </pt>
                <pt idx="226">
                  <formatCode>0.00%</formatCode>
                  <v>0.05331564986737401</v>
                </pt>
                <pt idx="227">
                  <formatCode>0.00%</formatCode>
                  <v>0.04909848907299716</v>
                </pt>
                <pt idx="228">
                  <formatCode>0.00%</formatCode>
                  <v>0.05416887944768985</v>
                </pt>
                <pt idx="229">
                  <formatCode>0.00%</formatCode>
                  <v>0.05526955340110278</v>
                </pt>
                <pt idx="230">
                  <formatCode>0.00%</formatCode>
                  <v>0.05730143839899937</v>
                </pt>
                <pt idx="231">
                  <formatCode>0.00%</formatCode>
                  <v>0.05085622639557142</v>
                </pt>
                <pt idx="232">
                  <formatCode>0.00%</formatCode>
                  <v>0.06086057630184778</v>
                </pt>
                <pt idx="233">
                  <formatCode>0.00%</formatCode>
                  <v>0.06957103867346413</v>
                </pt>
                <pt idx="234">
                  <formatCode>0.00%</formatCode>
                  <v>0.06361284041708298</v>
                </pt>
                <pt idx="235">
                  <formatCode>0.00%</formatCode>
                  <v>0.05877874219582762</v>
                </pt>
                <pt idx="236">
                  <formatCode>0.00%</formatCode>
                  <v>0.06672591087977657</v>
                </pt>
                <pt idx="237">
                  <formatCode>0.00%</formatCode>
                  <v>0.06901622718052738</v>
                </pt>
                <pt idx="238">
                  <formatCode>0.00%</formatCode>
                  <v>0.06363636363636363</v>
                </pt>
                <pt idx="239">
                  <formatCode>0.00%</formatCode>
                  <v>0.05963349195099726</v>
                </pt>
                <pt idx="240">
                  <formatCode>0.00%</formatCode>
                  <v>0.07954659949622166</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0.05338559895468757</v>
                </pt>
                <pt idx="253">
                  <formatCode>0.00%</formatCode>
                  <v>0.04465657741559954</v>
                </pt>
                <pt idx="254">
                  <formatCode>0.00%</formatCode>
                  <v>0.04818126775650878</v>
                </pt>
                <pt idx="255">
                  <formatCode>0.00%</formatCode>
                  <v>0.03131557707828894</v>
                </pt>
                <pt idx="256">
                  <formatCode>0.00%</formatCode>
                  <v>0.03470089811373029</v>
                </pt>
                <pt idx="257">
                  <formatCode>0.00%</formatCode>
                  <v>0.02661797804418722</v>
                </pt>
                <pt idx="258">
                  <formatCode>0.00%</formatCode>
                  <v>0.03145892480996428</v>
                </pt>
                <pt idx="259">
                  <formatCode>0.00%</formatCode>
                  <v>0.03301153001464129</v>
                </pt>
                <pt idx="260">
                  <formatCode>0.00%</formatCode>
                  <v>0.02855846659861631</v>
                </pt>
                <pt idx="261">
                  <formatCode>0.00%</formatCode>
                  <v>0.05097464994966597</v>
                </pt>
                <pt idx="262">
                  <formatCode>0.00%</formatCode>
                  <v>0.04995507637017071</v>
                </pt>
                <pt idx="263">
                  <formatCode>0.00%</formatCode>
                  <v>0.04023530468364094</v>
                </pt>
                <pt idx="264">
                  <formatCode>0.00%</formatCode>
                  <v>0.01701147388472955</v>
                </pt>
                <pt idx="265">
                  <formatCode>0.00%</formatCode>
                  <v>0.03467950432379424</v>
                </pt>
                <pt idx="266">
                  <formatCode>0.00%</formatCode>
                  <v>0.04545555530870232</v>
                </pt>
                <pt idx="267">
                  <formatCode>0.00%</formatCode>
                  <v>0.05397670102631755</v>
                </pt>
                <pt idx="268">
                  <formatCode>0.00%</formatCode>
                  <v>0.06078186362013566</v>
                </pt>
                <pt idx="269">
                  <formatCode>0.00%</formatCode>
                  <v>0.06731393033712893</v>
                </pt>
                <pt idx="270">
                  <formatCode>0.00%</formatCode>
                  <v>0.06732519422863485</v>
                </pt>
                <pt idx="271">
                  <formatCode>0.00%</formatCode>
                  <v>0.07130993245487764</v>
                </pt>
                <pt idx="272">
                  <formatCode>0.00%</formatCode>
                  <v>0.08023112208892025</v>
                </pt>
                <pt idx="273">
                  <formatCode>0.00%</formatCode>
                  <v>0.08102577499129224</v>
                </pt>
                <pt idx="274">
                  <formatCode>0.00%</formatCode>
                  <v>0.0639012493582064</v>
                </pt>
                <pt idx="275">
                  <formatCode>0.00%</formatCode>
                  <v>0.09017914957910642</v>
                </pt>
                <pt idx="276">
                  <formatCode>0.00%</formatCode>
                  <v>0.1071568584745394</v>
                </pt>
                <pt idx="277">
                  <formatCode>0.00%</formatCode>
                  <v>0.0918921247630536</v>
                </pt>
                <pt idx="278">
                  <formatCode>0.00%</formatCode>
                  <v>0.08521580211233186</v>
                </pt>
                <pt idx="279">
                  <formatCode>0.00%</formatCode>
                  <v>0.09763031164478012</v>
                </pt>
                <pt idx="280">
                  <formatCode>0.00%</formatCode>
                  <v>0.08984013462347497</v>
                </pt>
                <pt idx="281">
                  <formatCode>0.00%</formatCode>
                  <v>0.08738210018863969</v>
                </pt>
                <pt idx="282">
                  <formatCode>0.00%</formatCode>
                  <v>0.08472849031882371</v>
                </pt>
                <pt idx="283">
                  <formatCode>0.00%</formatCode>
                  <v>0.08353488372093024</v>
                </pt>
                <pt idx="284">
                  <formatCode>0.00%</formatCode>
                  <v>0.06951533216283533</v>
                </pt>
                <pt idx="285">
                  <formatCode>0.00%</formatCode>
                  <v>0.06244713842683958</v>
                </pt>
                <pt idx="286">
                  <formatCode>0.00%</formatCode>
                  <v>0.06334077336068046</v>
                </pt>
                <pt idx="287">
                  <formatCode>0.00%</formatCode>
                  <v>0.06398986299200127</v>
                </pt>
                <pt idx="288">
                  <formatCode>0.00%</formatCode>
                  <v>0.04349451154738954</v>
                </pt>
                <pt idx="289">
                  <formatCode>0.00%</formatCode>
                  <v>0.06997435391595976</v>
                </pt>
                <pt idx="290">
                  <formatCode>0.00%</formatCode>
                  <v>0.05584819942428574</v>
                </pt>
                <pt idx="291">
                  <formatCode>0.00%</formatCode>
                  <v>0.04833877732464872</v>
                </pt>
                <pt idx="292">
                  <formatCode>0.00%</formatCode>
                  <v>0.04803999150759491</v>
                </pt>
                <pt idx="293">
                  <formatCode>0.00%</formatCode>
                  <v>0.04658917866574144</v>
                </pt>
                <pt idx="294">
                  <formatCode>0.00%</formatCode>
                  <v>0.04166267231627586</v>
                </pt>
                <pt idx="295">
                  <formatCode>0.00%</formatCode>
                  <v>0.04553952991452991</v>
                </pt>
                <pt idx="296">
                  <formatCode>0.00%</formatCode>
                  <v>0.05686525282990055</v>
                </pt>
                <pt idx="297">
                  <formatCode>0.00%</formatCode>
                  <v>0.04958395723952311</v>
                </pt>
                <pt idx="298">
                  <formatCode>0.00%</formatCode>
                  <v>0.06552447949168888</v>
                </pt>
                <pt idx="299">
                  <formatCode>0.00%</formatCode>
                  <v>0.03183848157796799</v>
                </pt>
                <pt idx="300">
                  <formatCode>0.00%</formatCode>
                  <v>0.08215665944009803</v>
                </pt>
                <pt idx="301">
                  <formatCode>0.00%</formatCode>
                  <v>0.06001438132640079</v>
                </pt>
                <pt idx="302">
                  <formatCode>0.00%</formatCode>
                  <v>0.06417032956842672</v>
                </pt>
                <pt idx="303">
                  <formatCode>0.00%</formatCode>
                  <v>0.05962389380530973</v>
                </pt>
                <pt idx="304">
                  <formatCode>0.00%</formatCode>
                  <v>0.05837937384898711</v>
                </pt>
                <pt idx="305">
                  <formatCode>0.00%</formatCode>
                  <v>0.0546449093855901</v>
                </pt>
                <pt idx="306">
                  <formatCode>0.00%</formatCode>
                  <v>0.05310141726486287</v>
                </pt>
                <pt idx="307">
                  <formatCode>0.00%</formatCode>
                  <v>0.04965056657482254</v>
                </pt>
                <pt idx="308">
                  <formatCode>0.00%</formatCode>
                  <v>0.04547917494491204</v>
                </pt>
                <pt idx="309">
                  <formatCode>0.00%</formatCode>
                  <v>0.04967945823927765</v>
                </pt>
                <pt idx="310">
                  <formatCode>0.00%</formatCode>
                  <v>0.04442196429205267</v>
                </pt>
                <pt idx="311">
                  <formatCode>0.00%</formatCode>
                  <v>0.06614849146092946</v>
                </pt>
                <pt idx="312">
                  <formatCode>0.00%</formatCode>
                  <v>0.03381356375102346</v>
                </pt>
                <pt idx="313">
                  <formatCode>0.00%</formatCode>
                  <v>0.03758783830793849</v>
                </pt>
                <pt idx="314">
                  <formatCode>0.00%</formatCode>
                  <v>0.04813607765907388</v>
                </pt>
                <pt idx="315">
                  <formatCode>0.00%</formatCode>
                  <v>0.03377179246267878</v>
                </pt>
                <pt idx="316">
                  <formatCode>0.00%</formatCode>
                  <v>0.05660344527579607</v>
                </pt>
                <pt idx="317">
                  <formatCode>0.00%</formatCode>
                  <v>0.07294413495625447</v>
                </pt>
                <pt idx="318">
                  <formatCode>0.00%</formatCode>
                  <v>0.08815869964170235</v>
                </pt>
                <pt idx="319">
                  <formatCode>0.00%</formatCode>
                  <v>0.08884987135804186</v>
                </pt>
                <pt idx="320">
                  <formatCode>0.00%</formatCode>
                  <v>0.0603448275862069</v>
                </pt>
                <pt idx="321">
                  <formatCode>0.00%</formatCode>
                  <v>0.06616660358531466</v>
                </pt>
                <pt idx="322">
                  <formatCode>0.00%</formatCode>
                  <v>0.04897279477986032</v>
                </pt>
                <pt idx="323">
                  <formatCode>0.00%</formatCode>
                  <v>0.04518006055582807</v>
                </pt>
                <pt idx="324">
                  <formatCode>0.00%</formatCode>
                  <v>0.04430102453491507</v>
                </pt>
                <pt idx="325">
                  <formatCode>0.00%</formatCode>
                  <v>0.04992204918445007</v>
                </pt>
                <pt idx="326">
                  <formatCode>0.00%</formatCode>
                  <v>0.05008230657953808</v>
                </pt>
                <pt idx="327">
                  <formatCode>0.00%</formatCode>
                  <v>0.07072288142724902</v>
                </pt>
                <pt idx="328">
                  <formatCode>0.00%</formatCode>
                  <v>0.05920326729575284</v>
                </pt>
                <pt idx="329">
                  <formatCode>0.00%</formatCode>
                  <v>0.05768229166666667</v>
                </pt>
                <pt idx="330">
                  <formatCode>0.00%</formatCode>
                  <v>0.05101270499044315</v>
                </pt>
                <pt idx="331">
                  <formatCode>0.00%</formatCode>
                  <v>0.04307495809052447</v>
                </pt>
                <pt idx="332">
                  <formatCode>0.00%</formatCode>
                  <v>0.07134594392036105</v>
                </pt>
                <pt idx="333">
                  <formatCode>0.00%</formatCode>
                  <v>0.05899438456076938</v>
                </pt>
                <pt idx="334">
                  <formatCode>0.00%</formatCode>
                  <v>0.05533686478430611</v>
                </pt>
                <pt idx="335">
                  <formatCode>0.00%</formatCode>
                  <v>0.06501051950153747</v>
                </pt>
                <pt idx="336">
                  <formatCode>0.00%</formatCode>
                  <v>0.07053071498878544</v>
                </pt>
                <pt idx="337">
                  <formatCode>0.00%</formatCode>
                  <v>0.05698456036148233</v>
                </pt>
                <pt idx="338">
                  <formatCode>0.00%</formatCode>
                  <v>-0.2696150618339588</v>
                </pt>
                <pt idx="339">
                  <formatCode>0.00%</formatCode>
                  <v>-0.5295754279516481</v>
                </pt>
                <pt idx="340">
                  <formatCode>0.00%</formatCode>
                  <v>-0.3833141577785379</v>
                </pt>
                <pt idx="341">
                  <formatCode>0.00%</formatCode>
                  <v>-0.2234396159054536</v>
                </pt>
                <pt idx="342">
                  <formatCode>0.00%</formatCode>
                  <v>-0.2020478337281272</v>
                </pt>
                <pt idx="343">
                  <formatCode>0.00%</formatCode>
                  <v>-0.1649243108383206</v>
                </pt>
                <pt idx="344">
                  <formatCode>0.00%</formatCode>
                  <v>-0.1514082365107366</v>
                </pt>
                <pt idx="345">
                  <formatCode>0.00%</formatCode>
                  <v>-0.1468275735966356</v>
                </pt>
                <pt idx="346">
                  <formatCode>0.00%</formatCode>
                  <v>-0.1765238614210938</v>
                </pt>
                <pt idx="347">
                  <formatCode>0.00%</formatCode>
                  <v>-0.2221192274378106</v>
                </pt>
                <pt idx="348">
                  <formatCode>0.00%</formatCode>
                  <v>-0.1513324490534186</v>
                </pt>
                <pt idx="349">
                  <formatCode>0.00%</formatCode>
                  <v>-0.1614501510574018</v>
                </pt>
                <pt idx="350">
                  <formatCode>0.00%</formatCode>
                  <v>0.3712006243767073</v>
                </pt>
                <pt idx="351">
                  <formatCode>0.00%</formatCode>
                  <v>1.221472249139573</v>
                </pt>
                <pt idx="352">
                  <formatCode>0.00%</formatCode>
                  <v>0.7481343283582089</v>
                </pt>
                <pt idx="353">
                  <formatCode>0.00%</formatCode>
                  <v>0.4072804375396322</v>
                </pt>
                <pt idx="354">
                  <formatCode>0.00%</formatCode>
                  <v>0.3800704791818286</v>
                </pt>
                <pt idx="355">
                  <formatCode>0.00%</formatCode>
                  <v>0.3213460903992082</v>
                </pt>
                <pt idx="356">
                  <formatCode>0.00%</formatCode>
                  <v>0.3040501792114695</v>
                </pt>
                <pt idx="357">
                  <formatCode>0.00%</formatCode>
                  <v>0.3035790827261037</v>
                </pt>
                <pt idx="358">
                  <formatCode>0.00%</formatCode>
                  <v>0.3743732175144929</v>
                </pt>
                <pt idx="359">
                  <formatCode>0.00%</formatCode>
                  <v>0.4168978316077359</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Station'!$B$7:$B$366</f>
              <numCache>
                <formatCode>#,##0</formatCode>
                <ptCount val="36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37358</v>
                </pt>
                <pt idx="217">
                  <v>36950</v>
                </pt>
                <pt idx="218">
                  <v>37160</v>
                </pt>
                <pt idx="219">
                  <v>37218</v>
                </pt>
                <pt idx="220">
                  <v>36606</v>
                </pt>
                <pt idx="221">
                  <v>35642</v>
                </pt>
                <pt idx="222">
                  <v>35764</v>
                </pt>
                <pt idx="223">
                  <v>36189</v>
                </pt>
                <pt idx="224">
                  <v>37357</v>
                </pt>
                <pt idx="225">
                  <v>38480</v>
                </pt>
                <pt idx="226">
                  <v>39272</v>
                </pt>
                <pt idx="227">
                  <v>41279</v>
                </pt>
                <pt idx="228">
                  <v>41778</v>
                </pt>
                <pt idx="229">
                  <v>42294</v>
                </pt>
                <pt idx="230">
                  <v>43823</v>
                </pt>
                <pt idx="231">
                  <v>44604</v>
                </pt>
                <pt idx="232">
                  <v>45300</v>
                </pt>
                <pt idx="233">
                  <v>44614</v>
                </pt>
                <pt idx="234">
                  <v>44754</v>
                </pt>
                <pt idx="235">
                  <v>45075</v>
                </pt>
                <pt idx="236">
                  <v>45082</v>
                </pt>
                <pt idx="237">
                  <v>44846</v>
                </pt>
                <pt idx="238">
                  <v>45622</v>
                </pt>
                <pt idx="239">
                  <v>45291</v>
                </pt>
                <pt idx="240">
                  <v>45752</v>
                </pt>
                <pt idx="241">
                  <v>47171</v>
                </pt>
                <pt idx="242">
                  <v>47541</v>
                </pt>
                <pt idx="243">
                  <v>47006</v>
                </pt>
                <pt idx="244">
                  <v>45808</v>
                </pt>
                <pt idx="245">
                  <v>43646</v>
                </pt>
                <pt idx="246">
                  <v>43484</v>
                </pt>
                <pt idx="247">
                  <v>46391</v>
                </pt>
                <pt idx="248">
                  <v>47107</v>
                </pt>
                <pt idx="249">
                  <v>47976</v>
                </pt>
                <pt idx="250">
                  <v>46822</v>
                </pt>
                <pt idx="251">
                  <v>45886</v>
                </pt>
                <pt idx="252">
                  <v>46044</v>
                </pt>
                <pt idx="253">
                  <v>49046</v>
                </pt>
                <pt idx="254">
                  <v>47587</v>
                </pt>
                <pt idx="255">
                  <v>46169</v>
                </pt>
                <pt idx="256">
                  <v>45593</v>
                </pt>
                <pt idx="257">
                  <v>45828</v>
                </pt>
                <pt idx="258">
                  <v>46006</v>
                </pt>
                <pt idx="259">
                  <v>45638</v>
                </pt>
                <pt idx="260">
                  <v>45752</v>
                </pt>
                <pt idx="261">
                  <v>45075</v>
                </pt>
                <pt idx="262">
                  <v>44723</v>
                </pt>
                <pt idx="263">
                  <v>46672</v>
                </pt>
                <pt idx="264">
                  <v>47135</v>
                </pt>
                <pt idx="265">
                  <v>47522</v>
                </pt>
                <pt idx="266">
                  <v>46868</v>
                </pt>
                <pt idx="267">
                  <v>47088</v>
                </pt>
                <pt idx="268">
                  <v>46787</v>
                </pt>
                <pt idx="269">
                  <v>45784</v>
                </pt>
                <pt idx="270">
                  <v>45815</v>
                </pt>
                <pt idx="271">
                  <v>45873</v>
                </pt>
                <pt idx="272">
                  <v>45440</v>
                </pt>
                <pt idx="273">
                  <v>44512</v>
                </pt>
                <pt idx="274">
                  <v>43641</v>
                </pt>
                <pt idx="275">
                  <v>40499</v>
                </pt>
                <pt idx="276">
                  <v>36581</v>
                </pt>
                <pt idx="277">
                  <v>37808</v>
                </pt>
                <pt idx="278">
                  <v>38377</v>
                </pt>
                <pt idx="279">
                  <v>37832</v>
                </pt>
                <pt idx="280">
                  <v>39269</v>
                </pt>
                <pt idx="281">
                  <v>39887</v>
                </pt>
                <pt idx="282">
                  <v>40293</v>
                </pt>
                <pt idx="283">
                  <v>39229</v>
                </pt>
                <pt idx="284">
                  <v>36953</v>
                </pt>
                <pt idx="285">
                  <v>36566</v>
                </pt>
                <pt idx="286">
                  <v>36134</v>
                </pt>
                <pt idx="287">
                  <v>35976</v>
                </pt>
                <pt idx="288">
                  <v>34498</v>
                </pt>
                <pt idx="289">
                  <v>32865</v>
                </pt>
                <pt idx="290">
                  <v>34202</v>
                </pt>
                <pt idx="291">
                  <v>35101</v>
                </pt>
                <pt idx="292">
                  <v>36033</v>
                </pt>
                <pt idx="293">
                  <v>37267</v>
                </pt>
                <pt idx="294">
                  <v>36807</v>
                </pt>
                <pt idx="295">
                  <v>36018</v>
                </pt>
                <pt idx="296">
                  <v>36963</v>
                </pt>
                <pt idx="297">
                  <v>37953</v>
                </pt>
                <pt idx="298">
                  <v>37578</v>
                </pt>
                <pt idx="299">
                  <v>39400</v>
                </pt>
                <pt idx="300">
                  <v>39871</v>
                </pt>
                <pt idx="301">
                  <v>40106</v>
                </pt>
                <pt idx="302">
                  <v>39779</v>
                </pt>
                <pt idx="303">
                  <v>39539</v>
                </pt>
                <pt idx="304">
                  <v>38057</v>
                </pt>
                <pt idx="305">
                  <v>37633</v>
                </pt>
                <pt idx="306">
                  <v>37545</v>
                </pt>
                <pt idx="307">
                  <v>38765</v>
                </pt>
                <pt idx="308">
                  <v>40820</v>
                </pt>
                <pt idx="309">
                  <v>40940</v>
                </pt>
                <pt idx="310">
                  <v>42005</v>
                </pt>
                <pt idx="311">
                  <v>42720</v>
                </pt>
                <pt idx="312">
                  <v>42760</v>
                </pt>
                <pt idx="313">
                  <v>43184</v>
                </pt>
                <pt idx="314">
                  <v>42612</v>
                </pt>
                <pt idx="315">
                  <v>42403</v>
                </pt>
                <pt idx="316">
                  <v>43525</v>
                </pt>
                <pt idx="317">
                  <v>43773</v>
                </pt>
                <pt idx="318">
                  <v>44174</v>
                </pt>
                <pt idx="319">
                  <v>44616</v>
                </pt>
                <pt idx="320">
                  <v>44089</v>
                </pt>
                <pt idx="321">
                  <v>45878</v>
                </pt>
                <pt idx="322">
                  <v>43722</v>
                </pt>
                <pt idx="323">
                  <v>40962</v>
                </pt>
                <pt idx="324">
                  <v>39781</v>
                </pt>
                <pt idx="325">
                  <v>41440</v>
                </pt>
                <pt idx="326">
                  <v>42662</v>
                </pt>
                <pt idx="327">
                  <v>43487</v>
                </pt>
                <pt idx="328">
                  <v>43276</v>
                </pt>
                <pt idx="329">
                  <v>42617</v>
                </pt>
                <pt idx="330">
                  <v>43398</v>
                </pt>
                <pt idx="331">
                  <v>42783</v>
                </pt>
                <pt idx="332">
                  <v>42538</v>
                </pt>
                <pt idx="333">
                  <v>43266</v>
                </pt>
                <pt idx="334">
                  <v>43240</v>
                </pt>
                <pt idx="335">
                  <v>44093</v>
                </pt>
                <pt idx="336">
                  <v>43195</v>
                </pt>
                <pt idx="337">
                  <v>41625</v>
                </pt>
                <pt idx="338">
                  <v>34677</v>
                </pt>
                <pt idx="339">
                  <v>26131</v>
                </pt>
                <pt idx="340">
                  <v>29616</v>
                </pt>
                <pt idx="341">
                  <v>34291</v>
                </pt>
                <pt idx="342">
                  <v>35996</v>
                </pt>
                <pt idx="343">
                  <v>36469</v>
                </pt>
                <pt idx="344">
                  <v>36899</v>
                </pt>
                <pt idx="345">
                  <v>36871</v>
                </pt>
                <pt idx="346">
                  <v>36015</v>
                </pt>
                <pt idx="347">
                  <v>39098</v>
                </pt>
                <pt idx="348">
                  <v>40895</v>
                </pt>
                <pt idx="349">
                  <v>42203</v>
                </pt>
                <pt idx="350">
                  <v>46453</v>
                </pt>
                <pt idx="351">
                  <v>45808</v>
                </pt>
                <pt idx="352">
                  <v>46636</v>
                </pt>
                <pt idx="353">
                  <v>48308</v>
                </pt>
                <pt idx="354">
                  <v>49481</v>
                </pt>
                <pt idx="355">
                  <v>50304</v>
                </pt>
                <pt idx="356">
                  <v>52043</v>
                </pt>
                <pt idx="357">
                  <v>53976</v>
                </pt>
                <pt idx="358">
                  <v>54868</v>
                </pt>
                <pt idx="359">
                  <v>54662</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Station'!$D$7:$D$366</f>
              <numCache>
                <formatCode>General</formatCode>
                <ptCount val="360"/>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0.2963425636754806</v>
                </pt>
                <pt idx="217">
                  <formatCode>0.00%</formatCode>
                  <v>0.2374413931681179</v>
                </pt>
                <pt idx="218">
                  <formatCode>0.00%</formatCode>
                  <v>0.2891587163920208</v>
                </pt>
                <pt idx="219">
                  <formatCode>0.00%</formatCode>
                  <v>0.2946742268758479</v>
                </pt>
                <pt idx="220">
                  <formatCode>0.00%</formatCode>
                  <v>0.2006691157176594</v>
                </pt>
                <pt idx="221">
                  <formatCode>0.00%</formatCode>
                  <v>0.0679250936329588</v>
                </pt>
                <pt idx="222">
                  <formatCode>0.00%</formatCode>
                  <v>0.08159438698360855</v>
                </pt>
                <pt idx="223">
                  <formatCode>0.00%</formatCode>
                  <v>0.04417450516475273</v>
                </pt>
                <pt idx="224">
                  <formatCode>0.00%</formatCode>
                  <v>0.07347701149425287</v>
                </pt>
                <pt idx="225">
                  <formatCode>0.00%</formatCode>
                  <v>0.1030528880607711</v>
                </pt>
                <pt idx="226">
                  <formatCode>0.00%</formatCode>
                  <v>0.07379761025893419</v>
                </pt>
                <pt idx="227">
                  <formatCode>0.00%</formatCode>
                  <v>0.1101877252433973</v>
                </pt>
                <pt idx="228">
                  <formatCode>0.00%</formatCode>
                  <v>0.1183146849403073</v>
                </pt>
                <pt idx="229">
                  <formatCode>0.00%</formatCode>
                  <v>0.1446278755074425</v>
                </pt>
                <pt idx="230">
                  <formatCode>0.00%</formatCode>
                  <v>0.1793057050592035</v>
                </pt>
                <pt idx="231">
                  <formatCode>0.00%</formatCode>
                  <v>0.1984523617604385</v>
                </pt>
                <pt idx="232">
                  <formatCode>0.00%</formatCode>
                  <v>0.2375020488444517</v>
                </pt>
                <pt idx="233">
                  <formatCode>0.00%</formatCode>
                  <v>0.2517254923966107</v>
                </pt>
                <pt idx="234">
                  <formatCode>0.00%</formatCode>
                  <v>0.2513700928307795</v>
                </pt>
                <pt idx="235">
                  <formatCode>0.00%</formatCode>
                  <v>0.2455442261460665</v>
                </pt>
                <pt idx="236">
                  <formatCode>0.00%</formatCode>
                  <v>0.2067885536847177</v>
                </pt>
                <pt idx="237">
                  <formatCode>0.00%</formatCode>
                  <v>0.1654365904365904</v>
                </pt>
                <pt idx="238">
                  <formatCode>0.00%</formatCode>
                  <v>0.1616928091260949</v>
                </pt>
                <pt idx="239">
                  <formatCode>0.00%</formatCode>
                  <v>0.09719227694469343</v>
                </pt>
                <pt idx="240">
                  <formatCode>0.00%</formatCode>
                  <v>0.09512183445832735</v>
                </pt>
                <pt idx="241">
                  <formatCode>0.00%</formatCode>
                  <v>0.1153118645670781</v>
                </pt>
                <pt idx="242">
                  <formatCode>0.00%</formatCode>
                  <v>0.0848412933847523</v>
                </pt>
                <pt idx="243">
                  <formatCode>0.00%</formatCode>
                  <v>0.05385167249574029</v>
                </pt>
                <pt idx="244">
                  <formatCode>0.00%</formatCode>
                  <v>0.01121412803532009</v>
                </pt>
                <pt idx="245">
                  <formatCode>0.00%</formatCode>
                  <v>-0.02169722508629578</v>
                </pt>
                <pt idx="246">
                  <formatCode>0.00%</formatCode>
                  <v>-0.02837735174509541</v>
                </pt>
                <pt idx="247">
                  <formatCode>0.00%</formatCode>
                  <v>0.02919578480310593</v>
                </pt>
                <pt idx="248">
                  <formatCode>0.00%</formatCode>
                  <v>0.04491814915043698</v>
                </pt>
                <pt idx="249">
                  <formatCode>0.00%</formatCode>
                  <v>0.06979440752798466</v>
                </pt>
                <pt idx="250">
                  <formatCode>0.00%</formatCode>
                  <v>0.02630309938187717</v>
                </pt>
                <pt idx="251">
                  <formatCode>0.00%</formatCode>
                  <v>0.01313726788986774</v>
                </pt>
                <pt idx="252">
                  <formatCode>0.00%</formatCode>
                  <v>0.006382234656408463</v>
                </pt>
                <pt idx="253">
                  <formatCode>0.00%</formatCode>
                  <v>0.0397489983252422</v>
                </pt>
                <pt idx="254">
                  <formatCode>0.00%</formatCode>
                  <v>0.0009675858732462506</v>
                </pt>
                <pt idx="255">
                  <formatCode>0.00%</formatCode>
                  <v>-0.01780623750159554</v>
                </pt>
                <pt idx="256">
                  <formatCode>0.00%</formatCode>
                  <v>-0.004693503318197695</v>
                </pt>
                <pt idx="257">
                  <formatCode>0.00%</formatCode>
                  <v>0.04999312651789396</v>
                </pt>
                <pt idx="258">
                  <formatCode>0.00%</formatCode>
                  <v>0.05799834421856315</v>
                </pt>
                <pt idx="259">
                  <formatCode>0.00%</formatCode>
                  <v>-0.01623159664590115</v>
                </pt>
                <pt idx="260">
                  <formatCode>0.00%</formatCode>
                  <v>-0.02876430254526928</v>
                </pt>
                <pt idx="261">
                  <formatCode>0.00%</formatCode>
                  <v>-0.06046773386693347</v>
                </pt>
                <pt idx="262">
                  <formatCode>0.00%</formatCode>
                  <v>-0.04482935372260903</v>
                </pt>
                <pt idx="263">
                  <formatCode>0.00%</formatCode>
                  <v>0.01712940766246785</v>
                </pt>
                <pt idx="264">
                  <formatCode>0.00%</formatCode>
                  <v>0.02369472678307706</v>
                </pt>
                <pt idx="265">
                  <formatCode>0.00%</formatCode>
                  <v>-0.03107287036659463</v>
                </pt>
                <pt idx="266">
                  <formatCode>0.00%</formatCode>
                  <v>-0.01510916847038057</v>
                </pt>
                <pt idx="267">
                  <formatCode>0.00%</formatCode>
                  <v>0.01990513114860621</v>
                </pt>
                <pt idx="268">
                  <formatCode>0.00%</formatCode>
                  <v>0.0261882306494418</v>
                </pt>
                <pt idx="269">
                  <formatCode>0.00%</formatCode>
                  <v>-0.0009601117220912979</v>
                </pt>
                <pt idx="270">
                  <formatCode>0.00%</formatCode>
                  <v>-0.004151632395774464</v>
                </pt>
                <pt idx="271">
                  <formatCode>0.00%</formatCode>
                  <v>0.005149217757132215</v>
                </pt>
                <pt idx="272">
                  <formatCode>0.00%</formatCode>
                  <v>-0.00681937401643644</v>
                </pt>
                <pt idx="273">
                  <formatCode>0.00%</formatCode>
                  <v>-0.01249029395452024</v>
                </pt>
                <pt idx="274">
                  <formatCode>0.00%</formatCode>
                  <v>-0.02419336806564855</v>
                </pt>
                <pt idx="275">
                  <formatCode>0.00%</formatCode>
                  <v>-0.1322634556050737</v>
                </pt>
                <pt idx="276">
                  <formatCode>0.00%</formatCode>
                  <v>-0.2239100456136629</v>
                </pt>
                <pt idx="277">
                  <formatCode>0.00%</formatCode>
                  <v>-0.2044105887799335</v>
                </pt>
                <pt idx="278">
                  <formatCode>0.00%</formatCode>
                  <v>-0.18116838781258</v>
                </pt>
                <pt idx="279">
                  <formatCode>0.00%</formatCode>
                  <v>-0.1965681277607883</v>
                </pt>
                <pt idx="280">
                  <formatCode>0.00%</formatCode>
                  <v>-0.1606856605467331</v>
                </pt>
                <pt idx="281">
                  <formatCode>0.00%</formatCode>
                  <v>-0.1288004543071815</v>
                </pt>
                <pt idx="282">
                  <formatCode>0.00%</formatCode>
                  <v>-0.1205282112845138</v>
                </pt>
                <pt idx="283">
                  <formatCode>0.00%</formatCode>
                  <v>-0.1448346521919212</v>
                </pt>
                <pt idx="284">
                  <formatCode>0.00%</formatCode>
                  <v>-0.1867737676056338</v>
                </pt>
                <pt idx="285">
                  <formatCode>0.00%</formatCode>
                  <v>-0.1785136592379583</v>
                </pt>
                <pt idx="286">
                  <formatCode>0.00%</formatCode>
                  <v>-0.1720171398455581</v>
                </pt>
                <pt idx="287">
                  <formatCode>0.00%</formatCode>
                  <v>-0.1116817699202449</v>
                </pt>
                <pt idx="288">
                  <formatCode>0.00%</formatCode>
                  <v>-0.05694212842732566</v>
                </pt>
                <pt idx="289">
                  <formatCode>0.00%</formatCode>
                  <v>-0.1307395260262378</v>
                </pt>
                <pt idx="290">
                  <formatCode>0.00%</formatCode>
                  <v>-0.1087891184824244</v>
                </pt>
                <pt idx="291">
                  <formatCode>0.00%</formatCode>
                  <v>-0.07218756608162402</v>
                </pt>
                <pt idx="292">
                  <formatCode>0.00%</formatCode>
                  <v>-0.08240596908502891</v>
                </pt>
                <pt idx="293">
                  <formatCode>0.00%</formatCode>
                  <v>-0.06568556171183594</v>
                </pt>
                <pt idx="294">
                  <formatCode>0.00%</formatCode>
                  <v>-0.08651626833445016</v>
                </pt>
                <pt idx="295">
                  <formatCode>0.00%</formatCode>
                  <v>-0.08185271100461393</v>
                </pt>
                <pt idx="296">
                  <formatCode>0.00%</formatCode>
                  <v>0.0002706140232186832</v>
                </pt>
                <pt idx="297">
                  <formatCode>0.00%</formatCode>
                  <v>0.03793141169392332</v>
                </pt>
                <pt idx="298">
                  <formatCode>0.00%</formatCode>
                  <v>0.03996236231803841</v>
                </pt>
                <pt idx="299">
                  <formatCode>0.00%</formatCode>
                  <v>0.09517456081832333</v>
                </pt>
                <pt idx="300">
                  <formatCode>0.00%</formatCode>
                  <v>0.1557481593135834</v>
                </pt>
                <pt idx="301">
                  <formatCode>0.00%</formatCode>
                  <v>0.2203255743191845</v>
                </pt>
                <pt idx="302">
                  <formatCode>0.00%</formatCode>
                  <v>0.1630606397286708</v>
                </pt>
                <pt idx="303">
                  <formatCode>0.00%</formatCode>
                  <v>0.1264351442978832</v>
                </pt>
                <pt idx="304">
                  <formatCode>0.00%</formatCode>
                  <v>0.05617073238420337</v>
                </pt>
                <pt idx="305">
                  <formatCode>0.00%</formatCode>
                  <v>0.009821021278879438</v>
                </pt>
                <pt idx="306">
                  <formatCode>0.00%</formatCode>
                  <v>0.02005053386584074</v>
                </pt>
                <pt idx="307">
                  <formatCode>0.00%</formatCode>
                  <v>0.07626742184463324</v>
                </pt>
                <pt idx="308">
                  <formatCode>0.00%</formatCode>
                  <v>0.1043475908340773</v>
                </pt>
                <pt idx="309">
                  <formatCode>0.00%</formatCode>
                  <v>0.07870260585460964</v>
                </pt>
                <pt idx="310">
                  <formatCode>0.00%</formatCode>
                  <v>0.1178082920857949</v>
                </pt>
                <pt idx="311">
                  <formatCode>0.00%</formatCode>
                  <v>0.08426395939086294</v>
                </pt>
                <pt idx="312">
                  <formatCode>0.00%</formatCode>
                  <v>0.07245867924055077</v>
                </pt>
                <pt idx="313">
                  <formatCode>0.00%</formatCode>
                  <v>0.07674662145314916</v>
                </pt>
                <pt idx="314">
                  <formatCode>0.00%</formatCode>
                  <v>0.07121848211367807</v>
                </pt>
                <pt idx="315">
                  <formatCode>0.00%</formatCode>
                  <v>0.07243481119906928</v>
                </pt>
                <pt idx="316">
                  <formatCode>0.00%</formatCode>
                  <v>0.1436792180150826</v>
                </pt>
                <pt idx="317">
                  <formatCode>0.00%</formatCode>
                  <v>0.1631546780750937</v>
                </pt>
                <pt idx="318">
                  <formatCode>0.00%</formatCode>
                  <v>0.1765614595818351</v>
                </pt>
                <pt idx="319">
                  <formatCode>0.00%</formatCode>
                  <v>0.1509351218883013</v>
                </pt>
                <pt idx="320">
                  <formatCode>0.00%</formatCode>
                  <v>0.08008329250367467</v>
                </pt>
                <pt idx="321">
                  <formatCode>0.00%</formatCode>
                  <v>0.1206155349291646</v>
                </pt>
                <pt idx="322">
                  <formatCode>0.00%</formatCode>
                  <v>0.04087608618021664</v>
                </pt>
                <pt idx="323">
                  <formatCode>0.00%</formatCode>
                  <v>-0.04115168539325843</v>
                </pt>
                <pt idx="324">
                  <formatCode>0.00%</formatCode>
                  <v>-0.06966791393826005</v>
                </pt>
                <pt idx="325">
                  <formatCode>0.00%</formatCode>
                  <v>-0.04038532789922193</v>
                </pt>
                <pt idx="326">
                  <formatCode>0.00%</formatCode>
                  <v>0.00117337839106355</v>
                </pt>
                <pt idx="327">
                  <formatCode>0.00%</formatCode>
                  <v>0.02556422894606514</v>
                </pt>
                <pt idx="328">
                  <formatCode>0.00%</formatCode>
                  <v>-0.005720850086157381</v>
                </pt>
                <pt idx="329">
                  <formatCode>0.00%</formatCode>
                  <v>-0.0264089735681813</v>
                </pt>
                <pt idx="330">
                  <formatCode>0.00%</formatCode>
                  <v>-0.01756689455335718</v>
                </pt>
                <pt idx="331">
                  <formatCode>0.00%</formatCode>
                  <v>-0.04108391608391608</v>
                </pt>
                <pt idx="332">
                  <formatCode>0.00%</formatCode>
                  <v>-0.03517884279525505</v>
                </pt>
                <pt idx="333">
                  <formatCode>0.00%</formatCode>
                  <v>-0.05693360652164436</v>
                </pt>
                <pt idx="334">
                  <formatCode>0.00%</formatCode>
                  <v>-0.01102419834408307</v>
                </pt>
                <pt idx="335">
                  <formatCode>0.00%</formatCode>
                  <v>0.07643669742688346</v>
                </pt>
                <pt idx="336">
                  <formatCode>0.00%</formatCode>
                  <v>0.08581986375405344</v>
                </pt>
                <pt idx="337">
                  <formatCode>0.00%</formatCode>
                  <v>0.004464285714285714</v>
                </pt>
                <pt idx="338">
                  <formatCode>0.00%</formatCode>
                  <v>-0.1871689090994328</v>
                </pt>
                <pt idx="339">
                  <formatCode>0.00%</formatCode>
                  <v>-0.3991077793363534</v>
                </pt>
                <pt idx="340">
                  <formatCode>0.00%</formatCode>
                  <v>-0.3156483963397726</v>
                </pt>
                <pt idx="341">
                  <formatCode>0.00%</formatCode>
                  <v>-0.1953680456155994</v>
                </pt>
                <pt idx="342">
                  <formatCode>0.00%</formatCode>
                  <v>-0.1705608553389557</v>
                </pt>
                <pt idx="343">
                  <formatCode>0.00%</formatCode>
                  <v>-0.1475819834981184</v>
                </pt>
                <pt idx="344">
                  <formatCode>0.00%</formatCode>
                  <v>-0.132563825285627</v>
                </pt>
                <pt idx="345">
                  <formatCode>0.00%</formatCode>
                  <v>-0.1478065917810752</v>
                </pt>
                <pt idx="346">
                  <formatCode>0.00%</formatCode>
                  <v>-0.1670906567992599</v>
                </pt>
                <pt idx="347">
                  <formatCode>0.00%</formatCode>
                  <v>-0.1132832875966707</v>
                </pt>
                <pt idx="348">
                  <formatCode>0.00%</formatCode>
                  <v>-0.05324690357680287</v>
                </pt>
                <pt idx="349">
                  <formatCode>0.00%</formatCode>
                  <v>0.01388588588588589</v>
                </pt>
                <pt idx="350">
                  <formatCode>0.00%</formatCode>
                  <v>0.3395910834270554</v>
                </pt>
                <pt idx="351">
                  <formatCode>0.00%</formatCode>
                  <v>0.7530136619341012</v>
                </pt>
                <pt idx="352">
                  <formatCode>0.00%</formatCode>
                  <v>0.5746893571042679</v>
                </pt>
                <pt idx="353">
                  <formatCode>0.00%</formatCode>
                  <v>0.4087661485520982</v>
                </pt>
                <pt idx="354">
                  <formatCode>0.00%</formatCode>
                  <v>0.3746249583287032</v>
                </pt>
                <pt idx="355">
                  <formatCode>0.00%</formatCode>
                  <v>0.3793632948531629</v>
                </pt>
                <pt idx="356">
                  <formatCode>0.00%</formatCode>
                  <v>0.4104176264939429</v>
                </pt>
                <pt idx="357">
                  <formatCode>0.00%</formatCode>
                  <v>0.4639147297333948</v>
                </pt>
                <pt idx="358">
                  <formatCode>0.00%</formatCode>
                  <v>0.5234763293072331</v>
                </pt>
                <pt idx="359">
                  <formatCode>0.00%</formatCode>
                  <v>0.3980766279605095</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Motor!$B$7:$B$366</f>
              <numCache>
                <formatCode>#,##0</formatCode>
                <ptCount val="36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56740</v>
                </pt>
                <pt idx="217">
                  <v>55856</v>
                </pt>
                <pt idx="218">
                  <v>60897</v>
                </pt>
                <pt idx="219">
                  <v>61829</v>
                </pt>
                <pt idx="220">
                  <v>61623</v>
                </pt>
                <pt idx="221">
                  <v>61367</v>
                </pt>
                <pt idx="222">
                  <v>62620</v>
                </pt>
                <pt idx="223">
                  <v>62651</v>
                </pt>
                <pt idx="224">
                  <v>63260</v>
                </pt>
                <pt idx="225">
                  <v>64730</v>
                </pt>
                <pt idx="226">
                  <v>65512</v>
                </pt>
                <pt idx="227">
                  <v>65237</v>
                </pt>
                <pt idx="228">
                  <v>66286</v>
                </pt>
                <pt idx="229">
                  <v>67320</v>
                </pt>
                <pt idx="230">
                  <v>67574</v>
                </pt>
                <pt idx="231">
                  <v>66717</v>
                </pt>
                <pt idx="232">
                  <v>65911</v>
                </pt>
                <pt idx="233">
                  <v>66768</v>
                </pt>
                <pt idx="234">
                  <v>66422</v>
                </pt>
                <pt idx="235">
                  <v>65859</v>
                </pt>
                <pt idx="236">
                  <v>68816</v>
                </pt>
                <pt idx="237">
                  <v>69880</v>
                </pt>
                <pt idx="238">
                  <v>70223</v>
                </pt>
                <pt idx="239">
                  <v>71485</v>
                </pt>
                <pt idx="240">
                  <v>71720</v>
                </pt>
                <pt idx="241">
                  <v>72589</v>
                </pt>
                <pt idx="242">
                  <v>72651</v>
                </pt>
                <pt idx="243">
                  <v>72944</v>
                </pt>
                <pt idx="244">
                  <v>73639</v>
                </pt>
                <pt idx="245">
                  <v>72386</v>
                </pt>
                <pt idx="246">
                  <v>73125</v>
                </pt>
                <pt idx="247">
                  <v>73920</v>
                </pt>
                <pt idx="248">
                  <v>75195</v>
                </pt>
                <pt idx="249">
                  <v>74813</v>
                </pt>
                <pt idx="250">
                  <v>75838</v>
                </pt>
                <pt idx="251">
                  <v>76867</v>
                </pt>
                <pt idx="252">
                  <v>77699</v>
                </pt>
                <pt idx="253">
                  <v>78821</v>
                </pt>
                <pt idx="254">
                  <v>77910</v>
                </pt>
                <pt idx="255">
                  <v>78389</v>
                </pt>
                <pt idx="256">
                  <v>79718</v>
                </pt>
                <pt idx="257">
                  <v>81317</v>
                </pt>
                <pt idx="258">
                  <v>81715</v>
                </pt>
                <pt idx="259">
                  <v>81372</v>
                </pt>
                <pt idx="260">
                  <v>80196</v>
                </pt>
                <pt idx="261">
                  <v>81491</v>
                </pt>
                <pt idx="262">
                  <v>81822</v>
                </pt>
                <pt idx="263">
                  <v>81464</v>
                </pt>
                <pt idx="264">
                  <v>79035</v>
                </pt>
                <pt idx="265">
                  <v>81569</v>
                </pt>
                <pt idx="266">
                  <v>84506</v>
                </pt>
                <pt idx="267">
                  <v>85816</v>
                </pt>
                <pt idx="268">
                  <v>85984</v>
                </pt>
                <pt idx="269">
                  <v>86228</v>
                </pt>
                <pt idx="270">
                  <v>86589</v>
                </pt>
                <pt idx="271">
                  <v>87217</v>
                </pt>
                <pt idx="272">
                  <v>86510</v>
                </pt>
                <pt idx="273">
                  <v>86755</v>
                </pt>
                <pt idx="274">
                  <v>87815</v>
                </pt>
                <pt idx="275">
                  <v>87466</v>
                </pt>
                <pt idx="276">
                  <v>88519</v>
                </pt>
                <pt idx="277">
                  <v>87285</v>
                </pt>
                <pt idx="278">
                  <v>91140</v>
                </pt>
                <pt idx="279">
                  <v>91692</v>
                </pt>
                <pt idx="280">
                  <v>92313</v>
                </pt>
                <pt idx="281">
                  <v>92405</v>
                </pt>
                <pt idx="282">
                  <v>92495</v>
                </pt>
                <pt idx="283">
                  <v>93201</v>
                </pt>
                <pt idx="284">
                  <v>93600</v>
                </pt>
                <pt idx="285">
                  <v>92891</v>
                </pt>
                <pt idx="286">
                  <v>93924</v>
                </pt>
                <pt idx="287">
                  <v>93472</v>
                </pt>
                <pt idx="288">
                  <v>93093</v>
                </pt>
                <pt idx="289">
                  <v>95572</v>
                </pt>
                <pt idx="290">
                  <v>93557</v>
                </pt>
                <pt idx="291">
                  <v>93739</v>
                </pt>
                <pt idx="292">
                  <v>94121</v>
                </pt>
                <pt idx="293">
                  <v>94752</v>
                </pt>
                <pt idx="294">
                  <v>95942</v>
                </pt>
                <pt idx="295">
                  <v>96336</v>
                </pt>
                <pt idx="296">
                  <v>97177</v>
                </pt>
                <pt idx="297">
                  <v>97032</v>
                </pt>
                <pt idx="298">
                  <v>96612</v>
                </pt>
                <pt idx="299">
                  <v>99444</v>
                </pt>
                <pt idx="300">
                  <v>99420</v>
                </pt>
                <pt idx="301">
                  <v>98817</v>
                </pt>
                <pt idx="302">
                  <v>96705</v>
                </pt>
                <pt idx="303">
                  <v>97453</v>
                </pt>
                <pt idx="304">
                  <v>97863</v>
                </pt>
                <pt idx="305">
                  <v>98696</v>
                </pt>
                <pt idx="306">
                  <v>98921</v>
                </pt>
                <pt idx="307">
                  <v>96659</v>
                </pt>
                <pt idx="308">
                  <v>100949</v>
                </pt>
                <pt idx="309">
                  <v>101500</v>
                </pt>
                <pt idx="310">
                  <v>100613</v>
                </pt>
                <pt idx="311">
                  <v>100380</v>
                </pt>
                <pt idx="312">
                  <v>100279</v>
                </pt>
                <pt idx="313">
                  <v>99817</v>
                </pt>
                <pt idx="314">
                  <v>100129</v>
                </pt>
                <pt idx="315">
                  <v>100463</v>
                </pt>
                <pt idx="316">
                  <v>100878</v>
                </pt>
                <pt idx="317">
                  <v>100593</v>
                </pt>
                <pt idx="318">
                  <v>101183</v>
                </pt>
                <pt idx="319">
                  <v>99709</v>
                </pt>
                <pt idx="320">
                  <v>99414</v>
                </pt>
                <pt idx="321">
                  <v>99879</v>
                </pt>
                <pt idx="322">
                  <v>100696</v>
                </pt>
                <pt idx="323">
                  <v>101771</v>
                </pt>
                <pt idx="324">
                  <v>99605</v>
                </pt>
                <pt idx="325">
                  <v>100353</v>
                </pt>
                <pt idx="326">
                  <v>103240</v>
                </pt>
                <pt idx="327">
                  <v>102189</v>
                </pt>
                <pt idx="328">
                  <v>102619</v>
                </pt>
                <pt idx="329">
                  <v>102956</v>
                </pt>
                <pt idx="330">
                  <v>103680</v>
                </pt>
                <pt idx="331">
                  <v>105600</v>
                </pt>
                <pt idx="332">
                  <v>103712</v>
                </pt>
                <pt idx="333">
                  <v>104097</v>
                </pt>
                <pt idx="334">
                  <v>106580</v>
                </pt>
                <pt idx="335">
                  <v>104823</v>
                </pt>
                <pt idx="336">
                  <v>105162</v>
                </pt>
                <pt idx="337">
                  <v>105520</v>
                </pt>
                <pt idx="338">
                  <v>78046</v>
                </pt>
                <pt idx="339">
                  <v>68198</v>
                </pt>
                <pt idx="340">
                  <v>100942</v>
                </pt>
                <pt idx="341">
                  <v>110574</v>
                </pt>
                <pt idx="342">
                  <v>109448</v>
                </pt>
                <pt idx="343">
                  <v>109812</v>
                </pt>
                <pt idx="344">
                  <v>114374</v>
                </pt>
                <pt idx="345">
                  <v>113615</v>
                </pt>
                <pt idx="346">
                  <v>111527</v>
                </pt>
                <pt idx="347">
                  <v>114447</v>
                </pt>
                <pt idx="348">
                  <v>120079</v>
                </pt>
                <pt idx="349">
                  <v>115742</v>
                </pt>
                <pt idx="350">
                  <v>135432</v>
                </pt>
                <pt idx="351">
                  <v>141387</v>
                </pt>
                <pt idx="352">
                  <v>134847</v>
                </pt>
                <pt idx="353">
                  <v>132018</v>
                </pt>
                <pt idx="354">
                  <v>126342</v>
                </pt>
                <pt idx="355">
                  <v>122944</v>
                </pt>
                <pt idx="356">
                  <v>124448</v>
                </pt>
                <pt idx="357">
                  <v>126572</v>
                </pt>
                <pt idx="358">
                  <v>126489</v>
                </pt>
                <pt idx="359">
                  <v>126267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Motor!$D$7:$D$366</f>
              <numCache>
                <formatCode>General</formatCode>
                <ptCount val="36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0.01702814124395053</v>
                </pt>
                <pt idx="217">
                  <formatCode>0.00%</formatCode>
                  <v>0.0307817228906769</v>
                </pt>
                <pt idx="218">
                  <formatCode>0.00%</formatCode>
                  <v>0.1468361581920904</v>
                </pt>
                <pt idx="219">
                  <formatCode>0.00%</formatCode>
                  <v>0.1544522658102582</v>
                </pt>
                <pt idx="220">
                  <formatCode>0.00%</formatCode>
                  <v>0.1392889496940228</v>
                </pt>
                <pt idx="221">
                  <formatCode>0.00%</formatCode>
                  <v>0.08401194114218084</v>
                </pt>
                <pt idx="222">
                  <formatCode>0.00%</formatCode>
                  <v>0.08436655814919997</v>
                </pt>
                <pt idx="223">
                  <formatCode>0.00%</formatCode>
                  <v>0.006231630342257842</v>
                </pt>
                <pt idx="224">
                  <formatCode>0.00%</formatCode>
                  <v>0.1816789330145328</v>
                </pt>
                <pt idx="225">
                  <formatCode>0.00%</formatCode>
                  <v>0.1462926561476208</v>
                </pt>
                <pt idx="226">
                  <formatCode>0.00%</formatCode>
                  <v>0.1422195100688693</v>
                </pt>
                <pt idx="227">
                  <formatCode>0.00%</formatCode>
                  <v>0.1429247183727816</v>
                </pt>
                <pt idx="228">
                  <formatCode>0.00%</formatCode>
                  <v>0.1682410997532605</v>
                </pt>
                <pt idx="229">
                  <formatCode>0.00%</formatCode>
                  <v>0.2052420509882555</v>
                </pt>
                <pt idx="230">
                  <formatCode>0.00%</formatCode>
                  <v>0.1096441532423601</v>
                </pt>
                <pt idx="231">
                  <formatCode>0.00%</formatCode>
                  <v>0.07905675330346601</v>
                </pt>
                <pt idx="232">
                  <formatCode>0.00%</formatCode>
                  <v>0.06958440841893448</v>
                </pt>
                <pt idx="233">
                  <formatCode>0.00%</formatCode>
                  <v>0.08801147196375902</v>
                </pt>
                <pt idx="234">
                  <formatCode>0.00%</formatCode>
                  <v>0.06071542638134781</v>
                </pt>
                <pt idx="235">
                  <formatCode>0.00%</formatCode>
                  <v>0.0512042904343107</v>
                </pt>
                <pt idx="236">
                  <formatCode>0.00%</formatCode>
                  <v>0.08782801138159975</v>
                </pt>
                <pt idx="237">
                  <formatCode>0.00%</formatCode>
                  <v>0.07956125444152634</v>
                </pt>
                <pt idx="238">
                  <formatCode>0.00%</formatCode>
                  <v>0.07191048968127976</v>
                </pt>
                <pt idx="239">
                  <formatCode>0.00%</formatCode>
                  <v>0.0957738706562227</v>
                </pt>
                <pt idx="240">
                  <formatCode>0.00%</formatCode>
                  <v>0.08197809492200464</v>
                </pt>
                <pt idx="241">
                  <formatCode>0.00%</formatCode>
                  <v>0.07826797385620915</v>
                </pt>
                <pt idx="242">
                  <formatCode>0.00%</formatCode>
                  <v>0.07513244739100837</v>
                </pt>
                <pt idx="243">
                  <formatCode>0.00%</formatCode>
                  <v>0.09333453242801684</v>
                </pt>
                <pt idx="244">
                  <formatCode>0.00%</formatCode>
                  <v>0.1172490176146622</v>
                </pt>
                <pt idx="245">
                  <formatCode>0.00%</formatCode>
                  <v>0.08414210400191709</v>
                </pt>
                <pt idx="246">
                  <formatCode>0.00%</formatCode>
                  <v>0.1009153593688838</v>
                </pt>
                <pt idx="247">
                  <formatCode>0.00%</formatCode>
                  <v>0.1223978499521705</v>
                </pt>
                <pt idx="248">
                  <formatCode>0.00%</formatCode>
                  <v>0.09269646593815392</v>
                </pt>
                <pt idx="249">
                  <formatCode>0.00%</formatCode>
                  <v>0.07059244419004007</v>
                </pt>
                <pt idx="250">
                  <formatCode>0.00%</formatCode>
                  <v>0.0799595574099654</v>
                </pt>
                <pt idx="251">
                  <formatCode>0.00%</formatCode>
                  <v>0.07528852206756662</v>
                </pt>
                <pt idx="252">
                  <formatCode>0.00%</formatCode>
                  <v>0.08336586726157279</v>
                </pt>
                <pt idx="253">
                  <formatCode>0.00%</formatCode>
                  <v>0.08585322845059169</v>
                </pt>
                <pt idx="254">
                  <formatCode>0.00%</formatCode>
                  <v>0.07238716604038485</v>
                </pt>
                <pt idx="255">
                  <formatCode>0.00%</formatCode>
                  <v>0.07464630401403817</v>
                </pt>
                <pt idx="256">
                  <formatCode>0.00%</formatCode>
                  <v>0.08255136544494086</v>
                </pt>
                <pt idx="257">
                  <formatCode>0.00%</formatCode>
                  <v>0.1233802116431354</v>
                </pt>
                <pt idx="258">
                  <formatCode>0.00%</formatCode>
                  <v>0.1174700854700855</v>
                </pt>
                <pt idx="259">
                  <formatCode>0.00%</formatCode>
                  <v>0.1008116883116883</v>
                </pt>
                <pt idx="260">
                  <formatCode>0.00%</formatCode>
                  <v>0.06650708158787154</v>
                </pt>
                <pt idx="261">
                  <formatCode>0.00%</formatCode>
                  <v>0.08926256131955676</v>
                </pt>
                <pt idx="262">
                  <formatCode>0.00%</formatCode>
                  <v>0.07890503441546454</v>
                </pt>
                <pt idx="263">
                  <formatCode>0.00%</formatCode>
                  <v>0.05980459755161513</v>
                </pt>
                <pt idx="264">
                  <formatCode>0.00%</formatCode>
                  <v>0.01719455848852624</v>
                </pt>
                <pt idx="265">
                  <formatCode>0.00%</formatCode>
                  <v>0.0348638053310666</v>
                </pt>
                <pt idx="266">
                  <formatCode>0.00%</formatCode>
                  <v>0.08466178924399949</v>
                </pt>
                <pt idx="267">
                  <formatCode>0.00%</formatCode>
                  <v>0.09474543622191889</v>
                </pt>
                <pt idx="268">
                  <formatCode>0.00%</formatCode>
                  <v>0.07860207230487469</v>
                </pt>
                <pt idx="269">
                  <formatCode>0.00%</formatCode>
                  <v>0.06039327569880837</v>
                </pt>
                <pt idx="270">
                  <formatCode>0.00%</formatCode>
                  <v>0.05964633176283424</v>
                </pt>
                <pt idx="271">
                  <formatCode>0.00%</formatCode>
                  <v>0.07183060512215504</v>
                </pt>
                <pt idx="272">
                  <formatCode>0.00%</formatCode>
                  <v>0.0787321063394683</v>
                </pt>
                <pt idx="273">
                  <formatCode>0.00%</formatCode>
                  <v>0.06459609036580727</v>
                </pt>
                <pt idx="274">
                  <formatCode>0.00%</formatCode>
                  <v>0.07324435970765809</v>
                </pt>
                <pt idx="275">
                  <formatCode>0.00%</formatCode>
                  <v>0.0736767160954532</v>
                </pt>
                <pt idx="276">
                  <formatCode>0.00%</formatCode>
                  <v>0.1199974694755488</v>
                </pt>
                <pt idx="277">
                  <formatCode>0.00%</formatCode>
                  <v>0.07007564148144516</v>
                </pt>
                <pt idx="278">
                  <formatCode>0.00%</formatCode>
                  <v>0.07850330154071901</v>
                </pt>
                <pt idx="279">
                  <formatCode>0.00%</formatCode>
                  <v>0.06847207979863895</v>
                </pt>
                <pt idx="280">
                  <formatCode>0.00%</formatCode>
                  <v>0.07360671752884257</v>
                </pt>
                <pt idx="281">
                  <formatCode>0.00%</formatCode>
                  <v>0.07163566358955328</v>
                </pt>
                <pt idx="282">
                  <formatCode>0.00%</formatCode>
                  <v>0.06820727806072364</v>
                </pt>
                <pt idx="283">
                  <formatCode>0.00%</formatCode>
                  <v>0.06861047731520231</v>
                </pt>
                <pt idx="284">
                  <formatCode>0.00%</formatCode>
                  <v>0.08195584325511501</v>
                </pt>
                <pt idx="285">
                  <formatCode>0.00%</formatCode>
                  <v>0.07072791193591148</v>
                </pt>
                <pt idx="286">
                  <formatCode>0.00%</formatCode>
                  <v>0.06956670272732449</v>
                </pt>
                <pt idx="287">
                  <formatCode>0.00%</formatCode>
                  <v>0.0686666819106853</v>
                </pt>
                <pt idx="288">
                  <formatCode>0.00%</formatCode>
                  <v>0.0516725222833516</v>
                </pt>
                <pt idx="289">
                  <formatCode>0.00%</formatCode>
                  <v>0.09494185713467378</v>
                </pt>
                <pt idx="290">
                  <formatCode>0.00%</formatCode>
                  <v>0.02651964011411016</v>
                </pt>
                <pt idx="291">
                  <formatCode>0.00%</formatCode>
                  <v>0.0223247393447629</v>
                </pt>
                <pt idx="292">
                  <formatCode>0.00%</formatCode>
                  <v>0.01958554049808803</v>
                </pt>
                <pt idx="293">
                  <formatCode>0.00%</formatCode>
                  <v>0.02539905849250582</v>
                </pt>
                <pt idx="294">
                  <formatCode>0.00%</formatCode>
                  <v>0.03726687929077247</v>
                </pt>
                <pt idx="295">
                  <formatCode>0.00%</formatCode>
                  <v>0.03363697814401133</v>
                </pt>
                <pt idx="296">
                  <formatCode>0.00%</formatCode>
                  <v>0.03821581196581197</v>
                </pt>
                <pt idx="297">
                  <formatCode>0.00%</formatCode>
                  <v>0.0445791303786158</v>
                </pt>
                <pt idx="298">
                  <formatCode>0.00%</formatCode>
                  <v>0.02861888335249776</v>
                </pt>
                <pt idx="299">
                  <formatCode>0.00%</formatCode>
                  <v>0.06389079082505991</v>
                </pt>
                <pt idx="300">
                  <formatCode>0.00%</formatCode>
                  <v>0.06796429377074538</v>
                </pt>
                <pt idx="301">
                  <formatCode>0.00%</formatCode>
                  <v>0.03395345917214247</v>
                </pt>
                <pt idx="302">
                  <formatCode>0.00%</formatCode>
                  <v>0.03364793655204849</v>
                </pt>
                <pt idx="303">
                  <formatCode>0.00%</formatCode>
                  <v>0.03962064882279521</v>
                </pt>
                <pt idx="304">
                  <formatCode>0.00%</formatCode>
                  <v>0.03975733364498889</v>
                </pt>
                <pt idx="305">
                  <formatCode>0.00%</formatCode>
                  <v>0.04162445119891928</v>
                </pt>
                <pt idx="306">
                  <formatCode>0.00%</formatCode>
                  <v>0.03105000938066749</v>
                </pt>
                <pt idx="307">
                  <formatCode>0.00%</formatCode>
                  <v>0.003352848364059126</v>
                </pt>
                <pt idx="308">
                  <formatCode>0.00%</formatCode>
                  <v>0.03881576916348518</v>
                </pt>
                <pt idx="309">
                  <formatCode>0.00%</formatCode>
                  <v>0.04604666501772611</v>
                </pt>
                <pt idx="310">
                  <formatCode>0.00%</formatCode>
                  <v>0.0414130749803337</v>
                </pt>
                <pt idx="311">
                  <formatCode>0.00%</formatCode>
                  <v>0.009412332569084107</v>
                </pt>
                <pt idx="312">
                  <formatCode>0.00%</formatCode>
                  <v>0.00864011265338966</v>
                </pt>
                <pt idx="313">
                  <formatCode>0.00%</formatCode>
                  <v>0.01011971624315654</v>
                </pt>
                <pt idx="314">
                  <formatCode>0.00%</formatCode>
                  <v>0.03540664908743085</v>
                </pt>
                <pt idx="315">
                  <formatCode>0.00%</formatCode>
                  <v>0.03088668383733697</v>
                </pt>
                <pt idx="316">
                  <formatCode>0.00%</formatCode>
                  <v>0.03080837497317679</v>
                </pt>
                <pt idx="317">
                  <formatCode>0.00%</formatCode>
                  <v>0.01922063710788684</v>
                </pt>
                <pt idx="318">
                  <formatCode>0.00%</formatCode>
                  <v>0.02286673203869755</v>
                </pt>
                <pt idx="319">
                  <formatCode>0.00%</formatCode>
                  <v>0.03155422671453254</v>
                </pt>
                <pt idx="320">
                  <formatCode>0.00%</formatCode>
                  <v>-0.01520569792667585</v>
                </pt>
                <pt idx="321">
                  <formatCode>0.00%</formatCode>
                  <v>-0.0159704433497537</v>
                </pt>
                <pt idx="322">
                  <formatCode>0.00%</formatCode>
                  <v>0.0008249430988043295</v>
                </pt>
                <pt idx="323">
                  <formatCode>0.00%</formatCode>
                  <v>0.01385734210001992</v>
                </pt>
                <pt idx="324">
                  <formatCode>0.00%</formatCode>
                  <v>-0.006721247718864369</v>
                </pt>
                <pt idx="325">
                  <formatCode>0.00%</formatCode>
                  <v>0.005369826783012913</v>
                </pt>
                <pt idx="326">
                  <formatCode>0.00%</formatCode>
                  <v>0.03106991980345354</v>
                </pt>
                <pt idx="327">
                  <formatCode>0.00%</formatCode>
                  <v>0.01718045449568498</v>
                </pt>
                <pt idx="328">
                  <formatCode>0.00%</formatCode>
                  <v>0.01725847062788715</v>
                </pt>
                <pt idx="329">
                  <formatCode>0.00%</formatCode>
                  <v>0.02349070014812164</v>
                </pt>
                <pt idx="330">
                  <formatCode>0.00%</formatCode>
                  <v>0.02467805856715061</v>
                </pt>
                <pt idx="331">
                  <formatCode>0.00%</formatCode>
                  <v>0.05908192841167798</v>
                </pt>
                <pt idx="332">
                  <formatCode>0.00%</formatCode>
                  <v>0.04323334741585692</v>
                </pt>
                <pt idx="333">
                  <formatCode>0.00%</formatCode>
                  <v>0.04223109963055297</v>
                </pt>
                <pt idx="334">
                  <formatCode>0.00%</formatCode>
                  <v>0.05843330420274886</v>
                </pt>
                <pt idx="335">
                  <formatCode>0.00%</formatCode>
                  <v>0.0299888966404968</v>
                </pt>
                <pt idx="336">
                  <formatCode>0.00%</formatCode>
                  <v>0.05579037196927865</v>
                </pt>
                <pt idx="337">
                  <formatCode>0.00%</formatCode>
                  <v>0.05148824648989068</v>
                </pt>
                <pt idx="338">
                  <formatCode>0.00%</formatCode>
                  <v>-0.2440333204184425</v>
                </pt>
                <pt idx="339">
                  <formatCode>0.00%</formatCode>
                  <v>-0.332628756519782</v>
                </pt>
                <pt idx="340">
                  <formatCode>0.00%</formatCode>
                  <v>-0.0163420029429248</v>
                </pt>
                <pt idx="341">
                  <formatCode>0.00%</formatCode>
                  <v>0.07399277361202844</v>
                </pt>
                <pt idx="342">
                  <formatCode>0.00%</formatCode>
                  <v>0.05563271604938272</v>
                </pt>
                <pt idx="343">
                  <formatCode>0.00%</formatCode>
                  <v>0.03988636363636364</v>
                </pt>
                <pt idx="344">
                  <formatCode>0.00%</formatCode>
                  <v>0.1028039185436594</v>
                </pt>
                <pt idx="345">
                  <formatCode>0.00%</formatCode>
                  <v>0.09143395102644648</v>
                </pt>
                <pt idx="346">
                  <formatCode>0.00%</formatCode>
                  <v>0.04641583786826797</v>
                </pt>
                <pt idx="347">
                  <formatCode>0.00%</formatCode>
                  <v>0.09181191150797058</v>
                </pt>
                <pt idx="348">
                  <formatCode>0.00%</formatCode>
                  <v>0.1418478157509367</v>
                </pt>
                <pt idx="349">
                  <formatCode>0.00%</formatCode>
                  <v>0.09687263078089461</v>
                </pt>
                <pt idx="350">
                  <formatCode>0.00%</formatCode>
                  <v>0.7352843195038823</v>
                </pt>
                <pt idx="351">
                  <formatCode>0.00%</formatCode>
                  <v>1.07318396433913</v>
                </pt>
                <pt idx="352">
                  <formatCode>0.00%</formatCode>
                  <v>0.3358859543103961</v>
                </pt>
                <pt idx="353">
                  <formatCode>0.00%</formatCode>
                  <v>0.1939334744153237</v>
                </pt>
                <pt idx="354">
                  <formatCode>0.00%</formatCode>
                  <v>0.154356406695417</v>
                </pt>
                <pt idx="355">
                  <formatCode>0.00%</formatCode>
                  <v>0.1195862018722908</v>
                </pt>
                <pt idx="356">
                  <formatCode>0.00%</formatCode>
                  <v>0.08807945861821742</v>
                </pt>
                <pt idx="357">
                  <formatCode>0.00%</formatCode>
                  <v>0.1140430400915372</v>
                </pt>
                <pt idx="358">
                  <formatCode>0.00%</formatCode>
                  <v>0.1341558546360971</v>
                </pt>
                <pt idx="359">
                  <formatCode>0.00%</formatCode>
                  <v>0.103279247162442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Housing!$A$7:$A$366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Housing!$B$7:$B$366</f>
              <numCache>
                <formatCode>#,##0</formatCode>
                <ptCount val="360"/>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20562</v>
                </pt>
                <pt idx="217">
                  <v>20448</v>
                </pt>
                <pt idx="218">
                  <v>21872</v>
                </pt>
                <pt idx="219">
                  <v>23542</v>
                </pt>
                <pt idx="220">
                  <v>21737</v>
                </pt>
                <pt idx="221">
                  <v>21522</v>
                </pt>
                <pt idx="222">
                  <v>21493</v>
                </pt>
                <pt idx="223">
                  <v>21296</v>
                </pt>
                <pt idx="224">
                  <v>21336</v>
                </pt>
                <pt idx="225">
                  <v>22040</v>
                </pt>
                <pt idx="226">
                  <v>21977</v>
                </pt>
                <pt idx="227">
                  <v>22112</v>
                </pt>
                <pt idx="228">
                  <v>21498</v>
                </pt>
                <pt idx="229">
                  <v>21202</v>
                </pt>
                <pt idx="230">
                  <v>21865</v>
                </pt>
                <pt idx="231">
                  <v>22053</v>
                </pt>
                <pt idx="232">
                  <v>22326</v>
                </pt>
                <pt idx="233">
                  <v>22709</v>
                </pt>
                <pt idx="234">
                  <v>22744</v>
                </pt>
                <pt idx="235">
                  <v>22775</v>
                </pt>
                <pt idx="236">
                  <v>22644</v>
                </pt>
                <pt idx="237">
                  <v>23253</v>
                </pt>
                <pt idx="238">
                  <v>22908</v>
                </pt>
                <pt idx="239">
                  <v>23443</v>
                </pt>
                <pt idx="240">
                  <v>23657</v>
                </pt>
                <pt idx="241">
                  <v>23588</v>
                </pt>
                <pt idx="242">
                  <v>24587</v>
                </pt>
                <pt idx="243">
                  <v>23423</v>
                </pt>
                <pt idx="244">
                  <v>22721</v>
                </pt>
                <pt idx="245">
                  <v>22516</v>
                </pt>
                <pt idx="246">
                  <v>22700</v>
                </pt>
                <pt idx="247">
                  <v>23071</v>
                </pt>
                <pt idx="248">
                  <v>23652</v>
                </pt>
                <pt idx="249">
                  <v>23831</v>
                </pt>
                <pt idx="250">
                  <v>24146</v>
                </pt>
                <pt idx="251">
                  <v>24126</v>
                </pt>
                <pt idx="252">
                  <v>24376</v>
                </pt>
                <pt idx="253">
                  <v>24759</v>
                </pt>
                <pt idx="254">
                  <v>24692</v>
                </pt>
                <pt idx="255">
                  <v>24815</v>
                </pt>
                <pt idx="256">
                  <v>25320</v>
                </pt>
                <pt idx="257">
                  <v>24799</v>
                </pt>
                <pt idx="258">
                  <v>25347</v>
                </pt>
                <pt idx="259">
                  <v>25284</v>
                </pt>
                <pt idx="260">
                  <v>25259</v>
                </pt>
                <pt idx="261">
                  <v>24917</v>
                </pt>
                <pt idx="262">
                  <v>24828</v>
                </pt>
                <pt idx="263">
                  <v>24956</v>
                </pt>
                <pt idx="264">
                  <v>24872</v>
                </pt>
                <pt idx="265">
                  <v>24817</v>
                </pt>
                <pt idx="266">
                  <v>25282</v>
                </pt>
                <pt idx="267">
                  <v>26122</v>
                </pt>
                <pt idx="268">
                  <v>26465</v>
                </pt>
                <pt idx="269">
                  <v>26620</v>
                </pt>
                <pt idx="270">
                  <v>26084</v>
                </pt>
                <pt idx="271">
                  <v>26569</v>
                </pt>
                <pt idx="272">
                  <v>26494</v>
                </pt>
                <pt idx="273">
                  <v>26463</v>
                </pt>
                <pt idx="274">
                  <v>26602</v>
                </pt>
                <pt idx="275">
                  <v>26268</v>
                </pt>
                <pt idx="276">
                  <v>26517</v>
                </pt>
                <pt idx="277">
                  <v>25555</v>
                </pt>
                <pt idx="278">
                  <v>26534</v>
                </pt>
                <pt idx="279">
                  <v>26690</v>
                </pt>
                <pt idx="280">
                  <v>26826</v>
                </pt>
                <pt idx="281">
                  <v>26570</v>
                </pt>
                <pt idx="282">
                  <v>27326</v>
                </pt>
                <pt idx="283">
                  <v>27385</v>
                </pt>
                <pt idx="284">
                  <v>27138</v>
                </pt>
                <pt idx="285">
                  <v>27331</v>
                </pt>
                <pt idx="286">
                  <v>27638</v>
                </pt>
                <pt idx="287">
                  <v>28165</v>
                </pt>
                <pt idx="288">
                  <v>28215</v>
                </pt>
                <pt idx="289">
                  <v>28260</v>
                </pt>
                <pt idx="290">
                  <v>28956</v>
                </pt>
                <pt idx="291">
                  <v>27956</v>
                </pt>
                <pt idx="292">
                  <v>27608</v>
                </pt>
                <pt idx="293">
                  <v>28271</v>
                </pt>
                <pt idx="294">
                  <v>27969</v>
                </pt>
                <pt idx="295">
                  <v>27846</v>
                </pt>
                <pt idx="296">
                  <v>27876</v>
                </pt>
                <pt idx="297">
                  <v>28050</v>
                </pt>
                <pt idx="298">
                  <v>28206</v>
                </pt>
                <pt idx="299">
                  <v>28155</v>
                </pt>
                <pt idx="300">
                  <v>28685</v>
                </pt>
                <pt idx="301">
                  <v>28943</v>
                </pt>
                <pt idx="302">
                  <v>28755</v>
                </pt>
                <pt idx="303">
                  <v>29063</v>
                </pt>
                <pt idx="304">
                  <v>28764</v>
                </pt>
                <pt idx="305">
                  <v>28720</v>
                </pt>
                <pt idx="306">
                  <v>28838</v>
                </pt>
                <pt idx="307">
                  <v>28843</v>
                </pt>
                <pt idx="308">
                  <v>29763</v>
                </pt>
                <pt idx="309">
                  <v>29561</v>
                </pt>
                <pt idx="310">
                  <v>29948</v>
                </pt>
                <pt idx="311">
                  <v>30044</v>
                </pt>
                <pt idx="312">
                  <v>29261</v>
                </pt>
                <pt idx="313">
                  <v>30076</v>
                </pt>
                <pt idx="314">
                  <v>29792</v>
                </pt>
                <pt idx="315">
                  <v>29807</v>
                </pt>
                <pt idx="316">
                  <v>30546</v>
                </pt>
                <pt idx="317">
                  <v>30974</v>
                </pt>
                <pt idx="318">
                  <v>30991</v>
                </pt>
                <pt idx="319">
                  <v>30601</v>
                </pt>
                <pt idx="320">
                  <v>30735</v>
                </pt>
                <pt idx="321">
                  <v>31505</v>
                </pt>
                <pt idx="322">
                  <v>30855</v>
                </pt>
                <pt idx="323">
                  <v>30971</v>
                </pt>
                <pt idx="324">
                  <v>32451</v>
                </pt>
                <pt idx="325">
                  <v>30745</v>
                </pt>
                <pt idx="326">
                  <v>31106</v>
                </pt>
                <pt idx="327">
                  <v>30959</v>
                </pt>
                <pt idx="328">
                  <v>30338</v>
                </pt>
                <pt idx="329">
                  <v>30385</v>
                </pt>
                <pt idx="330">
                  <v>30679</v>
                </pt>
                <pt idx="331">
                  <v>31270</v>
                </pt>
                <pt idx="332">
                  <v>30806</v>
                </pt>
                <pt idx="333">
                  <v>31118</v>
                </pt>
                <pt idx="334">
                  <v>31312</v>
                </pt>
                <pt idx="335">
                  <v>31952</v>
                </pt>
                <pt idx="336">
                  <v>32920</v>
                </pt>
                <pt idx="337">
                  <v>32904</v>
                </pt>
                <pt idx="338">
                  <v>32810</v>
                </pt>
                <pt idx="339">
                  <v>32184</v>
                </pt>
                <pt idx="340">
                  <v>35951</v>
                </pt>
                <pt idx="341">
                  <v>36366</v>
                </pt>
                <pt idx="342">
                  <v>35906</v>
                </pt>
                <pt idx="343">
                  <v>36692</v>
                </pt>
                <pt idx="344">
                  <v>37035</v>
                </pt>
                <pt idx="345">
                  <v>36752</v>
                </pt>
                <pt idx="346">
                  <v>37121</v>
                </pt>
                <pt idx="347">
                  <v>37099</v>
                </pt>
                <pt idx="348">
                  <v>39996</v>
                </pt>
                <pt idx="349">
                  <v>38082</v>
                </pt>
                <pt idx="350">
                  <v>43458</v>
                </pt>
                <pt idx="351">
                  <v>42042</v>
                </pt>
                <pt idx="352">
                  <v>39648</v>
                </pt>
                <pt idx="353">
                  <v>39095</v>
                </pt>
                <pt idx="354">
                  <v>38657</v>
                </pt>
                <pt idx="355">
                  <v>39275</v>
                </pt>
                <pt idx="356">
                  <v>39299</v>
                </pt>
                <pt idx="357">
                  <v>40279</v>
                </pt>
                <pt idx="358">
                  <v>40579</v>
                </pt>
                <pt idx="359">
                  <v>41740</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Housing!$A$7:$A$366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Housing!$D$7:$D$366</f>
              <numCache>
                <formatCode>General</formatCode>
                <ptCount val="360"/>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-0.09649354073292908</v>
                </pt>
                <pt idx="217">
                  <formatCode>0.00%</formatCode>
                  <v>-0.09111921059649747</v>
                </pt>
                <pt idx="218">
                  <formatCode>0.00%</formatCode>
                  <v>-0.01250620795521242</v>
                </pt>
                <pt idx="219">
                  <formatCode>0.00%</formatCode>
                  <v>0.06563461886655803</v>
                </pt>
                <pt idx="220">
                  <formatCode>0.00%</formatCode>
                  <v>-0.02568354997758852</v>
                </pt>
                <pt idx="221">
                  <formatCode>0.00%</formatCode>
                  <v>-0.03627082213863514</v>
                </pt>
                <pt idx="222">
                  <formatCode>0.00%</formatCode>
                  <v>-0.01782205364895124</v>
                </pt>
                <pt idx="223">
                  <formatCode>0.00%</formatCode>
                  <v>-0.008289093787836453</v>
                </pt>
                <pt idx="224">
                  <formatCode>0.00%</formatCode>
                  <v>-0.001263867434349108</v>
                </pt>
                <pt idx="225">
                  <formatCode>0.00%</formatCode>
                  <v>0.06674410725521514</v>
                </pt>
                <pt idx="226">
                  <formatCode>0.00%</formatCode>
                  <v>0.04997372318570541</v>
                </pt>
                <pt idx="227">
                  <formatCode>0.00%</formatCode>
                  <v>0.06057844500935296</v>
                </pt>
                <pt idx="228">
                  <formatCode>0.00%</formatCode>
                  <v>0.04552086372920922</v>
                </pt>
                <pt idx="229">
                  <formatCode>0.00%</formatCode>
                  <v>0.03687402190923317</v>
                </pt>
                <pt idx="230">
                  <formatCode>0.00%</formatCode>
                  <v>-0.0003200438917337235</v>
                </pt>
                <pt idx="231">
                  <formatCode>0.00%</formatCode>
                  <v>-0.06324866196584827</v>
                </pt>
                <pt idx="232">
                  <formatCode>0.00%</formatCode>
                  <v>0.02709665547223628</v>
                </pt>
                <pt idx="233">
                  <formatCode>0.00%</formatCode>
                  <v>0.05515286683393737</v>
                </pt>
                <pt idx="234">
                  <formatCode>0.00%</formatCode>
                  <v>0.05820499697575955</v>
                </pt>
                <pt idx="235">
                  <formatCode>0.00%</formatCode>
                  <v>0.06944966190833959</v>
                </pt>
                <pt idx="236">
                  <formatCode>0.00%</formatCode>
                  <v>0.06130483689538808</v>
                </pt>
                <pt idx="237">
                  <formatCode>0.00%</formatCode>
                  <v>0.05503629764065335</v>
                </pt>
                <pt idx="238">
                  <formatCode>0.00%</formatCode>
                  <v>0.04236246985484825</v>
                </pt>
                <pt idx="239">
                  <formatCode>0.00%</formatCode>
                  <v>0.06019356005788712</v>
                </pt>
                <pt idx="240">
                  <formatCode>0.00%</formatCode>
                  <v>0.1004279467857475</v>
                </pt>
                <pt idx="241">
                  <formatCode>0.00%</formatCode>
                  <v>0.1125365531553627</v>
                </pt>
                <pt idx="242">
                  <formatCode>0.00%</formatCode>
                  <v>0.124491195975303</v>
                </pt>
                <pt idx="243">
                  <formatCode>0.00%</formatCode>
                  <v>0.06212306715639596</v>
                </pt>
                <pt idx="244">
                  <formatCode>0.00%</formatCode>
                  <v>0.01769237660127206</v>
                </pt>
                <pt idx="245">
                  <formatCode>0.00%</formatCode>
                  <v>-0.008498833061781673</v>
                </pt>
                <pt idx="246">
                  <formatCode>0.00%</formatCode>
                  <v>-0.001934576151952163</v>
                </pt>
                <pt idx="247">
                  <formatCode>0.00%</formatCode>
                  <v>0.0129967069154775</v>
                </pt>
                <pt idx="248">
                  <formatCode>0.00%</formatCode>
                  <v>0.04451510333863275</v>
                </pt>
                <pt idx="249">
                  <formatCode>0.00%</formatCode>
                  <v>0.02485700769793145</v>
                </pt>
                <pt idx="250">
                  <formatCode>0.00%</formatCode>
                  <v>0.05404225598044352</v>
                </pt>
                <pt idx="251">
                  <formatCode>0.00%</formatCode>
                  <v>0.02913449643816918</v>
                </pt>
                <pt idx="252">
                  <formatCode>0.00%</formatCode>
                  <v>0.03039269560806527</v>
                </pt>
                <pt idx="253">
                  <formatCode>0.00%</formatCode>
                  <v>0.04964388672206207</v>
                </pt>
                <pt idx="254">
                  <formatCode>0.00%</formatCode>
                  <v>0.004270549477366088</v>
                </pt>
                <pt idx="255">
                  <formatCode>0.00%</formatCode>
                  <v>0.05942876659693463</v>
                </pt>
                <pt idx="256">
                  <formatCode>0.00%</formatCode>
                  <v>0.1143875709695876</v>
                </pt>
                <pt idx="257">
                  <formatCode>0.00%</formatCode>
                  <v>0.1013945638656955</v>
                </pt>
                <pt idx="258">
                  <formatCode>0.00%</formatCode>
                  <v>0.1166079295154185</v>
                </pt>
                <pt idx="259">
                  <formatCode>0.00%</formatCode>
                  <v>0.09592128646352564</v>
                </pt>
                <pt idx="260">
                  <formatCode>0.00%</formatCode>
                  <v>0.06794351429054625</v>
                </pt>
                <pt idx="261">
                  <formatCode>0.00%</formatCode>
                  <v>0.0455708950526625</v>
                </pt>
                <pt idx="262">
                  <formatCode>0.00%</formatCode>
                  <v>0.02824484386647892</v>
                </pt>
                <pt idx="263">
                  <formatCode>0.00%</formatCode>
                  <v>0.03440271905827737</v>
                </pt>
                <pt idx="264">
                  <formatCode>0.00%</formatCode>
                  <v>0.02034788316376764</v>
                </pt>
                <pt idx="265">
                  <formatCode>0.00%</formatCode>
                  <v>0.002342582495254251</v>
                </pt>
                <pt idx="266">
                  <formatCode>0.00%</formatCode>
                  <v>0.0238943787461526</v>
                </pt>
                <pt idx="267">
                  <formatCode>0.00%</formatCode>
                  <v>0.05266975619584929</v>
                </pt>
                <pt idx="268">
                  <formatCode>0.00%</formatCode>
                  <v>0.04522116903633491</v>
                </pt>
                <pt idx="269">
                  <formatCode>0.00%</formatCode>
                  <v>0.07343038025726843</v>
                </pt>
                <pt idx="270">
                  <formatCode>0.00%</formatCode>
                  <v>0.02907641930011441</v>
                </pt>
                <pt idx="271">
                  <formatCode>0.00%</formatCode>
                  <v>0.05082265464325265</v>
                </pt>
                <pt idx="272">
                  <formatCode>0.00%</formatCode>
                  <v>0.04889346371590324</v>
                </pt>
                <pt idx="273">
                  <formatCode>0.00%</formatCode>
                  <v>0.06204599269574989</v>
                </pt>
                <pt idx="274">
                  <formatCode>0.00%</formatCode>
                  <v>0.07145158691799582</v>
                </pt>
                <pt idx="275">
                  <formatCode>0.00%</formatCode>
                  <v>0.05257252764866165</v>
                </pt>
                <pt idx="276">
                  <formatCode>0.00%</formatCode>
                  <v>0.06613862978449662</v>
                </pt>
                <pt idx="277">
                  <formatCode>0.00%</formatCode>
                  <v>0.02973767981625499</v>
                </pt>
                <pt idx="278">
                  <formatCode>0.00%</formatCode>
                  <v>0.04952139862352662</v>
                </pt>
                <pt idx="279">
                  <formatCode>0.00%</formatCode>
                  <v>0.02174412372712656</v>
                </pt>
                <pt idx="280">
                  <formatCode>0.00%</formatCode>
                  <v>0.01364065747213301</v>
                </pt>
                <pt idx="281">
                  <formatCode>0.00%</formatCode>
                  <v>-0.001878287002253944</v>
                </pt>
                <pt idx="282">
                  <formatCode>0.00%</formatCode>
                  <v>0.04761539641159331</v>
                </pt>
                <pt idx="283">
                  <formatCode>0.00%</formatCode>
                  <v>0.03071248447438744</v>
                </pt>
                <pt idx="284">
                  <formatCode>0.00%</formatCode>
                  <v>0.02430739035253265</v>
                </pt>
                <pt idx="285">
                  <formatCode>0.00%</formatCode>
                  <v>0.03280051392510298</v>
                </pt>
                <pt idx="286">
                  <formatCode>0.00%</formatCode>
                  <v>0.03894444026764905</v>
                </pt>
                <pt idx="287">
                  <formatCode>0.00%</formatCode>
                  <v>0.07221714633774935</v>
                </pt>
                <pt idx="288">
                  <formatCode>0.00%</formatCode>
                  <v>0.06403439303088584</v>
                </pt>
                <pt idx="289">
                  <formatCode>0.00%</formatCode>
                  <v>0.1058501271766778</v>
                </pt>
                <pt idx="290">
                  <formatCode>0.00%</formatCode>
                  <v>0.0912791135901108</v>
                </pt>
                <pt idx="291">
                  <formatCode>0.00%</formatCode>
                  <v>0.04743349569127014</v>
                </pt>
                <pt idx="292">
                  <formatCode>0.00%</formatCode>
                  <v>0.02915082382762991</v>
                </pt>
                <pt idx="293">
                  <formatCode>0.00%</formatCode>
                  <v>0.06401957094467445</v>
                </pt>
                <pt idx="294">
                  <formatCode>0.00%</formatCode>
                  <v>0.0235307033594379</v>
                </pt>
                <pt idx="295">
                  <formatCode>0.00%</formatCode>
                  <v>0.01683403322987037</v>
                </pt>
                <pt idx="296">
                  <formatCode>0.00%</formatCode>
                  <v>0.02719434003979659</v>
                </pt>
                <pt idx="297">
                  <formatCode>0.00%</formatCode>
                  <v>0.02630712377885917</v>
                </pt>
                <pt idx="298">
                  <formatCode>0.00%</formatCode>
                  <v>0.02055141471886533</v>
                </pt>
                <pt idx="299">
                  <formatCode>0.00%</formatCode>
                  <v>-0.0003550505947097461</v>
                </pt>
                <pt idx="300">
                  <formatCode>0.00%</formatCode>
                  <v>0.01665780613149034</v>
                </pt>
                <pt idx="301">
                  <formatCode>0.00%</formatCode>
                  <v>0.02416843595187544</v>
                </pt>
                <pt idx="302">
                  <formatCode>0.00%</formatCode>
                  <v>-0.006941566514711977</v>
                </pt>
                <pt idx="303">
                  <formatCode>0.00%</formatCode>
                  <v>0.03959793961940192</v>
                </pt>
                <pt idx="304">
                  <formatCode>0.00%</formatCode>
                  <v>0.04187192118226601</v>
                </pt>
                <pt idx="305">
                  <formatCode>0.00%</formatCode>
                  <v>0.01588199922181741</v>
                </pt>
                <pt idx="306">
                  <formatCode>0.00%</formatCode>
                  <v>0.03107011333976903</v>
                </pt>
                <pt idx="307">
                  <formatCode>0.00%</formatCode>
                  <v>0.03580406521582992</v>
                </pt>
                <pt idx="308">
                  <formatCode>0.00%</formatCode>
                  <v>0.0676926388291003</v>
                </pt>
                <pt idx="309">
                  <formatCode>0.00%</formatCode>
                  <v>0.05386809269162211</v>
                </pt>
                <pt idx="310">
                  <formatCode>0.00%</formatCode>
                  <v>0.06175990923916897</v>
                </pt>
                <pt idx="311">
                  <formatCode>0.00%</formatCode>
                  <v>0.06709287870715681</v>
                </pt>
                <pt idx="312">
                  <formatCode>0.00%</formatCode>
                  <v>0.02008018127941433</v>
                </pt>
                <pt idx="313">
                  <formatCode>0.00%</formatCode>
                  <v>0.03914590747330961</v>
                </pt>
                <pt idx="314">
                  <formatCode>0.00%</formatCode>
                  <v>0.03606329334028865</v>
                </pt>
                <pt idx="315">
                  <formatCode>0.00%</formatCode>
                  <v>0.02559955957746964</v>
                </pt>
                <pt idx="316">
                  <formatCode>0.00%</formatCode>
                  <v>0.06195244055068836</v>
                </pt>
                <pt idx="317">
                  <formatCode>0.00%</formatCode>
                  <v>0.07848189415041783</v>
                </pt>
                <pt idx="318">
                  <formatCode>0.00%</formatCode>
                  <v>0.07465843678479783</v>
                </pt>
                <pt idx="319">
                  <formatCode>0.00%</formatCode>
                  <v>0.06095066393925736</v>
                </pt>
                <pt idx="320">
                  <formatCode>0.00%</formatCode>
                  <v>0.03265799818566677</v>
                </pt>
                <pt idx="321">
                  <formatCode>0.00%</formatCode>
                  <v>0.06576232197828219</v>
                </pt>
                <pt idx="322">
                  <formatCode>0.00%</formatCode>
                  <v>0.03028582876986777</v>
                </pt>
                <pt idx="323">
                  <formatCode>0.00%</formatCode>
                  <v>0.03085474637198775</v>
                </pt>
                <pt idx="324">
                  <formatCode>0.00%</formatCode>
                  <v>0.1090188305252725</v>
                </pt>
                <pt idx="325">
                  <formatCode>0.00%</formatCode>
                  <v>0.02224364942146562</v>
                </pt>
                <pt idx="326">
                  <formatCode>0.00%</formatCode>
                  <v>0.04410580021482277</v>
                </pt>
                <pt idx="327">
                  <formatCode>0.00%</formatCode>
                  <v>0.0386486395813064</v>
                </pt>
                <pt idx="328">
                  <formatCode>0.00%</formatCode>
                  <v>-0.006809402213055719</v>
                </pt>
                <pt idx="329">
                  <formatCode>0.00%</formatCode>
                  <v>-0.01901594886033448</v>
                </pt>
                <pt idx="330">
                  <formatCode>0.00%</formatCode>
                  <v>-0.01006743893388403</v>
                </pt>
                <pt idx="331">
                  <formatCode>0.00%</formatCode>
                  <v>0.02186203065259305</v>
                </pt>
                <pt idx="332">
                  <formatCode>0.00%</formatCode>
                  <v>0.002310069952822515</v>
                </pt>
                <pt idx="333">
                  <formatCode>0.00%</formatCode>
                  <v>-0.01228376448182828</v>
                </pt>
                <pt idx="334">
                  <formatCode>0.00%</formatCode>
                  <v>0.01481121374169502</v>
                </pt>
                <pt idx="335">
                  <formatCode>0.00%</formatCode>
                  <v>0.03167479254786736</v>
                </pt>
                <pt idx="336">
                  <formatCode>0.00%</formatCode>
                  <v>0.01445255924316662</v>
                </pt>
                <pt idx="337">
                  <formatCode>0.00%</formatCode>
                  <v>0.0702228004553586</v>
                </pt>
                <pt idx="338">
                  <formatCode>0.00%</formatCode>
                  <v>0.05478042821320646</v>
                </pt>
                <pt idx="339">
                  <formatCode>0.00%</formatCode>
                  <v>0.03956846151361478</v>
                </pt>
                <pt idx="340">
                  <formatCode>0.00%</formatCode>
                  <v>0.1850154921220911</v>
                </pt>
                <pt idx="341">
                  <formatCode>0.00%</formatCode>
                  <v>0.1968405463221984</v>
                </pt>
                <pt idx="342">
                  <formatCode>0.00%</formatCode>
                  <v>0.1703771309364712</v>
                </pt>
                <pt idx="343">
                  <formatCode>0.00%</formatCode>
                  <v>0.1733930284617844</v>
                </pt>
                <pt idx="344">
                  <formatCode>0.00%</formatCode>
                  <v>0.2022008699603973</v>
                </pt>
                <pt idx="345">
                  <formatCode>0.00%</formatCode>
                  <v>0.1810527668873321</v>
                </pt>
                <pt idx="346">
                  <formatCode>0.00%</formatCode>
                  <v>0.1855199284619315</v>
                </pt>
                <pt idx="347">
                  <formatCode>0.00%</formatCode>
                  <v>0.1610853780671007</v>
                </pt>
                <pt idx="348">
                  <formatCode>0.00%</formatCode>
                  <v>0.2149453219927096</v>
                </pt>
                <pt idx="349">
                  <formatCode>0.00%</formatCode>
                  <v>0.1573668854850474</v>
                </pt>
                <pt idx="350">
                  <formatCode>0.00%</formatCode>
                  <v>0.3245352026821091</v>
                </pt>
                <pt idx="351">
                  <formatCode>0.00%</formatCode>
                  <v>0.3063012677106637</v>
                </pt>
                <pt idx="352">
                  <formatCode>0.00%</formatCode>
                  <v>0.1028344135072738</v>
                </pt>
                <pt idx="353">
                  <formatCode>0.00%</formatCode>
                  <v>0.07504262222955507</v>
                </pt>
                <pt idx="354">
                  <formatCode>0.00%</formatCode>
                  <v>0.07661672143931376</v>
                </pt>
                <pt idx="355">
                  <formatCode>0.00%</formatCode>
                  <v>0.0703968167447945</v>
                </pt>
                <pt idx="356">
                  <formatCode>0.00%</formatCode>
                  <v>0.06113136222492237</v>
                </pt>
                <pt idx="357">
                  <formatCode>0.00%</formatCode>
                  <v>0.09596756639094471</v>
                </pt>
                <pt idx="358">
                  <formatCode>0.00%</formatCode>
                  <v>0.09315481802753159</v>
                </pt>
                <pt idx="359">
                  <formatCode>0.00%</formatCode>
                  <v>0.1250977115286126</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'Furniture Home'!$A$7:$A$366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'Furniture Home'!$B$7:$B$366</f>
              <numCache>
                <formatCode>#,##0</formatCode>
                <ptCount val="360"/>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15234</v>
                </pt>
                <pt idx="217">
                  <v>15622</v>
                </pt>
                <pt idx="218">
                  <v>15376</v>
                </pt>
                <pt idx="219">
                  <v>15410</v>
                </pt>
                <pt idx="220">
                  <v>15483</v>
                </pt>
                <pt idx="221">
                  <v>15573</v>
                </pt>
                <pt idx="222">
                  <v>15455</v>
                </pt>
                <pt idx="223">
                  <v>15467</v>
                </pt>
                <pt idx="224">
                  <v>15501</v>
                </pt>
                <pt idx="225">
                  <v>15249</v>
                </pt>
                <pt idx="226">
                  <v>15219</v>
                </pt>
                <pt idx="227">
                  <v>15342</v>
                </pt>
                <pt idx="228">
                  <v>15210</v>
                </pt>
                <pt idx="229">
                  <v>15501</v>
                </pt>
                <pt idx="230">
                  <v>15881</v>
                </pt>
                <pt idx="231">
                  <v>15842</v>
                </pt>
                <pt idx="232">
                  <v>15670</v>
                </pt>
                <pt idx="233">
                  <v>15666</v>
                </pt>
                <pt idx="234">
                  <v>15820</v>
                </pt>
                <pt idx="235">
                  <v>15948</v>
                </pt>
                <pt idx="236">
                  <v>15877</v>
                </pt>
                <pt idx="237">
                  <v>16040</v>
                </pt>
                <pt idx="238">
                  <v>16031</v>
                </pt>
                <pt idx="239">
                  <v>15993</v>
                </pt>
                <pt idx="240">
                  <v>16168</v>
                </pt>
                <pt idx="241">
                  <v>16165</v>
                </pt>
                <pt idx="242">
                  <v>16294</v>
                </pt>
                <pt idx="243">
                  <v>16071</v>
                </pt>
                <pt idx="244">
                  <v>16375</v>
                </pt>
                <pt idx="245">
                  <v>16202</v>
                </pt>
                <pt idx="246">
                  <v>16409</v>
                </pt>
                <pt idx="247">
                  <v>16240</v>
                </pt>
                <pt idx="248">
                  <v>16242</v>
                </pt>
                <pt idx="249">
                  <v>15730</v>
                </pt>
                <pt idx="250">
                  <v>16273</v>
                </pt>
                <pt idx="251">
                  <v>16772</v>
                </pt>
                <pt idx="252">
                  <v>16723</v>
                </pt>
                <pt idx="253">
                  <v>16727</v>
                </pt>
                <pt idx="254">
                  <v>16509</v>
                </pt>
                <pt idx="255">
                  <v>16502</v>
                </pt>
                <pt idx="256">
                  <v>16422</v>
                </pt>
                <pt idx="257">
                  <v>16644</v>
                </pt>
                <pt idx="258">
                  <v>16571</v>
                </pt>
                <pt idx="259">
                  <v>16614</v>
                </pt>
                <pt idx="260">
                  <v>16612</v>
                </pt>
                <pt idx="261">
                  <v>16807</v>
                </pt>
                <pt idx="262">
                  <v>16747</v>
                </pt>
                <pt idx="263">
                  <v>16461</v>
                </pt>
                <pt idx="264">
                  <v>16309</v>
                </pt>
                <pt idx="265">
                  <v>16636</v>
                </pt>
                <pt idx="266">
                  <v>16851</v>
                </pt>
                <pt idx="267">
                  <v>16915</v>
                </pt>
                <pt idx="268">
                  <v>16760</v>
                </pt>
                <pt idx="269">
                  <v>16697</v>
                </pt>
                <pt idx="270">
                  <v>16799</v>
                </pt>
                <pt idx="271">
                  <v>17004</v>
                </pt>
                <pt idx="272">
                  <v>17101</v>
                </pt>
                <pt idx="273">
                  <v>17094</v>
                </pt>
                <pt idx="274">
                  <v>17385</v>
                </pt>
                <pt idx="275">
                  <v>17517</v>
                </pt>
                <pt idx="276">
                  <v>17315</v>
                </pt>
                <pt idx="277">
                  <v>16998</v>
                </pt>
                <pt idx="278">
                  <v>17114</v>
                </pt>
                <pt idx="279">
                  <v>17264</v>
                </pt>
                <pt idx="280">
                  <v>17509</v>
                </pt>
                <pt idx="281">
                  <v>17440</v>
                </pt>
                <pt idx="282">
                  <v>17435</v>
                </pt>
                <pt idx="283">
                  <v>17442</v>
                </pt>
                <pt idx="284">
                  <v>17432</v>
                </pt>
                <pt idx="285">
                  <v>17455</v>
                </pt>
                <pt idx="286">
                  <v>17286</v>
                </pt>
                <pt idx="287">
                  <v>17503</v>
                </pt>
                <pt idx="288">
                  <v>17206</v>
                </pt>
                <pt idx="289">
                  <v>17336</v>
                </pt>
                <pt idx="290">
                  <v>17174</v>
                </pt>
                <pt idx="291">
                  <v>17084</v>
                </pt>
                <pt idx="292">
                  <v>17202</v>
                </pt>
                <pt idx="293">
                  <v>17300</v>
                </pt>
                <pt idx="294">
                  <v>17295</v>
                </pt>
                <pt idx="295">
                  <v>17372</v>
                </pt>
                <pt idx="296">
                  <v>17219</v>
                </pt>
                <pt idx="297">
                  <v>17003</v>
                </pt>
                <pt idx="298">
                  <v>16822</v>
                </pt>
                <pt idx="299">
                  <v>16897</v>
                </pt>
                <pt idx="300">
                  <v>17195</v>
                </pt>
                <pt idx="301">
                  <v>17107</v>
                </pt>
                <pt idx="302">
                  <v>17400</v>
                </pt>
                <pt idx="303">
                  <v>17285</v>
                </pt>
                <pt idx="304">
                  <v>17251</v>
                </pt>
                <pt idx="305">
                  <v>17242</v>
                </pt>
                <pt idx="306">
                  <v>17108</v>
                </pt>
                <pt idx="307">
                  <v>17198</v>
                </pt>
                <pt idx="308">
                  <v>17158</v>
                </pt>
                <pt idx="309">
                  <v>17512</v>
                </pt>
                <pt idx="310">
                  <v>17775</v>
                </pt>
                <pt idx="311">
                  <v>17758</v>
                </pt>
                <pt idx="312">
                  <v>17722</v>
                </pt>
                <pt idx="313">
                  <v>17851</v>
                </pt>
                <pt idx="314">
                  <v>17817</v>
                </pt>
                <pt idx="315">
                  <v>18107</v>
                </pt>
                <pt idx="316">
                  <v>17919</v>
                </pt>
                <pt idx="317">
                  <v>17962</v>
                </pt>
                <pt idx="318">
                  <v>17922</v>
                </pt>
                <pt idx="319">
                  <v>17825</v>
                </pt>
                <pt idx="320">
                  <v>17596</v>
                </pt>
                <pt idx="321">
                  <v>17677</v>
                </pt>
                <pt idx="322">
                  <v>17631</v>
                </pt>
                <pt idx="323">
                  <v>17463</v>
                </pt>
                <pt idx="324">
                  <v>17406</v>
                </pt>
                <pt idx="325">
                  <v>17370</v>
                </pt>
                <pt idx="326">
                  <v>17579</v>
                </pt>
                <pt idx="327">
                  <v>17592</v>
                </pt>
                <pt idx="328">
                  <v>17664</v>
                </pt>
                <pt idx="329">
                  <v>17620</v>
                </pt>
                <pt idx="330">
                  <v>17719</v>
                </pt>
                <pt idx="331">
                  <v>17654</v>
                </pt>
                <pt idx="332">
                  <v>17795</v>
                </pt>
                <pt idx="333">
                  <v>17566</v>
                </pt>
                <pt idx="334">
                  <v>17733</v>
                </pt>
                <pt idx="335">
                  <v>17487</v>
                </pt>
                <pt idx="336">
                  <v>17942</v>
                </pt>
                <pt idx="337">
                  <v>17837</v>
                </pt>
                <pt idx="338">
                  <v>14360</v>
                </pt>
                <pt idx="339">
                  <v>7687</v>
                </pt>
                <pt idx="340">
                  <v>11621</v>
                </pt>
                <pt idx="341">
                  <v>16108</v>
                </pt>
                <pt idx="342">
                  <v>17327</v>
                </pt>
                <pt idx="343">
                  <v>17798</v>
                </pt>
                <pt idx="344">
                  <v>17722</v>
                </pt>
                <pt idx="345">
                  <v>17978</v>
                </pt>
                <pt idx="346">
                  <v>17556</v>
                </pt>
                <pt idx="347">
                  <v>17077</v>
                </pt>
                <pt idx="348">
                  <v>19623</v>
                </pt>
                <pt idx="349">
                  <v>18560</v>
                </pt>
                <pt idx="350">
                  <v>20753</v>
                </pt>
                <pt idx="351">
                  <v>20997</v>
                </pt>
                <pt idx="352">
                  <v>20514</v>
                </pt>
                <pt idx="353">
                  <v>20686</v>
                </pt>
                <pt idx="354">
                  <v>20551</v>
                </pt>
                <pt idx="355">
                  <v>20378</v>
                </pt>
                <pt idx="356">
                  <v>20242</v>
                </pt>
                <pt idx="357">
                  <v>20829</v>
                </pt>
                <pt idx="358">
                  <v>20446</v>
                </pt>
                <pt idx="359">
                  <v>19193</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'Furniture Home'!$A$7:$A$366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'Furniture Home'!$D$7:$D$366</f>
              <numCache>
                <formatCode>General</formatCode>
                <ptCount val="360"/>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-0.06234997230257894</v>
                </pt>
                <pt idx="217">
                  <formatCode>0.00%</formatCode>
                  <v>-0.03143406286812574</v>
                </pt>
                <pt idx="218">
                  <formatCode>0.00%</formatCode>
                  <v>0.01558784676354029</v>
                </pt>
                <pt idx="219">
                  <formatCode>0.00%</formatCode>
                  <v>0.01944958983858163</v>
                </pt>
                <pt idx="220">
                  <formatCode>0.00%</formatCode>
                  <v>0.02448223383841726</v>
                </pt>
                <pt idx="221">
                  <formatCode>0.00%</formatCode>
                  <v>0.02921155244200648</v>
                </pt>
                <pt idx="222">
                  <formatCode>0.00%</formatCode>
                  <v>0.03005865102639296</v>
                </pt>
                <pt idx="223">
                  <formatCode>0.00%</formatCode>
                  <v>0.03175238476419185</v>
                </pt>
                <pt idx="224">
                  <formatCode>0.00%</formatCode>
                  <v>0.03713368125250903</v>
                </pt>
                <pt idx="225">
                  <formatCode>0.00%</formatCode>
                  <v>0.02790697674418605</v>
                </pt>
                <pt idx="226">
                  <formatCode>0.00%</formatCode>
                  <v>0.00131587604447661</v>
                </pt>
                <pt idx="227">
                  <formatCode>0.00%</formatCode>
                  <v>0.01656506758547575</v>
                </pt>
                <pt idx="228">
                  <formatCode>0.00%</formatCode>
                  <v>-0.001575423395037416</v>
                </pt>
                <pt idx="229">
                  <formatCode>0.00%</formatCode>
                  <v>-0.007745487133529638</v>
                </pt>
                <pt idx="230">
                  <formatCode>0.00%</formatCode>
                  <v>0.03284339229968782</v>
                </pt>
                <pt idx="231">
                  <formatCode>0.00%</formatCode>
                  <v>0.02803374432186892</v>
                </pt>
                <pt idx="232">
                  <formatCode>0.00%</formatCode>
                  <v>0.01207776270748563</v>
                </pt>
                <pt idx="233">
                  <formatCode>0.00%</formatCode>
                  <v>0.005971874397996533</v>
                </pt>
                <pt idx="234">
                  <formatCode>0.00%</formatCode>
                  <v>0.02361695244257522</v>
                </pt>
                <pt idx="235">
                  <formatCode>0.00%</formatCode>
                  <v>0.03109846770543738</v>
                </pt>
                <pt idx="236">
                  <formatCode>0.00%</formatCode>
                  <v>0.02425649958067222</v>
                </pt>
                <pt idx="237">
                  <formatCode>0.00%</formatCode>
                  <v>0.05187225391828972</v>
                </pt>
                <pt idx="238">
                  <formatCode>0.00%</formatCode>
                  <v>0.05335435968197648</v>
                </pt>
                <pt idx="239">
                  <formatCode>0.00%</formatCode>
                  <v>0.04243253813062182</v>
                </pt>
                <pt idx="240">
                  <formatCode>0.00%</formatCode>
                  <v>0.06298487836949375</v>
                </pt>
                <pt idx="241">
                  <formatCode>0.00%</formatCode>
                  <v>0.04283594606799562</v>
                </pt>
                <pt idx="242">
                  <formatCode>0.00%</formatCode>
                  <v>0.02600591902273157</v>
                </pt>
                <pt idx="243">
                  <formatCode>0.00%</formatCode>
                  <v>0.01445524554980432</v>
                </pt>
                <pt idx="244">
                  <formatCode>0.00%</formatCode>
                  <v>0.04499042756860242</v>
                </pt>
                <pt idx="245">
                  <formatCode>0.00%</formatCode>
                  <v>0.03421422188178221</v>
                </pt>
                <pt idx="246">
                  <formatCode>0.00%</formatCode>
                  <v>0.03723135271807838</v>
                </pt>
                <pt idx="247">
                  <formatCode>0.00%</formatCode>
                  <v>0.01830950589415601</v>
                </pt>
                <pt idx="248">
                  <formatCode>0.00%</formatCode>
                  <v>0.02298922970334446</v>
                </pt>
                <pt idx="249">
                  <formatCode>0.00%</formatCode>
                  <v>-0.01932668329177057</v>
                </pt>
                <pt idx="250">
                  <formatCode>0.00%</formatCode>
                  <v>0.01509575198053771</v>
                </pt>
                <pt idx="251">
                  <formatCode>0.00%</formatCode>
                  <v>0.04870881010442069</v>
                </pt>
                <pt idx="252">
                  <formatCode>0.00%</formatCode>
                  <v>0.03432706580900544</v>
                </pt>
                <pt idx="253">
                  <formatCode>0.00%</formatCode>
                  <v>0.03476647077018249</v>
                </pt>
                <pt idx="254">
                  <formatCode>0.00%</formatCode>
                  <v>0.01319504111943046</v>
                </pt>
                <pt idx="255">
                  <formatCode>0.00%</formatCode>
                  <v>0.02681849293758945</v>
                </pt>
                <pt idx="256">
                  <formatCode>0.00%</formatCode>
                  <v>0.002870229007633588</v>
                </pt>
                <pt idx="257">
                  <formatCode>0.00%</formatCode>
                  <v>0.02728058264411801</v>
                </pt>
                <pt idx="258">
                  <formatCode>0.00%</formatCode>
                  <v>0.009872630873301237</v>
                </pt>
                <pt idx="259">
                  <formatCode>0.00%</formatCode>
                  <v>0.0230295566502463</v>
                </pt>
                <pt idx="260">
                  <formatCode>0.00%</formatCode>
                  <v>0.02278044575791159</v>
                </pt>
                <pt idx="261">
                  <formatCode>0.00%</formatCode>
                  <v>0.06846789574062301</v>
                </pt>
                <pt idx="262">
                  <formatCode>0.00%</formatCode>
                  <v>0.02912800344128311</v>
                </pt>
                <pt idx="263">
                  <formatCode>0.00%</formatCode>
                  <v>-0.01854280944431195</v>
                </pt>
                <pt idx="264">
                  <formatCode>0.00%</formatCode>
                  <v>-0.02475632362614363</v>
                </pt>
                <pt idx="265">
                  <formatCode>0.00%</formatCode>
                  <v>-0.005440306091947151</v>
                </pt>
                <pt idx="266">
                  <formatCode>0.00%</formatCode>
                  <v>0.02071597310557877</v>
                </pt>
                <pt idx="267">
                  <formatCode>0.00%</formatCode>
                  <v>0.02502726942188825</v>
                </pt>
                <pt idx="268">
                  <formatCode>0.00%</formatCode>
                  <v>0.020582145901839</v>
                </pt>
                <pt idx="269">
                  <formatCode>0.00%</formatCode>
                  <v>0.003184330689738044</v>
                </pt>
                <pt idx="270">
                  <formatCode>0.00%</formatCode>
                  <v>0.01375897652525496</v>
                </pt>
                <pt idx="271">
                  <formatCode>0.00%</formatCode>
                  <v>0.02347417840375587</v>
                </pt>
                <pt idx="272">
                  <formatCode>0.00%</formatCode>
                  <v>0.02943655189019986</v>
                </pt>
                <pt idx="273">
                  <formatCode>0.00%</formatCode>
                  <v>0.017076218242399</v>
                </pt>
                <pt idx="274">
                  <formatCode>0.00%</formatCode>
                  <v>0.03809637547023347</v>
                </pt>
                <pt idx="275">
                  <formatCode>0.00%</formatCode>
                  <v>0.06415163112812101</v>
                </pt>
                <pt idx="276">
                  <formatCode>0.00%</formatCode>
                  <v>0.06168373290821019</v>
                </pt>
                <pt idx="277">
                  <formatCode>0.00%</formatCode>
                  <v>0.02176003847078625</v>
                </pt>
                <pt idx="278">
                  <formatCode>0.00%</formatCode>
                  <v>0.01560738235119578</v>
                </pt>
                <pt idx="279">
                  <formatCode>0.00%</formatCode>
                  <v>0.02063257463789536</v>
                </pt>
                <pt idx="280">
                  <formatCode>0.00%</formatCode>
                  <v>0.04468973747016707</v>
                </pt>
                <pt idx="281">
                  <formatCode>0.00%</formatCode>
                  <v>0.04449901179852668</v>
                </pt>
                <pt idx="282">
                  <formatCode>0.00%</formatCode>
                  <v>0.03785939639264242</v>
                </pt>
                <pt idx="283">
                  <formatCode>0.00%</formatCode>
                  <v>0.02575864502470007</v>
                </pt>
                <pt idx="284">
                  <formatCode>0.00%</formatCode>
                  <v>0.0193555932401614</v>
                </pt>
                <pt idx="285">
                  <formatCode>0.00%</formatCode>
                  <v>0.02111852111852112</v>
                </pt>
                <pt idx="286">
                  <formatCode>0.00%</formatCode>
                  <v>-0.005694564279551337</v>
                </pt>
                <pt idx="287">
                  <formatCode>0.00%</formatCode>
                  <v>-0.0007992236113489753</v>
                </pt>
                <pt idx="288">
                  <formatCode>0.00%</formatCode>
                  <v>-0.0062951198382905</v>
                </pt>
                <pt idx="289">
                  <formatCode>0.00%</formatCode>
                  <v>0.01988469231674314</v>
                </pt>
                <pt idx="290">
                  <formatCode>0.00%</formatCode>
                  <v>0.003505901601028398</v>
                </pt>
                <pt idx="291">
                  <formatCode>0.00%</formatCode>
                  <v>-0.01042632066728452</v>
                </pt>
                <pt idx="292">
                  <formatCode>0.00%</formatCode>
                  <v>-0.01753383973956251</v>
                </pt>
                <pt idx="293">
                  <formatCode>0.00%</formatCode>
                  <v>-0.008027522935779817</v>
                </pt>
                <pt idx="294">
                  <formatCode>0.00%</formatCode>
                  <v>-0.008029825064525381</v>
                </pt>
                <pt idx="295">
                  <formatCode>0.00%</formatCode>
                  <v>-0.004013301226923518</v>
                </pt>
                <pt idx="296">
                  <formatCode>0.00%</formatCode>
                  <v>-0.01221890775585131</v>
                </pt>
                <pt idx="297">
                  <formatCode>0.00%</formatCode>
                  <v>-0.02589515898023489</v>
                </pt>
                <pt idx="298">
                  <formatCode>0.00%</formatCode>
                  <v>-0.02684253152840449</v>
                </pt>
                <pt idx="299">
                  <formatCode>0.00%</formatCode>
                  <v>-0.03462263611952237</v>
                </pt>
                <pt idx="300">
                  <formatCode>0.00%</formatCode>
                  <v>-0.0006393118679530397</v>
                </pt>
                <pt idx="301">
                  <formatCode>0.00%</formatCode>
                  <v>-0.0132095062298108</v>
                </pt>
                <pt idx="302">
                  <formatCode>0.00%</formatCode>
                  <v>0.01315942704087574</v>
                </pt>
                <pt idx="303">
                  <formatCode>0.00%</formatCode>
                  <v>0.01176539452118942</v>
                </pt>
                <pt idx="304">
                  <formatCode>0.00%</formatCode>
                  <v>0.002848505987675852</v>
                </pt>
                <pt idx="305">
                  <formatCode>0.00%</formatCode>
                  <v>-0.003352601156069364</v>
                </pt>
                <pt idx="306">
                  <formatCode>0.00%</formatCode>
                  <v>-0.01081237351835791</v>
                </pt>
                <pt idx="307">
                  <formatCode>0.00%</formatCode>
                  <v>-0.01001611789085885</v>
                </pt>
                <pt idx="308">
                  <formatCode>0.00%</formatCode>
                  <v>-0.003542598292583774</v>
                </pt>
                <pt idx="309">
                  <formatCode>0.00%</formatCode>
                  <v>0.02993589366582368</v>
                </pt>
                <pt idx="310">
                  <formatCode>0.00%</formatCode>
                  <v>0.05665200332897397</v>
                </pt>
                <pt idx="311">
                  <formatCode>0.00%</formatCode>
                  <v>0.05095579096881103</v>
                </pt>
                <pt idx="312">
                  <formatCode>0.00%</formatCode>
                  <v>0.03064844431520791</v>
                </pt>
                <pt idx="313">
                  <formatCode>0.00%</formatCode>
                  <v>0.04349096860934121</v>
                </pt>
                <pt idx="314">
                  <formatCode>0.00%</formatCode>
                  <v>0.02396551724137931</v>
                </pt>
                <pt idx="315">
                  <formatCode>0.00%</formatCode>
                  <v>0.04755568411917848</v>
                </pt>
                <pt idx="316">
                  <formatCode>0.00%</formatCode>
                  <v>0.03872239290475914</v>
                </pt>
                <pt idx="317">
                  <formatCode>0.00%</formatCode>
                  <v>0.04175849669411901</v>
                </pt>
                <pt idx="318">
                  <formatCode>0.00%</formatCode>
                  <v>0.04758007949497312</v>
                </pt>
                <pt idx="319">
                  <formatCode>0.00%</formatCode>
                  <v>0.03645772764274915</v>
                </pt>
                <pt idx="320">
                  <formatCode>0.00%</formatCode>
                  <v>0.02552745075183588</v>
                </pt>
                <pt idx="321">
                  <formatCode>0.00%</formatCode>
                  <v>0.009422110552763818</v>
                </pt>
                <pt idx="322">
                  <formatCode>0.00%</formatCode>
                  <v>-0.008101265822784811</v>
                </pt>
                <pt idx="323">
                  <formatCode>0.00%</formatCode>
                  <v>-0.01661223110710666</v>
                </pt>
                <pt idx="324">
                  <formatCode>0.00%</formatCode>
                  <v>-0.01783094458864688</v>
                </pt>
                <pt idx="325">
                  <formatCode>0.00%</formatCode>
                  <v>-0.02694526917259537</v>
                </pt>
                <pt idx="326">
                  <formatCode>0.00%</formatCode>
                  <v>-0.01335802884885222</v>
                </pt>
                <pt idx="327">
                  <formatCode>0.00%</formatCode>
                  <v>-0.02844203899044568</v>
                </pt>
                <pt idx="328">
                  <formatCode>0.00%</formatCode>
                  <v>-0.01423070483843964</v>
                </pt>
                <pt idx="329">
                  <formatCode>0.00%</formatCode>
                  <v>-0.01904019596926846</v>
                </pt>
                <pt idx="330">
                  <formatCode>0.00%</formatCode>
                  <v>-0.01132686084142395</v>
                </pt>
                <pt idx="331">
                  <formatCode>0.00%</formatCode>
                  <v>-0.009593267882187938</v>
                </pt>
                <pt idx="332">
                  <formatCode>0.00%</formatCode>
                  <v>0.01130938849738577</v>
                </pt>
                <pt idx="333">
                  <formatCode>0.00%</formatCode>
                  <v>-0.006279346042880579</v>
                </pt>
                <pt idx="334">
                  <formatCode>0.00%</formatCode>
                  <v>0.005785264590777607</v>
                </pt>
                <pt idx="335">
                  <formatCode>0.00%</formatCode>
                  <v>0.001374334306820134</v>
                </pt>
                <pt idx="336">
                  <formatCode>0.00%</formatCode>
                  <v>0.03079397908767092</v>
                </pt>
                <pt idx="337">
                  <formatCode>0.00%</formatCode>
                  <v>0.02688543465745538</v>
                </pt>
                <pt idx="338">
                  <formatCode>0.00%</formatCode>
                  <v>-0.1831162182149155</v>
                </pt>
                <pt idx="339">
                  <formatCode>0.00%</formatCode>
                  <v>-0.5630400181900864</v>
                </pt>
                <pt idx="340">
                  <formatCode>0.00%</formatCode>
                  <v>-0.3421082427536232</v>
                </pt>
                <pt idx="341">
                  <formatCode>0.00%</formatCode>
                  <v>-0.08581157775255392</v>
                </pt>
                <pt idx="342">
                  <formatCode>0.00%</formatCode>
                  <v>-0.02212314464698911</v>
                </pt>
                <pt idx="343">
                  <formatCode>0.00%</formatCode>
                  <v>0.008156791661946302</v>
                </pt>
                <pt idx="344">
                  <formatCode>0.00%</formatCode>
                  <v>-0.004102275920202304</v>
                </pt>
                <pt idx="345">
                  <formatCode>0.00%</formatCode>
                  <v>0.0234544005465103</v>
                </pt>
                <pt idx="346">
                  <formatCode>0.00%</formatCode>
                  <v>-0.009981390627643376</v>
                </pt>
                <pt idx="347">
                  <formatCode>0.00%</formatCode>
                  <v>-0.02344598844856179</v>
                </pt>
                <pt idx="348">
                  <formatCode>0.00%</formatCode>
                  <v>0.0936907814067551</v>
                </pt>
                <pt idx="349">
                  <formatCode>0.00%</formatCode>
                  <v>0.04053372203845938</v>
                </pt>
                <pt idx="350">
                  <formatCode>0.00%</formatCode>
                  <v>0.4451949860724234</v>
                </pt>
                <pt idx="351">
                  <formatCode>0.00%</formatCode>
                  <v>1.731494731364642</v>
                </pt>
                <pt idx="352">
                  <formatCode>0.00%</formatCode>
                  <v>0.7652525600206522</v>
                </pt>
                <pt idx="353">
                  <formatCode>0.00%</formatCode>
                  <v>0.2842066054134592</v>
                </pt>
                <pt idx="354">
                  <formatCode>0.00%</formatCode>
                  <v>0.1860679863796387</v>
                </pt>
                <pt idx="355">
                  <formatCode>0.00%</formatCode>
                  <v>0.1449601078772896</v>
                </pt>
                <pt idx="356">
                  <formatCode>0.00%</formatCode>
                  <v>0.1421961403904751</v>
                </pt>
                <pt idx="357">
                  <formatCode>0.00%</formatCode>
                  <v>0.1585827122038047</v>
                </pt>
                <pt idx="358">
                  <formatCode>0.00%</formatCode>
                  <v>0.1646160856687172</v>
                </pt>
                <pt idx="359">
                  <formatCode>0.00%</formatCode>
                  <v>0.1239093517596768</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'Miscellaneous stores retailers'!$A$7:$A$366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'Miscellaneous stores retailers'!$B$7:$B$366</f>
              <numCache>
                <formatCode>#,##0</formatCode>
                <ptCount val="360"/>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8365</v>
                </pt>
                <pt idx="217">
                  <v>8247</v>
                </pt>
                <pt idx="218">
                  <v>8704</v>
                </pt>
                <pt idx="219">
                  <v>8568</v>
                </pt>
                <pt idx="220">
                  <v>8628</v>
                </pt>
                <pt idx="221">
                  <v>8795</v>
                </pt>
                <pt idx="222">
                  <v>8610</v>
                </pt>
                <pt idx="223">
                  <v>8655</v>
                </pt>
                <pt idx="224">
                  <v>8766</v>
                </pt>
                <pt idx="225">
                  <v>8929</v>
                </pt>
                <pt idx="226">
                  <v>8905</v>
                </pt>
                <pt idx="227">
                  <v>8881</v>
                </pt>
                <pt idx="228">
                  <v>8823</v>
                </pt>
                <pt idx="229">
                  <v>9116</v>
                </pt>
                <pt idx="230">
                  <v>8846</v>
                </pt>
                <pt idx="231">
                  <v>9056</v>
                </pt>
                <pt idx="232">
                  <v>8975</v>
                </pt>
                <pt idx="233">
                  <v>9061</v>
                </pt>
                <pt idx="234">
                  <v>9171</v>
                </pt>
                <pt idx="235">
                  <v>9229</v>
                </pt>
                <pt idx="236">
                  <v>9159</v>
                </pt>
                <pt idx="237">
                  <v>9072</v>
                </pt>
                <pt idx="238">
                  <v>9045</v>
                </pt>
                <pt idx="239">
                  <v>8867</v>
                </pt>
                <pt idx="240">
                  <v>9307</v>
                </pt>
                <pt idx="241">
                  <v>9411</v>
                </pt>
                <pt idx="242">
                  <v>9186</v>
                </pt>
                <pt idx="243">
                  <v>9196</v>
                </pt>
                <pt idx="244">
                  <v>8890</v>
                </pt>
                <pt idx="245">
                  <v>9080</v>
                </pt>
                <pt idx="246">
                  <v>9182</v>
                </pt>
                <pt idx="247">
                  <v>9086</v>
                </pt>
                <pt idx="248">
                  <v>9107</v>
                </pt>
                <pt idx="249">
                  <v>9157</v>
                </pt>
                <pt idx="250">
                  <v>9088</v>
                </pt>
                <pt idx="251">
                  <v>9326</v>
                </pt>
                <pt idx="252">
                  <v>9223</v>
                </pt>
                <pt idx="253">
                  <v>9276</v>
                </pt>
                <pt idx="254">
                  <v>9367</v>
                </pt>
                <pt idx="255">
                  <v>9322</v>
                </pt>
                <pt idx="256">
                  <v>9319</v>
                </pt>
                <pt idx="257">
                  <v>9169</v>
                </pt>
                <pt idx="258">
                  <v>9209</v>
                </pt>
                <pt idx="259">
                  <v>9304</v>
                </pt>
                <pt idx="260">
                  <v>9502</v>
                </pt>
                <pt idx="261">
                  <v>9488</v>
                </pt>
                <pt idx="262">
                  <v>9555</v>
                </pt>
                <pt idx="263">
                  <v>9393</v>
                </pt>
                <pt idx="264">
                  <v>9251</v>
                </pt>
                <pt idx="265">
                  <v>9387</v>
                </pt>
                <pt idx="266">
                  <v>9473</v>
                </pt>
                <pt idx="267">
                  <v>9344</v>
                </pt>
                <pt idx="268">
                  <v>9535</v>
                </pt>
                <pt idx="269">
                  <v>9599</v>
                </pt>
                <pt idx="270">
                  <v>9623</v>
                </pt>
                <pt idx="271">
                  <v>9743</v>
                </pt>
                <pt idx="272">
                  <v>9719</v>
                </pt>
                <pt idx="273">
                  <v>9904</v>
                </pt>
                <pt idx="274">
                  <v>9828</v>
                </pt>
                <pt idx="275">
                  <v>9800</v>
                </pt>
                <pt idx="276">
                  <v>9847</v>
                </pt>
                <pt idx="277">
                  <v>9760</v>
                </pt>
                <pt idx="278">
                  <v>9788</v>
                </pt>
                <pt idx="279">
                  <v>9725</v>
                </pt>
                <pt idx="280">
                  <v>9997</v>
                </pt>
                <pt idx="281">
                  <v>10040</v>
                </pt>
                <pt idx="282">
                  <v>10059</v>
                </pt>
                <pt idx="283">
                  <v>10158</v>
                </pt>
                <pt idx="284">
                  <v>9714</v>
                </pt>
                <pt idx="285">
                  <v>9726</v>
                </pt>
                <pt idx="286">
                  <v>9863</v>
                </pt>
                <pt idx="287">
                  <v>9763</v>
                </pt>
                <pt idx="288">
                  <v>9786</v>
                </pt>
                <pt idx="289">
                  <v>9770</v>
                </pt>
                <pt idx="290">
                  <v>10009</v>
                </pt>
                <pt idx="291">
                  <v>10126</v>
                </pt>
                <pt idx="292">
                  <v>9996</v>
                </pt>
                <pt idx="293">
                  <v>10063</v>
                </pt>
                <pt idx="294">
                  <v>9997</v>
                </pt>
                <pt idx="295">
                  <v>9933</v>
                </pt>
                <pt idx="296">
                  <v>10196</v>
                </pt>
                <pt idx="297">
                  <v>10368</v>
                </pt>
                <pt idx="298">
                  <v>9962</v>
                </pt>
                <pt idx="299">
                  <v>10130</v>
                </pt>
                <pt idx="300">
                  <v>10110</v>
                </pt>
                <pt idx="301">
                  <v>10280</v>
                </pt>
                <pt idx="302">
                  <v>10189</v>
                </pt>
                <pt idx="303">
                  <v>10249</v>
                </pt>
                <pt idx="304">
                  <v>10043</v>
                </pt>
                <pt idx="305">
                  <v>10048</v>
                </pt>
                <pt idx="306">
                  <v>10258</v>
                </pt>
                <pt idx="307">
                  <v>10235</v>
                </pt>
                <pt idx="308">
                  <v>10354</v>
                </pt>
                <pt idx="309">
                  <v>10392</v>
                </pt>
                <pt idx="310">
                  <v>10590</v>
                </pt>
                <pt idx="311">
                  <v>10656</v>
                </pt>
                <pt idx="312">
                  <v>10855</v>
                </pt>
                <pt idx="313">
                  <v>10807</v>
                </pt>
                <pt idx="314">
                  <v>10711</v>
                </pt>
                <pt idx="315">
                  <v>10651</v>
                </pt>
                <pt idx="316">
                  <v>10810</v>
                </pt>
                <pt idx="317">
                  <v>10763</v>
                </pt>
                <pt idx="318">
                  <v>10411</v>
                </pt>
                <pt idx="319">
                  <v>10625</v>
                </pt>
                <pt idx="320">
                  <v>10659</v>
                </pt>
                <pt idx="321">
                  <v>10907</v>
                </pt>
                <pt idx="322">
                  <v>10779</v>
                </pt>
                <pt idx="323">
                  <v>10558</v>
                </pt>
                <pt idx="324">
                  <v>10346</v>
                </pt>
                <pt idx="325">
                  <v>10455</v>
                </pt>
                <pt idx="326">
                  <v>10601</v>
                </pt>
                <pt idx="327">
                  <v>10829</v>
                </pt>
                <pt idx="328">
                  <v>10885</v>
                </pt>
                <pt idx="329">
                  <v>11001</v>
                </pt>
                <pt idx="330">
                  <v>10900</v>
                </pt>
                <pt idx="331">
                  <v>11199</v>
                </pt>
                <pt idx="332">
                  <v>11208</v>
                </pt>
                <pt idx="333">
                  <v>11397</v>
                </pt>
                <pt idx="334">
                  <v>11445</v>
                </pt>
                <pt idx="335">
                  <v>11211</v>
                </pt>
                <pt idx="336">
                  <v>11667</v>
                </pt>
                <pt idx="337">
                  <v>11706</v>
                </pt>
                <pt idx="338">
                  <v>9874</v>
                </pt>
                <pt idx="339">
                  <v>7361</v>
                </pt>
                <pt idx="340">
                  <v>8897</v>
                </pt>
                <pt idx="341">
                  <v>11000</v>
                </pt>
                <pt idx="342">
                  <v>11505</v>
                </pt>
                <pt idx="343">
                  <v>11669</v>
                </pt>
                <pt idx="344">
                  <v>11733</v>
                </pt>
                <pt idx="345">
                  <v>11797</v>
                </pt>
                <pt idx="346">
                  <v>12028</v>
                </pt>
                <pt idx="347">
                  <v>12667</v>
                </pt>
                <pt idx="348">
                  <v>12744</v>
                </pt>
                <pt idx="349">
                  <v>12394</v>
                </pt>
                <pt idx="350">
                  <v>13746</v>
                </pt>
                <pt idx="351">
                  <v>13609</v>
                </pt>
                <pt idx="352">
                  <v>13169</v>
                </pt>
                <pt idx="353">
                  <v>13734</v>
                </pt>
                <pt idx="354">
                  <v>13902</v>
                </pt>
                <pt idx="355">
                  <v>14226</v>
                </pt>
                <pt idx="356">
                  <v>14675</v>
                </pt>
                <pt idx="357">
                  <v>14929</v>
                </pt>
                <pt idx="358">
                  <v>14886</v>
                </pt>
                <pt idx="359">
                  <v>15280</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'Miscellaneous stores retailers'!$A$7:$A$366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'Miscellaneous stores retailers'!$D$7:$D$366</f>
              <numCache>
                <formatCode>General</formatCode>
                <ptCount val="360"/>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-0.0171542709434849</v>
                </pt>
                <pt idx="217">
                  <formatCode>0.00%</formatCode>
                  <v>-0.05705465355591127</v>
                </pt>
                <pt idx="218">
                  <formatCode>0.00%</formatCode>
                  <v>0.01033081834010447</v>
                </pt>
                <pt idx="219">
                  <formatCode>0.00%</formatCode>
                  <v>-0.01256194537282471</v>
                </pt>
                <pt idx="220">
                  <formatCode>0.00%</formatCode>
                  <v>0.02397341561832423</v>
                </pt>
                <pt idx="221">
                  <formatCode>0.00%</formatCode>
                  <v>0.03898405197873597</v>
                </pt>
                <pt idx="222">
                  <formatCode>0.00%</formatCode>
                  <v>0.03089080459770115</v>
                </pt>
                <pt idx="223">
                  <formatCode>0.00%</formatCode>
                  <v>0.04114038253338145</v>
                </pt>
                <pt idx="224">
                  <formatCode>0.00%</formatCode>
                  <v>0.04543828264758498</v>
                </pt>
                <pt idx="225">
                  <formatCode>0.00%</formatCode>
                  <v>0.0680622009569378</v>
                </pt>
                <pt idx="226">
                  <formatCode>0.00%</formatCode>
                  <v>0.05936236021889127</v>
                </pt>
                <pt idx="227">
                  <formatCode>0.00%</formatCode>
                  <v>0.03375625654754976</v>
                </pt>
                <pt idx="228">
                  <formatCode>0.00%</formatCode>
                  <v>0.05475194261805141</v>
                </pt>
                <pt idx="229">
                  <formatCode>0.00%</formatCode>
                  <v>0.1053716502970777</v>
                </pt>
                <pt idx="230">
                  <formatCode>0.00%</formatCode>
                  <v>0.01631433823529412</v>
                </pt>
                <pt idx="231">
                  <formatCode>0.00%</formatCode>
                  <v>0.05695611577964519</v>
                </pt>
                <pt idx="232">
                  <formatCode>0.00%</formatCode>
                  <v>0.04021789522484933</v>
                </pt>
                <pt idx="233">
                  <formatCode>0.00%</formatCode>
                  <v>0.03024445707788516</v>
                </pt>
                <pt idx="234">
                  <formatCode>0.00%</formatCode>
                  <v>0.06515679442508711</v>
                </pt>
                <pt idx="235">
                  <formatCode>0.00%</formatCode>
                  <v>0.06632004621606008</v>
                </pt>
                <pt idx="236">
                  <formatCode>0.00%</formatCode>
                  <v>0.04483230663928816</v>
                </pt>
                <pt idx="237">
                  <formatCode>0.00%</formatCode>
                  <v>0.01601523126889909</v>
                </pt>
                <pt idx="238">
                  <formatCode>0.00%</formatCode>
                  <v>0.01572150477259966</v>
                </pt>
                <pt idx="239">
                  <formatCode>0.00%</formatCode>
                  <v>-0.001576399054160568</v>
                </pt>
                <pt idx="240">
                  <formatCode>0.00%</formatCode>
                  <v>0.05485662473081718</v>
                </pt>
                <pt idx="241">
                  <formatCode>0.00%</formatCode>
                  <v>0.03236068451075033</v>
                </pt>
                <pt idx="242">
                  <formatCode>0.00%</formatCode>
                  <v>0.03843545105132263</v>
                </pt>
                <pt idx="243">
                  <formatCode>0.00%</formatCode>
                  <v>0.01545936395759717</v>
                </pt>
                <pt idx="244">
                  <formatCode>0.00%</formatCode>
                  <v>-0.009470752089136491</v>
                </pt>
                <pt idx="245">
                  <formatCode>0.00%</formatCode>
                  <v>0.002096898797042269</v>
                </pt>
                <pt idx="246">
                  <formatCode>0.00%</formatCode>
                  <v>0.001199432995311307</v>
                </pt>
                <pt idx="247">
                  <formatCode>0.00%</formatCode>
                  <v>-0.01549463647199046</v>
                </pt>
                <pt idx="248">
                  <formatCode>0.00%</formatCode>
                  <v>-0.005677475706954907</v>
                </pt>
                <pt idx="249">
                  <formatCode>0.00%</formatCode>
                  <v>0.009369488536155202</v>
                </pt>
                <pt idx="250">
                  <formatCode>0.00%</formatCode>
                  <v>0.004754007739082366</v>
                </pt>
                <pt idx="251">
                  <formatCode>0.00%</formatCode>
                  <v>0.05176497124168265</v>
                </pt>
                <pt idx="252">
                  <formatCode>0.00%</formatCode>
                  <v>-0.009025464703986246</v>
                </pt>
                <pt idx="253">
                  <formatCode>0.00%</formatCode>
                  <v>-0.01434491552438636</v>
                </pt>
                <pt idx="254">
                  <formatCode>0.00%</formatCode>
                  <v>0.01970389723492271</v>
                </pt>
                <pt idx="255">
                  <formatCode>0.00%</formatCode>
                  <v>0.0137016093953893</v>
                </pt>
                <pt idx="256">
                  <formatCode>0.00%</formatCode>
                  <v>0.04825646794150731</v>
                </pt>
                <pt idx="257">
                  <formatCode>0.00%</formatCode>
                  <v>0.009801762114537444</v>
                </pt>
                <pt idx="258">
                  <formatCode>0.00%</formatCode>
                  <v>0.002940535830973644</v>
                </pt>
                <pt idx="259">
                  <formatCode>0.00%</formatCode>
                  <v>0.02399295619634603</v>
                </pt>
                <pt idx="260">
                  <formatCode>0.00%</formatCode>
                  <v>0.04337322938399034</v>
                </pt>
                <pt idx="261">
                  <formatCode>0.00%</formatCode>
                  <v>0.03614720978486404</v>
                </pt>
                <pt idx="262">
                  <formatCode>0.00%</formatCode>
                  <v>0.05138644366197183</v>
                </pt>
                <pt idx="263">
                  <formatCode>0.00%</formatCode>
                  <v>0.007184216169847738</v>
                </pt>
                <pt idx="264">
                  <formatCode>0.00%</formatCode>
                  <v>0.003035888539520763</v>
                </pt>
                <pt idx="265">
                  <formatCode>0.00%</formatCode>
                  <v>0.01196636481241915</v>
                </pt>
                <pt idx="266">
                  <formatCode>0.00%</formatCode>
                  <v>0.01131632326251735</v>
                </pt>
                <pt idx="267">
                  <formatCode>0.00%</formatCode>
                  <v>0.002360008581849388</v>
                </pt>
                <pt idx="268">
                  <formatCode>0.00%</formatCode>
                  <v>0.02317845262367207</v>
                </pt>
                <pt idx="269">
                  <formatCode>0.00%</formatCode>
                  <v>0.04689715345184862</v>
                </pt>
                <pt idx="270">
                  <formatCode>0.00%</formatCode>
                  <v>0.04495602128352699</v>
                </pt>
                <pt idx="271">
                  <formatCode>0.00%</formatCode>
                  <v>0.04718400687876182</v>
                </pt>
                <pt idx="272">
                  <formatCode>0.00%</formatCode>
                  <v>0.02283729741107135</v>
                </pt>
                <pt idx="273">
                  <formatCode>0.00%</formatCode>
                  <v>0.04384485666104553</v>
                </pt>
                <pt idx="274">
                  <formatCode>0.00%</formatCode>
                  <v>0.02857142857142857</v>
                </pt>
                <pt idx="275">
                  <formatCode>0.00%</formatCode>
                  <v>0.04333013946555946</v>
                </pt>
                <pt idx="276">
                  <formatCode>0.00%</formatCode>
                  <v>0.06442546751702519</v>
                </pt>
                <pt idx="277">
                  <formatCode>0.00%</formatCode>
                  <v>0.03973580483647598</v>
                </pt>
                <pt idx="278">
                  <formatCode>0.00%</formatCode>
                  <v>0.03325240156233505</v>
                </pt>
                <pt idx="279">
                  <formatCode>0.00%</formatCode>
                  <v>0.04077482876712329</v>
                </pt>
                <pt idx="280">
                  <formatCode>0.00%</formatCode>
                  <v>0.04845306764551652</v>
                </pt>
                <pt idx="281">
                  <formatCode>0.00%</formatCode>
                  <v>0.0459422856547557</v>
                </pt>
                <pt idx="282">
                  <formatCode>0.00%</formatCode>
                  <v>0.04530811597215006</v>
                </pt>
                <pt idx="283">
                  <formatCode>0.00%</formatCode>
                  <v>0.04259468336241404</v>
                </pt>
                <pt idx="284">
                  <formatCode>0.00%</formatCode>
                  <v>-0.000514456219775697</v>
                </pt>
                <pt idx="285">
                  <formatCode>0.00%</formatCode>
                  <v>-0.01797253634894992</v>
                </pt>
                <pt idx="286">
                  <formatCode>0.00%</formatCode>
                  <v>0.003561253561253561</v>
                </pt>
                <pt idx="287">
                  <formatCode>0.00%</formatCode>
                  <v>-0.003775510204081633</v>
                </pt>
                <pt idx="288">
                  <formatCode>0.00%</formatCode>
                  <v>-0.006194780136082056</v>
                </pt>
                <pt idx="289">
                  <formatCode>0.00%</formatCode>
                  <v>0.001024590163934426</v>
                </pt>
                <pt idx="290">
                  <formatCode>0.00%</formatCode>
                  <v>0.02257866775643645</v>
                </pt>
                <pt idx="291">
                  <formatCode>0.00%</formatCode>
                  <v>0.04123393316195373</v>
                </pt>
                <pt idx="292">
                  <formatCode>0.00%</formatCode>
                  <v>-0.0001000300090027008</v>
                </pt>
                <pt idx="293">
                  <formatCode>0.00%</formatCode>
                  <v>0.002290836653386454</v>
                </pt>
                <pt idx="294">
                  <formatCode>0.00%</formatCode>
                  <v>-0.006163634556118899</v>
                </pt>
                <pt idx="295">
                  <formatCode>0.00%</formatCode>
                  <v>-0.02215002953337271</v>
                </pt>
                <pt idx="296">
                  <formatCode>0.00%</formatCode>
                  <v>0.04961910644430718</v>
                </pt>
                <pt idx="297">
                  <formatCode>0.00%</formatCode>
                  <v>0.06600863664404688</v>
                </pt>
                <pt idx="298">
                  <formatCode>0.00%</formatCode>
                  <v>0.01003751394099158</v>
                </pt>
                <pt idx="299">
                  <formatCode>0.00%</formatCode>
                  <v>0.03759090443511216</v>
                </pt>
                <pt idx="300">
                  <formatCode>0.00%</formatCode>
                  <v>0.03310852237890864</v>
                </pt>
                <pt idx="301">
                  <formatCode>0.00%</formatCode>
                  <v>0.05220061412487206</v>
                </pt>
                <pt idx="302">
                  <formatCode>0.00%</formatCode>
                  <v>0.0179838145668898</v>
                </pt>
                <pt idx="303">
                  <formatCode>0.00%</formatCode>
                  <v>0.01214694844953585</v>
                </pt>
                <pt idx="304">
                  <formatCode>0.00%</formatCode>
                  <v>0.004701880752300921</v>
                </pt>
                <pt idx="305">
                  <formatCode>0.00%</formatCode>
                  <v>-0.001490609162277651</v>
                </pt>
                <pt idx="306">
                  <formatCode>0.00%</formatCode>
                  <v>0.02610783234970491</v>
                </pt>
                <pt idx="307">
                  <formatCode>0.00%</formatCode>
                  <v>0.03040370482230947</v>
                </pt>
                <pt idx="308">
                  <formatCode>0.00%</formatCode>
                  <v>0.01549627304825422</v>
                </pt>
                <pt idx="309">
                  <formatCode>0.00%</formatCode>
                  <v>0.002314814814814815</v>
                </pt>
                <pt idx="310">
                  <formatCode>0.00%</formatCode>
                  <v>0.06303955029110621</v>
                </pt>
                <pt idx="311">
                  <formatCode>0.00%</formatCode>
                  <v>0.05192497532082922</v>
                </pt>
                <pt idx="312">
                  <formatCode>0.00%</formatCode>
                  <v>0.07368941641938674</v>
                </pt>
                <pt idx="313">
                  <formatCode>0.00%</formatCode>
                  <v>0.05126459143968871</v>
                </pt>
                <pt idx="314">
                  <formatCode>0.00%</formatCode>
                  <v>0.05123172048287369</v>
                </pt>
                <pt idx="315">
                  <formatCode>0.00%</formatCode>
                  <v>0.03922333886232803</v>
                </pt>
                <pt idx="316">
                  <formatCode>0.00%</formatCode>
                  <v>0.07637160211092303</v>
                </pt>
                <pt idx="317">
                  <formatCode>0.00%</formatCode>
                  <v>0.07115843949044585</v>
                </pt>
                <pt idx="318">
                  <formatCode>0.00%</formatCode>
                  <v>0.0149151881458374</v>
                </pt>
                <pt idx="319">
                  <formatCode>0.00%</formatCode>
                  <v>0.03810454323400098</v>
                </pt>
                <pt idx="320">
                  <formatCode>0.00%</formatCode>
                  <v>0.02945721460305196</v>
                </pt>
                <pt idx="321">
                  <formatCode>0.00%</formatCode>
                  <v>0.04955735180908391</v>
                </pt>
                <pt idx="322">
                  <formatCode>0.00%</formatCode>
                  <v>0.01784702549575071</v>
                </pt>
                <pt idx="323">
                  <formatCode>0.00%</formatCode>
                  <v>-0.009196696696696696</v>
                </pt>
                <pt idx="324">
                  <formatCode>0.00%</formatCode>
                  <v>-0.04689083371718102</v>
                </pt>
                <pt idx="325">
                  <formatCode>0.00%</formatCode>
                  <v>-0.03257148144721014</v>
                </pt>
                <pt idx="326">
                  <formatCode>0.00%</formatCode>
                  <v>-0.01026981607693026</v>
                </pt>
                <pt idx="327">
                  <formatCode>0.00%</formatCode>
                  <v>0.01671204581729415</v>
                </pt>
                <pt idx="328">
                  <formatCode>0.00%</formatCode>
                  <v>0.006938020351526364</v>
                </pt>
                <pt idx="329">
                  <formatCode>0.00%</formatCode>
                  <v>0.02211279383071634</v>
                </pt>
                <pt idx="330">
                  <formatCode>0.00%</formatCode>
                  <v>0.04696955143598117</v>
                </pt>
                <pt idx="331">
                  <formatCode>0.00%</formatCode>
                  <v>0.05402352941176471</v>
                </pt>
                <pt idx="332">
                  <formatCode>0.00%</formatCode>
                  <v>0.05150576977202364</v>
                </pt>
                <pt idx="333">
                  <formatCode>0.00%</formatCode>
                  <v>0.04492527734482443</v>
                </pt>
                <pt idx="334">
                  <formatCode>0.00%</formatCode>
                  <v>0.06178680768160312</v>
                </pt>
                <pt idx="335">
                  <formatCode>0.00%</formatCode>
                  <v>0.06184883500663004</v>
                </pt>
                <pt idx="336">
                  <formatCode>0.00%</formatCode>
                  <v>0.1276821960177847</v>
                </pt>
                <pt idx="337">
                  <formatCode>0.00%</formatCode>
                  <v>0.1196556671449067</v>
                </pt>
                <pt idx="338">
                  <formatCode>0.00%</formatCode>
                  <v>-0.0685784359966041</v>
                </pt>
                <pt idx="339">
                  <formatCode>0.00%</formatCode>
                  <v>-0.3202511773940345</v>
                </pt>
                <pt idx="340">
                  <formatCode>0.00%</formatCode>
                  <v>-0.1826366559485531</v>
                </pt>
                <pt idx="341">
                  <formatCode>0.00%</formatCode>
                  <v>-9.09008271975275e-05</v>
                </pt>
                <pt idx="342">
                  <formatCode>0.00%</formatCode>
                  <v>0.05550458715596331</v>
                </pt>
                <pt idx="343">
                  <formatCode>0.00%</formatCode>
                  <v>0.04196803286007679</v>
                </pt>
                <pt idx="344">
                  <formatCode>0.00%</formatCode>
                  <v>0.04684154175588865</v>
                </pt>
                <pt idx="345">
                  <formatCode>0.00%</formatCode>
                  <v>0.03509695533912433</v>
                </pt>
                <pt idx="346">
                  <formatCode>0.00%</formatCode>
                  <v>0.0509392747924858</v>
                </pt>
                <pt idx="347">
                  <formatCode>0.00%</formatCode>
                  <v>0.1298724467041299</v>
                </pt>
                <pt idx="348">
                  <formatCode>0.00%</formatCode>
                  <v>0.09231164823862176</v>
                </pt>
                <pt idx="349">
                  <formatCode>0.00%</formatCode>
                  <v>0.05877327866051597</v>
                </pt>
                <pt idx="350">
                  <formatCode>0.00%</formatCode>
                  <v>0.3921409763013976</v>
                </pt>
                <pt idx="351">
                  <formatCode>0.00%</formatCode>
                  <v>0.8487977177013992</v>
                </pt>
                <pt idx="352">
                  <formatCode>0.00%</formatCode>
                  <v>0.4801618523097673</v>
                </pt>
                <pt idx="353">
                  <formatCode>0.00%</formatCode>
                  <v>0.2485454545454545</v>
                </pt>
                <pt idx="354">
                  <formatCode>0.00%</formatCode>
                  <v>0.2083441981747066</v>
                </pt>
                <pt idx="355">
                  <formatCode>0.00%</formatCode>
                  <v>0.2191276030508184</v>
                </pt>
                <pt idx="356">
                  <formatCode>0.00%</formatCode>
                  <v>0.2507457598227222</v>
                </pt>
                <pt idx="357">
                  <formatCode>0.00%</formatCode>
                  <v>0.2654912265830296</v>
                </pt>
                <pt idx="358">
                  <formatCode>0.00%</formatCode>
                  <v>0.2376122381110742</v>
                </pt>
                <pt idx="359">
                  <formatCode>0.00%</formatCode>
                  <v>0.2062840451567064</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'Clothing and clothing access'!$A$7:$A$366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'Clothing and clothing access'!$B$7:$B$366</f>
              <numCache>
                <formatCode>#,##0</formatCode>
                <ptCount val="360"/>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17346</v>
                </pt>
                <pt idx="217">
                  <v>17404</v>
                </pt>
                <pt idx="218">
                  <v>17918</v>
                </pt>
                <pt idx="219">
                  <v>17705</v>
                </pt>
                <pt idx="220">
                  <v>17653</v>
                </pt>
                <pt idx="221">
                  <v>17522</v>
                </pt>
                <pt idx="222">
                  <v>17578</v>
                </pt>
                <pt idx="223">
                  <v>17662</v>
                </pt>
                <pt idx="224">
                  <v>17687</v>
                </pt>
                <pt idx="225">
                  <v>18000</v>
                </pt>
                <pt idx="226">
                  <v>18435</v>
                </pt>
                <pt idx="227">
                  <v>18178</v>
                </pt>
                <pt idx="228">
                  <v>18363</v>
                </pt>
                <pt idx="229">
                  <v>18592</v>
                </pt>
                <pt idx="230">
                  <v>18718</v>
                </pt>
                <pt idx="231">
                  <v>18957</v>
                </pt>
                <pt idx="232">
                  <v>18846</v>
                </pt>
                <pt idx="233">
                  <v>19182</v>
                </pt>
                <pt idx="234">
                  <v>18998</v>
                </pt>
                <pt idx="235">
                  <v>18922</v>
                </pt>
                <pt idx="236">
                  <v>19489</v>
                </pt>
                <pt idx="237">
                  <v>19136</v>
                </pt>
                <pt idx="238">
                  <v>19311</v>
                </pt>
                <pt idx="239">
                  <v>19494</v>
                </pt>
                <pt idx="240">
                  <v>19588</v>
                </pt>
                <pt idx="241">
                  <v>20269</v>
                </pt>
                <pt idx="242">
                  <v>20058</v>
                </pt>
                <pt idx="243">
                  <v>19533</v>
                </pt>
                <pt idx="244">
                  <v>19657</v>
                </pt>
                <pt idx="245">
                  <v>19878</v>
                </pt>
                <pt idx="246">
                  <v>19724</v>
                </pt>
                <pt idx="247">
                  <v>19931</v>
                </pt>
                <pt idx="248">
                  <v>20119</v>
                </pt>
                <pt idx="249">
                  <v>19939</v>
                </pt>
                <pt idx="250">
                  <v>19972</v>
                </pt>
                <pt idx="251">
                  <v>20162</v>
                </pt>
                <pt idx="252">
                  <v>20434</v>
                </pt>
                <pt idx="253">
                  <v>20305</v>
                </pt>
                <pt idx="254">
                  <v>20316</v>
                </pt>
                <pt idx="255">
                  <v>20498</v>
                </pt>
                <pt idx="256">
                  <v>20376</v>
                </pt>
                <pt idx="257">
                  <v>20368</v>
                </pt>
                <pt idx="258">
                  <v>20578</v>
                </pt>
                <pt idx="259">
                  <v>20315</v>
                </pt>
                <pt idx="260">
                  <v>20305</v>
                </pt>
                <pt idx="261">
                  <v>20790</v>
                </pt>
                <pt idx="262">
                  <v>20279</v>
                </pt>
                <pt idx="263">
                  <v>20565</v>
                </pt>
                <pt idx="264">
                  <v>20517</v>
                </pt>
                <pt idx="265">
                  <v>20543</v>
                </pt>
                <pt idx="266">
                  <v>20667</v>
                </pt>
                <pt idx="267">
                  <v>21161</v>
                </pt>
                <pt idx="268">
                  <v>20765</v>
                </pt>
                <pt idx="269">
                  <v>20799</v>
                </pt>
                <pt idx="270">
                  <v>20918</v>
                </pt>
                <pt idx="271">
                  <v>21035</v>
                </pt>
                <pt idx="272">
                  <v>20830</v>
                </pt>
                <pt idx="273">
                  <v>21121</v>
                </pt>
                <pt idx="274">
                  <v>21394</v>
                </pt>
                <pt idx="275">
                  <v>21296</v>
                </pt>
                <pt idx="276">
                  <v>21039</v>
                </pt>
                <pt idx="277">
                  <v>21326</v>
                </pt>
                <pt idx="278">
                  <v>21381</v>
                </pt>
                <pt idx="279">
                  <v>21444</v>
                </pt>
                <pt idx="280">
                  <v>21626</v>
                </pt>
                <pt idx="281">
                  <v>21391</v>
                </pt>
                <pt idx="282">
                  <v>21548</v>
                </pt>
                <pt idx="283">
                  <v>21587</v>
                </pt>
                <pt idx="284">
                  <v>21446</v>
                </pt>
                <pt idx="285">
                  <v>21239</v>
                </pt>
                <pt idx="286">
                  <v>21348</v>
                </pt>
                <pt idx="287">
                  <v>21506</v>
                </pt>
                <pt idx="288">
                  <v>21289</v>
                </pt>
                <pt idx="289">
                  <v>21962</v>
                </pt>
                <pt idx="290">
                  <v>21491</v>
                </pt>
                <pt idx="291">
                  <v>21407</v>
                </pt>
                <pt idx="292">
                  <v>21579</v>
                </pt>
                <pt idx="293">
                  <v>21673</v>
                </pt>
                <pt idx="294">
                  <v>21431</v>
                </pt>
                <pt idx="295">
                  <v>21787</v>
                </pt>
                <pt idx="296">
                  <v>21906</v>
                </pt>
                <pt idx="297">
                  <v>21696</v>
                </pt>
                <pt idx="298">
                  <v>21629</v>
                </pt>
                <pt idx="299">
                  <v>21951</v>
                </pt>
                <pt idx="300">
                  <v>22025</v>
                </pt>
                <pt idx="301">
                  <v>21654</v>
                </pt>
                <pt idx="302">
                  <v>21760</v>
                </pt>
                <pt idx="303">
                  <v>21777</v>
                </pt>
                <pt idx="304">
                  <v>21648</v>
                </pt>
                <pt idx="305">
                  <v>21791</v>
                </pt>
                <pt idx="306">
                  <v>21619</v>
                </pt>
                <pt idx="307">
                  <v>21779</v>
                </pt>
                <pt idx="308">
                  <v>21897</v>
                </pt>
                <pt idx="309">
                  <v>21796</v>
                </pt>
                <pt idx="310">
                  <v>22068</v>
                </pt>
                <pt idx="311">
                  <v>21760</v>
                </pt>
                <pt idx="312">
                  <v>21848</v>
                </pt>
                <pt idx="313">
                  <v>22365</v>
                </pt>
                <pt idx="314">
                  <v>21697</v>
                </pt>
                <pt idx="315">
                  <v>22045</v>
                </pt>
                <pt idx="316">
                  <v>22855</v>
                </pt>
                <pt idx="317">
                  <v>22343</v>
                </pt>
                <pt idx="318">
                  <v>22698</v>
                </pt>
                <pt idx="319">
                  <v>22101</v>
                </pt>
                <pt idx="320">
                  <v>22112</v>
                </pt>
                <pt idx="321">
                  <v>22506</v>
                </pt>
                <pt idx="322">
                  <v>22535</v>
                </pt>
                <pt idx="323">
                  <v>22028</v>
                </pt>
                <pt idx="324">
                  <v>22040</v>
                </pt>
                <pt idx="325">
                  <v>22012</v>
                </pt>
                <pt idx="326">
                  <v>22431</v>
                </pt>
                <pt idx="327">
                  <v>22360</v>
                </pt>
                <pt idx="328">
                  <v>22246</v>
                </pt>
                <pt idx="329">
                  <v>22374</v>
                </pt>
                <pt idx="330">
                  <v>22548</v>
                </pt>
                <pt idx="331">
                  <v>22432</v>
                </pt>
                <pt idx="332">
                  <v>22415</v>
                </pt>
                <pt idx="333">
                  <v>22400</v>
                </pt>
                <pt idx="334">
                  <v>22272</v>
                </pt>
                <pt idx="335">
                  <v>22941</v>
                </pt>
                <pt idx="336">
                  <v>22914</v>
                </pt>
                <pt idx="337">
                  <v>22560</v>
                </pt>
                <pt idx="338">
                  <v>11494</v>
                </pt>
                <pt idx="339">
                  <v>2836</v>
                </pt>
                <pt idx="340">
                  <v>8394</v>
                </pt>
                <pt idx="341">
                  <v>17361</v>
                </pt>
                <pt idx="342">
                  <v>18067</v>
                </pt>
                <pt idx="343">
                  <v>18679</v>
                </pt>
                <pt idx="344">
                  <v>21334</v>
                </pt>
                <pt idx="345">
                  <v>20797</v>
                </pt>
                <pt idx="346">
                  <v>19657</v>
                </pt>
                <pt idx="347">
                  <v>20095</v>
                </pt>
                <pt idx="348">
                  <v>21351</v>
                </pt>
                <pt idx="349">
                  <v>20180</v>
                </pt>
                <pt idx="350">
                  <v>25012</v>
                </pt>
                <pt idx="351">
                  <v>24660</v>
                </pt>
                <pt idx="352">
                  <v>25586</v>
                </pt>
                <pt idx="353">
                  <v>26464</v>
                </pt>
                <pt idx="354">
                  <v>25776</v>
                </pt>
                <pt idx="355">
                  <v>25776</v>
                </pt>
                <pt idx="356">
                  <v>26293</v>
                </pt>
                <pt idx="357">
                  <v>26349</v>
                </pt>
                <pt idx="358">
                  <v>26491</v>
                </pt>
                <pt idx="359">
                  <v>26061</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strRef>
          <f>Table35[[#Headers],[yoy]]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'Clothing and clothing access'!$A$7:$A$366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'Clothing and clothing access'!$D$7:$D$366</f>
              <numCache>
                <formatCode>General</formatCode>
                <ptCount val="360"/>
                <pt idx="12">
                  <formatCode>0.00%</formatCode>
                  <v>0.08902840675174969</v>
                </pt>
                <pt idx="13">
                  <formatCode>0.00%</formatCode>
                  <v>0.04509884678747941</v>
                </pt>
                <pt idx="14">
                  <formatCode>0.00%</formatCode>
                  <v>0.02554555796876616</v>
                </pt>
                <pt idx="15">
                  <formatCode>0.00%</formatCode>
                  <v>0.04005272764145204</v>
                </pt>
                <pt idx="16">
                  <formatCode>0.00%</formatCode>
                  <v>0.06468477703741671</v>
                </pt>
                <pt idx="17">
                  <formatCode>0.00%</formatCode>
                  <v>0.05002521432173475</v>
                </pt>
                <pt idx="18">
                  <formatCode>0.00%</formatCode>
                  <v>0.06387466104248267</v>
                </pt>
                <pt idx="19">
                  <formatCode>0.00%</formatCode>
                  <v>0.0261315452125037</v>
                </pt>
                <pt idx="20">
                  <formatCode>0.00%</formatCode>
                  <v>0.03890092574354934</v>
                </pt>
                <pt idx="21">
                  <formatCode>0.00%</formatCode>
                  <v>0.02702968350697857</v>
                </pt>
                <pt idx="22">
                  <formatCode>0.00%</formatCode>
                  <v>0.03959904724096864</v>
                </pt>
                <pt idx="23">
                  <formatCode>0.00%</formatCode>
                  <v>0.0120178329133553</v>
                </pt>
                <pt idx="24">
                  <formatCode>0.00%</formatCode>
                  <v>-0.01238068235516492</v>
                </pt>
                <pt idx="25">
                  <formatCode>0.00%</formatCode>
                  <v>0.04305418719211822</v>
                </pt>
                <pt idx="26">
                  <formatCode>0.00%</formatCode>
                  <v>0.08975393303751512</v>
                </pt>
                <pt idx="27">
                  <formatCode>0.00%</formatCode>
                  <v>0.02895583503948523</v>
                </pt>
                <pt idx="28">
                  <formatCode>0.00%</formatCode>
                  <v>0.00625842480261891</v>
                </pt>
                <pt idx="29">
                  <formatCode>0.00%</formatCode>
                  <v>0.01930650273748919</v>
                </pt>
                <pt idx="30">
                  <formatCode>0.00%</formatCode>
                  <v>0.007457755121306523</v>
                </pt>
                <pt idx="31">
                  <formatCode>0.00%</formatCode>
                  <v>0.04161060926388622</v>
                </pt>
                <pt idx="32">
                  <formatCode>0.00%</formatCode>
                  <v>0.01184946440420893</v>
                </pt>
                <pt idx="33">
                  <formatCode>0.00%</formatCode>
                  <v>0.05273231888218968</v>
                </pt>
                <pt idx="34">
                  <formatCode>0.00%</formatCode>
                  <v>0.0484964200477327</v>
                </pt>
                <pt idx="35">
                  <formatCode>0.00%</formatCode>
                  <v>0.0488412181574411</v>
                </pt>
                <pt idx="36">
                  <formatCode>0.00%</formatCode>
                  <v>0.04679425837320574</v>
                </pt>
                <pt idx="37">
                  <formatCode>0.00%</formatCode>
                  <v>-0.0004722773212430339</v>
                </pt>
                <pt idx="38">
                  <formatCode>0.00%</formatCode>
                  <v>0.004071811956320563</v>
                </pt>
                <pt idx="39">
                  <formatCode>0.00%</formatCode>
                  <v>0.02292969490240667</v>
                </pt>
                <pt idx="40">
                  <formatCode>0.00%</formatCode>
                  <v>0.05023442732752847</v>
                </pt>
                <pt idx="41">
                  <formatCode>0.00%</formatCode>
                  <v>0.0316622691292876</v>
                </pt>
                <pt idx="42">
                  <formatCode>0.00%</formatCode>
                  <v>0.01424287856071964</v>
                </pt>
                <pt idx="43">
                  <formatCode>0.00%</formatCode>
                  <v>-0.002398745271704032</v>
                </pt>
                <pt idx="44">
                  <formatCode>0.00%</formatCode>
                  <v>0.04909124976578602</v>
                </pt>
                <pt idx="45">
                  <formatCode>0.00%</formatCode>
                  <v>-0.01072727272727273</v>
                </pt>
                <pt idx="46">
                  <formatCode>0.00%</formatCode>
                  <v>0.02604024401347537</v>
                </pt>
                <pt idx="47">
                  <formatCode>0.00%</formatCode>
                  <v>0.01570489408327246</v>
                </pt>
                <pt idx="48">
                  <formatCode>0.00%</formatCode>
                  <v>0.0151750617058232</v>
                </pt>
                <pt idx="49">
                  <formatCode>0.00%</formatCode>
                  <v>0.07172557172557173</v>
                </pt>
                <pt idx="50">
                  <formatCode>0.00%</formatCode>
                  <v>0.04847926267281106</v>
                </pt>
                <pt idx="51">
                  <formatCode>0.00%</formatCode>
                  <v>0.05798443868099296</v>
                </pt>
                <pt idx="52">
                  <formatCode>0.00%</formatCode>
                  <v>0.04810495626822157</v>
                </pt>
                <pt idx="53">
                  <formatCode>0.00%</formatCode>
                  <v>0.03808914870295944</v>
                </pt>
                <pt idx="54">
                  <formatCode>0.00%</formatCode>
                  <v>0.04545454545454546</v>
                </pt>
                <pt idx="55">
                  <formatCode>0.00%</formatCode>
                  <v>0.05058725608064367</v>
                </pt>
                <pt idx="56">
                  <formatCode>0.00%</formatCode>
                  <v>0.03000535809966065</v>
                </pt>
                <pt idx="57">
                  <formatCode>0.00%</formatCode>
                  <v>0.06386693622495865</v>
                </pt>
                <pt idx="58">
                  <formatCode>0.00%</formatCode>
                  <v>0.004348211908776289</v>
                </pt>
                <pt idx="59">
                  <formatCode>0.00%</formatCode>
                  <v>0.02795756921970514</v>
                </pt>
                <pt idx="60">
                  <formatCode>0.00%</formatCode>
                  <v>0.03674020711391265</v>
                </pt>
                <pt idx="61">
                  <formatCode>0.00%</formatCode>
                  <v>0.01119830702759898</v>
                </pt>
                <pt idx="62">
                  <formatCode>0.00%</formatCode>
                  <v>0.02171237693389592</v>
                </pt>
                <pt idx="63">
                  <formatCode>0.00%</formatCode>
                  <v>-0.01987392750831728</v>
                </pt>
                <pt idx="64">
                  <formatCode>0.00%</formatCode>
                  <v>-0.00791029207232267</v>
                </pt>
                <pt idx="65">
                  <formatCode>0.00%</formatCode>
                  <v>0.02446106467223933</v>
                </pt>
                <pt idx="66">
                  <formatCode>0.00%</formatCode>
                  <v>0.03702721809826794</v>
                </pt>
                <pt idx="67">
                  <formatCode>0.00%</formatCode>
                  <v>0.04119718309859155</v>
                </pt>
                <pt idx="68">
                  <formatCode>0.00%</formatCode>
                  <v>0.0269637593202705</v>
                </pt>
                <pt idx="69">
                  <formatCode>0.00%</formatCode>
                  <v>0.02625896173447352</v>
                </pt>
                <pt idx="70">
                  <formatCode>0.00%</formatCode>
                  <v>0.05460328679978795</v>
                </pt>
                <pt idx="71">
                  <formatCode>0.00%</formatCode>
                  <v>0.05902929602098819</v>
                </pt>
                <pt idx="72">
                  <formatCode>0.00%</formatCode>
                  <v>0.05567619213063493</v>
                </pt>
                <pt idx="73">
                  <formatCode>0.00%</formatCode>
                  <v>0.06374258807115452</v>
                </pt>
                <pt idx="74">
                  <formatCode>0.00%</formatCode>
                  <v>0.04654564226103416</v>
                </pt>
                <pt idx="75">
                  <formatCode>0.00%</formatCode>
                  <v>0.1129075480125056</v>
                </pt>
                <pt idx="76">
                  <formatCode>0.00%</formatCode>
                  <v>0.07806886883378604</v>
                </pt>
                <pt idx="77">
                  <formatCode>0.00%</formatCode>
                  <v>0.06905436743107446</v>
                </pt>
                <pt idx="78">
                  <formatCode>0.00%</formatCode>
                  <v>0.07021729867916489</v>
                </pt>
                <pt idx="79">
                  <formatCode>0.00%</formatCode>
                  <v>0.05343253297260737</v>
                </pt>
                <pt idx="80">
                  <formatCode>0.00%</formatCode>
                  <v>0.02828197551709582</v>
                </pt>
                <pt idx="81">
                  <formatCode>0.00%</formatCode>
                  <v>0.05546671155626631</v>
                </pt>
                <pt idx="82">
                  <formatCode>0.00%</formatCode>
                  <v>0.06702412868632708</v>
                </pt>
                <pt idx="83">
                  <formatCode>0.00%</formatCode>
                  <v>0.05251857968620974</v>
                </pt>
                <pt idx="84">
                  <formatCode>0.00%</formatCode>
                  <v>0.06113213756787889</v>
                </pt>
                <pt idx="85">
                  <formatCode>0.00%</formatCode>
                  <v>0.05910320518075252</v>
                </pt>
                <pt idx="86">
                  <formatCode>0.00%</formatCode>
                  <v>0.07489312726076948</v>
                </pt>
                <pt idx="87">
                  <formatCode>0.00%</formatCode>
                  <v>0.05457901918291998</v>
                </pt>
                <pt idx="88">
                  <formatCode>0.00%</formatCode>
                  <v>0.08688231469440832</v>
                </pt>
                <pt idx="89">
                  <formatCode>0.00%</formatCode>
                  <v>0.07439543665140194</v>
                </pt>
                <pt idx="90">
                  <formatCode>0.00%</formatCode>
                  <v>0.05661278764232821</v>
                </pt>
                <pt idx="91">
                  <formatCode>0.00%</formatCode>
                  <v>0.07576243980738363</v>
                </pt>
                <pt idx="92">
                  <formatCode>0.00%</formatCode>
                  <v>0.09860426929392446</v>
                </pt>
                <pt idx="93">
                  <formatCode>0.00%</formatCode>
                  <v>0.0685805422647528</v>
                </pt>
                <pt idx="94">
                  <formatCode>0.00%</formatCode>
                  <v>0.05339195979899498</v>
                </pt>
                <pt idx="95">
                  <formatCode>0.00%</formatCode>
                  <v>0.0648831005805743</v>
                </pt>
                <pt idx="96">
                  <formatCode>0.00%</formatCode>
                  <v>0.03132511436768241</v>
                </pt>
                <pt idx="97">
                  <formatCode>0.00%</formatCode>
                  <v>0.04736842105263158</v>
                </pt>
                <pt idx="98">
                  <formatCode>0.00%</formatCode>
                  <v>0.05682600382409178</v>
                </pt>
                <pt idx="99">
                  <formatCode>0.00%</formatCode>
                  <v>0.05038435192937057</v>
                </pt>
                <pt idx="100">
                  <formatCode>0.00%</formatCode>
                  <v>0.04890450908547073</v>
                </pt>
                <pt idx="101">
                  <formatCode>0.00%</formatCode>
                  <v>0.03671577058251701</v>
                </pt>
                <pt idx="102">
                  <formatCode>0.00%</formatCode>
                  <v>0.03406179351921627</v>
                </pt>
                <pt idx="103">
                  <formatCode>0.00%</formatCode>
                  <v>0.0498358698895852</v>
                </pt>
                <pt idx="104">
                  <formatCode>0.00%</formatCode>
                  <v>0.07361183768029295</v>
                </pt>
                <pt idx="105">
                  <formatCode>0.00%</formatCode>
                  <v>0.06201492537313433</v>
                </pt>
                <pt idx="106">
                  <formatCode>0.00%</formatCode>
                  <v>0.06544424567680382</v>
                </pt>
                <pt idx="107">
                  <formatCode>0.00%</formatCode>
                  <v>0.03764827230531202</v>
                </pt>
                <pt idx="108">
                  <formatCode>0.00%</formatCode>
                  <v>0.06270205247725735</v>
                </pt>
                <pt idx="109">
                  <formatCode>0.00%</formatCode>
                  <v>0.04685190659178244</v>
                </pt>
                <pt idx="110">
                  <formatCode>0.00%</formatCode>
                  <v>-0.001230279345780865</v>
                </pt>
                <pt idx="111">
                  <formatCode>0.00%</formatCode>
                  <v>0.0301427432794725</v>
                </pt>
                <pt idx="112">
                  <formatCode>0.00%</formatCode>
                  <v>-0.005489413274399372</v>
                </pt>
                <pt idx="113">
                  <formatCode>0.00%</formatCode>
                  <v>-0.004327755337564916</v>
                </pt>
                <pt idx="114">
                  <formatCode>0.00%</formatCode>
                  <v>0.01982218335519604</v>
                </pt>
                <pt idx="115">
                  <formatCode>0.00%</formatCode>
                  <v>0.007035247299602047</v>
                </pt>
                <pt idx="116">
                  <formatCode>0.00%</formatCode>
                  <v>-0.07517750243630796</v>
                </pt>
                <pt idx="117">
                  <formatCode>0.00%</formatCode>
                  <v>-0.01812943573887991</v>
                </pt>
                <pt idx="118">
                  <formatCode>0.00%</formatCode>
                  <v>-0.02266685322512943</v>
                </pt>
                <pt idx="119">
                  <formatCode>0.00%</formatCode>
                  <v>0.002982107355864811</v>
                </pt>
                <pt idx="120">
                  <formatCode>0.00%</formatCode>
                  <v>0.006013441811107181</v>
                </pt>
                <pt idx="121">
                  <formatCode>0.00%</formatCode>
                  <v>0.01348298743470281</v>
                </pt>
                <pt idx="122">
                  <formatCode>0.00%</formatCode>
                  <v>0.0460111586116948</v>
                </pt>
                <pt idx="123">
                  <formatCode>0.00%</formatCode>
                  <v>0.01357529717943307</v>
                </pt>
                <pt idx="124">
                  <formatCode>0.00%</formatCode>
                  <v>0.01935483870967742</v>
                </pt>
                <pt idx="125">
                  <formatCode>0.00%</formatCode>
                  <v>0.04071283685888148</v>
                </pt>
                <pt idx="126">
                  <formatCode>0.00%</formatCode>
                  <v>0.01472059454051737</v>
                </pt>
                <pt idx="127">
                  <formatCode>0.00%</formatCode>
                  <v>0.0117846305835862</v>
                </pt>
                <pt idx="128">
                  <formatCode>0.00%</formatCode>
                  <v>0.05118169501731146</v>
                </pt>
                <pt idx="129">
                  <formatCode>0.00%</formatCode>
                  <v>0.0466614184498676</v>
                </pt>
                <pt idx="130">
                  <formatCode>0.00%</formatCode>
                  <v>0.03478883321403006</v>
                </pt>
                <pt idx="131">
                  <formatCode>0.00%</formatCode>
                  <v>0.04162537165510406</v>
                </pt>
                <pt idx="132">
                  <formatCode>0.00%</formatCode>
                  <v>0.02426160337552742</v>
                </pt>
                <pt idx="133">
                  <formatCode>0.00%</formatCode>
                  <v>-0.01497527338580483</v>
                </pt>
                <pt idx="134">
                  <formatCode>0.00%</formatCode>
                  <v>0.00200886672208368</v>
                </pt>
                <pt idx="135">
                  <formatCode>0.00%</formatCode>
                  <v>0.001665510062456627</v>
                </pt>
                <pt idx="136">
                  <formatCode>0.00%</formatCode>
                  <v>0.03030942334739803</v>
                </pt>
                <pt idx="137">
                  <formatCode>0.00%</formatCode>
                  <v>0.03675344563552833</v>
                </pt>
                <pt idx="138">
                  <formatCode>0.00%</formatCode>
                  <v>0.06626760563380282</v>
                </pt>
                <pt idx="139">
                  <formatCode>0.00%</formatCode>
                  <v>0.05237829543869438</v>
                </pt>
                <pt idx="140">
                  <formatCode>0.00%</formatCode>
                  <v>0.08656737791780038</v>
                </pt>
                <pt idx="141">
                  <formatCode>0.00%</formatCode>
                  <v>0.03022222222222222</v>
                </pt>
                <pt idx="142">
                  <formatCode>0.00%</formatCode>
                  <v>0.06101272827891533</v>
                </pt>
                <pt idx="143">
                  <formatCode>0.00%</formatCode>
                  <v>0.05042816365366318</v>
                </pt>
                <pt idx="144">
                  <formatCode>0.00%</formatCode>
                  <v>0.0650875386199794</v>
                </pt>
                <pt idx="145">
                  <formatCode>0.00%</formatCode>
                  <v>0.1092490453966907</v>
                </pt>
                <pt idx="146">
                  <formatCode>0.00%</formatCode>
                  <v>0.1050120981679917</v>
                </pt>
                <pt idx="147">
                  <formatCode>0.00%</formatCode>
                  <v>0.07849521962034087</v>
                </pt>
                <pt idx="148">
                  <formatCode>0.00%</formatCode>
                  <v>0.0740563784042045</v>
                </pt>
                <pt idx="149">
                  <formatCode>0.00%</formatCode>
                  <v>0.04438028736403921</v>
                </pt>
                <pt idx="150">
                  <formatCode>0.00%</formatCode>
                  <v>0.0332871012482663</v>
                </pt>
                <pt idx="151">
                  <formatCode>0.00%</formatCode>
                  <v>0.037842136655842</v>
                </pt>
                <pt idx="152">
                  <formatCode>0.00%</formatCode>
                  <v>0.03881383855024712</v>
                </pt>
                <pt idx="153">
                  <formatCode>0.00%</formatCode>
                  <v>0.06557377049180328</v>
                </pt>
                <pt idx="154">
                  <formatCode>0.00%</formatCode>
                  <v>0.04602946929195462</v>
                </pt>
                <pt idx="155">
                  <formatCode>0.00%</formatCode>
                  <v>0.04703674948240166</v>
                </pt>
                <pt idx="156">
                  <formatCode>0.00%</formatCode>
                  <v>0.03945078321407852</v>
                </pt>
                <pt idx="157">
                  <formatCode>0.00%</formatCode>
                  <v>0.06291834002677377</v>
                </pt>
                <pt idx="158">
                  <formatCode>0.00%</formatCode>
                  <v>0.01933183183183183</v>
                </pt>
                <pt idx="159">
                  <formatCode>0.00%</formatCode>
                  <v>0.06867090640457378</v>
                </pt>
                <pt idx="160">
                  <formatCode>0.00%</formatCode>
                  <v>0.04944077275038129</v>
                </pt>
                <pt idx="161">
                  <formatCode>0.00%</formatCode>
                  <v>0.08158148505303761</v>
                </pt>
                <pt idx="162">
                  <formatCode>0.00%</formatCode>
                  <v>0.05145413870246085</v>
                </pt>
                <pt idx="163">
                  <formatCode>0.00%</formatCode>
                  <v>0.07017879948914432</v>
                </pt>
                <pt idx="164">
                  <formatCode>0.00%</formatCode>
                  <v>0.04351687388987566</v>
                </pt>
                <pt idx="165">
                  <formatCode>0.00%</formatCode>
                  <v>0.06633447524135783</v>
                </pt>
                <pt idx="166">
                  <formatCode>0.00%</formatCode>
                  <v>0.06843679880329095</v>
                </pt>
                <pt idx="167">
                  <formatCode>0.00%</formatCode>
                  <v>0.06327627757523327</v>
                </pt>
                <pt idx="168">
                  <formatCode>0.00%</formatCode>
                  <v>0.07479069767441861</v>
                </pt>
                <pt idx="169">
                  <formatCode>0.00%</formatCode>
                  <v>0.04258126424373276</v>
                </pt>
                <pt idx="170">
                  <formatCode>0.00%</formatCode>
                  <v>0.06702264776284293</v>
                </pt>
                <pt idx="171">
                  <formatCode>0.00%</formatCode>
                  <v>0.05446020678047608</v>
                </pt>
                <pt idx="172">
                  <formatCode>0.00%</formatCode>
                  <v>0.05922247789754148</v>
                </pt>
                <pt idx="173">
                  <formatCode>0.00%</formatCode>
                  <v>0.05212791250594389</v>
                </pt>
                <pt idx="174">
                  <formatCode>0.00%</formatCode>
                  <v>0.07544072948328268</v>
                </pt>
                <pt idx="175">
                  <formatCode>0.00%</formatCode>
                  <v>0.05227042186287965</v>
                </pt>
                <pt idx="176">
                  <formatCode>0.00%</formatCode>
                  <v>0.1097872340425532</v>
                </pt>
                <pt idx="177">
                  <formatCode>0.00%</formatCode>
                  <v>0.05876168224299065</v>
                </pt>
                <pt idx="178">
                  <formatCode>0.00%</formatCode>
                  <v>0.0448022401120056</v>
                </pt>
                <pt idx="179">
                  <formatCode>0.00%</formatCode>
                  <v>0.07496948916138781</v>
                </pt>
                <pt idx="180">
                  <formatCode>0.00%</formatCode>
                  <v>0.06704748716173331</v>
                </pt>
                <pt idx="181">
                  <formatCode>0.00%</formatCode>
                  <v>0.04371836171191901</v>
                </pt>
                <pt idx="182">
                  <formatCode>0.00%</formatCode>
                  <v>0.07236123094621801</v>
                </pt>
                <pt idx="183">
                  <formatCode>0.00%</formatCode>
                  <v>0.03688290958841637</v>
                </pt>
                <pt idx="184">
                  <formatCode>0.00%</formatCode>
                  <v>0.06019894809055568</v>
                </pt>
                <pt idx="185">
                  <formatCode>0.00%</formatCode>
                  <v>0.03881136658945823</v>
                </pt>
                <pt idx="186">
                  <formatCode>0.00%</formatCode>
                  <v>0.04697303713752755</v>
                </pt>
                <pt idx="187">
                  <formatCode>0.00%</formatCode>
                  <v>0.04853983555429543</v>
                </pt>
                <pt idx="188">
                  <formatCode>0.00%</formatCode>
                  <v>0.008545135845749343</v>
                </pt>
                <pt idx="189">
                  <formatCode>0.00%</formatCode>
                  <v>0.01682665783956747</v>
                </pt>
                <pt idx="190">
                  <formatCode>0.00%</formatCode>
                  <v>0.0474036850921273</v>
                </pt>
                <pt idx="191">
                  <formatCode>0.00%</formatCode>
                  <v>0.003946585932853976</v>
                </pt>
                <pt idx="192">
                  <formatCode>0.00%</formatCode>
                  <v>0.002649651219380306</v>
                </pt>
                <pt idx="193">
                  <formatCode>0.00%</formatCode>
                  <v>0.007495590828924162</v>
                </pt>
                <pt idx="194">
                  <formatCode>0.00%</formatCode>
                  <v>-0.01636002789250657</v>
                </pt>
                <pt idx="195">
                  <formatCode>0.00%</formatCode>
                  <v>0.01072076529770741</v>
                </pt>
                <pt idx="196">
                  <formatCode>0.00%</formatCode>
                  <v>0.005230520355891076</v>
                </pt>
                <pt idx="197">
                  <formatCode>0.00%</formatCode>
                  <v>0.01740265390472047</v>
                </pt>
                <pt idx="198">
                  <formatCode>0.00%</formatCode>
                  <v>0.006100853039628549</v>
                </pt>
                <pt idx="199">
                  <formatCode>0.00%</formatCode>
                  <v>0.001784651992861392</v>
                </pt>
                <pt idx="200">
                  <formatCode>0.00%</formatCode>
                  <v>-0.04627416902020422</v>
                </pt>
                <pt idx="201">
                  <formatCode>0.00%</formatCode>
                  <v>-0.06044164722478433</v>
                </pt>
                <pt idx="202">
                  <formatCode>0.00%</formatCode>
                  <v>-0.08454608454608455</v>
                </pt>
                <pt idx="203">
                  <formatCode>0.00%</formatCode>
                  <v>-0.09165320409262251</v>
                </pt>
                <pt idx="204">
                  <formatCode>0.00%</formatCode>
                  <v>-0.07458742314744904</v>
                </pt>
                <pt idx="205">
                  <formatCode>0.00%</formatCode>
                  <v>-0.04808533916849015</v>
                </pt>
                <pt idx="206">
                  <formatCode>0.00%</formatCode>
                  <v>-0.09968371687206892</v>
                </pt>
                <pt idx="207">
                  <formatCode>0.00%</formatCode>
                  <v>-0.08072236727589208</v>
                </pt>
                <pt idx="208">
                  <formatCode>0.00%</formatCode>
                  <v>-0.08604227014268856</v>
                </pt>
                <pt idx="209">
                  <formatCode>0.00%</formatCode>
                  <v>-0.1010797519777635</v>
                </pt>
                <pt idx="210">
                  <formatCode>0.00%</formatCode>
                  <v>-0.08693319023343171</v>
                </pt>
                <pt idx="211">
                  <formatCode>0.00%</formatCode>
                  <v>-0.06969337076225438</v>
                </pt>
                <pt idx="212">
                  <formatCode>0.00%</formatCode>
                  <v>-0.02209567198177676</v>
                </pt>
                <pt idx="213">
                  <formatCode>0.00%</formatCode>
                  <v>-0.001212681180343015</v>
                </pt>
                <pt idx="214">
                  <formatCode>0.00%</formatCode>
                  <v>-0.003959704186804868</v>
                </pt>
                <pt idx="215">
                  <formatCode>0.00%</formatCode>
                  <v>0.01535451742945222</v>
                </pt>
                <pt idx="216">
                  <formatCode>0.00%</formatCode>
                  <v>0.01089807098315753</v>
                </pt>
                <pt idx="217">
                  <formatCode>0.00%</formatCode>
                  <v>0.0001724038848342049</v>
                </pt>
                <pt idx="218">
                  <formatCode>0.00%</formatCode>
                  <v>0.08528164748637189</v>
                </pt>
                <pt idx="219">
                  <formatCode>0.00%</formatCode>
                  <v>0.04763313609467456</v>
                </pt>
                <pt idx="220">
                  <formatCode>0.00%</formatCode>
                  <v>0.03609578589036272</v>
                </pt>
                <pt idx="221">
                  <formatCode>0.00%</formatCode>
                  <v>0.04192186477968722</v>
                </pt>
                <pt idx="222">
                  <formatCode>0.00%</formatCode>
                  <v>0.03308845136644138</v>
                </pt>
                <pt idx="223">
                  <formatCode>0.00%</formatCode>
                  <v>0.0248940985318865</v>
                </pt>
                <pt idx="224">
                  <formatCode>0.00%</formatCode>
                  <v>0.02999068250640578</v>
                </pt>
                <pt idx="225">
                  <formatCode>0.00%</formatCode>
                  <v>0.04070305272895467</v>
                </pt>
                <pt idx="226">
                  <formatCode>0.00%</formatCode>
                  <v>0.07775504238526747</v>
                </pt>
                <pt idx="227">
                  <formatCode>0.00%</formatCode>
                  <v>0.06136509604717697</v>
                </pt>
                <pt idx="228">
                  <formatCode>0.00%</formatCode>
                  <v>0.05863023175371844</v>
                </pt>
                <pt idx="229">
                  <formatCode>0.00%</formatCode>
                  <v>0.06826017007584463</v>
                </pt>
                <pt idx="230">
                  <formatCode>0.00%</formatCode>
                  <v>0.04464784016073223</v>
                </pt>
                <pt idx="231">
                  <formatCode>0.00%</formatCode>
                  <v>0.07071448743292855</v>
                </pt>
                <pt idx="232">
                  <formatCode>0.00%</formatCode>
                  <v>0.06758058120432787</v>
                </pt>
                <pt idx="233">
                  <formatCode>0.00%</formatCode>
                  <v>0.0947380436023285</v>
                </pt>
                <pt idx="234">
                  <formatCode>0.00%</formatCode>
                  <v>0.08078279667766526</v>
                </pt>
                <pt idx="235">
                  <formatCode>0.00%</formatCode>
                  <v>0.07133959913939532</v>
                </pt>
                <pt idx="236">
                  <formatCode>0.00%</formatCode>
                  <v>0.1018827387346639</v>
                </pt>
                <pt idx="237">
                  <formatCode>0.00%</formatCode>
                  <v>0.06311111111111112</v>
                </pt>
                <pt idx="238">
                  <formatCode>0.00%</formatCode>
                  <v>0.04751830756712774</v>
                </pt>
                <pt idx="239">
                  <formatCode>0.00%</formatCode>
                  <v>0.07239520299262846</v>
                </pt>
                <pt idx="240">
                  <formatCode>0.00%</formatCode>
                  <v>0.06671023253281054</v>
                </pt>
                <pt idx="241">
                  <formatCode>0.00%</formatCode>
                  <v>0.0902000860585198</v>
                </pt>
                <pt idx="242">
                  <formatCode>0.00%</formatCode>
                  <v>0.07158884496206859</v>
                </pt>
                <pt idx="243">
                  <formatCode>0.00%</formatCode>
                  <v>0.03038455451811995</v>
                </pt>
                <pt idx="244">
                  <formatCode>0.00%</formatCode>
                  <v>0.04303300435105593</v>
                </pt>
                <pt idx="245">
                  <formatCode>0.00%</formatCode>
                  <v>0.03628401626524867</v>
                </pt>
                <pt idx="246">
                  <formatCode>0.00%</formatCode>
                  <v>0.0382145488998842</v>
                </pt>
                <pt idx="247">
                  <formatCode>0.00%</formatCode>
                  <v>0.05332417292041011</v>
                </pt>
                <pt idx="248">
                  <formatCode>0.00%</formatCode>
                  <v>0.03232592744625173</v>
                </pt>
                <pt idx="249">
                  <formatCode>0.00%</formatCode>
                  <v>0.04196279264214047</v>
                </pt>
                <pt idx="250">
                  <formatCode>0.00%</formatCode>
                  <v>0.03422919579514266</v>
                </pt>
                <pt idx="251">
                  <formatCode>0.00%</formatCode>
                  <v>0.03426695393454396</v>
                </pt>
                <pt idx="252">
                  <formatCode>0.00%</formatCode>
                  <v>0.0431897079844803</v>
                </pt>
                <pt idx="253">
                  <formatCode>0.00%</formatCode>
                  <v>0.001776111302974986</v>
                </pt>
                <pt idx="254">
                  <formatCode>0.00%</formatCode>
                  <v>0.01286269817529165</v>
                </pt>
                <pt idx="255">
                  <formatCode>0.00%</formatCode>
                  <v>0.04940357343981979</v>
                </pt>
                <pt idx="256">
                  <formatCode>0.00%</formatCode>
                  <v>0.03657730070712723</v>
                </pt>
                <pt idx="257">
                  <formatCode>0.00%</formatCode>
                  <v>0.02465036724016501</v>
                </pt>
                <pt idx="258">
                  <formatCode>0.00%</formatCode>
                  <v>0.04329750557696208</v>
                </pt>
                <pt idx="259">
                  <formatCode>0.00%</formatCode>
                  <v>0.01926646931915107</v>
                </pt>
                <pt idx="260">
                  <formatCode>0.00%</formatCode>
                  <v>0.009244992295839754</v>
                </pt>
                <pt idx="261">
                  <formatCode>0.00%</formatCode>
                  <v>0.04268017453232359</v>
                </pt>
                <pt idx="262">
                  <formatCode>0.00%</formatCode>
                  <v>0.01537152012817945</v>
                </pt>
                <pt idx="263">
                  <formatCode>0.00%</formatCode>
                  <v>0.01998809641900605</v>
                </pt>
                <pt idx="264">
                  <formatCode>0.00%</formatCode>
                  <v>0.004061857688166781</v>
                </pt>
                <pt idx="265">
                  <formatCode>0.00%</formatCode>
                  <v>0.01172125092341788</v>
                </pt>
                <pt idx="266">
                  <formatCode>0.00%</formatCode>
                  <v>0.01727702303603072</v>
                </pt>
                <pt idx="267">
                  <formatCode>0.00%</formatCode>
                  <v>0.03234461898721826</v>
                </pt>
                <pt idx="268">
                  <formatCode>0.00%</formatCode>
                  <v>0.01909108755398508</v>
                </pt>
                <pt idx="269">
                  <formatCode>0.00%</formatCode>
                  <v>0.02116064414768264</v>
                </pt>
                <pt idx="270">
                  <formatCode>0.00%</formatCode>
                  <v>0.01652249975702206</v>
                </pt>
                <pt idx="271">
                  <formatCode>0.00%</formatCode>
                  <v>0.0354417917794733</v>
                </pt>
                <pt idx="272">
                  <formatCode>0.00%</formatCode>
                  <v>0.02585570056636297</v>
                </pt>
                <pt idx="273">
                  <formatCode>0.00%</formatCode>
                  <v>0.01592111592111592</v>
                </pt>
                <pt idx="274">
                  <formatCode>0.00%</formatCode>
                  <v>0.05498298732679126</v>
                </pt>
                <pt idx="275">
                  <formatCode>0.00%</formatCode>
                  <v>0.03554583029418916</v>
                </pt>
                <pt idx="276">
                  <formatCode>0.00%</formatCode>
                  <v>0.0254423161280889</v>
                </pt>
                <pt idx="277">
                  <formatCode>0.00%</formatCode>
                  <v>0.03811517305164776</v>
                </pt>
                <pt idx="278">
                  <formatCode>0.00%</formatCode>
                  <v>0.03454782987371172</v>
                </pt>
                <pt idx="279">
                  <formatCode>0.00%</formatCode>
                  <v>0.01337365908983507</v>
                </pt>
                <pt idx="280">
                  <formatCode>0.00%</formatCode>
                  <v>0.04146400192631832</v>
                </pt>
                <pt idx="281">
                  <formatCode>0.00%</formatCode>
                  <v>0.02846290687052262</v>
                </pt>
                <pt idx="282">
                  <formatCode>0.00%</formatCode>
                  <v>0.030117602065207</v>
                </pt>
                <pt idx="283">
                  <formatCode>0.00%</formatCode>
                  <v>0.02624197765628714</v>
                </pt>
                <pt idx="284">
                  <formatCode>0.00%</formatCode>
                  <v>0.02957273163706193</v>
                </pt>
                <pt idx="285">
                  <formatCode>0.00%</formatCode>
                  <v>0.00558685668292221</v>
                </pt>
                <pt idx="286">
                  <formatCode>0.00%</formatCode>
                  <v>-0.002150135552023932</v>
                </pt>
                <pt idx="287">
                  <formatCode>0.00%</formatCode>
                  <v>0.009861006761833208</v>
                </pt>
                <pt idx="288">
                  <formatCode>0.00%</formatCode>
                  <v>0.01188269404439374</v>
                </pt>
                <pt idx="289">
                  <formatCode>0.00%</formatCode>
                  <v>0.02982275157085248</v>
                </pt>
                <pt idx="290">
                  <formatCode>0.00%</formatCode>
                  <v>0.005144754688742341</v>
                </pt>
                <pt idx="291">
                  <formatCode>0.00%</formatCode>
                  <v>-0.001725424361126655</v>
                </pt>
                <pt idx="292">
                  <formatCode>0.00%</formatCode>
                  <v>-0.002173309904744289</v>
                </pt>
                <pt idx="293">
                  <formatCode>0.00%</formatCode>
                  <v>0.01318311439390398</v>
                </pt>
                <pt idx="294">
                  <formatCode>0.00%</formatCode>
                  <v>-0.005429738258771116</v>
                </pt>
                <pt idx="295">
                  <formatCode>0.00%</formatCode>
                  <v>0.00926483531755223</v>
                </pt>
                <pt idx="296">
                  <formatCode>0.00%</formatCode>
                  <v>0.02144922130000933</v>
                </pt>
                <pt idx="297">
                  <formatCode>0.00%</formatCode>
                  <v>0.02151702057535666</v>
                </pt>
                <pt idx="298">
                  <formatCode>0.00%</formatCode>
                  <v>0.01316282555742927</v>
                </pt>
                <pt idx="299">
                  <formatCode>0.00%</formatCode>
                  <v>0.02069189993490189</v>
                </pt>
                <pt idx="300">
                  <formatCode>0.00%</formatCode>
                  <v>0.0345718446145897</v>
                </pt>
                <pt idx="301">
                  <formatCode>0.00%</formatCode>
                  <v>-0.01402422365904745</v>
                </pt>
                <pt idx="302">
                  <formatCode>0.00%</formatCode>
                  <v>0.01251686752594109</v>
                </pt>
                <pt idx="303">
                  <formatCode>0.00%</formatCode>
                  <v>0.0172840659597328</v>
                </pt>
                <pt idx="304">
                  <formatCode>0.00%</formatCode>
                  <v>0.003197553176699569</v>
                </pt>
                <pt idx="305">
                  <formatCode>0.00%</formatCode>
                  <v>0.005444562358695151</v>
                </pt>
                <pt idx="306">
                  <formatCode>0.00%</formatCode>
                  <v>0.008772339134898045</v>
                </pt>
                <pt idx="307">
                  <formatCode>0.00%</formatCode>
                  <v>-0.0003671914444393445</v>
                </pt>
                <pt idx="308">
                  <formatCode>0.00%</formatCode>
                  <v>-0.0004108463434675431</v>
                </pt>
                <pt idx="309">
                  <formatCode>0.00%</formatCode>
                  <v>0.004609144542772861</v>
                </pt>
                <pt idx="310">
                  <formatCode>0.00%</formatCode>
                  <v>0.02029682370890934</v>
                </pt>
                <pt idx="311">
                  <formatCode>0.00%</formatCode>
                  <v>-0.008701198123092342</v>
                </pt>
                <pt idx="312">
                  <formatCode>0.00%</formatCode>
                  <v>-0.008036322360953462</v>
                </pt>
                <pt idx="313">
                  <formatCode>0.00%</formatCode>
                  <v>0.03283458021612635</v>
                </pt>
                <pt idx="314">
                  <formatCode>0.00%</formatCode>
                  <v>-0.002895220588235294</v>
                </pt>
                <pt idx="315">
                  <formatCode>0.00%</formatCode>
                  <v>0.01230656196904992</v>
                </pt>
                <pt idx="316">
                  <formatCode>0.00%</formatCode>
                  <v>0.05575572801182557</v>
                </pt>
                <pt idx="317">
                  <formatCode>0.00%</formatCode>
                  <v>0.02533155890046349</v>
                </pt>
                <pt idx="318">
                  <formatCode>0.00%</formatCode>
                  <v>0.04990980156343957</v>
                </pt>
                <pt idx="319">
                  <formatCode>0.00%</formatCode>
                  <v>0.01478488452178704</v>
                </pt>
                <pt idx="320">
                  <formatCode>0.00%</formatCode>
                  <v>0.009818696625108462</v>
                </pt>
                <pt idx="321">
                  <formatCode>0.00%</formatCode>
                  <v>0.03257478436410351</v>
                </pt>
                <pt idx="322">
                  <formatCode>0.00%</formatCode>
                  <v>0.02116186333152075</v>
                </pt>
                <pt idx="323">
                  <formatCode>0.00%</formatCode>
                  <v>0.01231617647058823</v>
                </pt>
                <pt idx="324">
                  <formatCode>0.00%</formatCode>
                  <v>0.008787989747345295</v>
                </pt>
                <pt idx="325">
                  <formatCode>0.00%</formatCode>
                  <v>-0.01578359043147776</v>
                </pt>
                <pt idx="326">
                  <formatCode>0.00%</formatCode>
                  <v>0.0338295616905563</v>
                </pt>
                <pt idx="327">
                  <formatCode>0.00%</formatCode>
                  <v>0.01428895441143116</v>
                </pt>
                <pt idx="328">
                  <formatCode>0.00%</formatCode>
                  <v>-0.02664624808575804</v>
                </pt>
                <pt idx="329">
                  <formatCode>0.00%</formatCode>
                  <v>0.00138745915946829</v>
                </pt>
                <pt idx="330">
                  <formatCode>0.00%</formatCode>
                  <v>-0.006608511763150938</v>
                </pt>
                <pt idx="331">
                  <formatCode>0.00%</formatCode>
                  <v>0.01497669788697344</v>
                </pt>
                <pt idx="332">
                  <formatCode>0.00%</formatCode>
                  <v>0.01370296671490593</v>
                </pt>
                <pt idx="333">
                  <formatCode>0.00%</formatCode>
                  <v>-0.004709855149737848</v>
                </pt>
                <pt idx="334">
                  <formatCode>0.00%</formatCode>
                  <v>-0.01167073441313512</v>
                </pt>
                <pt idx="335">
                  <formatCode>0.00%</formatCode>
                  <v>0.04144724895587434</v>
                </pt>
                <pt idx="336">
                  <formatCode>0.00%</formatCode>
                  <v>0.03965517241379311</v>
                </pt>
                <pt idx="337">
                  <formatCode>0.00%</formatCode>
                  <v>0.02489551153916046</v>
                </pt>
                <pt idx="338">
                  <formatCode>0.00%</formatCode>
                  <v>-0.4875841469395034</v>
                </pt>
                <pt idx="339">
                  <formatCode>0.00%</formatCode>
                  <v>-0.8731663685152057</v>
                </pt>
                <pt idx="340">
                  <formatCode>0.00%</formatCode>
                  <v>-0.6226737390991639</v>
                </pt>
                <pt idx="341">
                  <formatCode>0.00%</formatCode>
                  <v>-0.2240547063555913</v>
                </pt>
                <pt idx="342">
                  <formatCode>0.00%</formatCode>
                  <v>-0.1987315948199397</v>
                </pt>
                <pt idx="343">
                  <formatCode>0.00%</formatCode>
                  <v>-0.167305634807418</v>
                </pt>
                <pt idx="344">
                  <formatCode>0.00%</formatCode>
                  <v>-0.04822663395047959</v>
                </pt>
                <pt idx="345">
                  <formatCode>0.00%</formatCode>
                  <v>-0.0715625</v>
                </pt>
                <pt idx="346">
                  <formatCode>0.00%</formatCode>
                  <v>-0.1174119971264368</v>
                </pt>
                <pt idx="347">
                  <formatCode>0.00%</formatCode>
                  <v>-0.1240573645438298</v>
                </pt>
                <pt idx="348">
                  <formatCode>0.00%</formatCode>
                  <v>-0.06821157371039539</v>
                </pt>
                <pt idx="349">
                  <formatCode>0.00%</formatCode>
                  <v>-0.1054964539007092</v>
                </pt>
                <pt idx="350">
                  <formatCode>0.00%</formatCode>
                  <v>1.176091874021229</v>
                </pt>
                <pt idx="351">
                  <formatCode>0.00%</formatCode>
                  <v>7.695345557122708</v>
                </pt>
                <pt idx="352">
                  <formatCode>0.00%</formatCode>
                  <v>2.048129616392661</v>
                </pt>
                <pt idx="353">
                  <formatCode>0.00%</formatCode>
                  <v>0.5243361557513968</v>
                </pt>
                <pt idx="354">
                  <formatCode>0.00%</formatCode>
                  <v>0.4266895444733492</v>
                </pt>
                <pt idx="355">
                  <formatCode>0.00%</formatCode>
                  <v>0.3799453932223352</v>
                </pt>
                <pt idx="356">
                  <formatCode>0.00%</formatCode>
                  <v>0.2324458610668417</v>
                </pt>
                <pt idx="357">
                  <formatCode>0.00%</formatCode>
                  <v>0.2669615809972592</v>
                </pt>
                <pt idx="358">
                  <formatCode>0.00%</formatCode>
                  <v>0.3476624103372845</v>
                </pt>
                <pt idx="359">
                  <formatCode>0.00%</formatCode>
                  <v>0.2968897735755163</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80961</rowOff>
    </from>
    <to>
      <col>14</col>
      <colOff>508000</colOff>
      <row>366</row>
      <rowOff>182562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409575</colOff>
      <row>325</row>
      <rowOff>14286</rowOff>
    </from>
    <to>
      <col>14</col>
      <colOff>484187</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11</col>
      <colOff>388937</colOff>
      <row>340</row>
      <rowOff>165100</rowOff>
    </from>
    <to>
      <col>20</col>
      <colOff>66675</colOff>
      <row>356</row>
      <rowOff>165101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279400</colOff>
      <row>340</row>
      <rowOff>166688</rowOff>
    </from>
    <to>
      <col>11</col>
      <colOff>250825</colOff>
      <row>355</row>
      <rowOff>52388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327025</colOff>
      <row>355</row>
      <rowOff>138113</rowOff>
    </from>
    <to>
      <col>11</col>
      <colOff>387350</colOff>
      <row>370</row>
      <rowOff>23813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13</col>
      <colOff>7937</colOff>
      <row>366</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138905</colOff>
      <row>328</row>
      <rowOff>79375</rowOff>
    </from>
    <to>
      <col>13</col>
      <colOff>23813</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328</row>
      <rowOff>138113</rowOff>
    </from>
    <to>
      <col>12</col>
      <colOff>277812</colOff>
      <row>345</row>
      <rowOff>185738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12</col>
      <colOff>361949</colOff>
      <row>365</row>
      <rowOff>174624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336</row>
      <rowOff>166688</rowOff>
    </from>
    <to>
      <col>11</col>
      <colOff>465137</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11</col>
      <colOff>454025</colOff>
      <row>366</row>
      <rowOff>41276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180975</colOff>
      <row>334</row>
      <rowOff>66675</rowOff>
    </from>
    <to>
      <col>12</col>
      <colOff>257175</colOff>
      <row>350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176212</colOff>
      <row>351</row>
      <rowOff>3173</rowOff>
    </from>
    <to>
      <col>12</col>
      <colOff>539749</colOff>
      <row>367</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334</row>
      <rowOff>169334</rowOff>
    </from>
    <to>
      <col>11</col>
      <colOff>545570</colOff>
      <row>349</row>
      <rowOff>49742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206376</colOff>
      <row>351</row>
      <rowOff>111125</rowOff>
    </from>
    <to>
      <col>11</col>
      <colOff>511176</colOff>
      <row>365</row>
      <rowOff>187325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11</col>
      <colOff>418432</colOff>
      <row>347</row>
      <rowOff>136358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106948</colOff>
      <row>348</row>
      <rowOff>131511</rowOff>
    </from>
    <to>
      <col>11</col>
      <colOff>411748</colOff>
      <row>363</row>
      <rowOff>13868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92074</colOff>
      <row>334</row>
      <rowOff>36930</rowOff>
    </from>
    <to>
      <col>11</col>
      <colOff>396874</colOff>
      <row>348</row>
      <rowOff>116473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55145</rowOff>
    </from>
    <to>
      <col>11</col>
      <colOff>393030</colOff>
      <row>363</row>
      <rowOff>131345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98425</colOff>
      <row>335</row>
      <rowOff>85725</rowOff>
    </from>
    <to>
      <col>11</col>
      <colOff>403225</colOff>
      <row>349</row>
      <rowOff>161925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107950</colOff>
      <row>350</row>
      <rowOff>85725</rowOff>
    </from>
    <to>
      <col>11</col>
      <colOff>412750</colOff>
      <row>364</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101600</colOff>
      <row>335</row>
      <rowOff>82550</rowOff>
    </from>
    <to>
      <col>11</col>
      <colOff>406400</colOff>
      <row>349</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114300</colOff>
      <row>350</row>
      <rowOff>88900</rowOff>
    </from>
    <to>
      <col>11</col>
      <colOff>419100</colOff>
      <row>364</row>
      <rowOff>165100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135391</colOff>
      <row>334</row>
      <rowOff>45207</rowOff>
    </from>
    <to>
      <col>11</col>
      <colOff>532115</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139247</colOff>
      <row>349</row>
      <rowOff>42636</rowOff>
    </from>
    <to>
      <col>11</col>
      <colOff>535971</colOff>
      <row>363</row>
      <rowOff>121861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144929</colOff>
      <row>335</row>
      <rowOff>6350</rowOff>
    </from>
    <to>
      <col>11</col>
      <colOff>542364</colOff>
      <row>349</row>
      <rowOff>86285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141568</colOff>
      <row>350</row>
      <rowOff>45757</rowOff>
    </from>
    <to>
      <col>11</col>
      <colOff>539003</colOff>
      <row>364</row>
      <rowOff>125693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182896</colOff>
      <row>335</row>
      <rowOff>69347</rowOff>
    </from>
    <to>
      <col>11</col>
      <colOff>579938</colOff>
      <row>349</row>
      <rowOff>148889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153737</colOff>
      <row>350</row>
      <rowOff>113630</rowOff>
    </from>
    <to>
      <col>11</col>
      <colOff>594895</colOff>
      <row>365</row>
      <rowOff>147053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66" headerRowCount="1" totalsRowShown="0" headerRowDxfId="50" dataDxfId="48" headerRowBorderDxfId="49" tableBorderDxfId="47">
  <autoFilter ref="A6:D366"/>
  <tableColumns count="4">
    <tableColumn id="1" name="Date" dataDxfId="46"/>
    <tableColumn id="2" name="Retail Sales mil$" dataDxfId="45" dataCellStyle="Normal 2">
      <calculatedColumnFormula>VLOOKUP(A7,Database!A:M,MATCH($A$1,Database!$A$1:$M$1,),)</calculatedColumnFormula>
    </tableColumn>
    <tableColumn id="3" name="mom" dataDxfId="44">
      <calculatedColumnFormula>(B7-B6)/B6</calculatedColumnFormula>
    </tableColumn>
    <tableColumn id="4" name="yoy" dataDxfId="43"/>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66" headerRowCount="1" totalsRowShown="0" headerRowDxfId="42" dataDxfId="40" headerRowBorderDxfId="41" tableBorderDxfId="39">
  <autoFilter ref="A6:D366"/>
  <tableColumns count="4">
    <tableColumn id="1" name="Date" dataDxfId="38"/>
    <tableColumn id="2" name="Retail Sales (RSAFS), Millions of Dollars" dataDxfId="37" dataCellStyle="Normal 2">
      <calculatedColumnFormula>VLOOKUP(A7,Database!A:K,MATCH('Retail Sales'!$A$1,Database!$A$1:$K$1,),)</calculatedColumnFormula>
    </tableColumn>
    <tableColumn id="3" name="mom %" dataDxfId="36">
      <calculatedColumnFormula>(B7-B6)/B6</calculatedColumnFormula>
    </tableColumn>
    <tableColumn id="4" name="yoy %" dataDxfId="35"/>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66" headerRowCount="1" totalsRowShown="0" headerRowDxfId="34" dataDxfId="32" headerRowBorderDxfId="33" tableBorderDxfId="31">
  <autoFilter ref="A6:D366"/>
  <tableColumns count="4">
    <tableColumn id="1" name="Date" dataDxfId="30"/>
    <tableColumn id="2" name="Retail and Food Services Excluding Motor Vehicles and Parts Dealers, Retail Sales mil$" dataDxfId="29" dataCellStyle="Normal 2">
      <calculatedColumnFormula>VLOOKUP(A7,Database!A:M,MATCH($A$1,Database!$A$1:$M$1,),)</calculatedColumnFormula>
    </tableColumn>
    <tableColumn id="3" name="mom %" dataDxfId="28">
      <calculatedColumnFormula>(B7-B6)/B6</calculatedColumnFormula>
    </tableColumn>
    <tableColumn id="4" name="yoy %" dataDxfId="27"/>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66" headerRowCount="1" totalsRowShown="0" headerRowDxfId="26" headerRowBorderDxfId="25" tableBorderDxfId="24">
  <autoFilter ref="A6:D366"/>
  <tableColumns count="4">
    <tableColumn id="1" name="Date" dataDxfId="23"/>
    <tableColumn id="2" name="Building Materials. mil$" dataDxfId="22" dataCellStyle="Normal 2">
      <calculatedColumnFormula>VLOOKUP(A7,Database!A:K,MATCH($A$1,Database!$A$1:$K$1,),)</calculatedColumnFormula>
    </tableColumn>
    <tableColumn id="3" name="Change m/m" dataDxfId="21">
      <calculatedColumnFormula>(B7-B6)/B6</calculatedColumnFormula>
    </tableColumn>
    <tableColumn id="4" name="Change y/y " dataDxfId="20"/>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66" headerRowCount="1" totalsRowShown="0" headerRowDxfId="19" tableBorderDxfId="18">
  <autoFilter ref="A6:D366"/>
  <tableColumns count="4">
    <tableColumn id="1" name="Date" dataDxfId="17"/>
    <tableColumn id="2" name="Retail Sales mil$" dataDxfId="16" dataCellStyle="Normal 2">
      <calculatedColumnFormula>VLOOKUP(A7,Database!A:K,MATCH($A$1,Database!$A$1:$K$1,),)+VLOOKUP(A7,Database!A:K,MATCH($B$1,Database!$A$1:$K$1,),)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66" headerRowCount="1" totalsRowShown="0" headerRowDxfId="13" headerRowBorderDxfId="12" tableBorderDxfId="11">
  <autoFilter ref="A6:D366"/>
  <tableColumns count="4">
    <tableColumn id="1" name="Date" dataDxfId="10"/>
    <tableColumn id="2" name=" Miscellaneous stores retailers, mil$" dataDxfId="9" dataCellStyle="Normal 2">
      <calculatedColumnFormula>VLOOKUP(A7,Database!A:Q,MATCH($A$1,Database!$A$1:$Q$1,),)</calculatedColumnFormula>
    </tableColumn>
    <tableColumn id="3" name="mom" dataDxfId="8">
      <calculatedColumnFormula>(B7-B6)/B6</calculatedColumnFormula>
    </tableColumn>
    <tableColumn id="4" name="yoy" dataDxfId="7"/>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66" headerRowCount="1" totalsRowShown="0" headerRowDxfId="6" headerRowBorderDxfId="5" tableBorderDxfId="4">
  <autoFilter ref="A6:D366"/>
  <tableColumns count="4">
    <tableColumn id="1" name="Date" dataDxfId="3"/>
    <tableColumn id="2" name="Clothing and clothing access. Stores, mil$" dataDxfId="2" dataCellStyle="Normal 2">
      <calculatedColumnFormula>VLOOKUP(A7,Database!A:Q,MATCH($A$1,Database!$A$1:$Q$1,),)</calculatedColumnFormula>
    </tableColumn>
    <tableColumn id="3" name="mom" dataDxfId="1">
      <calculatedColumnFormula>(B7-B6)/B6</calculatedColumnFormula>
    </tableColumn>
    <tableColumn id="4"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140" zoomScaleNormal="140" workbookViewId="0">
      <selection activeCell="V55" sqref="V55"/>
    </sheetView>
  </sheetViews>
  <sheetFormatPr baseColWidth="10" defaultColWidth="9.1640625" defaultRowHeight="15"/>
  <cols>
    <col width="9.1640625" customWidth="1" style="114" min="1" max="1"/>
    <col width="12.83203125" customWidth="1" style="114" min="2" max="10"/>
    <col width="3.33203125" customWidth="1" style="114" min="11" max="13"/>
    <col width="18.6640625" customWidth="1" style="114" min="14" max="14"/>
    <col width="30.33203125" customWidth="1" style="114" min="15" max="15"/>
    <col width="12.33203125" customWidth="1" style="114" min="16" max="19"/>
    <col width="9.1640625" customWidth="1" style="114" min="20" max="22"/>
    <col width="9.1640625" customWidth="1" style="114" min="23" max="16384"/>
  </cols>
  <sheetData>
    <row r="1">
      <c r="B1" s="123" t="n"/>
    </row>
    <row r="2" ht="16" customHeight="1" s="95" thickBot="1">
      <c r="B2" s="124" t="n"/>
      <c r="C2" s="124" t="n"/>
      <c r="D2" s="124" t="n"/>
      <c r="E2" s="124" t="n"/>
      <c r="F2" s="124" t="n"/>
      <c r="G2" s="124" t="n"/>
      <c r="H2" s="124" t="n"/>
      <c r="I2" s="124" t="n"/>
      <c r="J2" s="124" t="n"/>
    </row>
    <row r="3" ht="16" customHeight="1" s="95" thickBot="1">
      <c r="B3" s="125" t="inlineStr">
        <is>
          <t>Retail Sales</t>
        </is>
      </c>
      <c r="C3" s="126" t="n"/>
      <c r="D3" s="126" t="n"/>
      <c r="E3" s="126" t="n"/>
      <c r="F3" s="126" t="n"/>
      <c r="G3" s="126" t="n"/>
      <c r="H3" s="126" t="n"/>
      <c r="I3" s="126" t="n"/>
      <c r="J3" s="127" t="n"/>
    </row>
    <row r="5">
      <c r="B5" s="117" t="inlineStr">
        <is>
          <t>Definition</t>
        </is>
      </c>
      <c r="C5" s="118" t="n"/>
      <c r="D5" s="118" t="n"/>
      <c r="E5" s="118" t="n"/>
      <c r="F5" s="118" t="n"/>
      <c r="G5" s="118" t="n"/>
      <c r="H5" s="118" t="n"/>
      <c r="I5" s="118" t="n"/>
      <c r="J5" s="119" t="n"/>
    </row>
    <row r="7" ht="147.75" customHeight="1" s="95">
      <c r="B7" s="128"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9"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9" t="n"/>
      <c r="N10" s="117" t="inlineStr">
        <is>
          <t>Summary</t>
        </is>
      </c>
      <c r="O10" s="118" t="n"/>
      <c r="P10" s="118" t="n"/>
      <c r="Q10" s="119" t="n"/>
    </row>
    <row r="12">
      <c r="B12" s="117" t="inlineStr">
        <is>
          <t>TO DO LIST</t>
        </is>
      </c>
      <c r="C12" s="118" t="n"/>
      <c r="D12" s="118" t="n"/>
      <c r="E12" s="118" t="n"/>
      <c r="F12" s="119" t="n"/>
      <c r="G12" s="117" t="inlineStr">
        <is>
          <t>Comments</t>
        </is>
      </c>
      <c r="H12" s="118" t="n"/>
      <c r="I12" s="118" t="n"/>
      <c r="J12" s="119" t="n"/>
      <c r="N12" s="8" t="inlineStr">
        <is>
          <t>* To modify</t>
        </is>
      </c>
    </row>
    <row r="13" ht="16" customHeight="1" s="95" thickBot="1"/>
    <row r="14">
      <c r="B14" s="114" t="inlineStr">
        <is>
          <t>Database</t>
        </is>
      </c>
      <c r="G14" s="114" t="n"/>
      <c r="P14" s="68" t="n">
        <v>44501</v>
      </c>
      <c r="Q14" s="69" t="n"/>
    </row>
    <row r="15" ht="16" customHeight="1" s="95" thickBot="1">
      <c r="B15" s="114" t="inlineStr">
        <is>
          <t>Create data on Fred</t>
        </is>
      </c>
      <c r="G15" s="114" t="n"/>
      <c r="N15" s="129" t="inlineStr">
        <is>
          <t>www.duponttrading.com</t>
        </is>
      </c>
      <c r="P15" s="70" t="inlineStr">
        <is>
          <t>mom</t>
        </is>
      </c>
      <c r="Q15" s="70" t="inlineStr">
        <is>
          <t>yoy</t>
        </is>
      </c>
    </row>
    <row r="16" ht="15.75" customHeight="1" s="95">
      <c r="B16" s="114" t="inlineStr">
        <is>
          <t>https://research.stlouisfed.org/useraccount/datalists</t>
        </is>
      </c>
      <c r="G16" s="116" t="n"/>
      <c r="N16" s="120" t="inlineStr">
        <is>
          <t>Retail Sales</t>
        </is>
      </c>
      <c r="O16" s="121" t="n"/>
      <c r="P16" s="96">
        <f>Recap!F7</f>
        <v/>
      </c>
      <c r="Q16" s="97">
        <f>Recap!G7</f>
        <v/>
      </c>
      <c r="S16" s="71" t="n"/>
    </row>
    <row r="17" ht="15.75" customHeight="1" s="95">
      <c r="G17" s="116" t="n"/>
      <c r="N17" s="122" t="inlineStr">
        <is>
          <t>Retail Sales ex Auto</t>
        </is>
      </c>
      <c r="O17" s="119" t="n"/>
      <c r="P17" s="98">
        <f>Recap!F8</f>
        <v/>
      </c>
      <c r="Q17" s="99">
        <f>Recap!G8</f>
        <v/>
      </c>
      <c r="S17" s="71" t="n"/>
    </row>
    <row r="18" ht="15.75" customHeight="1" s="95">
      <c r="B18" s="114" t="inlineStr">
        <is>
          <t>https://fred.stlouisfed.org/series/RSAFs</t>
        </is>
      </c>
      <c r="G18" s="100" t="inlineStr">
        <is>
          <t>Retail Sales</t>
        </is>
      </c>
      <c r="H18" s="67" t="n"/>
      <c r="I18" s="67" t="n"/>
      <c r="J18" s="67" t="n"/>
      <c r="N18" s="122" t="inlineStr">
        <is>
          <t>Retail Sales ex Auto and Gas</t>
        </is>
      </c>
      <c r="O18" s="119" t="n"/>
      <c r="P18" s="98">
        <f>Recap!F9</f>
        <v/>
      </c>
      <c r="Q18" s="99">
        <f>Recap!G9</f>
        <v/>
      </c>
      <c r="S18" s="71" t="n"/>
    </row>
    <row r="19" ht="15.75" customHeight="1" s="95">
      <c r="B19" s="114" t="inlineStr">
        <is>
          <t>https://fred.stlouisfed.org/series/RSFSXMV</t>
        </is>
      </c>
      <c r="G19" s="100" t="inlineStr">
        <is>
          <t>Retail Sales ex Auto</t>
        </is>
      </c>
      <c r="H19" s="67" t="n"/>
      <c r="I19" s="67" t="n"/>
      <c r="J19" s="67" t="n"/>
      <c r="N19" s="122" t="inlineStr">
        <is>
          <t>Motor Vechicle</t>
        </is>
      </c>
      <c r="O19" s="119" t="n"/>
      <c r="P19" s="98">
        <f>Recap!F10</f>
        <v/>
      </c>
      <c r="Q19" s="99">
        <f>Recap!G10</f>
        <v/>
      </c>
      <c r="S19" s="71" t="n"/>
    </row>
    <row r="20" ht="15.75" customHeight="1" s="95">
      <c r="B20" s="114" t="inlineStr">
        <is>
          <t>https://fred.stlouisfed.org/series/MARTSSM44W72USS</t>
        </is>
      </c>
      <c r="G20" s="100" t="inlineStr">
        <is>
          <t>Retail Sales ex Auto and Gas</t>
        </is>
      </c>
      <c r="H20" s="67" t="n"/>
      <c r="I20" s="67" t="n"/>
      <c r="J20" s="67" t="n"/>
      <c r="N20" s="122" t="inlineStr">
        <is>
          <t>Non Store</t>
        </is>
      </c>
      <c r="O20" s="119" t="n"/>
      <c r="P20" s="98">
        <f>Recap!F11</f>
        <v/>
      </c>
      <c r="Q20" s="99">
        <f>Recap!G11</f>
        <v/>
      </c>
    </row>
    <row r="21" ht="15.75" customHeight="1" s="95">
      <c r="B21" s="114" t="inlineStr">
        <is>
          <t>https://fred.stlouisfed.org/series/RSDBs</t>
        </is>
      </c>
      <c r="G21" s="100" t="inlineStr">
        <is>
          <t>Food&amp;Beverage</t>
        </is>
      </c>
      <c r="H21" s="67" t="n"/>
      <c r="I21" s="67" t="n"/>
      <c r="J21" s="67" t="n"/>
      <c r="N21" s="122" t="inlineStr">
        <is>
          <t>Food &amp; Beverage</t>
        </is>
      </c>
      <c r="O21" s="119" t="n"/>
      <c r="P21" s="98">
        <f>Recap!F12</f>
        <v/>
      </c>
      <c r="Q21" s="99">
        <f>Recap!G12</f>
        <v/>
      </c>
    </row>
    <row r="22" ht="15.75" customHeight="1" s="95">
      <c r="B22" s="114" t="inlineStr">
        <is>
          <t>https://fred.stlouisfed.org/series/RSNSr</t>
        </is>
      </c>
      <c r="G22" s="100" t="inlineStr">
        <is>
          <t>NonStore</t>
        </is>
      </c>
      <c r="H22" s="67" t="n"/>
      <c r="I22" s="67" t="n"/>
      <c r="J22" s="67" t="n"/>
      <c r="N22" s="122" t="inlineStr">
        <is>
          <t>Food Services</t>
        </is>
      </c>
      <c r="O22" s="119" t="n"/>
      <c r="P22" s="98">
        <f>Recap!F13</f>
        <v/>
      </c>
      <c r="Q22" s="99">
        <f>Recap!G13</f>
        <v/>
      </c>
    </row>
    <row r="23" ht="15.75" customHeight="1" s="95">
      <c r="B23" s="114" t="inlineStr">
        <is>
          <t>https://fred.stlouisfed.org/series/RSHPCs</t>
        </is>
      </c>
      <c r="G23" s="100" t="inlineStr">
        <is>
          <t>HealthCare</t>
        </is>
      </c>
      <c r="H23" s="67" t="n"/>
      <c r="I23" s="67" t="n"/>
      <c r="J23" s="67" t="n"/>
      <c r="N23" s="122" t="inlineStr">
        <is>
          <t>General Merchandising</t>
        </is>
      </c>
      <c r="O23" s="119" t="n"/>
      <c r="P23" s="98">
        <f>Recap!F14</f>
        <v/>
      </c>
      <c r="Q23" s="99">
        <f>Recap!G14</f>
        <v/>
      </c>
    </row>
    <row r="24" ht="15.75" customHeight="1" s="95">
      <c r="B24" s="114" t="inlineStr">
        <is>
          <t>https://fred.stlouisfed.org/series/RSSGHBMs</t>
        </is>
      </c>
      <c r="G24" s="100" t="inlineStr">
        <is>
          <t>Clothing, Sport</t>
        </is>
      </c>
      <c r="H24" s="67" t="n"/>
      <c r="I24" s="67" t="n"/>
      <c r="J24" s="67" t="n"/>
      <c r="N24" s="122" t="inlineStr">
        <is>
          <t>Gasoline Stations</t>
        </is>
      </c>
      <c r="O24" s="119" t="n"/>
      <c r="P24" s="98">
        <f>Recap!F15</f>
        <v/>
      </c>
      <c r="Q24" s="99">
        <f>Recap!G15</f>
        <v/>
      </c>
    </row>
    <row r="25" ht="15.75" customHeight="1" s="95">
      <c r="B25" s="114" t="inlineStr">
        <is>
          <t>https://fred.stlouisfed.org/series/RSGMs</t>
        </is>
      </c>
      <c r="G25" s="100" t="inlineStr">
        <is>
          <t>General Merch</t>
        </is>
      </c>
      <c r="H25" s="67" t="n"/>
      <c r="I25" s="67" t="n"/>
      <c r="J25" s="67" t="n"/>
      <c r="N25" s="122" t="inlineStr">
        <is>
          <t>Housing Supplies</t>
        </is>
      </c>
      <c r="O25" s="119" t="n"/>
      <c r="P25" s="98">
        <f>Recap!F16</f>
        <v/>
      </c>
      <c r="Q25" s="99">
        <f>Recap!G16</f>
        <v/>
      </c>
    </row>
    <row r="26" ht="15.75" customHeight="1" s="95">
      <c r="B26" s="114" t="inlineStr">
        <is>
          <t>https://fred.stlouisfed.org/series/RSFSDp</t>
        </is>
      </c>
      <c r="G26" s="101" t="inlineStr">
        <is>
          <t>FoodServices</t>
        </is>
      </c>
      <c r="H26" s="67" t="n"/>
      <c r="I26" s="67" t="n"/>
      <c r="J26" s="67" t="n"/>
      <c r="N26" s="122" t="inlineStr">
        <is>
          <t>HealthCare</t>
        </is>
      </c>
      <c r="O26" s="119" t="n"/>
      <c r="P26" s="98">
        <f>Recap!F17</f>
        <v/>
      </c>
      <c r="Q26" s="99">
        <f>Recap!G17</f>
        <v/>
      </c>
    </row>
    <row r="27" ht="15.75" customHeight="1" s="95">
      <c r="B27" s="114" t="inlineStr">
        <is>
          <t>https://fred.stlouisfed.org/series/RSGASs</t>
        </is>
      </c>
      <c r="G27" s="100" t="inlineStr">
        <is>
          <t>Gasoline St</t>
        </is>
      </c>
      <c r="H27" s="67" t="n"/>
      <c r="I27" s="67" t="n"/>
      <c r="J27" s="67" t="n"/>
      <c r="N27" s="122" t="inlineStr">
        <is>
          <t>Clothing and clothing access. stores</t>
        </is>
      </c>
      <c r="O27" s="119" t="n"/>
      <c r="P27" s="98">
        <f>Recap!F18</f>
        <v/>
      </c>
      <c r="Q27" s="99">
        <f>Recap!G18</f>
        <v/>
      </c>
    </row>
    <row r="28" ht="15.75" customHeight="1" s="95">
      <c r="B28" s="114" t="inlineStr">
        <is>
          <t>https://fred.stlouisfed.org/series/RSMVPd</t>
        </is>
      </c>
      <c r="G28" s="100" t="inlineStr">
        <is>
          <t>Motor Vechicle</t>
        </is>
      </c>
      <c r="H28" s="67" t="n"/>
      <c r="I28" s="67" t="n"/>
      <c r="J28" s="67" t="n"/>
      <c r="N28" s="122" t="inlineStr">
        <is>
          <t>Furniture, home furn, electronics, and appliance stores</t>
        </is>
      </c>
      <c r="O28" s="119" t="n"/>
      <c r="P28" s="98">
        <f>Recap!F19</f>
        <v/>
      </c>
      <c r="Q28" s="99">
        <f>Recap!G19</f>
        <v/>
      </c>
    </row>
    <row r="29" ht="15.75" customHeight="1" s="95">
      <c r="B29" s="114" t="inlineStr">
        <is>
          <t>https://fred.stlouisfed.org/series/RSBMGESD</t>
        </is>
      </c>
      <c r="G29" s="100" t="inlineStr">
        <is>
          <t>Housing Supplies</t>
        </is>
      </c>
      <c r="H29" s="67" t="n"/>
      <c r="I29" s="67" t="n"/>
      <c r="J29" s="67" t="n"/>
      <c r="N29" s="122" t="inlineStr">
        <is>
          <t>Miscellaneous stores retailers</t>
        </is>
      </c>
      <c r="O29" s="119" t="n"/>
      <c r="P29" s="98">
        <f>Recap!F20</f>
        <v/>
      </c>
      <c r="Q29" s="99">
        <f>Recap!G20</f>
        <v/>
      </c>
    </row>
    <row r="30" ht="15.75" customHeight="1" s="95" thickBot="1">
      <c r="B30" s="114" t="inlineStr">
        <is>
          <t>https://fred.stlouisfed.org/series/RSFHFS</t>
        </is>
      </c>
      <c r="G30" s="100" t="inlineStr">
        <is>
          <t>Furniture, home furn, electronics, and appliance stores</t>
        </is>
      </c>
      <c r="H30" s="67" t="n"/>
      <c r="I30" s="67" t="n"/>
      <c r="J30" s="67" t="n"/>
      <c r="N30" s="130" t="inlineStr">
        <is>
          <t>Clothing, Sport</t>
        </is>
      </c>
      <c r="O30" s="131" t="n"/>
      <c r="P30" s="102">
        <f>Recap!F21</f>
        <v/>
      </c>
      <c r="Q30" s="103">
        <f>Recap!G21</f>
        <v/>
      </c>
    </row>
    <row r="31" ht="15.75" customHeight="1" s="95">
      <c r="B31" s="114" t="inlineStr">
        <is>
          <t>https://fred.stlouisfed.org/series/RSCCAS</t>
        </is>
      </c>
      <c r="G31" s="100" t="inlineStr">
        <is>
          <t>Clothing and clothing access. stores</t>
        </is>
      </c>
      <c r="H31" s="67" t="n"/>
      <c r="I31" s="67" t="n"/>
      <c r="J31" s="67" t="n"/>
    </row>
    <row r="32" ht="15.75" customHeight="1" s="95">
      <c r="B32" s="114" t="inlineStr">
        <is>
          <t>https://fred.stlouisfed.org/series/RSMSR</t>
        </is>
      </c>
      <c r="G32" s="100" t="inlineStr">
        <is>
          <t>Miscellaneous stores retailers</t>
        </is>
      </c>
      <c r="H32" s="67" t="n"/>
      <c r="I32" s="67" t="n"/>
      <c r="J32" s="67" t="n"/>
    </row>
    <row r="33" ht="14.25" customHeight="1" s="95" thickBot="1">
      <c r="B33" s="115" t="n"/>
      <c r="G33" s="116" t="n"/>
    </row>
    <row r="34" ht="16" customHeight="1" s="95" thickBot="1">
      <c r="B34" s="27" t="n"/>
      <c r="N34" s="69">
        <f>DATE(YEAR($P$14),MONTH($P$14)-1,DAY($P$14))</f>
        <v/>
      </c>
    </row>
    <row r="35" ht="33.75" customHeight="1" s="95" thickBot="1">
      <c r="B35" s="113" t="n"/>
      <c r="N35" s="72">
        <f>DATE(YEAR($P$14)-1,MONTH($P$14),DAY($P$14))</f>
        <v/>
      </c>
    </row>
    <row r="36">
      <c r="B36" s="66" t="n"/>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priority="1" operator="lessThan" dxfId="64">
      <formula>0</formula>
    </cfRule>
    <cfRule type="cellIs" priority="2" operator="greaterThan" dxfId="63">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1"/>
  <sheetViews>
    <sheetView topLeftCell="A322" zoomScale="150" zoomScaleNormal="150" workbookViewId="0">
      <selection activeCell="V55" sqref="V55"/>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4"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4"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4"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4"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4"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4"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4"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4"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4"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4"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4"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4"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4"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4"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4"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4"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4"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4"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4"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4"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4"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4"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4"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4"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4"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4"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4"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4"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4"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4"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4"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4"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4"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4"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4"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4"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4"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4"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4"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4"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4"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4"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4"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4"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4"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4"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4"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4"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4"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4"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4"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4"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4"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4"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4"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4"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4"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4"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4"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4"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4"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4"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4"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4"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4"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4"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4"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4"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4"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4"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4"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4"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4"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4"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4"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4"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4"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4"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4"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4"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4"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4"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4"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4"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4"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4"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4"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4"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4"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4"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4"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4"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4"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4"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4"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4"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4"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4"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4"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4"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4"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4"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4"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4"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4"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4"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4"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4"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4"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4"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4"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4"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4"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4"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4"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4"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4"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4"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4"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4"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4"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4"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4"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4"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4"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4"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4"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4"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4"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4"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4"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4"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4"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4"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4"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4"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4"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4"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4"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4"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4"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4"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4"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4"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4"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4"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4"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4"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4"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4"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4"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4"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4"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4"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4"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4"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4"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4"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4"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4"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4"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4"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4"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4"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4"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4"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4"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4"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4"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4"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4"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4"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4"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4"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4"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4"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4"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4"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4"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4"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4"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4"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4"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4"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4"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4"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4"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4"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4"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4"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4"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4"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4"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4"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4"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4"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4"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4"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4"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4"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4"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4"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4"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4"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4"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4"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4"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4"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4"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4"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4"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4"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4"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4"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4"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4"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4" t="n">
        <v>40179</v>
      </c>
      <c r="B218" t="n">
        <v>251861</v>
      </c>
      <c r="C218" t="n">
        <v>345959</v>
      </c>
      <c r="D218" t="n">
        <v>20562</v>
      </c>
      <c r="E218" t="n">
        <v>17346</v>
      </c>
      <c r="F218" t="n">
        <v>47877</v>
      </c>
      <c r="G218" t="n">
        <v>8223</v>
      </c>
      <c r="H218" t="n">
        <v>7011</v>
      </c>
      <c r="I218" t="n">
        <v>37660</v>
      </c>
      <c r="J218" t="n">
        <v>289219</v>
      </c>
      <c r="K218" t="n">
        <v>37358</v>
      </c>
      <c r="L218" t="n">
        <v>49849</v>
      </c>
      <c r="M218" t="n">
        <v>21165</v>
      </c>
      <c r="N218" t="n">
        <v>8365</v>
      </c>
      <c r="O218" t="n">
        <v>56740</v>
      </c>
      <c r="P218" t="n">
        <v>27302</v>
      </c>
      <c r="Q218" t="n">
        <v>6501</v>
      </c>
    </row>
    <row r="219">
      <c r="A219" s="134" t="n">
        <v>40210</v>
      </c>
      <c r="B219" t="n">
        <v>254089</v>
      </c>
      <c r="C219" t="n">
        <v>346895</v>
      </c>
      <c r="D219" t="n">
        <v>20448</v>
      </c>
      <c r="E219" t="n">
        <v>17404</v>
      </c>
      <c r="F219" t="n">
        <v>48699</v>
      </c>
      <c r="G219" t="n">
        <v>8491</v>
      </c>
      <c r="H219" t="n">
        <v>7131</v>
      </c>
      <c r="I219" t="n">
        <v>38267</v>
      </c>
      <c r="J219" t="n">
        <v>291039</v>
      </c>
      <c r="K219" t="n">
        <v>36950</v>
      </c>
      <c r="L219" t="n">
        <v>50538</v>
      </c>
      <c r="M219" t="n">
        <v>21199</v>
      </c>
      <c r="N219" t="n">
        <v>8247</v>
      </c>
      <c r="O219" t="n">
        <v>55856</v>
      </c>
      <c r="P219" t="n">
        <v>27253</v>
      </c>
      <c r="Q219" t="n">
        <v>6412</v>
      </c>
    </row>
    <row r="220">
      <c r="A220" s="134" t="n">
        <v>40238</v>
      </c>
      <c r="B220" t="n">
        <v>256322</v>
      </c>
      <c r="C220" t="n">
        <v>354379</v>
      </c>
      <c r="D220" t="n">
        <v>21872</v>
      </c>
      <c r="E220" t="n">
        <v>17918</v>
      </c>
      <c r="F220" t="n">
        <v>48273</v>
      </c>
      <c r="G220" t="n">
        <v>8148</v>
      </c>
      <c r="H220" t="n">
        <v>7228</v>
      </c>
      <c r="I220" t="n">
        <v>38376</v>
      </c>
      <c r="J220" t="n">
        <v>293482</v>
      </c>
      <c r="K220" t="n">
        <v>37160</v>
      </c>
      <c r="L220" t="n">
        <v>50064</v>
      </c>
      <c r="M220" t="n">
        <v>21363</v>
      </c>
      <c r="N220" t="n">
        <v>8704</v>
      </c>
      <c r="O220" t="n">
        <v>60897</v>
      </c>
      <c r="P220" t="n">
        <v>27854</v>
      </c>
      <c r="Q220" t="n">
        <v>6522</v>
      </c>
    </row>
    <row r="221">
      <c r="A221" s="134" t="n">
        <v>40269</v>
      </c>
      <c r="B221" t="n">
        <v>258318</v>
      </c>
      <c r="C221" t="n">
        <v>357365</v>
      </c>
      <c r="D221" t="n">
        <v>23542</v>
      </c>
      <c r="E221" t="n">
        <v>17705</v>
      </c>
      <c r="F221" t="n">
        <v>48173</v>
      </c>
      <c r="G221" t="n">
        <v>8289</v>
      </c>
      <c r="H221" t="n">
        <v>7121</v>
      </c>
      <c r="I221" t="n">
        <v>38658</v>
      </c>
      <c r="J221" t="n">
        <v>295536</v>
      </c>
      <c r="K221" t="n">
        <v>37218</v>
      </c>
      <c r="L221" t="n">
        <v>50656</v>
      </c>
      <c r="M221" t="n">
        <v>21471</v>
      </c>
      <c r="N221" t="n">
        <v>8568</v>
      </c>
      <c r="O221" t="n">
        <v>61829</v>
      </c>
      <c r="P221" t="n">
        <v>27719</v>
      </c>
      <c r="Q221" t="n">
        <v>6416</v>
      </c>
    </row>
    <row r="222">
      <c r="A222" s="134" t="n">
        <v>40299</v>
      </c>
      <c r="B222" t="n">
        <v>256070</v>
      </c>
      <c r="C222" t="n">
        <v>354299</v>
      </c>
      <c r="D222" t="n">
        <v>21737</v>
      </c>
      <c r="E222" t="n">
        <v>17653</v>
      </c>
      <c r="F222" t="n">
        <v>48195</v>
      </c>
      <c r="G222" t="n">
        <v>8366</v>
      </c>
      <c r="H222" t="n">
        <v>7117</v>
      </c>
      <c r="I222" t="n">
        <v>38695</v>
      </c>
      <c r="J222" t="n">
        <v>292676</v>
      </c>
      <c r="K222" t="n">
        <v>36606</v>
      </c>
      <c r="L222" t="n">
        <v>49985</v>
      </c>
      <c r="M222" t="n">
        <v>21399</v>
      </c>
      <c r="N222" t="n">
        <v>8628</v>
      </c>
      <c r="O222" t="n">
        <v>61623</v>
      </c>
      <c r="P222" t="n">
        <v>27799</v>
      </c>
      <c r="Q222" t="n">
        <v>6496</v>
      </c>
    </row>
    <row r="223">
      <c r="A223" s="134" t="n">
        <v>40330</v>
      </c>
      <c r="B223" t="n">
        <v>256754</v>
      </c>
      <c r="C223" t="n">
        <v>353763</v>
      </c>
      <c r="D223" t="n">
        <v>21522</v>
      </c>
      <c r="E223" t="n">
        <v>17522</v>
      </c>
      <c r="F223" t="n">
        <v>47913</v>
      </c>
      <c r="G223" t="n">
        <v>8501</v>
      </c>
      <c r="H223" t="n">
        <v>7072</v>
      </c>
      <c r="I223" t="n">
        <v>38838</v>
      </c>
      <c r="J223" t="n">
        <v>292396</v>
      </c>
      <c r="K223" t="n">
        <v>35642</v>
      </c>
      <c r="L223" t="n">
        <v>49971</v>
      </c>
      <c r="M223" t="n">
        <v>21661</v>
      </c>
      <c r="N223" t="n">
        <v>8795</v>
      </c>
      <c r="O223" t="n">
        <v>61367</v>
      </c>
      <c r="P223" t="n">
        <v>28462</v>
      </c>
      <c r="Q223" t="n">
        <v>6497</v>
      </c>
    </row>
    <row r="224">
      <c r="A224" s="134" t="n">
        <v>40360</v>
      </c>
      <c r="B224" t="n">
        <v>256281</v>
      </c>
      <c r="C224" t="n">
        <v>354665</v>
      </c>
      <c r="D224" t="n">
        <v>21493</v>
      </c>
      <c r="E224" t="n">
        <v>17578</v>
      </c>
      <c r="F224" t="n">
        <v>47907</v>
      </c>
      <c r="G224" t="n">
        <v>8361</v>
      </c>
      <c r="H224" t="n">
        <v>7094</v>
      </c>
      <c r="I224" t="n">
        <v>39033</v>
      </c>
      <c r="J224" t="n">
        <v>292045</v>
      </c>
      <c r="K224" t="n">
        <v>35764</v>
      </c>
      <c r="L224" t="n">
        <v>49870</v>
      </c>
      <c r="M224" t="n">
        <v>21733</v>
      </c>
      <c r="N224" t="n">
        <v>8610</v>
      </c>
      <c r="O224" t="n">
        <v>62620</v>
      </c>
      <c r="P224" t="n">
        <v>28114</v>
      </c>
      <c r="Q224" t="n">
        <v>6488</v>
      </c>
    </row>
    <row r="225">
      <c r="A225" s="134" t="n">
        <v>40391</v>
      </c>
      <c r="B225" t="n">
        <v>257970</v>
      </c>
      <c r="C225" t="n">
        <v>356810</v>
      </c>
      <c r="D225" t="n">
        <v>21296</v>
      </c>
      <c r="E225" t="n">
        <v>17662</v>
      </c>
      <c r="F225" t="n">
        <v>48263</v>
      </c>
      <c r="G225" t="n">
        <v>8337</v>
      </c>
      <c r="H225" t="n">
        <v>7130</v>
      </c>
      <c r="I225" t="n">
        <v>39402</v>
      </c>
      <c r="J225" t="n">
        <v>294159</v>
      </c>
      <c r="K225" t="n">
        <v>36189</v>
      </c>
      <c r="L225" t="n">
        <v>50160</v>
      </c>
      <c r="M225" t="n">
        <v>21863</v>
      </c>
      <c r="N225" t="n">
        <v>8655</v>
      </c>
      <c r="O225" t="n">
        <v>62651</v>
      </c>
      <c r="P225" t="n">
        <v>28756</v>
      </c>
      <c r="Q225" t="n">
        <v>6446</v>
      </c>
    </row>
    <row r="226">
      <c r="A226" s="134" t="n">
        <v>40422</v>
      </c>
      <c r="B226" t="n">
        <v>258848</v>
      </c>
      <c r="C226" t="n">
        <v>359465</v>
      </c>
      <c r="D226" t="n">
        <v>21336</v>
      </c>
      <c r="E226" t="n">
        <v>17687</v>
      </c>
      <c r="F226" t="n">
        <v>48675</v>
      </c>
      <c r="G226" t="n">
        <v>8393</v>
      </c>
      <c r="H226" t="n">
        <v>7108</v>
      </c>
      <c r="I226" t="n">
        <v>39385</v>
      </c>
      <c r="J226" t="n">
        <v>296205</v>
      </c>
      <c r="K226" t="n">
        <v>37357</v>
      </c>
      <c r="L226" t="n">
        <v>50254</v>
      </c>
      <c r="M226" t="n">
        <v>21910</v>
      </c>
      <c r="N226" t="n">
        <v>8766</v>
      </c>
      <c r="O226" t="n">
        <v>63260</v>
      </c>
      <c r="P226" t="n">
        <v>28872</v>
      </c>
      <c r="Q226" t="n">
        <v>6462</v>
      </c>
    </row>
    <row r="227">
      <c r="A227" s="134" t="n">
        <v>40452</v>
      </c>
      <c r="B227" t="n">
        <v>260130</v>
      </c>
      <c r="C227" t="n">
        <v>363340</v>
      </c>
      <c r="D227" t="n">
        <v>22040</v>
      </c>
      <c r="E227" t="n">
        <v>18000</v>
      </c>
      <c r="F227" t="n">
        <v>48568</v>
      </c>
      <c r="G227" t="n">
        <v>8210</v>
      </c>
      <c r="H227" t="n">
        <v>7039</v>
      </c>
      <c r="I227" t="n">
        <v>39440</v>
      </c>
      <c r="J227" t="n">
        <v>298610</v>
      </c>
      <c r="K227" t="n">
        <v>38480</v>
      </c>
      <c r="L227" t="n">
        <v>50259</v>
      </c>
      <c r="M227" t="n">
        <v>22128</v>
      </c>
      <c r="N227" t="n">
        <v>8929</v>
      </c>
      <c r="O227" t="n">
        <v>64730</v>
      </c>
      <c r="P227" t="n">
        <v>28946</v>
      </c>
      <c r="Q227" t="n">
        <v>6571</v>
      </c>
    </row>
    <row r="228">
      <c r="A228" s="134" t="n">
        <v>40483</v>
      </c>
      <c r="B228" t="n">
        <v>262671</v>
      </c>
      <c r="C228" t="n">
        <v>367455</v>
      </c>
      <c r="D228" t="n">
        <v>21977</v>
      </c>
      <c r="E228" t="n">
        <v>18435</v>
      </c>
      <c r="F228" t="n">
        <v>49133</v>
      </c>
      <c r="G228" t="n">
        <v>8121</v>
      </c>
      <c r="H228" t="n">
        <v>7098</v>
      </c>
      <c r="I228" t="n">
        <v>39710</v>
      </c>
      <c r="J228" t="n">
        <v>301943</v>
      </c>
      <c r="K228" t="n">
        <v>39272</v>
      </c>
      <c r="L228" t="n">
        <v>51386</v>
      </c>
      <c r="M228" t="n">
        <v>22180</v>
      </c>
      <c r="N228" t="n">
        <v>8905</v>
      </c>
      <c r="O228" t="n">
        <v>65512</v>
      </c>
      <c r="P228" t="n">
        <v>28951</v>
      </c>
      <c r="Q228" t="n">
        <v>6775</v>
      </c>
    </row>
    <row r="229">
      <c r="A229" s="134" t="n">
        <v>40513</v>
      </c>
      <c r="B229" t="n">
        <v>262619</v>
      </c>
      <c r="C229" t="n">
        <v>369135</v>
      </c>
      <c r="D229" t="n">
        <v>22112</v>
      </c>
      <c r="E229" t="n">
        <v>18178</v>
      </c>
      <c r="F229" t="n">
        <v>49184</v>
      </c>
      <c r="G229" t="n">
        <v>8274</v>
      </c>
      <c r="H229" t="n">
        <v>7068</v>
      </c>
      <c r="I229" t="n">
        <v>39508</v>
      </c>
      <c r="J229" t="n">
        <v>303898</v>
      </c>
      <c r="K229" t="n">
        <v>41279</v>
      </c>
      <c r="L229" t="n">
        <v>50916</v>
      </c>
      <c r="M229" t="n">
        <v>22272</v>
      </c>
      <c r="N229" t="n">
        <v>8881</v>
      </c>
      <c r="O229" t="n">
        <v>65237</v>
      </c>
      <c r="P229" t="n">
        <v>29642</v>
      </c>
      <c r="Q229" t="n">
        <v>6584</v>
      </c>
    </row>
    <row r="230">
      <c r="A230" s="134" t="n">
        <v>40544</v>
      </c>
      <c r="B230" t="n">
        <v>263993</v>
      </c>
      <c r="C230" t="n">
        <v>372057</v>
      </c>
      <c r="D230" t="n">
        <v>21498</v>
      </c>
      <c r="E230" t="n">
        <v>18363</v>
      </c>
      <c r="F230" t="n">
        <v>49674</v>
      </c>
      <c r="G230" t="n">
        <v>8218</v>
      </c>
      <c r="H230" t="n">
        <v>6992</v>
      </c>
      <c r="I230" t="n">
        <v>39700</v>
      </c>
      <c r="J230" t="n">
        <v>305771</v>
      </c>
      <c r="K230" t="n">
        <v>41778</v>
      </c>
      <c r="L230" t="n">
        <v>50839</v>
      </c>
      <c r="M230" t="n">
        <v>22695</v>
      </c>
      <c r="N230" t="n">
        <v>8823</v>
      </c>
      <c r="O230" t="n">
        <v>66286</v>
      </c>
      <c r="P230" t="n">
        <v>30626</v>
      </c>
      <c r="Q230" t="n">
        <v>6565</v>
      </c>
    </row>
    <row r="231">
      <c r="A231" s="134" t="n">
        <v>40575</v>
      </c>
      <c r="B231" t="n">
        <v>265478</v>
      </c>
      <c r="C231" t="n">
        <v>375092</v>
      </c>
      <c r="D231" t="n">
        <v>21202</v>
      </c>
      <c r="E231" t="n">
        <v>18592</v>
      </c>
      <c r="F231" t="n">
        <v>50017</v>
      </c>
      <c r="G231" t="n">
        <v>8356</v>
      </c>
      <c r="H231" t="n">
        <v>7145</v>
      </c>
      <c r="I231" t="n">
        <v>40382</v>
      </c>
      <c r="J231" t="n">
        <v>307772</v>
      </c>
      <c r="K231" t="n">
        <v>42294</v>
      </c>
      <c r="L231" t="n">
        <v>51513</v>
      </c>
      <c r="M231" t="n">
        <v>22428</v>
      </c>
      <c r="N231" t="n">
        <v>9116</v>
      </c>
      <c r="O231" t="n">
        <v>67320</v>
      </c>
      <c r="P231" t="n">
        <v>30116</v>
      </c>
      <c r="Q231" t="n">
        <v>6611</v>
      </c>
    </row>
    <row r="232">
      <c r="A232" s="134" t="n">
        <v>40603</v>
      </c>
      <c r="B232" t="n">
        <v>267185</v>
      </c>
      <c r="C232" t="n">
        <v>378582</v>
      </c>
      <c r="D232" t="n">
        <v>21865</v>
      </c>
      <c r="E232" t="n">
        <v>18718</v>
      </c>
      <c r="F232" t="n">
        <v>50080</v>
      </c>
      <c r="G232" t="n">
        <v>8477</v>
      </c>
      <c r="H232" t="n">
        <v>7404</v>
      </c>
      <c r="I232" t="n">
        <v>40575</v>
      </c>
      <c r="J232" t="n">
        <v>311008</v>
      </c>
      <c r="K232" t="n">
        <v>43823</v>
      </c>
      <c r="L232" t="n">
        <v>51641</v>
      </c>
      <c r="M232" t="n">
        <v>22563</v>
      </c>
      <c r="N232" t="n">
        <v>8846</v>
      </c>
      <c r="O232" t="n">
        <v>67574</v>
      </c>
      <c r="P232" t="n">
        <v>30457</v>
      </c>
      <c r="Q232" t="n">
        <v>6559</v>
      </c>
    </row>
    <row r="233">
      <c r="A233" s="134" t="n">
        <v>40634</v>
      </c>
      <c r="B233" t="n">
        <v>269187</v>
      </c>
      <c r="C233" t="n">
        <v>380508</v>
      </c>
      <c r="D233" t="n">
        <v>22053</v>
      </c>
      <c r="E233" t="n">
        <v>18957</v>
      </c>
      <c r="F233" t="n">
        <v>50836</v>
      </c>
      <c r="G233" t="n">
        <v>8529</v>
      </c>
      <c r="H233" t="n">
        <v>7313</v>
      </c>
      <c r="I233" t="n">
        <v>40624</v>
      </c>
      <c r="J233" t="n">
        <v>313791</v>
      </c>
      <c r="K233" t="n">
        <v>44604</v>
      </c>
      <c r="L233" t="n">
        <v>52005</v>
      </c>
      <c r="M233" t="n">
        <v>22448</v>
      </c>
      <c r="N233" t="n">
        <v>9056</v>
      </c>
      <c r="O233" t="n">
        <v>66717</v>
      </c>
      <c r="P233" t="n">
        <v>30751</v>
      </c>
      <c r="Q233" t="n">
        <v>6615</v>
      </c>
    </row>
    <row r="234">
      <c r="A234" s="134" t="n">
        <v>40664</v>
      </c>
      <c r="B234" t="n">
        <v>269142</v>
      </c>
      <c r="C234" t="n">
        <v>380353</v>
      </c>
      <c r="D234" t="n">
        <v>22326</v>
      </c>
      <c r="E234" t="n">
        <v>18846</v>
      </c>
      <c r="F234" t="n">
        <v>50385</v>
      </c>
      <c r="G234" t="n">
        <v>8425</v>
      </c>
      <c r="H234" t="n">
        <v>7245</v>
      </c>
      <c r="I234" t="n">
        <v>41050</v>
      </c>
      <c r="J234" t="n">
        <v>314442</v>
      </c>
      <c r="K234" t="n">
        <v>45300</v>
      </c>
      <c r="L234" t="n">
        <v>51790</v>
      </c>
      <c r="M234" t="n">
        <v>22608</v>
      </c>
      <c r="N234" t="n">
        <v>8975</v>
      </c>
      <c r="O234" t="n">
        <v>65911</v>
      </c>
      <c r="P234" t="n">
        <v>30950</v>
      </c>
      <c r="Q234" t="n">
        <v>6542</v>
      </c>
    </row>
    <row r="235">
      <c r="A235" s="134" t="n">
        <v>40695</v>
      </c>
      <c r="B235" t="n">
        <v>271758</v>
      </c>
      <c r="C235" t="n">
        <v>383140</v>
      </c>
      <c r="D235" t="n">
        <v>22709</v>
      </c>
      <c r="E235" t="n">
        <v>19182</v>
      </c>
      <c r="F235" t="n">
        <v>50943</v>
      </c>
      <c r="G235" t="n">
        <v>8439</v>
      </c>
      <c r="H235" t="n">
        <v>7227</v>
      </c>
      <c r="I235" t="n">
        <v>41540</v>
      </c>
      <c r="J235" t="n">
        <v>316372</v>
      </c>
      <c r="K235" t="n">
        <v>44614</v>
      </c>
      <c r="L235" t="n">
        <v>52353</v>
      </c>
      <c r="M235" t="n">
        <v>22607</v>
      </c>
      <c r="N235" t="n">
        <v>9061</v>
      </c>
      <c r="O235" t="n">
        <v>66768</v>
      </c>
      <c r="P235" t="n">
        <v>31119</v>
      </c>
      <c r="Q235" t="n">
        <v>6578</v>
      </c>
    </row>
    <row r="236">
      <c r="A236" s="134" t="n">
        <v>40725</v>
      </c>
      <c r="B236" t="n">
        <v>271713</v>
      </c>
      <c r="C236" t="n">
        <v>382889</v>
      </c>
      <c r="D236" t="n">
        <v>22744</v>
      </c>
      <c r="E236" t="n">
        <v>18998</v>
      </c>
      <c r="F236" t="n">
        <v>50984</v>
      </c>
      <c r="G236" t="n">
        <v>8557</v>
      </c>
      <c r="H236" t="n">
        <v>7263</v>
      </c>
      <c r="I236" t="n">
        <v>41516</v>
      </c>
      <c r="J236" t="n">
        <v>316467</v>
      </c>
      <c r="K236" t="n">
        <v>44754</v>
      </c>
      <c r="L236" t="n">
        <v>52123</v>
      </c>
      <c r="M236" t="n">
        <v>22728</v>
      </c>
      <c r="N236" t="n">
        <v>9171</v>
      </c>
      <c r="O236" t="n">
        <v>66422</v>
      </c>
      <c r="P236" t="n">
        <v>31208</v>
      </c>
      <c r="Q236" t="n">
        <v>6421</v>
      </c>
    </row>
    <row r="237">
      <c r="A237" s="134" t="n">
        <v>40756</v>
      </c>
      <c r="B237" t="n">
        <v>273072</v>
      </c>
      <c r="C237" t="n">
        <v>384006</v>
      </c>
      <c r="D237" t="n">
        <v>22775</v>
      </c>
      <c r="E237" t="n">
        <v>18922</v>
      </c>
      <c r="F237" t="n">
        <v>51182</v>
      </c>
      <c r="G237" t="n">
        <v>8615</v>
      </c>
      <c r="H237" t="n">
        <v>7333</v>
      </c>
      <c r="I237" t="n">
        <v>41718</v>
      </c>
      <c r="J237" t="n">
        <v>318147</v>
      </c>
      <c r="K237" t="n">
        <v>45075</v>
      </c>
      <c r="L237" t="n">
        <v>52136</v>
      </c>
      <c r="M237" t="n">
        <v>22822</v>
      </c>
      <c r="N237" t="n">
        <v>9229</v>
      </c>
      <c r="O237" t="n">
        <v>65859</v>
      </c>
      <c r="P237" t="n">
        <v>31679</v>
      </c>
      <c r="Q237" t="n">
        <v>6661</v>
      </c>
    </row>
    <row r="238">
      <c r="A238" s="134" t="n">
        <v>40787</v>
      </c>
      <c r="B238" t="n">
        <v>273611</v>
      </c>
      <c r="C238" t="n">
        <v>387509</v>
      </c>
      <c r="D238" t="n">
        <v>22644</v>
      </c>
      <c r="E238" t="n">
        <v>19489</v>
      </c>
      <c r="F238" t="n">
        <v>51049</v>
      </c>
      <c r="G238" t="n">
        <v>8493</v>
      </c>
      <c r="H238" t="n">
        <v>7384</v>
      </c>
      <c r="I238" t="n">
        <v>42013</v>
      </c>
      <c r="J238" t="n">
        <v>318693</v>
      </c>
      <c r="K238" t="n">
        <v>45082</v>
      </c>
      <c r="L238" t="n">
        <v>52575</v>
      </c>
      <c r="M238" t="n">
        <v>22695</v>
      </c>
      <c r="N238" t="n">
        <v>9159</v>
      </c>
      <c r="O238" t="n">
        <v>68816</v>
      </c>
      <c r="P238" t="n">
        <v>31417</v>
      </c>
      <c r="Q238" t="n">
        <v>6693</v>
      </c>
    </row>
    <row r="239">
      <c r="A239" s="134" t="n">
        <v>40817</v>
      </c>
      <c r="B239" t="n">
        <v>275360</v>
      </c>
      <c r="C239" t="n">
        <v>390086</v>
      </c>
      <c r="D239" t="n">
        <v>23253</v>
      </c>
      <c r="E239" t="n">
        <v>19136</v>
      </c>
      <c r="F239" t="n">
        <v>51324</v>
      </c>
      <c r="G239" t="n">
        <v>8737</v>
      </c>
      <c r="H239" t="n">
        <v>7303</v>
      </c>
      <c r="I239" t="n">
        <v>42162</v>
      </c>
      <c r="J239" t="n">
        <v>320206</v>
      </c>
      <c r="K239" t="n">
        <v>44846</v>
      </c>
      <c r="L239" t="n">
        <v>52455</v>
      </c>
      <c r="M239" t="n">
        <v>22830</v>
      </c>
      <c r="N239" t="n">
        <v>9072</v>
      </c>
      <c r="O239" t="n">
        <v>69880</v>
      </c>
      <c r="P239" t="n">
        <v>32499</v>
      </c>
      <c r="Q239" t="n">
        <v>6589</v>
      </c>
    </row>
    <row r="240">
      <c r="A240" s="134" t="n">
        <v>40848</v>
      </c>
      <c r="B240" t="n">
        <v>275696</v>
      </c>
      <c r="C240" t="n">
        <v>391541</v>
      </c>
      <c r="D240" t="n">
        <v>22908</v>
      </c>
      <c r="E240" t="n">
        <v>19311</v>
      </c>
      <c r="F240" t="n">
        <v>51416</v>
      </c>
      <c r="G240" t="n">
        <v>8653</v>
      </c>
      <c r="H240" t="n">
        <v>7378</v>
      </c>
      <c r="I240" t="n">
        <v>42237</v>
      </c>
      <c r="J240" t="n">
        <v>321318</v>
      </c>
      <c r="K240" t="n">
        <v>45622</v>
      </c>
      <c r="L240" t="n">
        <v>52657</v>
      </c>
      <c r="M240" t="n">
        <v>22735</v>
      </c>
      <c r="N240" t="n">
        <v>9045</v>
      </c>
      <c r="O240" t="n">
        <v>70223</v>
      </c>
      <c r="P240" t="n">
        <v>32762</v>
      </c>
      <c r="Q240" t="n">
        <v>6594</v>
      </c>
    </row>
    <row r="241">
      <c r="A241" s="134" t="n">
        <v>40878</v>
      </c>
      <c r="B241" t="n">
        <v>274832</v>
      </c>
      <c r="C241" t="n">
        <v>391608</v>
      </c>
      <c r="D241" t="n">
        <v>23443</v>
      </c>
      <c r="E241" t="n">
        <v>19494</v>
      </c>
      <c r="F241" t="n">
        <v>51215</v>
      </c>
      <c r="G241" t="n">
        <v>8456</v>
      </c>
      <c r="H241" t="n">
        <v>7537</v>
      </c>
      <c r="I241" t="n">
        <v>41864</v>
      </c>
      <c r="J241" t="n">
        <v>320123</v>
      </c>
      <c r="K241" t="n">
        <v>45291</v>
      </c>
      <c r="L241" t="n">
        <v>52458</v>
      </c>
      <c r="M241" t="n">
        <v>22677</v>
      </c>
      <c r="N241" t="n">
        <v>8867</v>
      </c>
      <c r="O241" t="n">
        <v>71485</v>
      </c>
      <c r="P241" t="n">
        <v>32468</v>
      </c>
      <c r="Q241" t="n">
        <v>6353</v>
      </c>
    </row>
    <row r="242">
      <c r="A242" s="134" t="n">
        <v>40909</v>
      </c>
      <c r="B242" t="n">
        <v>278248</v>
      </c>
      <c r="C242" t="n">
        <v>395720</v>
      </c>
      <c r="D242" t="n">
        <v>23657</v>
      </c>
      <c r="E242" t="n">
        <v>19588</v>
      </c>
      <c r="F242" t="n">
        <v>51540</v>
      </c>
      <c r="G242" t="n">
        <v>8522</v>
      </c>
      <c r="H242" t="n">
        <v>7646</v>
      </c>
      <c r="I242" t="n">
        <v>42858</v>
      </c>
      <c r="J242" t="n">
        <v>324000</v>
      </c>
      <c r="K242" t="n">
        <v>45752</v>
      </c>
      <c r="L242" t="n">
        <v>53149</v>
      </c>
      <c r="M242" t="n">
        <v>22973</v>
      </c>
      <c r="N242" t="n">
        <v>9307</v>
      </c>
      <c r="O242" t="n">
        <v>71720</v>
      </c>
      <c r="P242" t="n">
        <v>32433</v>
      </c>
      <c r="Q242" t="n">
        <v>6575</v>
      </c>
    </row>
    <row r="243">
      <c r="A243" s="134" t="n">
        <v>40940</v>
      </c>
      <c r="B243" t="n">
        <v>280569</v>
      </c>
      <c r="C243" t="n">
        <v>400329</v>
      </c>
      <c r="D243" t="n">
        <v>23588</v>
      </c>
      <c r="E243" t="n">
        <v>20269</v>
      </c>
      <c r="F243" t="n">
        <v>51658</v>
      </c>
      <c r="G243" t="n">
        <v>8538</v>
      </c>
      <c r="H243" t="n">
        <v>7627</v>
      </c>
      <c r="I243" t="n">
        <v>42950</v>
      </c>
      <c r="J243" t="n">
        <v>327740</v>
      </c>
      <c r="K243" t="n">
        <v>47171</v>
      </c>
      <c r="L243" t="n">
        <v>53944</v>
      </c>
      <c r="M243" t="n">
        <v>22999</v>
      </c>
      <c r="N243" t="n">
        <v>9411</v>
      </c>
      <c r="O243" t="n">
        <v>72589</v>
      </c>
      <c r="P243" t="n">
        <v>32918</v>
      </c>
      <c r="Q243" t="n">
        <v>6667</v>
      </c>
    </row>
    <row r="244">
      <c r="A244" s="134" t="n">
        <v>40969</v>
      </c>
      <c r="B244" t="n">
        <v>281469</v>
      </c>
      <c r="C244" t="n">
        <v>401661</v>
      </c>
      <c r="D244" t="n">
        <v>24587</v>
      </c>
      <c r="E244" t="n">
        <v>20058</v>
      </c>
      <c r="F244" t="n">
        <v>52105</v>
      </c>
      <c r="G244" t="n">
        <v>8707</v>
      </c>
      <c r="H244" t="n">
        <v>7587</v>
      </c>
      <c r="I244" t="n">
        <v>42942</v>
      </c>
      <c r="J244" t="n">
        <v>329010</v>
      </c>
      <c r="K244" t="n">
        <v>47541</v>
      </c>
      <c r="L244" t="n">
        <v>53658</v>
      </c>
      <c r="M244" t="n">
        <v>22945</v>
      </c>
      <c r="N244" t="n">
        <v>9186</v>
      </c>
      <c r="O244" t="n">
        <v>72651</v>
      </c>
      <c r="P244" t="n">
        <v>32879</v>
      </c>
      <c r="Q244" t="n">
        <v>6815</v>
      </c>
    </row>
    <row r="245">
      <c r="A245" s="134" t="n">
        <v>41000</v>
      </c>
      <c r="B245" t="n">
        <v>280264</v>
      </c>
      <c r="C245" t="n">
        <v>400214</v>
      </c>
      <c r="D245" t="n">
        <v>23423</v>
      </c>
      <c r="E245" t="n">
        <v>19533</v>
      </c>
      <c r="F245" t="n">
        <v>52296</v>
      </c>
      <c r="G245" t="n">
        <v>8569</v>
      </c>
      <c r="H245" t="n">
        <v>7502</v>
      </c>
      <c r="I245" t="n">
        <v>43365</v>
      </c>
      <c r="J245" t="n">
        <v>327270</v>
      </c>
      <c r="K245" t="n">
        <v>47006</v>
      </c>
      <c r="L245" t="n">
        <v>53285</v>
      </c>
      <c r="M245" t="n">
        <v>23045</v>
      </c>
      <c r="N245" t="n">
        <v>9196</v>
      </c>
      <c r="O245" t="n">
        <v>72944</v>
      </c>
      <c r="P245" t="n">
        <v>33207</v>
      </c>
      <c r="Q245" t="n">
        <v>6843</v>
      </c>
    </row>
    <row r="246">
      <c r="A246" s="134" t="n">
        <v>41030</v>
      </c>
      <c r="B246" t="n">
        <v>279884</v>
      </c>
      <c r="C246" t="n">
        <v>399331</v>
      </c>
      <c r="D246" t="n">
        <v>22721</v>
      </c>
      <c r="E246" t="n">
        <v>19657</v>
      </c>
      <c r="F246" t="n">
        <v>52239</v>
      </c>
      <c r="G246" t="n">
        <v>8723</v>
      </c>
      <c r="H246" t="n">
        <v>7652</v>
      </c>
      <c r="I246" t="n">
        <v>43313</v>
      </c>
      <c r="J246" t="n">
        <v>325692</v>
      </c>
      <c r="K246" t="n">
        <v>45808</v>
      </c>
      <c r="L246" t="n">
        <v>53154</v>
      </c>
      <c r="M246" t="n">
        <v>22883</v>
      </c>
      <c r="N246" t="n">
        <v>8890</v>
      </c>
      <c r="O246" t="n">
        <v>73639</v>
      </c>
      <c r="P246" t="n">
        <v>33790</v>
      </c>
      <c r="Q246" t="n">
        <v>6862</v>
      </c>
    </row>
    <row r="247">
      <c r="A247" s="134" t="n">
        <v>41061</v>
      </c>
      <c r="B247" t="n">
        <v>279553</v>
      </c>
      <c r="C247" t="n">
        <v>395585</v>
      </c>
      <c r="D247" t="n">
        <v>22516</v>
      </c>
      <c r="E247" t="n">
        <v>19878</v>
      </c>
      <c r="F247" t="n">
        <v>52205</v>
      </c>
      <c r="G247" t="n">
        <v>8658</v>
      </c>
      <c r="H247" t="n">
        <v>7544</v>
      </c>
      <c r="I247" t="n">
        <v>43542</v>
      </c>
      <c r="J247" t="n">
        <v>323199</v>
      </c>
      <c r="K247" t="n">
        <v>43646</v>
      </c>
      <c r="L247" t="n">
        <v>53132</v>
      </c>
      <c r="M247" t="n">
        <v>22449</v>
      </c>
      <c r="N247" t="n">
        <v>9080</v>
      </c>
      <c r="O247" t="n">
        <v>72386</v>
      </c>
      <c r="P247" t="n">
        <v>33745</v>
      </c>
      <c r="Q247" t="n">
        <v>6804</v>
      </c>
    </row>
    <row r="248">
      <c r="A248" s="134" t="n">
        <v>41091</v>
      </c>
      <c r="B248" t="n">
        <v>280958</v>
      </c>
      <c r="C248" t="n">
        <v>397567</v>
      </c>
      <c r="D248" t="n">
        <v>22700</v>
      </c>
      <c r="E248" t="n">
        <v>19724</v>
      </c>
      <c r="F248" t="n">
        <v>52231</v>
      </c>
      <c r="G248" t="n">
        <v>8759</v>
      </c>
      <c r="H248" t="n">
        <v>7650</v>
      </c>
      <c r="I248" t="n">
        <v>43676</v>
      </c>
      <c r="J248" t="n">
        <v>324442</v>
      </c>
      <c r="K248" t="n">
        <v>43484</v>
      </c>
      <c r="L248" t="n">
        <v>53280</v>
      </c>
      <c r="M248" t="n">
        <v>22793</v>
      </c>
      <c r="N248" t="n">
        <v>9182</v>
      </c>
      <c r="O248" t="n">
        <v>73125</v>
      </c>
      <c r="P248" t="n">
        <v>34188</v>
      </c>
      <c r="Q248" t="n">
        <v>6775</v>
      </c>
    </row>
    <row r="249">
      <c r="A249" s="134" t="n">
        <v>41122</v>
      </c>
      <c r="B249" t="n">
        <v>281851</v>
      </c>
      <c r="C249" t="n">
        <v>402162</v>
      </c>
      <c r="D249" t="n">
        <v>23071</v>
      </c>
      <c r="E249" t="n">
        <v>19931</v>
      </c>
      <c r="F249" t="n">
        <v>52359</v>
      </c>
      <c r="G249" t="n">
        <v>8647</v>
      </c>
      <c r="H249" t="n">
        <v>7593</v>
      </c>
      <c r="I249" t="n">
        <v>43712</v>
      </c>
      <c r="J249" t="n">
        <v>328242</v>
      </c>
      <c r="K249" t="n">
        <v>46391</v>
      </c>
      <c r="L249" t="n">
        <v>53554</v>
      </c>
      <c r="M249" t="n">
        <v>22741</v>
      </c>
      <c r="N249" t="n">
        <v>9086</v>
      </c>
      <c r="O249" t="n">
        <v>73920</v>
      </c>
      <c r="P249" t="n">
        <v>34407</v>
      </c>
      <c r="Q249" t="n">
        <v>6750</v>
      </c>
    </row>
    <row r="250">
      <c r="A250" s="134" t="n">
        <v>41153</v>
      </c>
      <c r="B250" t="n">
        <v>283253</v>
      </c>
      <c r="C250" t="n">
        <v>405555</v>
      </c>
      <c r="D250" t="n">
        <v>23652</v>
      </c>
      <c r="E250" t="n">
        <v>20119</v>
      </c>
      <c r="F250" t="n">
        <v>52544</v>
      </c>
      <c r="G250" t="n">
        <v>8628</v>
      </c>
      <c r="H250" t="n">
        <v>7614</v>
      </c>
      <c r="I250" t="n">
        <v>44085</v>
      </c>
      <c r="J250" t="n">
        <v>330360</v>
      </c>
      <c r="K250" t="n">
        <v>47107</v>
      </c>
      <c r="L250" t="n">
        <v>53450</v>
      </c>
      <c r="M250" t="n">
        <v>22608</v>
      </c>
      <c r="N250" t="n">
        <v>9107</v>
      </c>
      <c r="O250" t="n">
        <v>75195</v>
      </c>
      <c r="P250" t="n">
        <v>34740</v>
      </c>
      <c r="Q250" t="n">
        <v>6706</v>
      </c>
    </row>
    <row r="251">
      <c r="A251" s="134" t="n">
        <v>41183</v>
      </c>
      <c r="B251" t="n">
        <v>282910</v>
      </c>
      <c r="C251" t="n">
        <v>405699</v>
      </c>
      <c r="D251" t="n">
        <v>23831</v>
      </c>
      <c r="E251" t="n">
        <v>19939</v>
      </c>
      <c r="F251" t="n">
        <v>52856</v>
      </c>
      <c r="G251" t="n">
        <v>8314</v>
      </c>
      <c r="H251" t="n">
        <v>7416</v>
      </c>
      <c r="I251" t="n">
        <v>43708</v>
      </c>
      <c r="J251" t="n">
        <v>330886</v>
      </c>
      <c r="K251" t="n">
        <v>47976</v>
      </c>
      <c r="L251" t="n">
        <v>53674</v>
      </c>
      <c r="M251" t="n">
        <v>22527</v>
      </c>
      <c r="N251" t="n">
        <v>9157</v>
      </c>
      <c r="O251" t="n">
        <v>74813</v>
      </c>
      <c r="P251" t="n">
        <v>34739</v>
      </c>
      <c r="Q251" t="n">
        <v>6749</v>
      </c>
    </row>
    <row r="252">
      <c r="A252" s="134" t="n">
        <v>41214</v>
      </c>
      <c r="B252" t="n">
        <v>284736</v>
      </c>
      <c r="C252" t="n">
        <v>407396</v>
      </c>
      <c r="D252" t="n">
        <v>24146</v>
      </c>
      <c r="E252" t="n">
        <v>19972</v>
      </c>
      <c r="F252" t="n">
        <v>52670</v>
      </c>
      <c r="G252" t="n">
        <v>8653</v>
      </c>
      <c r="H252" t="n">
        <v>7620</v>
      </c>
      <c r="I252" t="n">
        <v>44520</v>
      </c>
      <c r="J252" t="n">
        <v>331558</v>
      </c>
      <c r="K252" t="n">
        <v>46822</v>
      </c>
      <c r="L252" t="n">
        <v>53464</v>
      </c>
      <c r="M252" t="n">
        <v>22661</v>
      </c>
      <c r="N252" t="n">
        <v>9088</v>
      </c>
      <c r="O252" t="n">
        <v>75838</v>
      </c>
      <c r="P252" t="n">
        <v>35242</v>
      </c>
      <c r="Q252" t="n">
        <v>6700</v>
      </c>
    </row>
    <row r="253">
      <c r="A253" s="134" t="n">
        <v>41244</v>
      </c>
      <c r="B253" t="n">
        <v>286273</v>
      </c>
      <c r="C253" t="n">
        <v>409026</v>
      </c>
      <c r="D253" t="n">
        <v>24126</v>
      </c>
      <c r="E253" t="n">
        <v>20162</v>
      </c>
      <c r="F253" t="n">
        <v>52689</v>
      </c>
      <c r="G253" t="n">
        <v>8800</v>
      </c>
      <c r="H253" t="n">
        <v>7972</v>
      </c>
      <c r="I253" t="n">
        <v>44538</v>
      </c>
      <c r="J253" t="n">
        <v>332159</v>
      </c>
      <c r="K253" t="n">
        <v>45886</v>
      </c>
      <c r="L253" t="n">
        <v>53676</v>
      </c>
      <c r="M253" t="n">
        <v>22898</v>
      </c>
      <c r="N253" t="n">
        <v>9326</v>
      </c>
      <c r="O253" t="n">
        <v>76867</v>
      </c>
      <c r="P253" t="n">
        <v>35266</v>
      </c>
      <c r="Q253" t="n">
        <v>6820</v>
      </c>
    </row>
    <row r="254">
      <c r="A254" s="134" t="n">
        <v>41275</v>
      </c>
      <c r="B254" t="n">
        <v>288412</v>
      </c>
      <c r="C254" t="n">
        <v>412155</v>
      </c>
      <c r="D254" t="n">
        <v>24376</v>
      </c>
      <c r="E254" t="n">
        <v>20434</v>
      </c>
      <c r="F254" t="n">
        <v>52654</v>
      </c>
      <c r="G254" t="n">
        <v>8811</v>
      </c>
      <c r="H254" t="n">
        <v>7912</v>
      </c>
      <c r="I254" t="n">
        <v>45146</v>
      </c>
      <c r="J254" t="n">
        <v>334456</v>
      </c>
      <c r="K254" t="n">
        <v>46044</v>
      </c>
      <c r="L254" t="n">
        <v>54074</v>
      </c>
      <c r="M254" t="n">
        <v>23173</v>
      </c>
      <c r="N254" t="n">
        <v>9223</v>
      </c>
      <c r="O254" t="n">
        <v>77699</v>
      </c>
      <c r="P254" t="n">
        <v>35599</v>
      </c>
      <c r="Q254" t="n">
        <v>7010</v>
      </c>
    </row>
    <row r="255">
      <c r="A255" s="134" t="n">
        <v>41306</v>
      </c>
      <c r="B255" t="n">
        <v>289292</v>
      </c>
      <c r="C255" t="n">
        <v>417159</v>
      </c>
      <c r="D255" t="n">
        <v>24759</v>
      </c>
      <c r="E255" t="n">
        <v>20305</v>
      </c>
      <c r="F255" t="n">
        <v>53230</v>
      </c>
      <c r="G255" t="n">
        <v>8864</v>
      </c>
      <c r="H255" t="n">
        <v>7863</v>
      </c>
      <c r="I255" t="n">
        <v>44868</v>
      </c>
      <c r="J255" t="n">
        <v>338338</v>
      </c>
      <c r="K255" t="n">
        <v>49046</v>
      </c>
      <c r="L255" t="n">
        <v>54534</v>
      </c>
      <c r="M255" t="n">
        <v>23008</v>
      </c>
      <c r="N255" t="n">
        <v>9276</v>
      </c>
      <c r="O255" t="n">
        <v>78821</v>
      </c>
      <c r="P255" t="n">
        <v>35576</v>
      </c>
      <c r="Q255" t="n">
        <v>7009</v>
      </c>
    </row>
    <row r="256">
      <c r="A256" s="134" t="n">
        <v>41334</v>
      </c>
      <c r="B256" t="n">
        <v>288595</v>
      </c>
      <c r="C256" t="n">
        <v>414092</v>
      </c>
      <c r="D256" t="n">
        <v>24692</v>
      </c>
      <c r="E256" t="n">
        <v>20316</v>
      </c>
      <c r="F256" t="n">
        <v>53103</v>
      </c>
      <c r="G256" t="n">
        <v>8642</v>
      </c>
      <c r="H256" t="n">
        <v>7867</v>
      </c>
      <c r="I256" t="n">
        <v>45011</v>
      </c>
      <c r="J256" t="n">
        <v>336182</v>
      </c>
      <c r="K256" t="n">
        <v>47587</v>
      </c>
      <c r="L256" t="n">
        <v>54236</v>
      </c>
      <c r="M256" t="n">
        <v>23049</v>
      </c>
      <c r="N256" t="n">
        <v>9367</v>
      </c>
      <c r="O256" t="n">
        <v>77910</v>
      </c>
      <c r="P256" t="n">
        <v>35421</v>
      </c>
      <c r="Q256" t="n">
        <v>6891</v>
      </c>
    </row>
    <row r="257">
      <c r="A257" s="134" t="n">
        <v>41365</v>
      </c>
      <c r="B257" t="n">
        <v>287679</v>
      </c>
      <c r="C257" t="n">
        <v>412237</v>
      </c>
      <c r="D257" t="n">
        <v>24815</v>
      </c>
      <c r="E257" t="n">
        <v>20498</v>
      </c>
      <c r="F257" t="n">
        <v>52733</v>
      </c>
      <c r="G257" t="n">
        <v>8668</v>
      </c>
      <c r="H257" t="n">
        <v>7834</v>
      </c>
      <c r="I257" t="n">
        <v>44723</v>
      </c>
      <c r="J257" t="n">
        <v>333848</v>
      </c>
      <c r="K257" t="n">
        <v>46169</v>
      </c>
      <c r="L257" t="n">
        <v>54198</v>
      </c>
      <c r="M257" t="n">
        <v>22953</v>
      </c>
      <c r="N257" t="n">
        <v>9322</v>
      </c>
      <c r="O257" t="n">
        <v>78389</v>
      </c>
      <c r="P257" t="n">
        <v>35140</v>
      </c>
      <c r="Q257" t="n">
        <v>6795</v>
      </c>
    </row>
    <row r="258">
      <c r="A258" s="134" t="n">
        <v>41395</v>
      </c>
      <c r="B258" t="n">
        <v>288998</v>
      </c>
      <c r="C258" t="n">
        <v>414309</v>
      </c>
      <c r="D258" t="n">
        <v>25320</v>
      </c>
      <c r="E258" t="n">
        <v>20376</v>
      </c>
      <c r="F258" t="n">
        <v>53253</v>
      </c>
      <c r="G258" t="n">
        <v>8663</v>
      </c>
      <c r="H258" t="n">
        <v>7759</v>
      </c>
      <c r="I258" t="n">
        <v>44816</v>
      </c>
      <c r="J258" t="n">
        <v>334591</v>
      </c>
      <c r="K258" t="n">
        <v>45593</v>
      </c>
      <c r="L258" t="n">
        <v>54453</v>
      </c>
      <c r="M258" t="n">
        <v>23055</v>
      </c>
      <c r="N258" t="n">
        <v>9319</v>
      </c>
      <c r="O258" t="n">
        <v>79718</v>
      </c>
      <c r="P258" t="n">
        <v>35127</v>
      </c>
      <c r="Q258" t="n">
        <v>6857</v>
      </c>
    </row>
    <row r="259">
      <c r="A259" s="134" t="n">
        <v>41426</v>
      </c>
      <c r="B259" t="n">
        <v>288597</v>
      </c>
      <c r="C259" t="n">
        <v>415742</v>
      </c>
      <c r="D259" t="n">
        <v>24799</v>
      </c>
      <c r="E259" t="n">
        <v>20368</v>
      </c>
      <c r="F259" t="n">
        <v>53217</v>
      </c>
      <c r="G259" t="n">
        <v>8658</v>
      </c>
      <c r="H259" t="n">
        <v>7986</v>
      </c>
      <c r="I259" t="n">
        <v>44701</v>
      </c>
      <c r="J259" t="n">
        <v>334425</v>
      </c>
      <c r="K259" t="n">
        <v>45828</v>
      </c>
      <c r="L259" t="n">
        <v>54447</v>
      </c>
      <c r="M259" t="n">
        <v>23043</v>
      </c>
      <c r="N259" t="n">
        <v>9169</v>
      </c>
      <c r="O259" t="n">
        <v>81317</v>
      </c>
      <c r="P259" t="n">
        <v>35316</v>
      </c>
      <c r="Q259" t="n">
        <v>6893</v>
      </c>
    </row>
    <row r="260">
      <c r="A260" s="134" t="n">
        <v>41456</v>
      </c>
      <c r="B260" t="n">
        <v>290883</v>
      </c>
      <c r="C260" t="n">
        <v>418604</v>
      </c>
      <c r="D260" t="n">
        <v>25347</v>
      </c>
      <c r="E260" t="n">
        <v>20578</v>
      </c>
      <c r="F260" t="n">
        <v>53618</v>
      </c>
      <c r="G260" t="n">
        <v>8598</v>
      </c>
      <c r="H260" t="n">
        <v>7973</v>
      </c>
      <c r="I260" t="n">
        <v>45050</v>
      </c>
      <c r="J260" t="n">
        <v>336889</v>
      </c>
      <c r="K260" t="n">
        <v>46006</v>
      </c>
      <c r="L260" t="n">
        <v>54636</v>
      </c>
      <c r="M260" t="n">
        <v>23308</v>
      </c>
      <c r="N260" t="n">
        <v>9209</v>
      </c>
      <c r="O260" t="n">
        <v>81715</v>
      </c>
      <c r="P260" t="n">
        <v>35628</v>
      </c>
      <c r="Q260" t="n">
        <v>6938</v>
      </c>
    </row>
    <row r="261">
      <c r="A261" s="134" t="n">
        <v>41487</v>
      </c>
      <c r="B261" t="n">
        <v>290634</v>
      </c>
      <c r="C261" t="n">
        <v>417644</v>
      </c>
      <c r="D261" t="n">
        <v>25284</v>
      </c>
      <c r="E261" t="n">
        <v>20315</v>
      </c>
      <c r="F261" t="n">
        <v>53693</v>
      </c>
      <c r="G261" t="n">
        <v>8592</v>
      </c>
      <c r="H261" t="n">
        <v>8022</v>
      </c>
      <c r="I261" t="n">
        <v>45155</v>
      </c>
      <c r="J261" t="n">
        <v>336272</v>
      </c>
      <c r="K261" t="n">
        <v>45638</v>
      </c>
      <c r="L261" t="n">
        <v>54466</v>
      </c>
      <c r="M261" t="n">
        <v>23305</v>
      </c>
      <c r="N261" t="n">
        <v>9304</v>
      </c>
      <c r="O261" t="n">
        <v>81372</v>
      </c>
      <c r="P261" t="n">
        <v>35734</v>
      </c>
      <c r="Q261" t="n">
        <v>6764</v>
      </c>
    </row>
    <row r="262">
      <c r="A262" s="134" t="n">
        <v>41518</v>
      </c>
      <c r="B262" t="n">
        <v>291901</v>
      </c>
      <c r="C262" t="n">
        <v>417849</v>
      </c>
      <c r="D262" t="n">
        <v>25259</v>
      </c>
      <c r="E262" t="n">
        <v>20305</v>
      </c>
      <c r="F262" t="n">
        <v>53820</v>
      </c>
      <c r="G262" t="n">
        <v>8528</v>
      </c>
      <c r="H262" t="n">
        <v>8084</v>
      </c>
      <c r="I262" t="n">
        <v>45344</v>
      </c>
      <c r="J262" t="n">
        <v>337653</v>
      </c>
      <c r="K262" t="n">
        <v>45752</v>
      </c>
      <c r="L262" t="n">
        <v>54836</v>
      </c>
      <c r="M262" t="n">
        <v>23728</v>
      </c>
      <c r="N262" t="n">
        <v>9502</v>
      </c>
      <c r="O262" t="n">
        <v>80196</v>
      </c>
      <c r="P262" t="n">
        <v>35619</v>
      </c>
      <c r="Q262" t="n">
        <v>6876</v>
      </c>
    </row>
    <row r="263">
      <c r="A263" s="134" t="n">
        <v>41548</v>
      </c>
      <c r="B263" t="n">
        <v>293033</v>
      </c>
      <c r="C263" t="n">
        <v>419599</v>
      </c>
      <c r="D263" t="n">
        <v>24917</v>
      </c>
      <c r="E263" t="n">
        <v>20790</v>
      </c>
      <c r="F263" t="n">
        <v>53943</v>
      </c>
      <c r="G263" t="n">
        <v>8616</v>
      </c>
      <c r="H263" t="n">
        <v>8191</v>
      </c>
      <c r="I263" t="n">
        <v>45936</v>
      </c>
      <c r="J263" t="n">
        <v>338108</v>
      </c>
      <c r="K263" t="n">
        <v>45075</v>
      </c>
      <c r="L263" t="n">
        <v>54919</v>
      </c>
      <c r="M263" t="n">
        <v>23771</v>
      </c>
      <c r="N263" t="n">
        <v>9488</v>
      </c>
      <c r="O263" t="n">
        <v>81491</v>
      </c>
      <c r="P263" t="n">
        <v>35599</v>
      </c>
      <c r="Q263" t="n">
        <v>6863</v>
      </c>
    </row>
    <row r="264">
      <c r="A264" s="134" t="n">
        <v>41579</v>
      </c>
      <c r="B264" t="n">
        <v>294113</v>
      </c>
      <c r="C264" t="n">
        <v>420658</v>
      </c>
      <c r="D264" t="n">
        <v>24828</v>
      </c>
      <c r="E264" t="n">
        <v>20279</v>
      </c>
      <c r="F264" t="n">
        <v>54066</v>
      </c>
      <c r="G264" t="n">
        <v>8511</v>
      </c>
      <c r="H264" t="n">
        <v>8236</v>
      </c>
      <c r="I264" t="n">
        <v>46744</v>
      </c>
      <c r="J264" t="n">
        <v>338836</v>
      </c>
      <c r="K264" t="n">
        <v>44723</v>
      </c>
      <c r="L264" t="n">
        <v>54770</v>
      </c>
      <c r="M264" t="n">
        <v>23772</v>
      </c>
      <c r="N264" t="n">
        <v>9555</v>
      </c>
      <c r="O264" t="n">
        <v>81822</v>
      </c>
      <c r="P264" t="n">
        <v>36449</v>
      </c>
      <c r="Q264" t="n">
        <v>6903</v>
      </c>
    </row>
    <row r="265">
      <c r="A265" s="134" t="n">
        <v>41609</v>
      </c>
      <c r="B265" t="n">
        <v>295226</v>
      </c>
      <c r="C265" t="n">
        <v>423362</v>
      </c>
      <c r="D265" t="n">
        <v>24956</v>
      </c>
      <c r="E265" t="n">
        <v>20565</v>
      </c>
      <c r="F265" t="n">
        <v>54606</v>
      </c>
      <c r="G265" t="n">
        <v>8473</v>
      </c>
      <c r="H265" t="n">
        <v>7988</v>
      </c>
      <c r="I265" t="n">
        <v>46330</v>
      </c>
      <c r="J265" t="n">
        <v>341898</v>
      </c>
      <c r="K265" t="n">
        <v>46672</v>
      </c>
      <c r="L265" t="n">
        <v>54662</v>
      </c>
      <c r="M265" t="n">
        <v>23824</v>
      </c>
      <c r="N265" t="n">
        <v>9393</v>
      </c>
      <c r="O265" t="n">
        <v>81464</v>
      </c>
      <c r="P265" t="n">
        <v>37559</v>
      </c>
      <c r="Q265" t="n">
        <v>6870</v>
      </c>
    </row>
    <row r="266">
      <c r="A266" s="134" t="n">
        <v>41640</v>
      </c>
      <c r="B266" t="n">
        <v>292777</v>
      </c>
      <c r="C266" t="n">
        <v>418947</v>
      </c>
      <c r="D266" t="n">
        <v>24872</v>
      </c>
      <c r="E266" t="n">
        <v>20517</v>
      </c>
      <c r="F266" t="n">
        <v>54797</v>
      </c>
      <c r="G266" t="n">
        <v>8501</v>
      </c>
      <c r="H266" t="n">
        <v>7808</v>
      </c>
      <c r="I266" t="n">
        <v>45914</v>
      </c>
      <c r="J266" t="n">
        <v>339912</v>
      </c>
      <c r="K266" t="n">
        <v>47135</v>
      </c>
      <c r="L266" t="n">
        <v>54538</v>
      </c>
      <c r="M266" t="n">
        <v>23768</v>
      </c>
      <c r="N266" t="n">
        <v>9251</v>
      </c>
      <c r="O266" t="n">
        <v>79035</v>
      </c>
      <c r="P266" t="n">
        <v>36326</v>
      </c>
      <c r="Q266" t="n">
        <v>6485</v>
      </c>
    </row>
    <row r="267">
      <c r="A267" s="134" t="n">
        <v>41671</v>
      </c>
      <c r="B267" t="n">
        <v>295914</v>
      </c>
      <c r="C267" t="n">
        <v>425005</v>
      </c>
      <c r="D267" t="n">
        <v>24817</v>
      </c>
      <c r="E267" t="n">
        <v>20543</v>
      </c>
      <c r="F267" t="n">
        <v>54759</v>
      </c>
      <c r="G267" t="n">
        <v>8525</v>
      </c>
      <c r="H267" t="n">
        <v>8111</v>
      </c>
      <c r="I267" t="n">
        <v>46424</v>
      </c>
      <c r="J267" t="n">
        <v>343436</v>
      </c>
      <c r="K267" t="n">
        <v>47522</v>
      </c>
      <c r="L267" t="n">
        <v>55390</v>
      </c>
      <c r="M267" t="n">
        <v>23906</v>
      </c>
      <c r="N267" t="n">
        <v>9387</v>
      </c>
      <c r="O267" t="n">
        <v>81569</v>
      </c>
      <c r="P267" t="n">
        <v>37254</v>
      </c>
      <c r="Q267" t="n">
        <v>6798</v>
      </c>
    </row>
    <row r="268">
      <c r="A268" s="134" t="n">
        <v>41699</v>
      </c>
      <c r="B268" t="n">
        <v>298284</v>
      </c>
      <c r="C268" t="n">
        <v>429658</v>
      </c>
      <c r="D268" t="n">
        <v>25282</v>
      </c>
      <c r="E268" t="n">
        <v>20667</v>
      </c>
      <c r="F268" t="n">
        <v>54888</v>
      </c>
      <c r="G268" t="n">
        <v>8597</v>
      </c>
      <c r="H268" t="n">
        <v>8254</v>
      </c>
      <c r="I268" t="n">
        <v>47057</v>
      </c>
      <c r="J268" t="n">
        <v>345152</v>
      </c>
      <c r="K268" t="n">
        <v>46868</v>
      </c>
      <c r="L268" t="n">
        <v>55469</v>
      </c>
      <c r="M268" t="n">
        <v>24053</v>
      </c>
      <c r="N268" t="n">
        <v>9473</v>
      </c>
      <c r="O268" t="n">
        <v>84506</v>
      </c>
      <c r="P268" t="n">
        <v>37750</v>
      </c>
      <c r="Q268" t="n">
        <v>6794</v>
      </c>
    </row>
    <row r="269">
      <c r="A269" s="134" t="n">
        <v>41730</v>
      </c>
      <c r="B269" t="n">
        <v>300922</v>
      </c>
      <c r="C269" t="n">
        <v>433826</v>
      </c>
      <c r="D269" t="n">
        <v>26122</v>
      </c>
      <c r="E269" t="n">
        <v>21161</v>
      </c>
      <c r="F269" t="n">
        <v>55279</v>
      </c>
      <c r="G269" t="n">
        <v>8549</v>
      </c>
      <c r="H269" t="n">
        <v>8366</v>
      </c>
      <c r="I269" t="n">
        <v>47137</v>
      </c>
      <c r="J269" t="n">
        <v>348010</v>
      </c>
      <c r="K269" t="n">
        <v>47088</v>
      </c>
      <c r="L269" t="n">
        <v>55963</v>
      </c>
      <c r="M269" t="n">
        <v>24259</v>
      </c>
      <c r="N269" t="n">
        <v>9344</v>
      </c>
      <c r="O269" t="n">
        <v>85816</v>
      </c>
      <c r="P269" t="n">
        <v>37839</v>
      </c>
      <c r="Q269" t="n">
        <v>6903</v>
      </c>
    </row>
    <row r="270">
      <c r="A270" s="134" t="n">
        <v>41760</v>
      </c>
      <c r="B270" t="n">
        <v>301869</v>
      </c>
      <c r="C270" t="n">
        <v>434640</v>
      </c>
      <c r="D270" t="n">
        <v>26465</v>
      </c>
      <c r="E270" t="n">
        <v>20765</v>
      </c>
      <c r="F270" t="n">
        <v>55451</v>
      </c>
      <c r="G270" t="n">
        <v>8413</v>
      </c>
      <c r="H270" t="n">
        <v>8347</v>
      </c>
      <c r="I270" t="n">
        <v>47540</v>
      </c>
      <c r="J270" t="n">
        <v>348656</v>
      </c>
      <c r="K270" t="n">
        <v>46787</v>
      </c>
      <c r="L270" t="n">
        <v>55960</v>
      </c>
      <c r="M270" t="n">
        <v>24594</v>
      </c>
      <c r="N270" t="n">
        <v>9535</v>
      </c>
      <c r="O270" t="n">
        <v>85984</v>
      </c>
      <c r="P270" t="n">
        <v>37922</v>
      </c>
      <c r="Q270" t="n">
        <v>6877</v>
      </c>
    </row>
    <row r="271">
      <c r="A271" s="134" t="n">
        <v>41791</v>
      </c>
      <c r="B271" t="n">
        <v>303804</v>
      </c>
      <c r="C271" t="n">
        <v>435816</v>
      </c>
      <c r="D271" t="n">
        <v>26620</v>
      </c>
      <c r="E271" t="n">
        <v>20799</v>
      </c>
      <c r="F271" t="n">
        <v>55966</v>
      </c>
      <c r="G271" t="n">
        <v>8328</v>
      </c>
      <c r="H271" t="n">
        <v>8369</v>
      </c>
      <c r="I271" t="n">
        <v>47710</v>
      </c>
      <c r="J271" t="n">
        <v>349588</v>
      </c>
      <c r="K271" t="n">
        <v>45784</v>
      </c>
      <c r="L271" t="n">
        <v>55952</v>
      </c>
      <c r="M271" t="n">
        <v>24797</v>
      </c>
      <c r="N271" t="n">
        <v>9599</v>
      </c>
      <c r="O271" t="n">
        <v>86228</v>
      </c>
      <c r="P271" t="n">
        <v>38712</v>
      </c>
      <c r="Q271" t="n">
        <v>6952</v>
      </c>
    </row>
    <row r="272">
      <c r="A272" s="134" t="n">
        <v>41821</v>
      </c>
      <c r="B272" t="n">
        <v>304038</v>
      </c>
      <c r="C272" t="n">
        <v>436442</v>
      </c>
      <c r="D272" t="n">
        <v>26084</v>
      </c>
      <c r="E272" t="n">
        <v>20918</v>
      </c>
      <c r="F272" t="n">
        <v>56144</v>
      </c>
      <c r="G272" t="n">
        <v>8419</v>
      </c>
      <c r="H272" t="n">
        <v>8380</v>
      </c>
      <c r="I272" t="n">
        <v>48083</v>
      </c>
      <c r="J272" t="n">
        <v>349853</v>
      </c>
      <c r="K272" t="n">
        <v>45815</v>
      </c>
      <c r="L272" t="n">
        <v>56067</v>
      </c>
      <c r="M272" t="n">
        <v>24813</v>
      </c>
      <c r="N272" t="n">
        <v>9623</v>
      </c>
      <c r="O272" t="n">
        <v>86589</v>
      </c>
      <c r="P272" t="n">
        <v>38579</v>
      </c>
      <c r="Q272" t="n">
        <v>6928</v>
      </c>
    </row>
    <row r="273">
      <c r="A273" s="134" t="n">
        <v>41852</v>
      </c>
      <c r="B273" t="n">
        <v>306590</v>
      </c>
      <c r="C273" t="n">
        <v>439680</v>
      </c>
      <c r="D273" t="n">
        <v>26569</v>
      </c>
      <c r="E273" t="n">
        <v>21035</v>
      </c>
      <c r="F273" t="n">
        <v>56299</v>
      </c>
      <c r="G273" t="n">
        <v>8487</v>
      </c>
      <c r="H273" t="n">
        <v>8517</v>
      </c>
      <c r="I273" t="n">
        <v>48375</v>
      </c>
      <c r="J273" t="n">
        <v>352463</v>
      </c>
      <c r="K273" t="n">
        <v>45873</v>
      </c>
      <c r="L273" t="n">
        <v>56433</v>
      </c>
      <c r="M273" t="n">
        <v>24902</v>
      </c>
      <c r="N273" t="n">
        <v>9743</v>
      </c>
      <c r="O273" t="n">
        <v>87217</v>
      </c>
      <c r="P273" t="n">
        <v>39064</v>
      </c>
      <c r="Q273" t="n">
        <v>7166</v>
      </c>
    </row>
    <row r="274">
      <c r="A274" s="134" t="n">
        <v>41883</v>
      </c>
      <c r="B274" t="n">
        <v>306892</v>
      </c>
      <c r="C274" t="n">
        <v>438842</v>
      </c>
      <c r="D274" t="n">
        <v>26494</v>
      </c>
      <c r="E274" t="n">
        <v>20830</v>
      </c>
      <c r="F274" t="n">
        <v>56476</v>
      </c>
      <c r="G274" t="n">
        <v>8659</v>
      </c>
      <c r="H274" t="n">
        <v>8442</v>
      </c>
      <c r="I274" t="n">
        <v>48982</v>
      </c>
      <c r="J274" t="n">
        <v>352332</v>
      </c>
      <c r="K274" t="n">
        <v>45440</v>
      </c>
      <c r="L274" t="n">
        <v>56032</v>
      </c>
      <c r="M274" t="n">
        <v>25046</v>
      </c>
      <c r="N274" t="n">
        <v>9719</v>
      </c>
      <c r="O274" t="n">
        <v>86510</v>
      </c>
      <c r="P274" t="n">
        <v>39151</v>
      </c>
      <c r="Q274" t="n">
        <v>7061</v>
      </c>
    </row>
    <row r="275">
      <c r="A275" s="134" t="n">
        <v>41913</v>
      </c>
      <c r="B275" t="n">
        <v>308897</v>
      </c>
      <c r="C275" t="n">
        <v>440164</v>
      </c>
      <c r="D275" t="n">
        <v>26463</v>
      </c>
      <c r="E275" t="n">
        <v>21121</v>
      </c>
      <c r="F275" t="n">
        <v>56776</v>
      </c>
      <c r="G275" t="n">
        <v>8610</v>
      </c>
      <c r="H275" t="n">
        <v>8484</v>
      </c>
      <c r="I275" t="n">
        <v>49658</v>
      </c>
      <c r="J275" t="n">
        <v>353409</v>
      </c>
      <c r="K275" t="n">
        <v>44512</v>
      </c>
      <c r="L275" t="n">
        <v>56249</v>
      </c>
      <c r="M275" t="n">
        <v>24962</v>
      </c>
      <c r="N275" t="n">
        <v>9904</v>
      </c>
      <c r="O275" t="n">
        <v>86755</v>
      </c>
      <c r="P275" t="n">
        <v>39513</v>
      </c>
      <c r="Q275" t="n">
        <v>7157</v>
      </c>
    </row>
    <row r="276">
      <c r="A276" s="134" t="n">
        <v>41944</v>
      </c>
      <c r="B276" t="n">
        <v>310080</v>
      </c>
      <c r="C276" t="n">
        <v>441536</v>
      </c>
      <c r="D276" t="n">
        <v>26602</v>
      </c>
      <c r="E276" t="n">
        <v>21394</v>
      </c>
      <c r="F276" t="n">
        <v>56764</v>
      </c>
      <c r="G276" t="n">
        <v>8808</v>
      </c>
      <c r="H276" t="n">
        <v>8577</v>
      </c>
      <c r="I276" t="n">
        <v>49731</v>
      </c>
      <c r="J276" t="n">
        <v>353721</v>
      </c>
      <c r="K276" t="n">
        <v>43641</v>
      </c>
      <c r="L276" t="n">
        <v>56338</v>
      </c>
      <c r="M276" t="n">
        <v>25064</v>
      </c>
      <c r="N276" t="n">
        <v>9828</v>
      </c>
      <c r="O276" t="n">
        <v>87815</v>
      </c>
      <c r="P276" t="n">
        <v>39837</v>
      </c>
      <c r="Q276" t="n">
        <v>7137</v>
      </c>
    </row>
    <row r="277">
      <c r="A277" s="134" t="n">
        <v>41974</v>
      </c>
      <c r="B277" t="n">
        <v>311112</v>
      </c>
      <c r="C277" t="n">
        <v>439077</v>
      </c>
      <c r="D277" t="n">
        <v>26268</v>
      </c>
      <c r="E277" t="n">
        <v>21296</v>
      </c>
      <c r="F277" t="n">
        <v>57113</v>
      </c>
      <c r="G277" t="n">
        <v>8778</v>
      </c>
      <c r="H277" t="n">
        <v>8739</v>
      </c>
      <c r="I277" t="n">
        <v>50508</v>
      </c>
      <c r="J277" t="n">
        <v>351611</v>
      </c>
      <c r="K277" t="n">
        <v>40499</v>
      </c>
      <c r="L277" t="n">
        <v>56388</v>
      </c>
      <c r="M277" t="n">
        <v>25240</v>
      </c>
      <c r="N277" t="n">
        <v>9800</v>
      </c>
      <c r="O277" t="n">
        <v>87466</v>
      </c>
      <c r="P277" t="n">
        <v>39908</v>
      </c>
      <c r="Q277" t="n">
        <v>7074</v>
      </c>
    </row>
    <row r="278">
      <c r="A278" s="134" t="n">
        <v>42005</v>
      </c>
      <c r="B278" t="n">
        <v>311382</v>
      </c>
      <c r="C278" t="n">
        <v>436482</v>
      </c>
      <c r="D278" t="n">
        <v>26517</v>
      </c>
      <c r="E278" t="n">
        <v>21039</v>
      </c>
      <c r="F278" t="n">
        <v>57112</v>
      </c>
      <c r="G278" t="n">
        <v>8627</v>
      </c>
      <c r="H278" t="n">
        <v>8688</v>
      </c>
      <c r="I278" t="n">
        <v>50834</v>
      </c>
      <c r="J278" t="n">
        <v>347963</v>
      </c>
      <c r="K278" t="n">
        <v>36581</v>
      </c>
      <c r="L278" t="n">
        <v>56497</v>
      </c>
      <c r="M278" t="n">
        <v>25440</v>
      </c>
      <c r="N278" t="n">
        <v>9847</v>
      </c>
      <c r="O278" t="n">
        <v>88519</v>
      </c>
      <c r="P278" t="n">
        <v>39830</v>
      </c>
      <c r="Q278" t="n">
        <v>6951</v>
      </c>
    </row>
    <row r="279">
      <c r="A279" s="134" t="n">
        <v>42036</v>
      </c>
      <c r="B279" t="n">
        <v>310754</v>
      </c>
      <c r="C279" t="n">
        <v>435847</v>
      </c>
      <c r="D279" t="n">
        <v>25555</v>
      </c>
      <c r="E279" t="n">
        <v>21326</v>
      </c>
      <c r="F279" t="n">
        <v>57196</v>
      </c>
      <c r="G279" t="n">
        <v>8497</v>
      </c>
      <c r="H279" t="n">
        <v>8501</v>
      </c>
      <c r="I279" t="n">
        <v>50690</v>
      </c>
      <c r="J279" t="n">
        <v>348562</v>
      </c>
      <c r="K279" t="n">
        <v>37808</v>
      </c>
      <c r="L279" t="n">
        <v>56158</v>
      </c>
      <c r="M279" t="n">
        <v>25249</v>
      </c>
      <c r="N279" t="n">
        <v>9760</v>
      </c>
      <c r="O279" t="n">
        <v>87285</v>
      </c>
      <c r="P279" t="n">
        <v>40837</v>
      </c>
      <c r="Q279" t="n">
        <v>6985</v>
      </c>
    </row>
    <row r="280">
      <c r="A280" s="134" t="n">
        <v>42064</v>
      </c>
      <c r="B280" t="n">
        <v>312970</v>
      </c>
      <c r="C280" t="n">
        <v>442487</v>
      </c>
      <c r="D280" t="n">
        <v>26534</v>
      </c>
      <c r="E280" t="n">
        <v>21381</v>
      </c>
      <c r="F280" t="n">
        <v>57188</v>
      </c>
      <c r="G280" t="n">
        <v>8355</v>
      </c>
      <c r="H280" t="n">
        <v>8759</v>
      </c>
      <c r="I280" t="n">
        <v>51067</v>
      </c>
      <c r="J280" t="n">
        <v>351347</v>
      </c>
      <c r="K280" t="n">
        <v>38377</v>
      </c>
      <c r="L280" t="n">
        <v>56368</v>
      </c>
      <c r="M280" t="n">
        <v>25793</v>
      </c>
      <c r="N280" t="n">
        <v>9788</v>
      </c>
      <c r="O280" t="n">
        <v>91140</v>
      </c>
      <c r="P280" t="n">
        <v>40661</v>
      </c>
      <c r="Q280" t="n">
        <v>7076</v>
      </c>
    </row>
    <row r="281">
      <c r="A281" s="134" t="n">
        <v>42095</v>
      </c>
      <c r="B281" t="n">
        <v>313571</v>
      </c>
      <c r="C281" t="n">
        <v>443095</v>
      </c>
      <c r="D281" t="n">
        <v>26690</v>
      </c>
      <c r="E281" t="n">
        <v>21444</v>
      </c>
      <c r="F281" t="n">
        <v>57092</v>
      </c>
      <c r="G281" t="n">
        <v>8382</v>
      </c>
      <c r="H281" t="n">
        <v>8882</v>
      </c>
      <c r="I281" t="n">
        <v>51739</v>
      </c>
      <c r="J281" t="n">
        <v>351403</v>
      </c>
      <c r="K281" t="n">
        <v>37832</v>
      </c>
      <c r="L281" t="n">
        <v>56245</v>
      </c>
      <c r="M281" t="n">
        <v>25393</v>
      </c>
      <c r="N281" t="n">
        <v>9725</v>
      </c>
      <c r="O281" t="n">
        <v>91692</v>
      </c>
      <c r="P281" t="n">
        <v>40897</v>
      </c>
      <c r="Q281" t="n">
        <v>7082</v>
      </c>
    </row>
    <row r="282">
      <c r="A282" s="134" t="n">
        <v>42125</v>
      </c>
      <c r="B282" t="n">
        <v>314947</v>
      </c>
      <c r="C282" t="n">
        <v>446529</v>
      </c>
      <c r="D282" t="n">
        <v>26826</v>
      </c>
      <c r="E282" t="n">
        <v>21626</v>
      </c>
      <c r="F282" t="n">
        <v>57163</v>
      </c>
      <c r="G282" t="n">
        <v>8443</v>
      </c>
      <c r="H282" t="n">
        <v>9066</v>
      </c>
      <c r="I282" t="n">
        <v>51811</v>
      </c>
      <c r="J282" t="n">
        <v>354216</v>
      </c>
      <c r="K282" t="n">
        <v>39269</v>
      </c>
      <c r="L282" t="n">
        <v>56778</v>
      </c>
      <c r="M282" t="n">
        <v>25348</v>
      </c>
      <c r="N282" t="n">
        <v>9997</v>
      </c>
      <c r="O282" t="n">
        <v>92313</v>
      </c>
      <c r="P282" t="n">
        <v>40766</v>
      </c>
      <c r="Q282" t="n">
        <v>7123</v>
      </c>
    </row>
    <row r="283">
      <c r="A283" s="134" t="n">
        <v>42156</v>
      </c>
      <c r="B283" t="n">
        <v>315051</v>
      </c>
      <c r="C283" t="n">
        <v>447343</v>
      </c>
      <c r="D283" t="n">
        <v>26570</v>
      </c>
      <c r="E283" t="n">
        <v>21391</v>
      </c>
      <c r="F283" t="n">
        <v>57419</v>
      </c>
      <c r="G283" t="n">
        <v>8537</v>
      </c>
      <c r="H283" t="n">
        <v>8903</v>
      </c>
      <c r="I283" t="n">
        <v>51879</v>
      </c>
      <c r="J283" t="n">
        <v>354938</v>
      </c>
      <c r="K283" t="n">
        <v>39887</v>
      </c>
      <c r="L283" t="n">
        <v>56644</v>
      </c>
      <c r="M283" t="n">
        <v>25534</v>
      </c>
      <c r="N283" t="n">
        <v>10040</v>
      </c>
      <c r="O283" t="n">
        <v>92405</v>
      </c>
      <c r="P283" t="n">
        <v>41040</v>
      </c>
      <c r="Q283" t="n">
        <v>7094</v>
      </c>
    </row>
    <row r="284">
      <c r="A284" s="134" t="n">
        <v>42186</v>
      </c>
      <c r="B284" t="n">
        <v>317562</v>
      </c>
      <c r="C284" t="n">
        <v>450350</v>
      </c>
      <c r="D284" t="n">
        <v>27326</v>
      </c>
      <c r="E284" t="n">
        <v>21548</v>
      </c>
      <c r="F284" t="n">
        <v>57573</v>
      </c>
      <c r="G284" t="n">
        <v>8371</v>
      </c>
      <c r="H284" t="n">
        <v>9064</v>
      </c>
      <c r="I284" t="n">
        <v>52157</v>
      </c>
      <c r="J284" t="n">
        <v>357855</v>
      </c>
      <c r="K284" t="n">
        <v>40293</v>
      </c>
      <c r="L284" t="n">
        <v>56924</v>
      </c>
      <c r="M284" t="n">
        <v>25783</v>
      </c>
      <c r="N284" t="n">
        <v>10059</v>
      </c>
      <c r="O284" t="n">
        <v>92495</v>
      </c>
      <c r="P284" t="n">
        <v>41617</v>
      </c>
      <c r="Q284" t="n">
        <v>7140</v>
      </c>
    </row>
    <row r="285">
      <c r="A285" s="134" t="n">
        <v>42217</v>
      </c>
      <c r="B285" t="n">
        <v>318091</v>
      </c>
      <c r="C285" t="n">
        <v>450521</v>
      </c>
      <c r="D285" t="n">
        <v>27385</v>
      </c>
      <c r="E285" t="n">
        <v>21587</v>
      </c>
      <c r="F285" t="n">
        <v>57593</v>
      </c>
      <c r="G285" t="n">
        <v>8356</v>
      </c>
      <c r="H285" t="n">
        <v>9086</v>
      </c>
      <c r="I285" t="n">
        <v>52416</v>
      </c>
      <c r="J285" t="n">
        <v>357320</v>
      </c>
      <c r="K285" t="n">
        <v>39229</v>
      </c>
      <c r="L285" t="n">
        <v>56743</v>
      </c>
      <c r="M285" t="n">
        <v>25955</v>
      </c>
      <c r="N285" t="n">
        <v>10158</v>
      </c>
      <c r="O285" t="n">
        <v>93201</v>
      </c>
      <c r="P285" t="n">
        <v>41642</v>
      </c>
      <c r="Q285" t="n">
        <v>7170</v>
      </c>
    </row>
    <row r="286">
      <c r="A286" s="134" t="n">
        <v>42248</v>
      </c>
      <c r="B286" t="n">
        <v>318082</v>
      </c>
      <c r="C286" t="n">
        <v>448635</v>
      </c>
      <c r="D286" t="n">
        <v>27138</v>
      </c>
      <c r="E286" t="n">
        <v>21446</v>
      </c>
      <c r="F286" t="n">
        <v>57407</v>
      </c>
      <c r="G286" t="n">
        <v>8387</v>
      </c>
      <c r="H286" t="n">
        <v>9045</v>
      </c>
      <c r="I286" t="n">
        <v>52387</v>
      </c>
      <c r="J286" t="n">
        <v>355035</v>
      </c>
      <c r="K286" t="n">
        <v>36953</v>
      </c>
      <c r="L286" t="n">
        <v>57113</v>
      </c>
      <c r="M286" t="n">
        <v>26194</v>
      </c>
      <c r="N286" t="n">
        <v>9714</v>
      </c>
      <c r="O286" t="n">
        <v>93600</v>
      </c>
      <c r="P286" t="n">
        <v>42054</v>
      </c>
      <c r="Q286" t="n">
        <v>7197</v>
      </c>
    </row>
    <row r="287">
      <c r="A287" s="134" t="n">
        <v>42278</v>
      </c>
      <c r="B287" t="n">
        <v>317805</v>
      </c>
      <c r="C287" t="n">
        <v>447262</v>
      </c>
      <c r="D287" t="n">
        <v>27331</v>
      </c>
      <c r="E287" t="n">
        <v>21239</v>
      </c>
      <c r="F287" t="n">
        <v>57134</v>
      </c>
      <c r="G287" t="n">
        <v>8293</v>
      </c>
      <c r="H287" t="n">
        <v>9162</v>
      </c>
      <c r="I287" t="n">
        <v>52759</v>
      </c>
      <c r="J287" t="n">
        <v>354371</v>
      </c>
      <c r="K287" t="n">
        <v>36566</v>
      </c>
      <c r="L287" t="n">
        <v>56750</v>
      </c>
      <c r="M287" t="n">
        <v>26043</v>
      </c>
      <c r="N287" t="n">
        <v>9726</v>
      </c>
      <c r="O287" t="n">
        <v>92891</v>
      </c>
      <c r="P287" t="n">
        <v>42262</v>
      </c>
      <c r="Q287" t="n">
        <v>7106</v>
      </c>
    </row>
    <row r="288">
      <c r="A288" s="134" t="n">
        <v>42309</v>
      </c>
      <c r="B288" t="n">
        <v>319063</v>
      </c>
      <c r="C288" t="n">
        <v>449121</v>
      </c>
      <c r="D288" t="n">
        <v>27638</v>
      </c>
      <c r="E288" t="n">
        <v>21348</v>
      </c>
      <c r="F288" t="n">
        <v>57540</v>
      </c>
      <c r="G288" t="n">
        <v>8134</v>
      </c>
      <c r="H288" t="n">
        <v>9152</v>
      </c>
      <c r="I288" t="n">
        <v>52881</v>
      </c>
      <c r="J288" t="n">
        <v>355197</v>
      </c>
      <c r="K288" t="n">
        <v>36134</v>
      </c>
      <c r="L288" t="n">
        <v>56938</v>
      </c>
      <c r="M288" t="n">
        <v>26210</v>
      </c>
      <c r="N288" t="n">
        <v>9863</v>
      </c>
      <c r="O288" t="n">
        <v>93924</v>
      </c>
      <c r="P288" t="n">
        <v>42146</v>
      </c>
      <c r="Q288" t="n">
        <v>7213</v>
      </c>
    </row>
    <row r="289">
      <c r="A289" s="134" t="n">
        <v>42339</v>
      </c>
      <c r="B289" t="n">
        <v>321344</v>
      </c>
      <c r="C289" t="n">
        <v>450792</v>
      </c>
      <c r="D289" t="n">
        <v>28165</v>
      </c>
      <c r="E289" t="n">
        <v>21506</v>
      </c>
      <c r="F289" t="n">
        <v>57365</v>
      </c>
      <c r="G289" t="n">
        <v>8142</v>
      </c>
      <c r="H289" t="n">
        <v>9361</v>
      </c>
      <c r="I289" t="n">
        <v>53740</v>
      </c>
      <c r="J289" t="n">
        <v>357320</v>
      </c>
      <c r="K289" t="n">
        <v>35976</v>
      </c>
      <c r="L289" t="n">
        <v>57161</v>
      </c>
      <c r="M289" t="n">
        <v>26433</v>
      </c>
      <c r="N289" t="n">
        <v>9763</v>
      </c>
      <c r="O289" t="n">
        <v>93472</v>
      </c>
      <c r="P289" t="n">
        <v>42355</v>
      </c>
      <c r="Q289" t="n">
        <v>7353</v>
      </c>
    </row>
    <row r="290">
      <c r="A290" s="134" t="n">
        <v>42370</v>
      </c>
      <c r="B290" t="n">
        <v>320203</v>
      </c>
      <c r="C290" t="n">
        <v>447794</v>
      </c>
      <c r="D290" t="n">
        <v>28215</v>
      </c>
      <c r="E290" t="n">
        <v>21289</v>
      </c>
      <c r="F290" t="n">
        <v>57620</v>
      </c>
      <c r="G290" t="n">
        <v>7967</v>
      </c>
      <c r="H290" t="n">
        <v>9239</v>
      </c>
      <c r="I290" t="n">
        <v>53045</v>
      </c>
      <c r="J290" t="n">
        <v>354701</v>
      </c>
      <c r="K290" t="n">
        <v>34498</v>
      </c>
      <c r="L290" t="n">
        <v>56318</v>
      </c>
      <c r="M290" t="n">
        <v>26247</v>
      </c>
      <c r="N290" t="n">
        <v>9786</v>
      </c>
      <c r="O290" t="n">
        <v>93093</v>
      </c>
      <c r="P290" t="n">
        <v>43174</v>
      </c>
      <c r="Q290" t="n">
        <v>7303</v>
      </c>
    </row>
    <row r="291">
      <c r="A291" s="134" t="n">
        <v>42401</v>
      </c>
      <c r="B291" t="n">
        <v>323905</v>
      </c>
      <c r="C291" t="n">
        <v>452342</v>
      </c>
      <c r="D291" t="n">
        <v>28260</v>
      </c>
      <c r="E291" t="n">
        <v>21962</v>
      </c>
      <c r="F291" t="n">
        <v>57684</v>
      </c>
      <c r="G291" t="n">
        <v>8059</v>
      </c>
      <c r="H291" t="n">
        <v>9277</v>
      </c>
      <c r="I291" t="n">
        <v>54237</v>
      </c>
      <c r="J291" t="n">
        <v>356770</v>
      </c>
      <c r="K291" t="n">
        <v>32865</v>
      </c>
      <c r="L291" t="n">
        <v>57185</v>
      </c>
      <c r="M291" t="n">
        <v>26787</v>
      </c>
      <c r="N291" t="n">
        <v>9770</v>
      </c>
      <c r="O291" t="n">
        <v>95572</v>
      </c>
      <c r="P291" t="n">
        <v>43388</v>
      </c>
      <c r="Q291" t="n">
        <v>7296</v>
      </c>
    </row>
    <row r="292">
      <c r="A292" s="134" t="n">
        <v>42430</v>
      </c>
      <c r="B292" t="n">
        <v>323071</v>
      </c>
      <c r="C292" t="n">
        <v>450830</v>
      </c>
      <c r="D292" t="n">
        <v>28956</v>
      </c>
      <c r="E292" t="n">
        <v>21491</v>
      </c>
      <c r="F292" t="n">
        <v>57195</v>
      </c>
      <c r="G292" t="n">
        <v>7938</v>
      </c>
      <c r="H292" t="n">
        <v>9236</v>
      </c>
      <c r="I292" t="n">
        <v>53919</v>
      </c>
      <c r="J292" t="n">
        <v>357273</v>
      </c>
      <c r="K292" t="n">
        <v>34202</v>
      </c>
      <c r="L292" t="n">
        <v>56993</v>
      </c>
      <c r="M292" t="n">
        <v>26617</v>
      </c>
      <c r="N292" t="n">
        <v>10009</v>
      </c>
      <c r="O292" t="n">
        <v>93557</v>
      </c>
      <c r="P292" t="n">
        <v>43437</v>
      </c>
      <c r="Q292" t="n">
        <v>7280</v>
      </c>
    </row>
    <row r="293">
      <c r="A293" s="134" t="n">
        <v>42461</v>
      </c>
      <c r="B293" t="n">
        <v>323590</v>
      </c>
      <c r="C293" t="n">
        <v>452430</v>
      </c>
      <c r="D293" t="n">
        <v>27956</v>
      </c>
      <c r="E293" t="n">
        <v>21407</v>
      </c>
      <c r="F293" t="n">
        <v>57861</v>
      </c>
      <c r="G293" t="n">
        <v>7881</v>
      </c>
      <c r="H293" t="n">
        <v>9203</v>
      </c>
      <c r="I293" t="n">
        <v>54240</v>
      </c>
      <c r="J293" t="n">
        <v>358691</v>
      </c>
      <c r="K293" t="n">
        <v>35101</v>
      </c>
      <c r="L293" t="n">
        <v>56917</v>
      </c>
      <c r="M293" t="n">
        <v>26811</v>
      </c>
      <c r="N293" t="n">
        <v>10126</v>
      </c>
      <c r="O293" t="n">
        <v>93739</v>
      </c>
      <c r="P293" t="n">
        <v>43975</v>
      </c>
      <c r="Q293" t="n">
        <v>7213</v>
      </c>
    </row>
    <row r="294">
      <c r="A294" s="134" t="n">
        <v>42491</v>
      </c>
      <c r="B294" t="n">
        <v>324289</v>
      </c>
      <c r="C294" t="n">
        <v>454443</v>
      </c>
      <c r="D294" t="n">
        <v>27608</v>
      </c>
      <c r="E294" t="n">
        <v>21579</v>
      </c>
      <c r="F294" t="n">
        <v>58126</v>
      </c>
      <c r="G294" t="n">
        <v>7924</v>
      </c>
      <c r="H294" t="n">
        <v>9278</v>
      </c>
      <c r="I294" t="n">
        <v>54300</v>
      </c>
      <c r="J294" t="n">
        <v>360322</v>
      </c>
      <c r="K294" t="n">
        <v>36033</v>
      </c>
      <c r="L294" t="n">
        <v>56668</v>
      </c>
      <c r="M294" t="n">
        <v>26722</v>
      </c>
      <c r="N294" t="n">
        <v>9996</v>
      </c>
      <c r="O294" t="n">
        <v>94121</v>
      </c>
      <c r="P294" t="n">
        <v>44827</v>
      </c>
      <c r="Q294" t="n">
        <v>7261</v>
      </c>
    </row>
    <row r="295">
      <c r="A295" s="134" t="n">
        <v>42522</v>
      </c>
      <c r="B295" t="n">
        <v>327033</v>
      </c>
      <c r="C295" t="n">
        <v>459052</v>
      </c>
      <c r="D295" t="n">
        <v>28271</v>
      </c>
      <c r="E295" t="n">
        <v>21673</v>
      </c>
      <c r="F295" t="n">
        <v>58527</v>
      </c>
      <c r="G295" t="n">
        <v>7878</v>
      </c>
      <c r="H295" t="n">
        <v>9422</v>
      </c>
      <c r="I295" t="n">
        <v>54296</v>
      </c>
      <c r="J295" t="n">
        <v>364300</v>
      </c>
      <c r="K295" t="n">
        <v>37267</v>
      </c>
      <c r="L295" t="n">
        <v>57085</v>
      </c>
      <c r="M295" t="n">
        <v>26892</v>
      </c>
      <c r="N295" t="n">
        <v>10063</v>
      </c>
      <c r="O295" t="n">
        <v>94752</v>
      </c>
      <c r="P295" t="n">
        <v>45364</v>
      </c>
      <c r="Q295" t="n">
        <v>7562</v>
      </c>
    </row>
    <row r="296">
      <c r="A296" s="134" t="n">
        <v>42552</v>
      </c>
      <c r="B296" t="n">
        <v>325311</v>
      </c>
      <c r="C296" t="n">
        <v>458060</v>
      </c>
      <c r="D296" t="n">
        <v>27969</v>
      </c>
      <c r="E296" t="n">
        <v>21431</v>
      </c>
      <c r="F296" t="n">
        <v>58172</v>
      </c>
      <c r="G296" t="n">
        <v>7945</v>
      </c>
      <c r="H296" t="n">
        <v>9350</v>
      </c>
      <c r="I296" t="n">
        <v>54330</v>
      </c>
      <c r="J296" t="n">
        <v>362118</v>
      </c>
      <c r="K296" t="n">
        <v>36807</v>
      </c>
      <c r="L296" t="n">
        <v>56755</v>
      </c>
      <c r="M296" t="n">
        <v>26822</v>
      </c>
      <c r="N296" t="n">
        <v>9997</v>
      </c>
      <c r="O296" t="n">
        <v>95942</v>
      </c>
      <c r="P296" t="n">
        <v>45324</v>
      </c>
      <c r="Q296" t="n">
        <v>7216</v>
      </c>
    </row>
    <row r="297">
      <c r="A297" s="134" t="n">
        <v>42583</v>
      </c>
      <c r="B297" t="n">
        <v>326417</v>
      </c>
      <c r="C297" t="n">
        <v>458771</v>
      </c>
      <c r="D297" t="n">
        <v>27846</v>
      </c>
      <c r="E297" t="n">
        <v>21787</v>
      </c>
      <c r="F297" t="n">
        <v>58446</v>
      </c>
      <c r="G297" t="n">
        <v>8039</v>
      </c>
      <c r="H297" t="n">
        <v>9333</v>
      </c>
      <c r="I297" t="n">
        <v>54803</v>
      </c>
      <c r="J297" t="n">
        <v>362435</v>
      </c>
      <c r="K297" t="n">
        <v>36018</v>
      </c>
      <c r="L297" t="n">
        <v>56858</v>
      </c>
      <c r="M297" t="n">
        <v>26747</v>
      </c>
      <c r="N297" t="n">
        <v>9933</v>
      </c>
      <c r="O297" t="n">
        <v>96336</v>
      </c>
      <c r="P297" t="n">
        <v>45586</v>
      </c>
      <c r="Q297" t="n">
        <v>7039</v>
      </c>
    </row>
    <row r="298">
      <c r="A298" s="134" t="n">
        <v>42614</v>
      </c>
      <c r="B298" t="n">
        <v>327184</v>
      </c>
      <c r="C298" t="n">
        <v>461324</v>
      </c>
      <c r="D298" t="n">
        <v>27876</v>
      </c>
      <c r="E298" t="n">
        <v>21906</v>
      </c>
      <c r="F298" t="n">
        <v>58717</v>
      </c>
      <c r="G298" t="n">
        <v>7732</v>
      </c>
      <c r="H298" t="n">
        <v>9487</v>
      </c>
      <c r="I298" t="n">
        <v>55366</v>
      </c>
      <c r="J298" t="n">
        <v>364147</v>
      </c>
      <c r="K298" t="n">
        <v>36963</v>
      </c>
      <c r="L298" t="n">
        <v>56245</v>
      </c>
      <c r="M298" t="n">
        <v>26683</v>
      </c>
      <c r="N298" t="n">
        <v>10196</v>
      </c>
      <c r="O298" t="n">
        <v>97177</v>
      </c>
      <c r="P298" t="n">
        <v>45918</v>
      </c>
      <c r="Q298" t="n">
        <v>7058</v>
      </c>
    </row>
    <row r="299">
      <c r="A299" s="134" t="n">
        <v>42644</v>
      </c>
      <c r="B299" t="n">
        <v>327785</v>
      </c>
      <c r="C299" t="n">
        <v>462770</v>
      </c>
      <c r="D299" t="n">
        <v>28050</v>
      </c>
      <c r="E299" t="n">
        <v>21696</v>
      </c>
      <c r="F299" t="n">
        <v>59054</v>
      </c>
      <c r="G299" t="n">
        <v>7612</v>
      </c>
      <c r="H299" t="n">
        <v>9391</v>
      </c>
      <c r="I299" t="n">
        <v>55375</v>
      </c>
      <c r="J299" t="n">
        <v>365738</v>
      </c>
      <c r="K299" t="n">
        <v>37953</v>
      </c>
      <c r="L299" t="n">
        <v>56762</v>
      </c>
      <c r="M299" t="n">
        <v>25885</v>
      </c>
      <c r="N299" t="n">
        <v>10368</v>
      </c>
      <c r="O299" t="n">
        <v>97032</v>
      </c>
      <c r="P299" t="n">
        <v>46508</v>
      </c>
      <c r="Q299" t="n">
        <v>7084</v>
      </c>
    </row>
    <row r="300">
      <c r="A300" s="134" t="n">
        <v>42675</v>
      </c>
      <c r="B300" t="n">
        <v>328217</v>
      </c>
      <c r="C300" t="n">
        <v>462407</v>
      </c>
      <c r="D300" t="n">
        <v>28206</v>
      </c>
      <c r="E300" t="n">
        <v>21629</v>
      </c>
      <c r="F300" t="n">
        <v>59105</v>
      </c>
      <c r="G300" t="n">
        <v>7464</v>
      </c>
      <c r="H300" t="n">
        <v>9358</v>
      </c>
      <c r="I300" t="n">
        <v>56346</v>
      </c>
      <c r="J300" t="n">
        <v>365795</v>
      </c>
      <c r="K300" t="n">
        <v>37578</v>
      </c>
      <c r="L300" t="n">
        <v>56538</v>
      </c>
      <c r="M300" t="n">
        <v>26114</v>
      </c>
      <c r="N300" t="n">
        <v>9962</v>
      </c>
      <c r="O300" t="n">
        <v>96612</v>
      </c>
      <c r="P300" t="n">
        <v>46534</v>
      </c>
      <c r="Q300" t="n">
        <v>6961</v>
      </c>
    </row>
    <row r="301">
      <c r="A301" s="134" t="n">
        <v>42705</v>
      </c>
      <c r="B301" t="n">
        <v>329217</v>
      </c>
      <c r="C301" t="n">
        <v>468061</v>
      </c>
      <c r="D301" t="n">
        <v>28155</v>
      </c>
      <c r="E301" t="n">
        <v>21951</v>
      </c>
      <c r="F301" t="n">
        <v>59328</v>
      </c>
      <c r="G301" t="n">
        <v>7600</v>
      </c>
      <c r="H301" t="n">
        <v>9297</v>
      </c>
      <c r="I301" t="n">
        <v>55451</v>
      </c>
      <c r="J301" t="n">
        <v>368617</v>
      </c>
      <c r="K301" t="n">
        <v>39400</v>
      </c>
      <c r="L301" t="n">
        <v>56446</v>
      </c>
      <c r="M301" t="n">
        <v>26179</v>
      </c>
      <c r="N301" t="n">
        <v>10130</v>
      </c>
      <c r="O301" t="n">
        <v>99444</v>
      </c>
      <c r="P301" t="n">
        <v>47605</v>
      </c>
      <c r="Q301" t="n">
        <v>7075</v>
      </c>
    </row>
    <row r="302">
      <c r="A302" s="134" t="n">
        <v>42736</v>
      </c>
      <c r="B302" t="n">
        <v>334193</v>
      </c>
      <c r="C302" t="n">
        <v>473484</v>
      </c>
      <c r="D302" t="n">
        <v>28685</v>
      </c>
      <c r="E302" t="n">
        <v>22025</v>
      </c>
      <c r="F302" t="n">
        <v>59561</v>
      </c>
      <c r="G302" t="n">
        <v>7696</v>
      </c>
      <c r="H302" t="n">
        <v>9499</v>
      </c>
      <c r="I302" t="n">
        <v>57403</v>
      </c>
      <c r="J302" t="n">
        <v>374064</v>
      </c>
      <c r="K302" t="n">
        <v>39871</v>
      </c>
      <c r="L302" t="n">
        <v>57695</v>
      </c>
      <c r="M302" t="n">
        <v>26160</v>
      </c>
      <c r="N302" t="n">
        <v>10110</v>
      </c>
      <c r="O302" t="n">
        <v>99420</v>
      </c>
      <c r="P302" t="n">
        <v>48132</v>
      </c>
      <c r="Q302" t="n">
        <v>7227</v>
      </c>
    </row>
    <row r="303">
      <c r="A303" s="134" t="n">
        <v>42767</v>
      </c>
      <c r="B303" t="n">
        <v>334072</v>
      </c>
      <c r="C303" t="n">
        <v>472995</v>
      </c>
      <c r="D303" t="n">
        <v>28943</v>
      </c>
      <c r="E303" t="n">
        <v>21654</v>
      </c>
      <c r="F303" t="n">
        <v>59832</v>
      </c>
      <c r="G303" t="n">
        <v>7609</v>
      </c>
      <c r="H303" t="n">
        <v>9498</v>
      </c>
      <c r="I303" t="n">
        <v>57492</v>
      </c>
      <c r="J303" t="n">
        <v>374178</v>
      </c>
      <c r="K303" t="n">
        <v>40106</v>
      </c>
      <c r="L303" t="n">
        <v>56965</v>
      </c>
      <c r="M303" t="n">
        <v>26436</v>
      </c>
      <c r="N303" t="n">
        <v>10280</v>
      </c>
      <c r="O303" t="n">
        <v>98817</v>
      </c>
      <c r="P303" t="n">
        <v>48312</v>
      </c>
      <c r="Q303" t="n">
        <v>7051</v>
      </c>
    </row>
    <row r="304">
      <c r="A304" s="134" t="n">
        <v>42795</v>
      </c>
      <c r="B304" t="n">
        <v>335515</v>
      </c>
      <c r="C304" t="n">
        <v>471999</v>
      </c>
      <c r="D304" t="n">
        <v>28755</v>
      </c>
      <c r="E304" t="n">
        <v>21760</v>
      </c>
      <c r="F304" t="n">
        <v>60322</v>
      </c>
      <c r="G304" t="n">
        <v>7824</v>
      </c>
      <c r="H304" t="n">
        <v>9576</v>
      </c>
      <c r="I304" t="n">
        <v>57379</v>
      </c>
      <c r="J304" t="n">
        <v>375294</v>
      </c>
      <c r="K304" t="n">
        <v>39779</v>
      </c>
      <c r="L304" t="n">
        <v>57274</v>
      </c>
      <c r="M304" t="n">
        <v>26569</v>
      </c>
      <c r="N304" t="n">
        <v>10189</v>
      </c>
      <c r="O304" t="n">
        <v>96705</v>
      </c>
      <c r="P304" t="n">
        <v>48903</v>
      </c>
      <c r="Q304" t="n">
        <v>6964</v>
      </c>
    </row>
    <row r="305">
      <c r="A305" s="134" t="n">
        <v>42826</v>
      </c>
      <c r="B305" t="n">
        <v>337371</v>
      </c>
      <c r="C305" t="n">
        <v>474363</v>
      </c>
      <c r="D305" t="n">
        <v>29063</v>
      </c>
      <c r="E305" t="n">
        <v>21777</v>
      </c>
      <c r="F305" t="n">
        <v>60461</v>
      </c>
      <c r="G305" t="n">
        <v>7851</v>
      </c>
      <c r="H305" t="n">
        <v>9434</v>
      </c>
      <c r="I305" t="n">
        <v>57474</v>
      </c>
      <c r="J305" t="n">
        <v>376910</v>
      </c>
      <c r="K305" t="n">
        <v>39539</v>
      </c>
      <c r="L305" t="n">
        <v>57655</v>
      </c>
      <c r="M305" t="n">
        <v>26755</v>
      </c>
      <c r="N305" t="n">
        <v>10249</v>
      </c>
      <c r="O305" t="n">
        <v>97453</v>
      </c>
      <c r="P305" t="n">
        <v>49624</v>
      </c>
      <c r="Q305" t="n">
        <v>7028</v>
      </c>
    </row>
    <row r="306">
      <c r="A306" s="134" t="n">
        <v>42856</v>
      </c>
      <c r="B306" t="n">
        <v>336090</v>
      </c>
      <c r="C306" t="n">
        <v>472010</v>
      </c>
      <c r="D306" t="n">
        <v>28764</v>
      </c>
      <c r="E306" t="n">
        <v>21648</v>
      </c>
      <c r="F306" t="n">
        <v>60614</v>
      </c>
      <c r="G306" t="n">
        <v>7744</v>
      </c>
      <c r="H306" t="n">
        <v>9507</v>
      </c>
      <c r="I306" t="n">
        <v>57470</v>
      </c>
      <c r="J306" t="n">
        <v>374147</v>
      </c>
      <c r="K306" t="n">
        <v>38057</v>
      </c>
      <c r="L306" t="n">
        <v>56600</v>
      </c>
      <c r="M306" t="n">
        <v>26761</v>
      </c>
      <c r="N306" t="n">
        <v>10043</v>
      </c>
      <c r="O306" t="n">
        <v>97863</v>
      </c>
      <c r="P306" t="n">
        <v>49991</v>
      </c>
      <c r="Q306" t="n">
        <v>6948</v>
      </c>
    </row>
    <row r="307">
      <c r="A307" s="134" t="n">
        <v>42887</v>
      </c>
      <c r="B307" t="n">
        <v>337439</v>
      </c>
      <c r="C307" t="n">
        <v>473768</v>
      </c>
      <c r="D307" t="n">
        <v>28720</v>
      </c>
      <c r="E307" t="n">
        <v>21791</v>
      </c>
      <c r="F307" t="n">
        <v>60413</v>
      </c>
      <c r="G307" t="n">
        <v>7672</v>
      </c>
      <c r="H307" t="n">
        <v>9570</v>
      </c>
      <c r="I307" t="n">
        <v>57263</v>
      </c>
      <c r="J307" t="n">
        <v>375072</v>
      </c>
      <c r="K307" t="n">
        <v>37633</v>
      </c>
      <c r="L307" t="n">
        <v>57767</v>
      </c>
      <c r="M307" t="n">
        <v>26983</v>
      </c>
      <c r="N307" t="n">
        <v>10048</v>
      </c>
      <c r="O307" t="n">
        <v>98696</v>
      </c>
      <c r="P307" t="n">
        <v>50267</v>
      </c>
      <c r="Q307" t="n">
        <v>6945</v>
      </c>
    </row>
    <row r="308">
      <c r="A308" s="134" t="n">
        <v>42917</v>
      </c>
      <c r="B308" t="n">
        <v>337493</v>
      </c>
      <c r="C308" t="n">
        <v>473959</v>
      </c>
      <c r="D308" t="n">
        <v>28838</v>
      </c>
      <c r="E308" t="n">
        <v>21619</v>
      </c>
      <c r="F308" t="n">
        <v>60443</v>
      </c>
      <c r="G308" t="n">
        <v>7579</v>
      </c>
      <c r="H308" t="n">
        <v>9529</v>
      </c>
      <c r="I308" t="n">
        <v>57215</v>
      </c>
      <c r="J308" t="n">
        <v>375038</v>
      </c>
      <c r="K308" t="n">
        <v>37545</v>
      </c>
      <c r="L308" t="n">
        <v>57438</v>
      </c>
      <c r="M308" t="n">
        <v>27020</v>
      </c>
      <c r="N308" t="n">
        <v>10258</v>
      </c>
      <c r="O308" t="n">
        <v>98921</v>
      </c>
      <c r="P308" t="n">
        <v>50713</v>
      </c>
      <c r="Q308" t="n">
        <v>6841</v>
      </c>
    </row>
    <row r="309">
      <c r="A309" s="134" t="n">
        <v>42948</v>
      </c>
      <c r="B309" t="n">
        <v>339279</v>
      </c>
      <c r="C309" t="n">
        <v>474703</v>
      </c>
      <c r="D309" t="n">
        <v>28843</v>
      </c>
      <c r="E309" t="n">
        <v>21779</v>
      </c>
      <c r="F309" t="n">
        <v>60762</v>
      </c>
      <c r="G309" t="n">
        <v>7597</v>
      </c>
      <c r="H309" t="n">
        <v>9601</v>
      </c>
      <c r="I309" t="n">
        <v>57524</v>
      </c>
      <c r="J309" t="n">
        <v>378044</v>
      </c>
      <c r="K309" t="n">
        <v>38765</v>
      </c>
      <c r="L309" t="n">
        <v>57654</v>
      </c>
      <c r="M309" t="n">
        <v>27336</v>
      </c>
      <c r="N309" t="n">
        <v>10235</v>
      </c>
      <c r="O309" t="n">
        <v>96659</v>
      </c>
      <c r="P309" t="n">
        <v>51035</v>
      </c>
      <c r="Q309" t="n">
        <v>6913</v>
      </c>
    </row>
    <row r="310">
      <c r="A310" s="134" t="n">
        <v>42979</v>
      </c>
      <c r="B310" t="n">
        <v>342616</v>
      </c>
      <c r="C310" t="n">
        <v>484385</v>
      </c>
      <c r="D310" t="n">
        <v>29763</v>
      </c>
      <c r="E310" t="n">
        <v>21897</v>
      </c>
      <c r="F310" t="n">
        <v>61331</v>
      </c>
      <c r="G310" t="n">
        <v>7662</v>
      </c>
      <c r="H310" t="n">
        <v>9496</v>
      </c>
      <c r="I310" t="n">
        <v>57884</v>
      </c>
      <c r="J310" t="n">
        <v>383436</v>
      </c>
      <c r="K310" t="n">
        <v>40820</v>
      </c>
      <c r="L310" t="n">
        <v>58294</v>
      </c>
      <c r="M310" t="n">
        <v>27372</v>
      </c>
      <c r="N310" t="n">
        <v>10354</v>
      </c>
      <c r="O310" t="n">
        <v>100949</v>
      </c>
      <c r="P310" t="n">
        <v>51561</v>
      </c>
      <c r="Q310" t="n">
        <v>7002</v>
      </c>
    </row>
    <row r="311">
      <c r="A311" s="134" t="n">
        <v>43009</v>
      </c>
      <c r="B311" t="n">
        <v>342619</v>
      </c>
      <c r="C311" t="n">
        <v>485059</v>
      </c>
      <c r="D311" t="n">
        <v>29561</v>
      </c>
      <c r="E311" t="n">
        <v>21796</v>
      </c>
      <c r="F311" t="n">
        <v>61563</v>
      </c>
      <c r="G311" t="n">
        <v>7708</v>
      </c>
      <c r="H311" t="n">
        <v>9804</v>
      </c>
      <c r="I311" t="n">
        <v>58126</v>
      </c>
      <c r="J311" t="n">
        <v>383559</v>
      </c>
      <c r="K311" t="n">
        <v>40940</v>
      </c>
      <c r="L311" t="n">
        <v>57996</v>
      </c>
      <c r="M311" t="n">
        <v>27568</v>
      </c>
      <c r="N311" t="n">
        <v>10392</v>
      </c>
      <c r="O311" t="n">
        <v>101500</v>
      </c>
      <c r="P311" t="n">
        <v>51074</v>
      </c>
      <c r="Q311" t="n">
        <v>7031</v>
      </c>
    </row>
    <row r="312">
      <c r="A312" s="134" t="n">
        <v>43040</v>
      </c>
      <c r="B312" t="n">
        <v>347389</v>
      </c>
      <c r="C312" t="n">
        <v>490007</v>
      </c>
      <c r="D312" t="n">
        <v>29948</v>
      </c>
      <c r="E312" t="n">
        <v>22068</v>
      </c>
      <c r="F312" t="n">
        <v>61766</v>
      </c>
      <c r="G312" t="n">
        <v>7838</v>
      </c>
      <c r="H312" t="n">
        <v>9937</v>
      </c>
      <c r="I312" t="n">
        <v>58849</v>
      </c>
      <c r="J312" t="n">
        <v>389394</v>
      </c>
      <c r="K312" t="n">
        <v>42005</v>
      </c>
      <c r="L312" t="n">
        <v>58065</v>
      </c>
      <c r="M312" t="n">
        <v>27763</v>
      </c>
      <c r="N312" t="n">
        <v>10590</v>
      </c>
      <c r="O312" t="n">
        <v>100613</v>
      </c>
      <c r="P312" t="n">
        <v>53421</v>
      </c>
      <c r="Q312" t="n">
        <v>7144</v>
      </c>
    </row>
    <row r="313">
      <c r="A313" s="134" t="n">
        <v>43070</v>
      </c>
      <c r="B313" t="n">
        <v>349301</v>
      </c>
      <c r="C313" t="n">
        <v>492401</v>
      </c>
      <c r="D313" t="n">
        <v>30044</v>
      </c>
      <c r="E313" t="n">
        <v>21760</v>
      </c>
      <c r="F313" t="n">
        <v>62282</v>
      </c>
      <c r="G313" t="n">
        <v>7798</v>
      </c>
      <c r="H313" t="n">
        <v>9960</v>
      </c>
      <c r="I313" t="n">
        <v>59119</v>
      </c>
      <c r="J313" t="n">
        <v>392021</v>
      </c>
      <c r="K313" t="n">
        <v>42720</v>
      </c>
      <c r="L313" t="n">
        <v>58591</v>
      </c>
      <c r="M313" t="n">
        <v>27669</v>
      </c>
      <c r="N313" t="n">
        <v>10656</v>
      </c>
      <c r="O313" t="n">
        <v>100380</v>
      </c>
      <c r="P313" t="n">
        <v>54363</v>
      </c>
      <c r="Q313" t="n">
        <v>7059</v>
      </c>
    </row>
    <row r="314">
      <c r="A314" s="134" t="n">
        <v>43101</v>
      </c>
      <c r="B314" t="n">
        <v>348453</v>
      </c>
      <c r="C314" t="n">
        <v>491492</v>
      </c>
      <c r="D314" t="n">
        <v>29261</v>
      </c>
      <c r="E314" t="n">
        <v>21848</v>
      </c>
      <c r="F314" t="n">
        <v>61935</v>
      </c>
      <c r="G314" t="n">
        <v>7847</v>
      </c>
      <c r="H314" t="n">
        <v>9875</v>
      </c>
      <c r="I314" t="n">
        <v>59344</v>
      </c>
      <c r="J314" t="n">
        <v>391213</v>
      </c>
      <c r="K314" t="n">
        <v>42760</v>
      </c>
      <c r="L314" t="n">
        <v>58607</v>
      </c>
      <c r="M314" t="n">
        <v>27671</v>
      </c>
      <c r="N314" t="n">
        <v>10855</v>
      </c>
      <c r="O314" t="n">
        <v>100279</v>
      </c>
      <c r="P314" t="n">
        <v>54331</v>
      </c>
      <c r="Q314" t="n">
        <v>6879</v>
      </c>
    </row>
    <row r="315">
      <c r="A315" s="134" t="n">
        <v>43132</v>
      </c>
      <c r="B315" t="n">
        <v>350758</v>
      </c>
      <c r="C315" t="n">
        <v>493759</v>
      </c>
      <c r="D315" t="n">
        <v>30076</v>
      </c>
      <c r="E315" t="n">
        <v>22365</v>
      </c>
      <c r="F315" t="n">
        <v>62026</v>
      </c>
      <c r="G315" t="n">
        <v>7941</v>
      </c>
      <c r="H315" t="n">
        <v>9910</v>
      </c>
      <c r="I315" t="n">
        <v>59653</v>
      </c>
      <c r="J315" t="n">
        <v>393942</v>
      </c>
      <c r="K315" t="n">
        <v>43184</v>
      </c>
      <c r="L315" t="n">
        <v>58670</v>
      </c>
      <c r="M315" t="n">
        <v>27510</v>
      </c>
      <c r="N315" t="n">
        <v>10807</v>
      </c>
      <c r="O315" t="n">
        <v>99817</v>
      </c>
      <c r="P315" t="n">
        <v>54637</v>
      </c>
      <c r="Q315" t="n">
        <v>7163</v>
      </c>
    </row>
    <row r="316">
      <c r="A316" s="134" t="n">
        <v>43160</v>
      </c>
      <c r="B316" t="n">
        <v>350632</v>
      </c>
      <c r="C316" t="n">
        <v>493373</v>
      </c>
      <c r="D316" t="n">
        <v>29792</v>
      </c>
      <c r="E316" t="n">
        <v>21697</v>
      </c>
      <c r="F316" t="n">
        <v>62166</v>
      </c>
      <c r="G316" t="n">
        <v>7880</v>
      </c>
      <c r="H316" t="n">
        <v>9937</v>
      </c>
      <c r="I316" t="n">
        <v>60141</v>
      </c>
      <c r="J316" t="n">
        <v>393244</v>
      </c>
      <c r="K316" t="n">
        <v>42612</v>
      </c>
      <c r="L316" t="n">
        <v>58081</v>
      </c>
      <c r="M316" t="n">
        <v>27674</v>
      </c>
      <c r="N316" t="n">
        <v>10711</v>
      </c>
      <c r="O316" t="n">
        <v>100129</v>
      </c>
      <c r="P316" t="n">
        <v>55316</v>
      </c>
      <c r="Q316" t="n">
        <v>7237</v>
      </c>
    </row>
    <row r="317">
      <c r="A317" s="134" t="n">
        <v>43191</v>
      </c>
      <c r="B317" t="n">
        <v>352159</v>
      </c>
      <c r="C317" t="n">
        <v>495025</v>
      </c>
      <c r="D317" t="n">
        <v>29807</v>
      </c>
      <c r="E317" t="n">
        <v>22045</v>
      </c>
      <c r="F317" t="n">
        <v>62516</v>
      </c>
      <c r="G317" t="n">
        <v>7994</v>
      </c>
      <c r="H317" t="n">
        <v>10113</v>
      </c>
      <c r="I317" t="n">
        <v>59415</v>
      </c>
      <c r="J317" t="n">
        <v>394562</v>
      </c>
      <c r="K317" t="n">
        <v>42403</v>
      </c>
      <c r="L317" t="n">
        <v>58423</v>
      </c>
      <c r="M317" t="n">
        <v>27937</v>
      </c>
      <c r="N317" t="n">
        <v>10651</v>
      </c>
      <c r="O317" t="n">
        <v>100463</v>
      </c>
      <c r="P317" t="n">
        <v>56131</v>
      </c>
      <c r="Q317" t="n">
        <v>7127</v>
      </c>
    </row>
    <row r="318">
      <c r="A318" s="134" t="n">
        <v>43221</v>
      </c>
      <c r="B318" t="n">
        <v>356316</v>
      </c>
      <c r="C318" t="n">
        <v>500719</v>
      </c>
      <c r="D318" t="n">
        <v>30546</v>
      </c>
      <c r="E318" t="n">
        <v>22855</v>
      </c>
      <c r="F318" t="n">
        <v>62516</v>
      </c>
      <c r="G318" t="n">
        <v>7945</v>
      </c>
      <c r="H318" t="n">
        <v>9974</v>
      </c>
      <c r="I318" t="n">
        <v>60723</v>
      </c>
      <c r="J318" t="n">
        <v>399841</v>
      </c>
      <c r="K318" t="n">
        <v>43525</v>
      </c>
      <c r="L318" t="n">
        <v>59682</v>
      </c>
      <c r="M318" t="n">
        <v>28309</v>
      </c>
      <c r="N318" t="n">
        <v>10810</v>
      </c>
      <c r="O318" t="n">
        <v>100878</v>
      </c>
      <c r="P318" t="n">
        <v>55818</v>
      </c>
      <c r="Q318" t="n">
        <v>7138</v>
      </c>
    </row>
    <row r="319">
      <c r="A319" s="134" t="n">
        <v>43252</v>
      </c>
      <c r="B319" t="n">
        <v>355265</v>
      </c>
      <c r="C319" t="n">
        <v>499631</v>
      </c>
      <c r="D319" t="n">
        <v>30974</v>
      </c>
      <c r="E319" t="n">
        <v>22343</v>
      </c>
      <c r="F319" t="n">
        <v>62350</v>
      </c>
      <c r="G319" t="n">
        <v>7991</v>
      </c>
      <c r="H319" t="n">
        <v>9971</v>
      </c>
      <c r="I319" t="n">
        <v>61440</v>
      </c>
      <c r="J319" t="n">
        <v>399038</v>
      </c>
      <c r="K319" t="n">
        <v>43773</v>
      </c>
      <c r="L319" t="n">
        <v>58687</v>
      </c>
      <c r="M319" t="n">
        <v>28076</v>
      </c>
      <c r="N319" t="n">
        <v>10763</v>
      </c>
      <c r="O319" t="n">
        <v>100593</v>
      </c>
      <c r="P319" t="n">
        <v>55751</v>
      </c>
      <c r="Q319" t="n">
        <v>6919</v>
      </c>
    </row>
    <row r="320">
      <c r="A320" s="134" t="n">
        <v>43282</v>
      </c>
      <c r="B320" t="n">
        <v>357605</v>
      </c>
      <c r="C320" t="n">
        <v>502962</v>
      </c>
      <c r="D320" t="n">
        <v>30991</v>
      </c>
      <c r="E320" t="n">
        <v>22698</v>
      </c>
      <c r="F320" t="n">
        <v>62713</v>
      </c>
      <c r="G320" t="n">
        <v>7916</v>
      </c>
      <c r="H320" t="n">
        <v>10006</v>
      </c>
      <c r="I320" t="n">
        <v>62259</v>
      </c>
      <c r="J320" t="n">
        <v>401779</v>
      </c>
      <c r="K320" t="n">
        <v>44174</v>
      </c>
      <c r="L320" t="n">
        <v>58966</v>
      </c>
      <c r="M320" t="n">
        <v>28258</v>
      </c>
      <c r="N320" t="n">
        <v>10411</v>
      </c>
      <c r="O320" t="n">
        <v>101183</v>
      </c>
      <c r="P320" t="n">
        <v>56714</v>
      </c>
      <c r="Q320" t="n">
        <v>6673</v>
      </c>
    </row>
    <row r="321">
      <c r="A321" s="134" t="n">
        <v>43313</v>
      </c>
      <c r="B321" t="n">
        <v>357588</v>
      </c>
      <c r="C321" t="n">
        <v>501913</v>
      </c>
      <c r="D321" t="n">
        <v>30601</v>
      </c>
      <c r="E321" t="n">
        <v>22101</v>
      </c>
      <c r="F321" t="n">
        <v>62510</v>
      </c>
      <c r="G321" t="n">
        <v>7940</v>
      </c>
      <c r="H321" t="n">
        <v>9885</v>
      </c>
      <c r="I321" t="n">
        <v>62635</v>
      </c>
      <c r="J321" t="n">
        <v>402204</v>
      </c>
      <c r="K321" t="n">
        <v>44616</v>
      </c>
      <c r="L321" t="n">
        <v>59202</v>
      </c>
      <c r="M321" t="n">
        <v>28533</v>
      </c>
      <c r="N321" t="n">
        <v>10625</v>
      </c>
      <c r="O321" t="n">
        <v>99709</v>
      </c>
      <c r="P321" t="n">
        <v>56948</v>
      </c>
      <c r="Q321" t="n">
        <v>6608</v>
      </c>
    </row>
    <row r="322">
      <c r="A322" s="134" t="n">
        <v>43344</v>
      </c>
      <c r="B322" t="n">
        <v>356859</v>
      </c>
      <c r="C322" t="n">
        <v>500362</v>
      </c>
      <c r="D322" t="n">
        <v>30735</v>
      </c>
      <c r="E322" t="n">
        <v>22112</v>
      </c>
      <c r="F322" t="n">
        <v>62813</v>
      </c>
      <c r="G322" t="n">
        <v>7778</v>
      </c>
      <c r="H322" t="n">
        <v>9818</v>
      </c>
      <c r="I322" t="n">
        <v>61377</v>
      </c>
      <c r="J322" t="n">
        <v>400948</v>
      </c>
      <c r="K322" t="n">
        <v>44089</v>
      </c>
      <c r="L322" t="n">
        <v>58992</v>
      </c>
      <c r="M322" t="n">
        <v>28319</v>
      </c>
      <c r="N322" t="n">
        <v>10659</v>
      </c>
      <c r="O322" t="n">
        <v>99414</v>
      </c>
      <c r="P322" t="n">
        <v>57753</v>
      </c>
      <c r="Q322" t="n">
        <v>6503</v>
      </c>
    </row>
    <row r="323">
      <c r="A323" s="134" t="n">
        <v>43374</v>
      </c>
      <c r="B323" t="n">
        <v>360253</v>
      </c>
      <c r="C323" t="n">
        <v>506010</v>
      </c>
      <c r="D323" t="n">
        <v>31505</v>
      </c>
      <c r="E323" t="n">
        <v>22506</v>
      </c>
      <c r="F323" t="n">
        <v>63056</v>
      </c>
      <c r="G323" t="n">
        <v>7770</v>
      </c>
      <c r="H323" t="n">
        <v>9907</v>
      </c>
      <c r="I323" t="n">
        <v>61972</v>
      </c>
      <c r="J323" t="n">
        <v>406131</v>
      </c>
      <c r="K323" t="n">
        <v>45878</v>
      </c>
      <c r="L323" t="n">
        <v>59355</v>
      </c>
      <c r="M323" t="n">
        <v>28555</v>
      </c>
      <c r="N323" t="n">
        <v>10907</v>
      </c>
      <c r="O323" t="n">
        <v>99879</v>
      </c>
      <c r="P323" t="n">
        <v>58219</v>
      </c>
      <c r="Q323" t="n">
        <v>6501</v>
      </c>
    </row>
    <row r="324">
      <c r="A324" s="134" t="n">
        <v>43405</v>
      </c>
      <c r="B324" t="n">
        <v>362555</v>
      </c>
      <c r="C324" t="n">
        <v>506973</v>
      </c>
      <c r="D324" t="n">
        <v>30855</v>
      </c>
      <c r="E324" t="n">
        <v>22535</v>
      </c>
      <c r="F324" t="n">
        <v>63138</v>
      </c>
      <c r="G324" t="n">
        <v>7714</v>
      </c>
      <c r="H324" t="n">
        <v>9917</v>
      </c>
      <c r="I324" t="n">
        <v>61731</v>
      </c>
      <c r="J324" t="n">
        <v>406277</v>
      </c>
      <c r="K324" t="n">
        <v>43722</v>
      </c>
      <c r="L324" t="n">
        <v>59962</v>
      </c>
      <c r="M324" t="n">
        <v>29077</v>
      </c>
      <c r="N324" t="n">
        <v>10779</v>
      </c>
      <c r="O324" t="n">
        <v>100696</v>
      </c>
      <c r="P324" t="n">
        <v>60268</v>
      </c>
      <c r="Q324" t="n">
        <v>6579</v>
      </c>
    </row>
    <row r="325">
      <c r="A325" s="134" t="n">
        <v>43435</v>
      </c>
      <c r="B325" t="n">
        <v>353860</v>
      </c>
      <c r="C325" t="n">
        <v>496593</v>
      </c>
      <c r="D325" t="n">
        <v>30971</v>
      </c>
      <c r="E325" t="n">
        <v>22028</v>
      </c>
      <c r="F325" t="n">
        <v>62979</v>
      </c>
      <c r="G325" t="n">
        <v>7579</v>
      </c>
      <c r="H325" t="n">
        <v>9884</v>
      </c>
      <c r="I325" t="n">
        <v>61790</v>
      </c>
      <c r="J325" t="n">
        <v>394822</v>
      </c>
      <c r="K325" t="n">
        <v>40962</v>
      </c>
      <c r="L325" t="n">
        <v>59257</v>
      </c>
      <c r="M325" t="n">
        <v>27944</v>
      </c>
      <c r="N325" t="n">
        <v>10558</v>
      </c>
      <c r="O325" t="n">
        <v>101771</v>
      </c>
      <c r="P325" t="n">
        <v>54472</v>
      </c>
      <c r="Q325" t="n">
        <v>6398</v>
      </c>
    </row>
    <row r="326">
      <c r="A326" s="134" t="n">
        <v>43466</v>
      </c>
      <c r="B326" t="n">
        <v>363338</v>
      </c>
      <c r="C326" t="n">
        <v>502724</v>
      </c>
      <c r="D326" t="n">
        <v>32451</v>
      </c>
      <c r="E326" t="n">
        <v>22040</v>
      </c>
      <c r="F326" t="n">
        <v>63940</v>
      </c>
      <c r="G326" t="n">
        <v>7619</v>
      </c>
      <c r="H326" t="n">
        <v>9787</v>
      </c>
      <c r="I326" t="n">
        <v>61973</v>
      </c>
      <c r="J326" t="n">
        <v>403119</v>
      </c>
      <c r="K326" t="n">
        <v>39781</v>
      </c>
      <c r="L326" t="n">
        <v>59432</v>
      </c>
      <c r="M326" t="n">
        <v>28639</v>
      </c>
      <c r="N326" t="n">
        <v>10346</v>
      </c>
      <c r="O326" t="n">
        <v>99605</v>
      </c>
      <c r="P326" t="n">
        <v>60570</v>
      </c>
      <c r="Q326" t="n">
        <v>6541</v>
      </c>
    </row>
    <row r="327">
      <c r="A327" s="134" t="n">
        <v>43497</v>
      </c>
      <c r="B327" t="n">
        <v>360834</v>
      </c>
      <c r="C327" t="n">
        <v>502627</v>
      </c>
      <c r="D327" t="n">
        <v>30745</v>
      </c>
      <c r="E327" t="n">
        <v>22012</v>
      </c>
      <c r="F327" t="n">
        <v>62493</v>
      </c>
      <c r="G327" t="n">
        <v>7508</v>
      </c>
      <c r="H327" t="n">
        <v>9862</v>
      </c>
      <c r="I327" t="n">
        <v>62631</v>
      </c>
      <c r="J327" t="n">
        <v>402274</v>
      </c>
      <c r="K327" t="n">
        <v>41440</v>
      </c>
      <c r="L327" t="n">
        <v>58756</v>
      </c>
      <c r="M327" t="n">
        <v>28756</v>
      </c>
      <c r="N327" t="n">
        <v>10455</v>
      </c>
      <c r="O327" t="n">
        <v>100353</v>
      </c>
      <c r="P327" t="n">
        <v>61022</v>
      </c>
      <c r="Q327" t="n">
        <v>6594</v>
      </c>
    </row>
    <row r="328">
      <c r="A328" s="134" t="n">
        <v>43525</v>
      </c>
      <c r="B328" t="n">
        <v>364418</v>
      </c>
      <c r="C328" t="n">
        <v>510320</v>
      </c>
      <c r="D328" t="n">
        <v>31106</v>
      </c>
      <c r="E328" t="n">
        <v>22431</v>
      </c>
      <c r="F328" t="n">
        <v>63724</v>
      </c>
      <c r="G328" t="n">
        <v>7571</v>
      </c>
      <c r="H328" t="n">
        <v>10008</v>
      </c>
      <c r="I328" t="n">
        <v>63153</v>
      </c>
      <c r="J328" t="n">
        <v>407080</v>
      </c>
      <c r="K328" t="n">
        <v>42662</v>
      </c>
      <c r="L328" t="n">
        <v>59647</v>
      </c>
      <c r="M328" t="n">
        <v>28700</v>
      </c>
      <c r="N328" t="n">
        <v>10601</v>
      </c>
      <c r="O328" t="n">
        <v>103240</v>
      </c>
      <c r="P328" t="n">
        <v>60845</v>
      </c>
      <c r="Q328" t="n">
        <v>6632</v>
      </c>
    </row>
    <row r="329">
      <c r="A329" s="134" t="n">
        <v>43556</v>
      </c>
      <c r="B329" t="n">
        <v>366650</v>
      </c>
      <c r="C329" t="n">
        <v>512326</v>
      </c>
      <c r="D329" t="n">
        <v>30959</v>
      </c>
      <c r="E329" t="n">
        <v>22360</v>
      </c>
      <c r="F329" t="n">
        <v>63950</v>
      </c>
      <c r="G329" t="n">
        <v>7519</v>
      </c>
      <c r="H329" t="n">
        <v>10073</v>
      </c>
      <c r="I329" t="n">
        <v>63617</v>
      </c>
      <c r="J329" t="n">
        <v>410137</v>
      </c>
      <c r="K329" t="n">
        <v>43487</v>
      </c>
      <c r="L329" t="n">
        <v>60161</v>
      </c>
      <c r="M329" t="n">
        <v>28545</v>
      </c>
      <c r="N329" t="n">
        <v>10829</v>
      </c>
      <c r="O329" t="n">
        <v>102189</v>
      </c>
      <c r="P329" t="n">
        <v>61862</v>
      </c>
      <c r="Q329" t="n">
        <v>6775</v>
      </c>
    </row>
    <row r="330">
      <c r="A330" s="134" t="n">
        <v>43586</v>
      </c>
      <c r="B330" t="n">
        <v>367975</v>
      </c>
      <c r="C330" t="n">
        <v>513870</v>
      </c>
      <c r="D330" t="n">
        <v>30338</v>
      </c>
      <c r="E330" t="n">
        <v>22246</v>
      </c>
      <c r="F330" t="n">
        <v>64071</v>
      </c>
      <c r="G330" t="n">
        <v>7590</v>
      </c>
      <c r="H330" t="n">
        <v>10074</v>
      </c>
      <c r="I330" t="n">
        <v>64318</v>
      </c>
      <c r="J330" t="n">
        <v>411251</v>
      </c>
      <c r="K330" t="n">
        <v>43276</v>
      </c>
      <c r="L330" t="n">
        <v>59648</v>
      </c>
      <c r="M330" t="n">
        <v>28684</v>
      </c>
      <c r="N330" t="n">
        <v>10885</v>
      </c>
      <c r="O330" t="n">
        <v>102619</v>
      </c>
      <c r="P330" t="n">
        <v>63306</v>
      </c>
      <c r="Q330" t="n">
        <v>6815</v>
      </c>
    </row>
    <row r="331">
      <c r="A331" s="134" t="n">
        <v>43617</v>
      </c>
      <c r="B331" t="n">
        <v>370338</v>
      </c>
      <c r="C331" t="n">
        <v>515911</v>
      </c>
      <c r="D331" t="n">
        <v>30385</v>
      </c>
      <c r="E331" t="n">
        <v>22374</v>
      </c>
      <c r="F331" t="n">
        <v>64557</v>
      </c>
      <c r="G331" t="n">
        <v>7549</v>
      </c>
      <c r="H331" t="n">
        <v>10071</v>
      </c>
      <c r="I331" t="n">
        <v>64984</v>
      </c>
      <c r="J331" t="n">
        <v>412955</v>
      </c>
      <c r="K331" t="n">
        <v>42617</v>
      </c>
      <c r="L331" t="n">
        <v>59693</v>
      </c>
      <c r="M331" t="n">
        <v>28615</v>
      </c>
      <c r="N331" t="n">
        <v>11001</v>
      </c>
      <c r="O331" t="n">
        <v>102956</v>
      </c>
      <c r="P331" t="n">
        <v>64217</v>
      </c>
      <c r="Q331" t="n">
        <v>6892</v>
      </c>
    </row>
    <row r="332">
      <c r="A332" s="134" t="n">
        <v>43647</v>
      </c>
      <c r="B332" t="n">
        <v>372369</v>
      </c>
      <c r="C332" t="n">
        <v>519447</v>
      </c>
      <c r="D332" t="n">
        <v>30679</v>
      </c>
      <c r="E332" t="n">
        <v>22548</v>
      </c>
      <c r="F332" t="n">
        <v>65344</v>
      </c>
      <c r="G332" t="n">
        <v>7652</v>
      </c>
      <c r="H332" t="n">
        <v>10067</v>
      </c>
      <c r="I332" t="n">
        <v>65435</v>
      </c>
      <c r="J332" t="n">
        <v>415767</v>
      </c>
      <c r="K332" t="n">
        <v>43398</v>
      </c>
      <c r="L332" t="n">
        <v>60138</v>
      </c>
      <c r="M332" t="n">
        <v>28398</v>
      </c>
      <c r="N332" t="n">
        <v>10900</v>
      </c>
      <c r="O332" t="n">
        <v>103680</v>
      </c>
      <c r="P332" t="n">
        <v>64423</v>
      </c>
      <c r="Q332" t="n">
        <v>6785</v>
      </c>
    </row>
    <row r="333">
      <c r="A333" s="134" t="n">
        <v>43678</v>
      </c>
      <c r="B333" t="n">
        <v>373450</v>
      </c>
      <c r="C333" t="n">
        <v>521833</v>
      </c>
      <c r="D333" t="n">
        <v>31270</v>
      </c>
      <c r="E333" t="n">
        <v>22432</v>
      </c>
      <c r="F333" t="n">
        <v>65328</v>
      </c>
      <c r="G333" t="n">
        <v>7572</v>
      </c>
      <c r="H333" t="n">
        <v>10082</v>
      </c>
      <c r="I333" t="n">
        <v>65333</v>
      </c>
      <c r="J333" t="n">
        <v>416233</v>
      </c>
      <c r="K333" t="n">
        <v>42783</v>
      </c>
      <c r="L333" t="n">
        <v>60073</v>
      </c>
      <c r="M333" t="n">
        <v>28414</v>
      </c>
      <c r="N333" t="n">
        <v>11199</v>
      </c>
      <c r="O333" t="n">
        <v>105600</v>
      </c>
      <c r="P333" t="n">
        <v>64972</v>
      </c>
      <c r="Q333" t="n">
        <v>6775</v>
      </c>
    </row>
    <row r="334">
      <c r="A334" s="134" t="n">
        <v>43709</v>
      </c>
      <c r="B334" t="n">
        <v>372355</v>
      </c>
      <c r="C334" t="n">
        <v>518605</v>
      </c>
      <c r="D334" t="n">
        <v>30806</v>
      </c>
      <c r="E334" t="n">
        <v>22415</v>
      </c>
      <c r="F334" t="n">
        <v>64871</v>
      </c>
      <c r="G334" t="n">
        <v>7618</v>
      </c>
      <c r="H334" t="n">
        <v>10177</v>
      </c>
      <c r="I334" t="n">
        <v>65756</v>
      </c>
      <c r="J334" t="n">
        <v>414893</v>
      </c>
      <c r="K334" t="n">
        <v>42538</v>
      </c>
      <c r="L334" t="n">
        <v>59589</v>
      </c>
      <c r="M334" t="n">
        <v>28434</v>
      </c>
      <c r="N334" t="n">
        <v>11208</v>
      </c>
      <c r="O334" t="n">
        <v>103712</v>
      </c>
      <c r="P334" t="n">
        <v>64658</v>
      </c>
      <c r="Q334" t="n">
        <v>6823</v>
      </c>
    </row>
    <row r="335">
      <c r="A335" s="134" t="n">
        <v>43739</v>
      </c>
      <c r="B335" t="n">
        <v>373751</v>
      </c>
      <c r="C335" t="n">
        <v>521114</v>
      </c>
      <c r="D335" t="n">
        <v>31118</v>
      </c>
      <c r="E335" t="n">
        <v>22400</v>
      </c>
      <c r="F335" t="n">
        <v>64915</v>
      </c>
      <c r="G335" t="n">
        <v>7446</v>
      </c>
      <c r="H335" t="n">
        <v>10120</v>
      </c>
      <c r="I335" t="n">
        <v>65628</v>
      </c>
      <c r="J335" t="n">
        <v>417017</v>
      </c>
      <c r="K335" t="n">
        <v>43266</v>
      </c>
      <c r="L335" t="n">
        <v>59869</v>
      </c>
      <c r="M335" t="n">
        <v>28718</v>
      </c>
      <c r="N335" t="n">
        <v>11397</v>
      </c>
      <c r="O335" t="n">
        <v>104097</v>
      </c>
      <c r="P335" t="n">
        <v>65294</v>
      </c>
      <c r="Q335" t="n">
        <v>6846</v>
      </c>
    </row>
    <row r="336">
      <c r="A336" s="134" t="n">
        <v>43770</v>
      </c>
      <c r="B336" t="n">
        <v>372985</v>
      </c>
      <c r="C336" t="n">
        <v>522805</v>
      </c>
      <c r="D336" t="n">
        <v>31312</v>
      </c>
      <c r="E336" t="n">
        <v>22272</v>
      </c>
      <c r="F336" t="n">
        <v>65212</v>
      </c>
      <c r="G336" t="n">
        <v>7514</v>
      </c>
      <c r="H336" t="n">
        <v>10219</v>
      </c>
      <c r="I336" t="n">
        <v>65147</v>
      </c>
      <c r="J336" t="n">
        <v>416225</v>
      </c>
      <c r="K336" t="n">
        <v>43240</v>
      </c>
      <c r="L336" t="n">
        <v>59958</v>
      </c>
      <c r="M336" t="n">
        <v>28499</v>
      </c>
      <c r="N336" t="n">
        <v>11445</v>
      </c>
      <c r="O336" t="n">
        <v>106580</v>
      </c>
      <c r="P336" t="n">
        <v>64774</v>
      </c>
      <c r="Q336" t="n">
        <v>6633</v>
      </c>
    </row>
    <row r="337">
      <c r="A337" s="134" t="n">
        <v>43800</v>
      </c>
      <c r="B337" t="n">
        <v>374946</v>
      </c>
      <c r="C337" t="n">
        <v>523862</v>
      </c>
      <c r="D337" t="n">
        <v>31952</v>
      </c>
      <c r="E337" t="n">
        <v>22941</v>
      </c>
      <c r="F337" t="n">
        <v>65676</v>
      </c>
      <c r="G337" t="n">
        <v>7497</v>
      </c>
      <c r="H337" t="n">
        <v>9990</v>
      </c>
      <c r="I337" t="n">
        <v>65807</v>
      </c>
      <c r="J337" t="n">
        <v>419039</v>
      </c>
      <c r="K337" t="n">
        <v>44093</v>
      </c>
      <c r="L337" t="n">
        <v>60259</v>
      </c>
      <c r="M337" t="n">
        <v>28359</v>
      </c>
      <c r="N337" t="n">
        <v>11211</v>
      </c>
      <c r="O337" t="n">
        <v>104823</v>
      </c>
      <c r="P337" t="n">
        <v>64552</v>
      </c>
      <c r="Q337" t="n">
        <v>6702</v>
      </c>
    </row>
    <row r="338">
      <c r="A338" s="134" t="n">
        <v>43831</v>
      </c>
      <c r="B338" t="n">
        <v>378573</v>
      </c>
      <c r="C338" t="n">
        <v>526930</v>
      </c>
      <c r="D338" t="n">
        <v>32920</v>
      </c>
      <c r="E338" t="n">
        <v>22914</v>
      </c>
      <c r="F338" t="n">
        <v>65321</v>
      </c>
      <c r="G338" t="n">
        <v>7467</v>
      </c>
      <c r="H338" t="n">
        <v>10475</v>
      </c>
      <c r="I338" t="n">
        <v>66344</v>
      </c>
      <c r="J338" t="n">
        <v>421768</v>
      </c>
      <c r="K338" t="n">
        <v>43195</v>
      </c>
      <c r="L338" t="n">
        <v>60594</v>
      </c>
      <c r="M338" t="n">
        <v>28872</v>
      </c>
      <c r="N338" t="n">
        <v>11667</v>
      </c>
      <c r="O338" t="n">
        <v>105162</v>
      </c>
      <c r="P338" t="n">
        <v>65240</v>
      </c>
      <c r="Q338" t="n">
        <v>6759</v>
      </c>
    </row>
    <row r="339">
      <c r="A339" s="134" t="n">
        <v>43862</v>
      </c>
      <c r="B339" t="n">
        <v>378665</v>
      </c>
      <c r="C339" t="n">
        <v>525810</v>
      </c>
      <c r="D339" t="n">
        <v>32904</v>
      </c>
      <c r="E339" t="n">
        <v>22560</v>
      </c>
      <c r="F339" t="n">
        <v>65326</v>
      </c>
      <c r="G339" t="n">
        <v>7381</v>
      </c>
      <c r="H339" t="n">
        <v>10456</v>
      </c>
      <c r="I339" t="n">
        <v>66200</v>
      </c>
      <c r="J339" t="n">
        <v>420290</v>
      </c>
      <c r="K339" t="n">
        <v>41625</v>
      </c>
      <c r="L339" t="n">
        <v>60699</v>
      </c>
      <c r="M339" t="n">
        <v>29064</v>
      </c>
      <c r="N339" t="n">
        <v>11706</v>
      </c>
      <c r="O339" t="n">
        <v>105520</v>
      </c>
      <c r="P339" t="n">
        <v>65600</v>
      </c>
      <c r="Q339" t="n">
        <v>6769</v>
      </c>
    </row>
    <row r="340">
      <c r="A340" s="134" t="n">
        <v>43891</v>
      </c>
      <c r="B340" t="n">
        <v>367684</v>
      </c>
      <c r="C340" t="n">
        <v>480407</v>
      </c>
      <c r="D340" t="n">
        <v>32810</v>
      </c>
      <c r="E340" t="n">
        <v>11494</v>
      </c>
      <c r="F340" t="n">
        <v>82743</v>
      </c>
      <c r="G340" t="n">
        <v>6135</v>
      </c>
      <c r="H340" t="n">
        <v>8225</v>
      </c>
      <c r="I340" t="n">
        <v>46126</v>
      </c>
      <c r="J340" t="n">
        <v>402361</v>
      </c>
      <c r="K340" t="n">
        <v>34677</v>
      </c>
      <c r="L340" t="n">
        <v>65710</v>
      </c>
      <c r="M340" t="n">
        <v>30492</v>
      </c>
      <c r="N340" t="n">
        <v>9874</v>
      </c>
      <c r="O340" t="n">
        <v>78046</v>
      </c>
      <c r="P340" t="n">
        <v>68433</v>
      </c>
      <c r="Q340" t="n">
        <v>5642</v>
      </c>
    </row>
    <row r="341">
      <c r="A341" s="134" t="n">
        <v>43922</v>
      </c>
      <c r="B341" t="n">
        <v>315490</v>
      </c>
      <c r="C341" t="n">
        <v>409819</v>
      </c>
      <c r="D341" t="n">
        <v>32184</v>
      </c>
      <c r="E341" t="n">
        <v>2836</v>
      </c>
      <c r="F341" t="n">
        <v>72048</v>
      </c>
      <c r="G341" t="n">
        <v>3527</v>
      </c>
      <c r="H341" t="n">
        <v>4160</v>
      </c>
      <c r="I341" t="n">
        <v>29927</v>
      </c>
      <c r="J341" t="n">
        <v>341621</v>
      </c>
      <c r="K341" t="n">
        <v>26131</v>
      </c>
      <c r="L341" t="n">
        <v>57089</v>
      </c>
      <c r="M341" t="n">
        <v>25958</v>
      </c>
      <c r="N341" t="n">
        <v>7361</v>
      </c>
      <c r="O341" t="n">
        <v>68198</v>
      </c>
      <c r="P341" t="n">
        <v>76629</v>
      </c>
      <c r="Q341" t="n">
        <v>3771</v>
      </c>
    </row>
    <row r="342">
      <c r="A342" s="134" t="n">
        <v>43952</v>
      </c>
      <c r="B342" t="n">
        <v>353737</v>
      </c>
      <c r="C342" t="n">
        <v>484295</v>
      </c>
      <c r="D342" t="n">
        <v>35951</v>
      </c>
      <c r="E342" t="n">
        <v>8394</v>
      </c>
      <c r="F342" t="n">
        <v>73702</v>
      </c>
      <c r="G342" t="n">
        <v>4272</v>
      </c>
      <c r="H342" t="n">
        <v>7349</v>
      </c>
      <c r="I342" t="n">
        <v>39664</v>
      </c>
      <c r="J342" t="n">
        <v>383353</v>
      </c>
      <c r="K342" t="n">
        <v>29616</v>
      </c>
      <c r="L342" t="n">
        <v>61069</v>
      </c>
      <c r="M342" t="n">
        <v>26251</v>
      </c>
      <c r="N342" t="n">
        <v>8897</v>
      </c>
      <c r="O342" t="n">
        <v>100942</v>
      </c>
      <c r="P342" t="n">
        <v>81508</v>
      </c>
      <c r="Q342" t="n">
        <v>6680</v>
      </c>
    </row>
    <row r="343">
      <c r="A343" s="134" t="n">
        <v>43983</v>
      </c>
      <c r="B343" t="n">
        <v>381322</v>
      </c>
      <c r="C343" t="n">
        <v>526187</v>
      </c>
      <c r="D343" t="n">
        <v>36366</v>
      </c>
      <c r="E343" t="n">
        <v>17361</v>
      </c>
      <c r="F343" t="n">
        <v>72511</v>
      </c>
      <c r="G343" t="n">
        <v>6004</v>
      </c>
      <c r="H343" t="n">
        <v>10104</v>
      </c>
      <c r="I343" t="n">
        <v>50464</v>
      </c>
      <c r="J343" t="n">
        <v>415613</v>
      </c>
      <c r="K343" t="n">
        <v>34291</v>
      </c>
      <c r="L343" t="n">
        <v>62024</v>
      </c>
      <c r="M343" t="n">
        <v>28336</v>
      </c>
      <c r="N343" t="n">
        <v>11000</v>
      </c>
      <c r="O343" t="n">
        <v>110574</v>
      </c>
      <c r="P343" t="n">
        <v>78600</v>
      </c>
      <c r="Q343" t="n">
        <v>8552</v>
      </c>
    </row>
    <row r="344">
      <c r="A344" s="134" t="n">
        <v>44013</v>
      </c>
      <c r="B344" t="n">
        <v>388073</v>
      </c>
      <c r="C344" t="n">
        <v>533517</v>
      </c>
      <c r="D344" t="n">
        <v>35906</v>
      </c>
      <c r="E344" t="n">
        <v>18067</v>
      </c>
      <c r="F344" t="n">
        <v>72715</v>
      </c>
      <c r="G344" t="n">
        <v>6981</v>
      </c>
      <c r="H344" t="n">
        <v>10346</v>
      </c>
      <c r="I344" t="n">
        <v>52214</v>
      </c>
      <c r="J344" t="n">
        <v>424069</v>
      </c>
      <c r="K344" t="n">
        <v>35996</v>
      </c>
      <c r="L344" t="n">
        <v>61745</v>
      </c>
      <c r="M344" t="n">
        <v>29811</v>
      </c>
      <c r="N344" t="n">
        <v>11505</v>
      </c>
      <c r="O344" t="n">
        <v>109448</v>
      </c>
      <c r="P344" t="n">
        <v>80675</v>
      </c>
      <c r="Q344" t="n">
        <v>8108</v>
      </c>
    </row>
    <row r="345">
      <c r="A345" s="134" t="n">
        <v>44044</v>
      </c>
      <c r="B345" t="n">
        <v>391699</v>
      </c>
      <c r="C345" t="n">
        <v>537980</v>
      </c>
      <c r="D345" t="n">
        <v>36692</v>
      </c>
      <c r="E345" t="n">
        <v>18679</v>
      </c>
      <c r="F345" t="n">
        <v>71763</v>
      </c>
      <c r="G345" t="n">
        <v>6986</v>
      </c>
      <c r="H345" t="n">
        <v>10812</v>
      </c>
      <c r="I345" t="n">
        <v>54558</v>
      </c>
      <c r="J345" t="n">
        <v>428168</v>
      </c>
      <c r="K345" t="n">
        <v>36469</v>
      </c>
      <c r="L345" t="n">
        <v>61180</v>
      </c>
      <c r="M345" t="n">
        <v>29599</v>
      </c>
      <c r="N345" t="n">
        <v>11669</v>
      </c>
      <c r="O345" t="n">
        <v>109812</v>
      </c>
      <c r="P345" t="n">
        <v>82235</v>
      </c>
      <c r="Q345" t="n">
        <v>7526</v>
      </c>
    </row>
    <row r="346">
      <c r="A346" s="134" t="n">
        <v>44075</v>
      </c>
      <c r="B346" t="n">
        <v>397938</v>
      </c>
      <c r="C346" t="n">
        <v>549211</v>
      </c>
      <c r="D346" t="n">
        <v>37035</v>
      </c>
      <c r="E346" t="n">
        <v>21334</v>
      </c>
      <c r="F346" t="n">
        <v>71771</v>
      </c>
      <c r="G346" t="n">
        <v>6879</v>
      </c>
      <c r="H346" t="n">
        <v>10843</v>
      </c>
      <c r="I346" t="n">
        <v>55800</v>
      </c>
      <c r="J346" t="n">
        <v>434837</v>
      </c>
      <c r="K346" t="n">
        <v>36899</v>
      </c>
      <c r="L346" t="n">
        <v>63602</v>
      </c>
      <c r="M346" t="n">
        <v>29972</v>
      </c>
      <c r="N346" t="n">
        <v>11733</v>
      </c>
      <c r="O346" t="n">
        <v>114374</v>
      </c>
      <c r="P346" t="n">
        <v>80842</v>
      </c>
      <c r="Q346" t="n">
        <v>8127</v>
      </c>
    </row>
    <row r="347">
      <c r="A347" s="134" t="n">
        <v>44105</v>
      </c>
      <c r="B347" t="n">
        <v>398444</v>
      </c>
      <c r="C347" t="n">
        <v>548930</v>
      </c>
      <c r="D347" t="n">
        <v>36752</v>
      </c>
      <c r="E347" t="n">
        <v>20797</v>
      </c>
      <c r="F347" t="n">
        <v>71265</v>
      </c>
      <c r="G347" t="n">
        <v>7114</v>
      </c>
      <c r="H347" t="n">
        <v>10864</v>
      </c>
      <c r="I347" t="n">
        <v>55992</v>
      </c>
      <c r="J347" t="n">
        <v>435315</v>
      </c>
      <c r="K347" t="n">
        <v>36871</v>
      </c>
      <c r="L347" t="n">
        <v>62700</v>
      </c>
      <c r="M347" t="n">
        <v>29883</v>
      </c>
      <c r="N347" t="n">
        <v>11797</v>
      </c>
      <c r="O347" t="n">
        <v>113615</v>
      </c>
      <c r="P347" t="n">
        <v>83254</v>
      </c>
      <c r="Q347" t="n">
        <v>8026</v>
      </c>
    </row>
    <row r="348">
      <c r="A348" s="134" t="n">
        <v>44136</v>
      </c>
      <c r="B348" t="n">
        <v>393705</v>
      </c>
      <c r="C348" t="n">
        <v>541247</v>
      </c>
      <c r="D348" t="n">
        <v>37121</v>
      </c>
      <c r="E348" t="n">
        <v>19657</v>
      </c>
      <c r="F348" t="n">
        <v>72214</v>
      </c>
      <c r="G348" t="n">
        <v>6851</v>
      </c>
      <c r="H348" t="n">
        <v>10705</v>
      </c>
      <c r="I348" t="n">
        <v>53647</v>
      </c>
      <c r="J348" t="n">
        <v>429720</v>
      </c>
      <c r="K348" t="n">
        <v>36015</v>
      </c>
      <c r="L348" t="n">
        <v>61864</v>
      </c>
      <c r="M348" t="n">
        <v>29520</v>
      </c>
      <c r="N348" t="n">
        <v>12028</v>
      </c>
      <c r="O348" t="n">
        <v>111527</v>
      </c>
      <c r="P348" t="n">
        <v>82211</v>
      </c>
      <c r="Q348" t="n">
        <v>7887</v>
      </c>
    </row>
    <row r="349">
      <c r="A349" s="134" t="n">
        <v>44166</v>
      </c>
      <c r="B349" t="n">
        <v>382427</v>
      </c>
      <c r="C349" t="n">
        <v>535972</v>
      </c>
      <c r="D349" t="n">
        <v>37099</v>
      </c>
      <c r="E349" t="n">
        <v>20095</v>
      </c>
      <c r="F349" t="n">
        <v>71382</v>
      </c>
      <c r="G349" t="n">
        <v>6456</v>
      </c>
      <c r="H349" t="n">
        <v>10621</v>
      </c>
      <c r="I349" t="n">
        <v>51190</v>
      </c>
      <c r="J349" t="n">
        <v>421525</v>
      </c>
      <c r="K349" t="n">
        <v>39098</v>
      </c>
      <c r="L349" t="n">
        <v>60777</v>
      </c>
      <c r="M349" t="n">
        <v>29929</v>
      </c>
      <c r="N349" t="n">
        <v>12667</v>
      </c>
      <c r="O349" t="n">
        <v>114447</v>
      </c>
      <c r="P349" t="n">
        <v>74474</v>
      </c>
      <c r="Q349" t="n">
        <v>7737</v>
      </c>
    </row>
    <row r="350">
      <c r="A350" s="134" t="n">
        <v>44197</v>
      </c>
      <c r="B350" t="n">
        <v>415492</v>
      </c>
      <c r="C350" t="n">
        <v>576466</v>
      </c>
      <c r="D350" t="n">
        <v>39996</v>
      </c>
      <c r="E350" t="n">
        <v>21351</v>
      </c>
      <c r="F350" t="n">
        <v>72730</v>
      </c>
      <c r="G350" t="n">
        <v>7525</v>
      </c>
      <c r="H350" t="n">
        <v>12098</v>
      </c>
      <c r="I350" t="n">
        <v>56304</v>
      </c>
      <c r="J350" t="n">
        <v>456387</v>
      </c>
      <c r="K350" t="n">
        <v>40895</v>
      </c>
      <c r="L350" t="n">
        <v>66933</v>
      </c>
      <c r="M350" t="n">
        <v>30204</v>
      </c>
      <c r="N350" t="n">
        <v>12744</v>
      </c>
      <c r="O350" t="n">
        <v>120079</v>
      </c>
      <c r="P350" t="n">
        <v>87028</v>
      </c>
      <c r="Q350" t="n">
        <v>8579</v>
      </c>
    </row>
    <row r="351">
      <c r="A351" s="134" t="n">
        <v>44228</v>
      </c>
      <c r="B351" t="n">
        <v>402025</v>
      </c>
      <c r="C351" t="n">
        <v>559970</v>
      </c>
      <c r="D351" t="n">
        <v>38082</v>
      </c>
      <c r="E351" t="n">
        <v>20180</v>
      </c>
      <c r="F351" t="n">
        <v>72343</v>
      </c>
      <c r="G351" t="n">
        <v>7089</v>
      </c>
      <c r="H351" t="n">
        <v>11471</v>
      </c>
      <c r="I351" t="n">
        <v>55512</v>
      </c>
      <c r="J351" t="n">
        <v>444228</v>
      </c>
      <c r="K351" t="n">
        <v>42203</v>
      </c>
      <c r="L351" t="n">
        <v>62909</v>
      </c>
      <c r="M351" t="n">
        <v>29691</v>
      </c>
      <c r="N351" t="n">
        <v>12394</v>
      </c>
      <c r="O351" t="n">
        <v>115742</v>
      </c>
      <c r="P351" t="n">
        <v>84324</v>
      </c>
      <c r="Q351" t="n">
        <v>8030</v>
      </c>
    </row>
    <row r="352">
      <c r="A352" s="134" t="n">
        <v>44256</v>
      </c>
      <c r="B352" t="n">
        <v>441234</v>
      </c>
      <c r="C352" t="n">
        <v>623119</v>
      </c>
      <c r="D352" t="n">
        <v>43458</v>
      </c>
      <c r="E352" t="n">
        <v>25012</v>
      </c>
      <c r="F352" t="n">
        <v>72955</v>
      </c>
      <c r="G352" t="n">
        <v>8339</v>
      </c>
      <c r="H352" t="n">
        <v>12414</v>
      </c>
      <c r="I352" t="n">
        <v>63248</v>
      </c>
      <c r="J352" t="n">
        <v>487687</v>
      </c>
      <c r="K352" t="n">
        <v>46453</v>
      </c>
      <c r="L352" t="n">
        <v>71164</v>
      </c>
      <c r="M352" t="n">
        <v>32081</v>
      </c>
      <c r="N352" t="n">
        <v>13746</v>
      </c>
      <c r="O352" t="n">
        <v>135432</v>
      </c>
      <c r="P352" t="n">
        <v>88886</v>
      </c>
      <c r="Q352" t="n">
        <v>9931</v>
      </c>
    </row>
    <row r="353">
      <c r="A353" s="134" t="n">
        <v>44287</v>
      </c>
      <c r="B353" t="n">
        <v>441556</v>
      </c>
      <c r="C353" t="n">
        <v>628751</v>
      </c>
      <c r="D353" t="n">
        <v>42042</v>
      </c>
      <c r="E353" t="n">
        <v>24660</v>
      </c>
      <c r="F353" t="n">
        <v>73492</v>
      </c>
      <c r="G353" t="n">
        <v>8446</v>
      </c>
      <c r="H353" t="n">
        <v>12551</v>
      </c>
      <c r="I353" t="n">
        <v>66482</v>
      </c>
      <c r="J353" t="n">
        <v>487364</v>
      </c>
      <c r="K353" t="n">
        <v>45808</v>
      </c>
      <c r="L353" t="n">
        <v>69437</v>
      </c>
      <c r="M353" t="n">
        <v>32113</v>
      </c>
      <c r="N353" t="n">
        <v>13609</v>
      </c>
      <c r="O353" t="n">
        <v>141387</v>
      </c>
      <c r="P353" t="n">
        <v>88975</v>
      </c>
      <c r="Q353" t="n">
        <v>9749</v>
      </c>
    </row>
    <row r="354">
      <c r="A354" s="134" t="n">
        <v>44317</v>
      </c>
      <c r="B354" t="n">
        <v>438636</v>
      </c>
      <c r="C354" t="n">
        <v>620119</v>
      </c>
      <c r="D354" t="n">
        <v>39648</v>
      </c>
      <c r="E354" t="n">
        <v>25586</v>
      </c>
      <c r="F354" t="n">
        <v>74349</v>
      </c>
      <c r="G354" t="n">
        <v>8228</v>
      </c>
      <c r="H354" t="n">
        <v>12286</v>
      </c>
      <c r="I354" t="n">
        <v>69338</v>
      </c>
      <c r="J354" t="n">
        <v>485272</v>
      </c>
      <c r="K354" t="n">
        <v>46636</v>
      </c>
      <c r="L354" t="n">
        <v>67394</v>
      </c>
      <c r="M354" t="n">
        <v>31138</v>
      </c>
      <c r="N354" t="n">
        <v>13169</v>
      </c>
      <c r="O354" t="n">
        <v>134847</v>
      </c>
      <c r="P354" t="n">
        <v>87917</v>
      </c>
      <c r="Q354" t="n">
        <v>9583</v>
      </c>
    </row>
    <row r="355">
      <c r="A355" s="134" t="n">
        <v>44348</v>
      </c>
      <c r="B355" t="n">
        <v>445079</v>
      </c>
      <c r="C355" t="n">
        <v>625405</v>
      </c>
      <c r="D355" t="n">
        <v>39095</v>
      </c>
      <c r="E355" t="n">
        <v>26464</v>
      </c>
      <c r="F355" t="n">
        <v>75073</v>
      </c>
      <c r="G355" t="n">
        <v>8593</v>
      </c>
      <c r="H355" t="n">
        <v>12093</v>
      </c>
      <c r="I355" t="n">
        <v>71017</v>
      </c>
      <c r="J355" t="n">
        <v>493387</v>
      </c>
      <c r="K355" t="n">
        <v>48308</v>
      </c>
      <c r="L355" t="n">
        <v>68999</v>
      </c>
      <c r="M355" t="n">
        <v>32559</v>
      </c>
      <c r="N355" t="n">
        <v>13734</v>
      </c>
      <c r="O355" t="n">
        <v>132018</v>
      </c>
      <c r="P355" t="n">
        <v>88003</v>
      </c>
      <c r="Q355" t="n">
        <v>9449</v>
      </c>
    </row>
    <row r="356">
      <c r="A356" s="134" t="n">
        <v>44378</v>
      </c>
      <c r="B356" t="n">
        <v>439427</v>
      </c>
      <c r="C356" t="n">
        <v>615250</v>
      </c>
      <c r="D356" t="n">
        <v>38657</v>
      </c>
      <c r="E356" t="n">
        <v>25776</v>
      </c>
      <c r="F356" t="n">
        <v>74630</v>
      </c>
      <c r="G356" t="n">
        <v>8496</v>
      </c>
      <c r="H356" t="n">
        <v>12055</v>
      </c>
      <c r="I356" t="n">
        <v>72059</v>
      </c>
      <c r="J356" t="n">
        <v>488908</v>
      </c>
      <c r="K356" t="n">
        <v>49481</v>
      </c>
      <c r="L356" t="n">
        <v>68273</v>
      </c>
      <c r="M356" t="n">
        <v>32389</v>
      </c>
      <c r="N356" t="n">
        <v>13902</v>
      </c>
      <c r="O356" t="n">
        <v>126342</v>
      </c>
      <c r="P356" t="n">
        <v>83934</v>
      </c>
      <c r="Q356" t="n">
        <v>9256</v>
      </c>
    </row>
    <row r="357">
      <c r="A357" s="134" t="n">
        <v>44409</v>
      </c>
      <c r="B357" t="n">
        <v>449135</v>
      </c>
      <c r="C357" t="n">
        <v>622383</v>
      </c>
      <c r="D357" t="n">
        <v>39275</v>
      </c>
      <c r="E357" t="n">
        <v>25776</v>
      </c>
      <c r="F357" t="n">
        <v>76288</v>
      </c>
      <c r="G357" t="n">
        <v>8131</v>
      </c>
      <c r="H357" t="n">
        <v>12247</v>
      </c>
      <c r="I357" t="n">
        <v>72090</v>
      </c>
      <c r="J357" t="n">
        <v>499439</v>
      </c>
      <c r="K357" t="n">
        <v>50304</v>
      </c>
      <c r="L357" t="n">
        <v>70665</v>
      </c>
      <c r="M357" t="n">
        <v>32624</v>
      </c>
      <c r="N357" t="n">
        <v>14226</v>
      </c>
      <c r="O357" t="n">
        <v>122944</v>
      </c>
      <c r="P357" t="n">
        <v>88903</v>
      </c>
      <c r="Q357" t="n">
        <v>8910</v>
      </c>
    </row>
    <row r="358">
      <c r="A358" s="134" t="n">
        <v>44440</v>
      </c>
      <c r="B358" t="n">
        <v>450508</v>
      </c>
      <c r="C358" t="n">
        <v>626999</v>
      </c>
      <c r="D358" t="n">
        <v>39299</v>
      </c>
      <c r="E358" t="n">
        <v>26293</v>
      </c>
      <c r="F358" t="n">
        <v>76646</v>
      </c>
      <c r="G358" t="n">
        <v>8133</v>
      </c>
      <c r="H358" t="n">
        <v>12109</v>
      </c>
      <c r="I358" t="n">
        <v>72766</v>
      </c>
      <c r="J358" t="n">
        <v>502551</v>
      </c>
      <c r="K358" t="n">
        <v>52043</v>
      </c>
      <c r="L358" t="n">
        <v>70474</v>
      </c>
      <c r="M358" t="n">
        <v>32304</v>
      </c>
      <c r="N358" t="n">
        <v>14675</v>
      </c>
      <c r="O358" t="n">
        <v>124448</v>
      </c>
      <c r="P358" t="n">
        <v>88532</v>
      </c>
      <c r="Q358" t="n">
        <v>9277</v>
      </c>
    </row>
    <row r="359">
      <c r="A359" s="134" t="n">
        <v>44470</v>
      </c>
      <c r="B359" t="n">
        <v>457642</v>
      </c>
      <c r="C359" t="n">
        <v>638190</v>
      </c>
      <c r="D359" t="n">
        <v>40279</v>
      </c>
      <c r="E359" t="n">
        <v>26349</v>
      </c>
      <c r="F359" t="n">
        <v>77426</v>
      </c>
      <c r="G359" t="n">
        <v>8383</v>
      </c>
      <c r="H359" t="n">
        <v>12446</v>
      </c>
      <c r="I359" t="n">
        <v>72990</v>
      </c>
      <c r="J359" t="n">
        <v>511618</v>
      </c>
      <c r="K359" t="n">
        <v>53976</v>
      </c>
      <c r="L359" t="n">
        <v>71506</v>
      </c>
      <c r="M359" t="n">
        <v>31855</v>
      </c>
      <c r="N359" t="n">
        <v>14929</v>
      </c>
      <c r="O359" t="n">
        <v>126572</v>
      </c>
      <c r="P359" t="n">
        <v>92138</v>
      </c>
      <c r="Q359" t="n">
        <v>9341</v>
      </c>
    </row>
    <row r="360">
      <c r="A360" s="134" t="n">
        <v>44501</v>
      </c>
      <c r="B360" t="n">
        <v>458472</v>
      </c>
      <c r="C360" t="n">
        <v>639829</v>
      </c>
      <c r="D360" t="n">
        <v>40579</v>
      </c>
      <c r="E360" t="n">
        <v>26491</v>
      </c>
      <c r="F360" t="n">
        <v>78411</v>
      </c>
      <c r="G360" t="n">
        <v>7999</v>
      </c>
      <c r="H360" t="n">
        <v>12447</v>
      </c>
      <c r="I360" t="n">
        <v>73731</v>
      </c>
      <c r="J360" t="n">
        <v>513340</v>
      </c>
      <c r="K360" t="n">
        <v>54868</v>
      </c>
      <c r="L360" t="n">
        <v>70654</v>
      </c>
      <c r="M360" t="n">
        <v>31656</v>
      </c>
      <c r="N360" t="n">
        <v>14886</v>
      </c>
      <c r="O360" t="n">
        <v>126489</v>
      </c>
      <c r="P360" t="n">
        <v>92154</v>
      </c>
      <c r="Q360" t="n">
        <v>9464</v>
      </c>
    </row>
    <row r="361">
      <c r="A361" s="134" t="n">
        <v>44531</v>
      </c>
      <c r="B361" t="n">
        <v>445904</v>
      </c>
      <c r="C361" t="n">
        <v>626833</v>
      </c>
      <c r="D361" t="n">
        <v>41740</v>
      </c>
      <c r="E361" t="n">
        <v>26061</v>
      </c>
      <c r="F361" t="n">
        <v>77353</v>
      </c>
      <c r="G361" t="n">
        <v>7398</v>
      </c>
      <c r="H361" t="n">
        <v>11795</v>
      </c>
      <c r="I361" t="n">
        <v>72531</v>
      </c>
      <c r="J361" t="n">
        <v>500566</v>
      </c>
      <c r="K361" t="n">
        <v>54662</v>
      </c>
      <c r="L361" t="n">
        <v>69639</v>
      </c>
      <c r="M361" t="n">
        <v>32371</v>
      </c>
      <c r="N361" t="n">
        <v>15280</v>
      </c>
      <c r="O361" t="n">
        <v>126267</v>
      </c>
      <c r="P361" t="n">
        <v>82596</v>
      </c>
      <c r="Q361" t="n">
        <v>9140</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E4" sqref="E4"/>
    </sheetView>
  </sheetViews>
  <sheetFormatPr baseColWidth="10" defaultColWidth="9.1640625" defaultRowHeight="15"/>
  <cols>
    <col width="5.83203125" customWidth="1" style="114" min="1" max="1"/>
    <col width="14.6640625" customWidth="1" style="114" min="2" max="2"/>
    <col width="63.1640625" customWidth="1" style="114" min="3" max="3"/>
    <col width="16.33203125" bestFit="1" customWidth="1" style="114" min="4" max="4"/>
    <col width="16.33203125" customWidth="1" style="114" min="5" max="8"/>
    <col width="21.83203125" customWidth="1" style="114" min="9" max="9"/>
    <col width="52.33203125" customWidth="1" style="114" min="10" max="10"/>
    <col width="9.1640625" customWidth="1" style="114" min="11" max="12"/>
    <col width="9.83203125" customWidth="1" style="114" min="13" max="13"/>
    <col width="9.1640625" customWidth="1" style="114" min="14" max="16"/>
    <col width="9.1640625" customWidth="1" style="114" min="17" max="16384"/>
  </cols>
  <sheetData>
    <row r="1" ht="16" customHeight="1" s="95" thickBot="1"/>
    <row r="2">
      <c r="D2" s="4" t="inlineStr">
        <is>
          <t>Previous</t>
        </is>
      </c>
      <c r="E2" s="6">
        <f>DATE(YEAR(E3),MONTH(E3)-1,DAY(E3))</f>
        <v/>
      </c>
    </row>
    <row r="3" ht="16" customHeight="1" s="95" thickBot="1">
      <c r="D3" s="5" t="inlineStr">
        <is>
          <t>Latest</t>
        </is>
      </c>
      <c r="E3" s="7" t="n">
        <v>44531</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53" stopIfTrue="1">
      <formula>0</formula>
    </cfRule>
    <cfRule type="cellIs" priority="16" operator="lessThan" dxfId="52" stopIfTrue="1">
      <formula>0</formula>
    </cfRule>
    <cfRule type="cellIs" priority="17" operator="greaterThan" dxfId="51" stopIfTrue="1">
      <formula>0</formula>
    </cfRule>
  </conditionalFormatting>
  <conditionalFormatting sqref="F19">
    <cfRule type="cellIs" priority="9" operator="equal" dxfId="53" stopIfTrue="1">
      <formula>0</formula>
    </cfRule>
    <cfRule type="cellIs" priority="10" operator="lessThan" dxfId="52" stopIfTrue="1">
      <formula>0</formula>
    </cfRule>
    <cfRule type="cellIs" priority="11" operator="greaterThan" dxfId="51" stopIfTrue="1">
      <formula>0</formula>
    </cfRule>
  </conditionalFormatting>
  <conditionalFormatting sqref="F20">
    <cfRule type="cellIs" priority="6" operator="equal" dxfId="53" stopIfTrue="1">
      <formula>0</formula>
    </cfRule>
    <cfRule type="cellIs" priority="7" operator="lessThan" dxfId="52" stopIfTrue="1">
      <formula>0</formula>
    </cfRule>
    <cfRule type="cellIs" priority="8" operator="greaterThan" dxfId="51" stopIfTrue="1">
      <formula>0</formula>
    </cfRule>
  </conditionalFormatting>
  <conditionalFormatting sqref="F21">
    <cfRule type="cellIs" priority="3" operator="equal" dxfId="53" stopIfTrue="1">
      <formula>0</formula>
    </cfRule>
    <cfRule type="cellIs" priority="4" operator="lessThan" dxfId="52" stopIfTrue="1">
      <formula>0</formula>
    </cfRule>
    <cfRule type="cellIs" priority="5" operator="greaterThan" dxfId="51"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56"/>
  <sheetViews>
    <sheetView topLeftCell="A6" zoomScale="140" zoomScaleNormal="140" workbookViewId="0">
      <selection activeCell="P65" sqref="P65"/>
    </sheetView>
  </sheetViews>
  <sheetFormatPr baseColWidth="10" defaultColWidth="9.1640625" defaultRowHeight="15"/>
  <cols>
    <col width="3" customWidth="1" style="114" min="1" max="1"/>
    <col width="7.6640625" customWidth="1" style="114" min="2" max="32"/>
    <col width="9.1640625" customWidth="1" style="114" min="33" max="35"/>
    <col width="9.1640625" customWidth="1" style="114" min="36" max="16384"/>
  </cols>
  <sheetData>
    <row r="1" ht="16" customHeight="1" s="95" thickBot="1"/>
    <row r="2" ht="87" customHeight="1" s="95" thickBot="1">
      <c r="B2" s="54" t="n"/>
      <c r="C2" s="132" t="inlineStr">
        <is>
          <t>Retail Sales</t>
        </is>
      </c>
      <c r="D2" s="127" t="n"/>
      <c r="E2" s="133" t="inlineStr">
        <is>
          <t>Retail Sales ex Auto</t>
        </is>
      </c>
      <c r="F2" s="127" t="n"/>
      <c r="G2" s="132" t="inlineStr">
        <is>
          <t>Retail Sales ex Auto and Gas</t>
        </is>
      </c>
      <c r="H2" s="127" t="n"/>
      <c r="I2" s="132" t="inlineStr">
        <is>
          <t>Motor Vechicle</t>
        </is>
      </c>
      <c r="J2" s="127" t="n"/>
      <c r="K2" s="132" t="inlineStr">
        <is>
          <t>Non Store</t>
        </is>
      </c>
      <c r="L2" s="127" t="n"/>
      <c r="M2" s="132" t="inlineStr">
        <is>
          <t>Food &amp; Beverage</t>
        </is>
      </c>
      <c r="N2" s="127" t="n"/>
      <c r="O2" s="132" t="inlineStr">
        <is>
          <t>Food Services</t>
        </is>
      </c>
      <c r="P2" s="127" t="n"/>
      <c r="Q2" s="132" t="inlineStr">
        <is>
          <t>General Merchandis</t>
        </is>
      </c>
      <c r="R2" s="127" t="n"/>
      <c r="S2" s="132" t="inlineStr">
        <is>
          <t>Gasoline Stations</t>
        </is>
      </c>
      <c r="T2" s="127" t="n"/>
      <c r="U2" s="132" t="inlineStr">
        <is>
          <t>Housing Supplies</t>
        </is>
      </c>
      <c r="V2" s="127" t="n"/>
      <c r="W2" s="132" t="inlineStr">
        <is>
          <t>HealthCare</t>
        </is>
      </c>
      <c r="X2" s="127" t="n"/>
      <c r="Y2" s="132" t="inlineStr">
        <is>
          <t xml:space="preserve">Clothing </t>
        </is>
      </c>
      <c r="Z2" s="127" t="n"/>
      <c r="AA2" s="132" t="inlineStr">
        <is>
          <t>Furniture</t>
        </is>
      </c>
      <c r="AB2" s="127" t="n"/>
      <c r="AC2" s="132" t="inlineStr">
        <is>
          <t>Miscellan. stores</t>
        </is>
      </c>
      <c r="AD2" s="127" t="n"/>
      <c r="AE2" s="132" t="inlineStr">
        <is>
          <t>Clothing, Sport</t>
        </is>
      </c>
      <c r="AF2" s="127"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6">
    <cfRule type="colorScale" priority="243">
      <colorScale>
        <cfvo type="min"/>
        <cfvo type="percentile" val="50"/>
        <cfvo type="max"/>
        <color rgb="FFF8696B"/>
        <color rgb="FFFFEB84"/>
        <color rgb="FF63BE7B"/>
      </colorScale>
    </cfRule>
  </conditionalFormatting>
  <conditionalFormatting sqref="D4:D56">
    <cfRule type="colorScale" priority="244">
      <colorScale>
        <cfvo type="min"/>
        <cfvo type="percentile" val="50"/>
        <cfvo type="max"/>
        <color rgb="FFF8696B"/>
        <color rgb="FFFFEB84"/>
        <color rgb="FF63BE7B"/>
      </colorScale>
    </cfRule>
  </conditionalFormatting>
  <conditionalFormatting sqref="E4:E56">
    <cfRule type="colorScale" priority="245">
      <colorScale>
        <cfvo type="min"/>
        <cfvo type="percentile" val="50"/>
        <cfvo type="max"/>
        <color rgb="FFF8696B"/>
        <color rgb="FFFFEB84"/>
        <color rgb="FF63BE7B"/>
      </colorScale>
    </cfRule>
  </conditionalFormatting>
  <conditionalFormatting sqref="F4:F56">
    <cfRule type="colorScale" priority="246">
      <colorScale>
        <cfvo type="min"/>
        <cfvo type="percentile" val="50"/>
        <cfvo type="max"/>
        <color rgb="FFF8696B"/>
        <color rgb="FFFFEB84"/>
        <color rgb="FF63BE7B"/>
      </colorScale>
    </cfRule>
  </conditionalFormatting>
  <conditionalFormatting sqref="G4:G56">
    <cfRule type="colorScale" priority="247">
      <colorScale>
        <cfvo type="min"/>
        <cfvo type="percentile" val="50"/>
        <cfvo type="max"/>
        <color rgb="FFF8696B"/>
        <color rgb="FFFFEB84"/>
        <color rgb="FF63BE7B"/>
      </colorScale>
    </cfRule>
  </conditionalFormatting>
  <conditionalFormatting sqref="H4:H56">
    <cfRule type="colorScale" priority="248">
      <colorScale>
        <cfvo type="min"/>
        <cfvo type="percentile" val="50"/>
        <cfvo type="max"/>
        <color rgb="FFF8696B"/>
        <color rgb="FFFFEB84"/>
        <color rgb="FF63BE7B"/>
      </colorScale>
    </cfRule>
  </conditionalFormatting>
  <conditionalFormatting sqref="I4:I56">
    <cfRule type="colorScale" priority="249">
      <colorScale>
        <cfvo type="min"/>
        <cfvo type="percentile" val="50"/>
        <cfvo type="max"/>
        <color rgb="FFF8696B"/>
        <color rgb="FFFFEB84"/>
        <color rgb="FF63BE7B"/>
      </colorScale>
    </cfRule>
  </conditionalFormatting>
  <conditionalFormatting sqref="J4:J56">
    <cfRule type="colorScale" priority="250">
      <colorScale>
        <cfvo type="min"/>
        <cfvo type="percentile" val="50"/>
        <cfvo type="max"/>
        <color rgb="FFF8696B"/>
        <color rgb="FFFFEB84"/>
        <color rgb="FF63BE7B"/>
      </colorScale>
    </cfRule>
  </conditionalFormatting>
  <conditionalFormatting sqref="K4:K56">
    <cfRule type="colorScale" priority="251">
      <colorScale>
        <cfvo type="min"/>
        <cfvo type="percentile" val="50"/>
        <cfvo type="max"/>
        <color rgb="FFF8696B"/>
        <color rgb="FFFFEB84"/>
        <color rgb="FF63BE7B"/>
      </colorScale>
    </cfRule>
  </conditionalFormatting>
  <conditionalFormatting sqref="L4:L56">
    <cfRule type="colorScale" priority="252">
      <colorScale>
        <cfvo type="min"/>
        <cfvo type="percentile" val="50"/>
        <cfvo type="max"/>
        <color rgb="FFF8696B"/>
        <color rgb="FFFFEB84"/>
        <color rgb="FF63BE7B"/>
      </colorScale>
    </cfRule>
  </conditionalFormatting>
  <conditionalFormatting sqref="M4:M56">
    <cfRule type="colorScale" priority="253">
      <colorScale>
        <cfvo type="min"/>
        <cfvo type="percentile" val="50"/>
        <cfvo type="max"/>
        <color rgb="FFF8696B"/>
        <color rgb="FFFFEB84"/>
        <color rgb="FF63BE7B"/>
      </colorScale>
    </cfRule>
  </conditionalFormatting>
  <conditionalFormatting sqref="O4:O56">
    <cfRule type="colorScale" priority="254">
      <colorScale>
        <cfvo type="min"/>
        <cfvo type="percentile" val="50"/>
        <cfvo type="max"/>
        <color rgb="FFF8696B"/>
        <color rgb="FFFFEB84"/>
        <color rgb="FF63BE7B"/>
      </colorScale>
    </cfRule>
  </conditionalFormatting>
  <conditionalFormatting sqref="P4:P56">
    <cfRule type="colorScale" priority="255">
      <colorScale>
        <cfvo type="min"/>
        <cfvo type="percentile" val="50"/>
        <cfvo type="max"/>
        <color rgb="FFF8696B"/>
        <color rgb="FFFFEB84"/>
        <color rgb="FF63BE7B"/>
      </colorScale>
    </cfRule>
  </conditionalFormatting>
  <conditionalFormatting sqref="Q4:Q56">
    <cfRule type="colorScale" priority="256">
      <colorScale>
        <cfvo type="min"/>
        <cfvo type="percentile" val="50"/>
        <cfvo type="max"/>
        <color rgb="FFF8696B"/>
        <color rgb="FFFFEB84"/>
        <color rgb="FF63BE7B"/>
      </colorScale>
    </cfRule>
  </conditionalFormatting>
  <conditionalFormatting sqref="R4:R56">
    <cfRule type="colorScale" priority="257">
      <colorScale>
        <cfvo type="min"/>
        <cfvo type="percentile" val="50"/>
        <cfvo type="max"/>
        <color rgb="FFF8696B"/>
        <color rgb="FFFFEB84"/>
        <color rgb="FF63BE7B"/>
      </colorScale>
    </cfRule>
  </conditionalFormatting>
  <conditionalFormatting sqref="S4:S56">
    <cfRule type="colorScale" priority="258">
      <colorScale>
        <cfvo type="min"/>
        <cfvo type="percentile" val="50"/>
        <cfvo type="max"/>
        <color rgb="FFF8696B"/>
        <color rgb="FFFFEB84"/>
        <color rgb="FF63BE7B"/>
      </colorScale>
    </cfRule>
  </conditionalFormatting>
  <conditionalFormatting sqref="T4:T56">
    <cfRule type="colorScale" priority="259">
      <colorScale>
        <cfvo type="min"/>
        <cfvo type="percentile" val="50"/>
        <cfvo type="max"/>
        <color rgb="FFF8696B"/>
        <color rgb="FFFFEB84"/>
        <color rgb="FF63BE7B"/>
      </colorScale>
    </cfRule>
  </conditionalFormatting>
  <conditionalFormatting sqref="U4:U56">
    <cfRule type="colorScale" priority="260">
      <colorScale>
        <cfvo type="min"/>
        <cfvo type="percentile" val="50"/>
        <cfvo type="max"/>
        <color rgb="FFF8696B"/>
        <color rgb="FFFFEB84"/>
        <color rgb="FF63BE7B"/>
      </colorScale>
    </cfRule>
  </conditionalFormatting>
  <conditionalFormatting sqref="V4:V56">
    <cfRule type="colorScale" priority="261">
      <colorScale>
        <cfvo type="min"/>
        <cfvo type="percentile" val="50"/>
        <cfvo type="max"/>
        <color rgb="FFF8696B"/>
        <color rgb="FFFFEB84"/>
        <color rgb="FF63BE7B"/>
      </colorScale>
    </cfRule>
  </conditionalFormatting>
  <conditionalFormatting sqref="W4:W56">
    <cfRule type="colorScale" priority="262">
      <colorScale>
        <cfvo type="min"/>
        <cfvo type="percentile" val="50"/>
        <cfvo type="max"/>
        <color rgb="FFF8696B"/>
        <color rgb="FFFFEB84"/>
        <color rgb="FF63BE7B"/>
      </colorScale>
    </cfRule>
  </conditionalFormatting>
  <conditionalFormatting sqref="X4:X56">
    <cfRule type="colorScale" priority="265">
      <colorScale>
        <cfvo type="min"/>
        <cfvo type="percentile" val="50"/>
        <cfvo type="max"/>
        <color rgb="FFF8696B"/>
        <color rgb="FFFFEB84"/>
        <color rgb="FF63BE7B"/>
      </colorScale>
    </cfRule>
  </conditionalFormatting>
  <conditionalFormatting sqref="Y4:Y56">
    <cfRule type="colorScale" priority="268">
      <colorScale>
        <cfvo type="min"/>
        <cfvo type="percentile" val="50"/>
        <cfvo type="max"/>
        <color rgb="FFF8696B"/>
        <color rgb="FFFFEB84"/>
        <color rgb="FF63BE7B"/>
      </colorScale>
    </cfRule>
  </conditionalFormatting>
  <conditionalFormatting sqref="Z4:Z56">
    <cfRule type="colorScale" priority="269">
      <colorScale>
        <cfvo type="min"/>
        <cfvo type="percentile" val="50"/>
        <cfvo type="max"/>
        <color rgb="FFF8696B"/>
        <color rgb="FFFFEB84"/>
        <color rgb="FF63BE7B"/>
      </colorScale>
    </cfRule>
  </conditionalFormatting>
  <conditionalFormatting sqref="AA4:AA56">
    <cfRule type="colorScale" priority="270">
      <colorScale>
        <cfvo type="min"/>
        <cfvo type="percentile" val="50"/>
        <cfvo type="max"/>
        <color rgb="FFF8696B"/>
        <color rgb="FFFFEB84"/>
        <color rgb="FF63BE7B"/>
      </colorScale>
    </cfRule>
  </conditionalFormatting>
  <conditionalFormatting sqref="AB4:AB56">
    <cfRule type="colorScale" priority="271">
      <colorScale>
        <cfvo type="min"/>
        <cfvo type="percentile" val="50"/>
        <cfvo type="max"/>
        <color rgb="FFF8696B"/>
        <color rgb="FFFFEB84"/>
        <color rgb="FF63BE7B"/>
      </colorScale>
    </cfRule>
  </conditionalFormatting>
  <conditionalFormatting sqref="AC4:AC56">
    <cfRule type="colorScale" priority="272">
      <colorScale>
        <cfvo type="min"/>
        <cfvo type="percentile" val="50"/>
        <cfvo type="max"/>
        <color rgb="FFF8696B"/>
        <color rgb="FFFFEB84"/>
        <color rgb="FF63BE7B"/>
      </colorScale>
    </cfRule>
  </conditionalFormatting>
  <conditionalFormatting sqref="AD4:AD56">
    <cfRule type="colorScale" priority="273">
      <colorScale>
        <cfvo type="min"/>
        <cfvo type="percentile" val="50"/>
        <cfvo type="max"/>
        <color rgb="FFF8696B"/>
        <color rgb="FFFFEB84"/>
        <color rgb="FF63BE7B"/>
      </colorScale>
    </cfRule>
  </conditionalFormatting>
  <conditionalFormatting sqref="AE4:AE56">
    <cfRule type="colorScale" priority="274">
      <colorScale>
        <cfvo type="min"/>
        <cfvo type="percentile" val="50"/>
        <cfvo type="max"/>
        <color rgb="FFF8696B"/>
        <color rgb="FFFFEB84"/>
        <color rgb="FF63BE7B"/>
      </colorScale>
    </cfRule>
  </conditionalFormatting>
  <conditionalFormatting sqref="AF4:AF56">
    <cfRule type="colorScale" priority="275">
      <colorScale>
        <cfvo type="min"/>
        <cfvo type="percentile" val="50"/>
        <cfvo type="max"/>
        <color rgb="FFF8696B"/>
        <color rgb="FFFFEB84"/>
        <color rgb="FF63BE7B"/>
      </colorScale>
    </cfRule>
  </conditionalFormatting>
  <conditionalFormatting sqref="N4:N56">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3"/>
  <sheetViews>
    <sheetView zoomScale="170" zoomScaleNormal="170" workbookViewId="0">
      <pane ySplit="6" topLeftCell="A333" activePane="bottomLeft" state="frozen"/>
      <selection pane="bottomLeft" activeCell="Q370" sqref="Q370"/>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14" min="5" max="53"/>
  </cols>
  <sheetData>
    <row r="1" customFormat="1" s="114">
      <c r="A1" s="26" t="inlineStr">
        <is>
          <t>MARTSSM44W72USS</t>
        </is>
      </c>
      <c r="B1" s="27" t="inlineStr">
        <is>
          <t>Advance Retail Sales: Retail Trade and Food Services, Excluding Motor Vehicle and Parts Dealers and Gasoline Stations (MARTSMPCSM44W72USS)</t>
        </is>
      </c>
      <c r="I1" s="21" t="n"/>
      <c r="J1" s="21" t="n"/>
      <c r="L1" s="114" t="inlineStr">
        <is>
          <t>mom</t>
        </is>
      </c>
      <c r="M1" s="114" t="inlineStr">
        <is>
          <t>yoy</t>
        </is>
      </c>
    </row>
    <row r="2" customFormat="1" s="114">
      <c r="A2" s="129" t="inlineStr">
        <is>
          <t>https://fred.stlouisfed.org/series/MARTSMPCSM44W72USS</t>
        </is>
      </c>
      <c r="I2" s="21" t="n"/>
      <c r="J2" s="21" t="n"/>
      <c r="L2" s="28">
        <f>MAX(C8:C335)</f>
        <v/>
      </c>
      <c r="M2" s="28">
        <f>MAX(D8:D335)</f>
        <v/>
      </c>
    </row>
    <row r="3" customFormat="1" s="114">
      <c r="A3" s="129" t="n"/>
      <c r="I3" s="21" t="n"/>
      <c r="J3" s="21" t="n"/>
      <c r="L3" s="28">
        <f>MIN(C8:C335)</f>
        <v/>
      </c>
      <c r="M3" s="28">
        <f>MIN(D8:D335)</f>
        <v/>
      </c>
    </row>
    <row r="4" customFormat="1" s="114">
      <c r="A4" s="129" t="n"/>
      <c r="I4" s="21" t="n"/>
      <c r="J4" s="21" t="n"/>
      <c r="L4" s="28" t="n"/>
      <c r="M4" s="28" t="n"/>
    </row>
    <row r="5" customFormat="1" s="114">
      <c r="C5" s="114" t="inlineStr">
        <is>
          <t>https://tradingeconomics.com/united-states/retail-sales</t>
        </is>
      </c>
      <c r="D5" s="114"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1" t="n">
        <v>44531</v>
      </c>
      <c r="B366" s="15">
        <f>VLOOKUP(A366,Database!A:M,MATCH($A$1,Database!$A$1:$M$1,),)</f>
        <v/>
      </c>
      <c r="C366" s="12">
        <f>(B366-B365)/B365</f>
        <v/>
      </c>
      <c r="D366" s="13">
        <f>(B366-B354)/B354</f>
        <v/>
      </c>
    </row>
    <row r="367" customFormat="1" s="114"/>
    <row r="368" customFormat="1" s="114"/>
    <row r="369" customFormat="1" s="114"/>
    <row r="370" customFormat="1" s="114"/>
    <row r="371" customFormat="1" s="114"/>
    <row r="372" customFormat="1" s="114"/>
    <row r="373" customFormat="1" s="114"/>
    <row r="374" customFormat="1" s="114"/>
    <row r="375" customFormat="1" s="114"/>
    <row r="376" customFormat="1" s="114"/>
    <row r="377" customFormat="1" s="114"/>
    <row r="378" customFormat="1" s="114"/>
    <row r="379" customFormat="1" s="114"/>
    <row r="380" customFormat="1" s="114"/>
    <row r="381" customFormat="1" s="114"/>
    <row r="382" customFormat="1" s="114"/>
    <row r="383" customFormat="1" s="114"/>
    <row r="384" customFormat="1" s="114"/>
    <row r="385" customFormat="1" s="114"/>
    <row r="386" customFormat="1" s="114"/>
    <row r="387" customFormat="1" s="114"/>
    <row r="388" customFormat="1" s="114"/>
    <row r="389" customFormat="1" s="114"/>
    <row r="390" customFormat="1" s="114"/>
    <row r="391" customFormat="1" s="114"/>
    <row r="392" customFormat="1" s="114"/>
    <row r="393" customFormat="1" s="114"/>
    <row r="394" customFormat="1" s="114"/>
    <row r="395" customFormat="1" s="114"/>
    <row r="396" customFormat="1" s="114"/>
    <row r="397" customFormat="1" s="114"/>
    <row r="398" customFormat="1" s="114"/>
    <row r="399" customFormat="1" s="114"/>
    <row r="400" customFormat="1" s="114"/>
    <row r="401" customFormat="1" s="114"/>
    <row r="402" customFormat="1" s="114"/>
    <row r="403" customFormat="1" s="114"/>
    <row r="404" customFormat="1" s="114"/>
    <row r="405" customFormat="1" s="114"/>
    <row r="406" customFormat="1" s="114"/>
    <row r="407" customFormat="1" s="114"/>
    <row r="408" customFormat="1" s="114"/>
    <row r="409" customFormat="1" s="114"/>
    <row r="410" customFormat="1" s="114"/>
    <row r="411" customFormat="1" s="114"/>
    <row r="412" customFormat="1" s="114"/>
    <row r="413" customFormat="1" s="114"/>
    <row r="414" customFormat="1" s="114"/>
    <row r="415" customFormat="1" s="114"/>
    <row r="416" customFormat="1" s="114"/>
    <row r="417" customFormat="1" s="114"/>
    <row r="418" customFormat="1" s="114"/>
    <row r="419" customFormat="1" s="114"/>
    <row r="420" customFormat="1" s="114"/>
    <row r="421" customFormat="1" s="114"/>
    <row r="422" customFormat="1" s="114"/>
    <row r="423" customFormat="1" s="114"/>
    <row r="424" customFormat="1" s="114"/>
    <row r="425" customFormat="1" s="114"/>
    <row r="426" customFormat="1" s="114"/>
    <row r="427" customFormat="1" s="114"/>
    <row r="428" customFormat="1" s="114"/>
    <row r="429" customFormat="1" s="114"/>
    <row r="430" customFormat="1" s="114"/>
    <row r="431" customFormat="1" s="114"/>
    <row r="432" customFormat="1" s="114"/>
    <row r="433" customFormat="1" s="114"/>
    <row r="434" customFormat="1" s="114"/>
    <row r="435" customFormat="1" s="114"/>
    <row r="436" customFormat="1" s="114"/>
    <row r="437" customFormat="1" s="114"/>
    <row r="438" customFormat="1" s="114"/>
    <row r="439" customFormat="1" s="114"/>
    <row r="440" customFormat="1" s="114"/>
    <row r="441" customFormat="1" s="114"/>
    <row r="442" customFormat="1" s="114"/>
    <row r="443" customFormat="1" s="114"/>
    <row r="444" customFormat="1" s="114"/>
    <row r="445" customFormat="1" s="114"/>
    <row r="446" customFormat="1" s="114"/>
    <row r="447" customFormat="1" s="114"/>
    <row r="448" customFormat="1" s="114"/>
    <row r="449" customFormat="1" s="114"/>
    <row r="450" customFormat="1" s="114"/>
    <row r="451" customFormat="1" s="114"/>
    <row r="452" customFormat="1" s="114"/>
    <row r="453" customFormat="1" s="114"/>
    <row r="454" customFormat="1" s="114"/>
    <row r="455" customFormat="1" s="114"/>
    <row r="456" customFormat="1" s="114"/>
    <row r="457" customFormat="1" s="114"/>
    <row r="458" customFormat="1" s="114"/>
    <row r="459" customFormat="1" s="114"/>
    <row r="460" customFormat="1" s="114"/>
    <row r="461" customFormat="1" s="114"/>
    <row r="462" customFormat="1" s="114"/>
    <row r="463" customFormat="1" s="114"/>
    <row r="464" customFormat="1" s="114"/>
    <row r="465" customFormat="1" s="114"/>
    <row r="466" customFormat="1" s="114"/>
    <row r="467" customFormat="1" s="114"/>
    <row r="468" customFormat="1" s="114"/>
    <row r="469" customFormat="1" s="114"/>
    <row r="470" customFormat="1" s="114"/>
    <row r="471" customFormat="1" s="114"/>
    <row r="472" customFormat="1" s="114"/>
    <row r="473" customFormat="1" s="114"/>
    <row r="474" customFormat="1" s="114"/>
    <row r="475" customFormat="1" s="114"/>
    <row r="476" customFormat="1" s="114"/>
    <row r="477" customFormat="1" s="114"/>
    <row r="478" customFormat="1" s="114"/>
    <row r="479" customFormat="1" s="114"/>
    <row r="480" customFormat="1" s="114"/>
    <row r="481" customFormat="1" s="114"/>
    <row r="482" customFormat="1" s="114"/>
    <row r="483" customFormat="1" s="114"/>
    <row r="484" customFormat="1" s="114"/>
    <row r="485" customFormat="1" s="114"/>
    <row r="486" customFormat="1" s="114"/>
    <row r="487" customFormat="1" s="114"/>
    <row r="488" customFormat="1" s="114"/>
    <row r="489" customFormat="1" s="114"/>
    <row r="490" customFormat="1" s="114"/>
    <row r="491" customFormat="1" s="114"/>
    <row r="492" customFormat="1" s="114"/>
    <row r="493" customFormat="1" s="114"/>
    <row r="494" customFormat="1" s="114"/>
    <row r="495" customFormat="1" s="114"/>
    <row r="496" customFormat="1" s="114"/>
    <row r="497" customFormat="1" s="114"/>
    <row r="498" customFormat="1" s="114"/>
    <row r="499" customFormat="1" s="114"/>
    <row r="500" customFormat="1" s="114"/>
    <row r="501" customFormat="1" s="114"/>
    <row r="502" customFormat="1" s="114"/>
    <row r="503" customFormat="1" s="114"/>
    <row r="504" customFormat="1" s="114"/>
    <row r="505" customFormat="1" s="114"/>
    <row r="506" customFormat="1" s="114"/>
    <row r="507" customFormat="1" s="114"/>
    <row r="508" customFormat="1" s="114"/>
    <row r="509" customFormat="1" s="114"/>
    <row r="510" customFormat="1" s="114"/>
    <row r="511" customFormat="1" s="114"/>
    <row r="512" customFormat="1" s="114"/>
    <row r="513" customFormat="1" s="114"/>
    <row r="514" customFormat="1" s="114"/>
    <row r="515" customFormat="1" s="114"/>
    <row r="516" customFormat="1" s="114"/>
    <row r="517" customFormat="1" s="114"/>
    <row r="518" customFormat="1" s="114"/>
    <row r="519" customFormat="1" s="114"/>
    <row r="520" customFormat="1" s="114"/>
    <row r="521" customFormat="1" s="114"/>
    <row r="522" customFormat="1" s="114"/>
    <row r="523" customFormat="1" s="114"/>
    <row r="524" customFormat="1" s="114"/>
    <row r="525" customFormat="1" s="114"/>
    <row r="526" customFormat="1" s="114"/>
    <row r="527" customFormat="1" s="114"/>
    <row r="528" customFormat="1" s="114"/>
    <row r="529" customFormat="1" s="114"/>
    <row r="530" customFormat="1" s="114"/>
    <row r="531" customFormat="1" s="114"/>
    <row r="532" customFormat="1" s="114"/>
    <row r="533" customFormat="1" s="114"/>
    <row r="534" customFormat="1" s="114"/>
    <row r="535" customFormat="1" s="114"/>
    <row r="536" customFormat="1" s="114"/>
    <row r="537" customFormat="1" s="114"/>
    <row r="538" customFormat="1" s="114"/>
    <row r="539" customFormat="1" s="114"/>
    <row r="540" customFormat="1" s="114"/>
    <row r="541" customFormat="1" s="114"/>
    <row r="542" customFormat="1" s="114"/>
    <row r="543" customFormat="1" s="114"/>
    <row r="544" customFormat="1" s="114"/>
    <row r="545" customFormat="1" s="114"/>
    <row r="546" customFormat="1" s="114"/>
    <row r="547" customFormat="1" s="114"/>
    <row r="548" customFormat="1" s="114"/>
    <row r="549" customFormat="1" s="114"/>
    <row r="550" customFormat="1" s="114"/>
    <row r="551" customFormat="1" s="114"/>
    <row r="552" customFormat="1" s="114"/>
    <row r="553" customFormat="1" s="114"/>
    <row r="554" customFormat="1" s="114"/>
    <row r="555" customFormat="1" s="114"/>
    <row r="556" customFormat="1" s="114"/>
    <row r="557" customFormat="1" s="114"/>
    <row r="558" customFormat="1" s="114"/>
    <row r="559" customFormat="1" s="114"/>
    <row r="560" customFormat="1" s="114"/>
    <row r="561" customFormat="1" s="114"/>
    <row r="562" customFormat="1" s="114"/>
    <row r="563" customFormat="1" s="114"/>
    <row r="564" customFormat="1" s="114"/>
    <row r="565" customFormat="1" s="114"/>
    <row r="566" customFormat="1" s="114"/>
    <row r="567" customFormat="1" s="114"/>
    <row r="568" customFormat="1" s="114"/>
    <row r="569" customFormat="1" s="114"/>
    <row r="570" customFormat="1" s="114"/>
    <row r="571" customFormat="1" s="114"/>
    <row r="572" customFormat="1" s="114"/>
    <row r="573" customFormat="1" s="114"/>
    <row r="574" customFormat="1" s="114"/>
    <row r="575" customFormat="1" s="114"/>
    <row r="576" customFormat="1" s="114"/>
    <row r="577" customFormat="1" s="114"/>
    <row r="578" customFormat="1" s="114"/>
    <row r="579" customFormat="1" s="114"/>
    <row r="580" customFormat="1" s="114"/>
    <row r="581" customFormat="1" s="114"/>
    <row r="582" customFormat="1" s="114"/>
    <row r="583" customFormat="1" s="114"/>
    <row r="584" customFormat="1" s="114"/>
    <row r="585" customFormat="1" s="114"/>
    <row r="586" customFormat="1" s="114"/>
    <row r="587" customFormat="1" s="114"/>
    <row r="588" customFormat="1" s="114"/>
    <row r="589" customFormat="1" s="114"/>
    <row r="590" customFormat="1" s="114"/>
    <row r="591" customFormat="1" s="114"/>
    <row r="592" customFormat="1" s="114"/>
    <row r="593" customFormat="1" s="114"/>
    <row r="594" customFormat="1" s="114"/>
    <row r="595" customFormat="1" s="114"/>
    <row r="596" customFormat="1" s="114"/>
    <row r="597" customFormat="1" s="114"/>
    <row r="598" customFormat="1" s="114"/>
    <row r="599" customFormat="1" s="114"/>
    <row r="600" customFormat="1" s="114"/>
    <row r="601" customFormat="1" s="114"/>
    <row r="602" customFormat="1" s="114"/>
    <row r="603" customFormat="1" s="114"/>
    <row r="604" customFormat="1" s="114"/>
    <row r="605" customFormat="1" s="114"/>
    <row r="606" customFormat="1" s="114"/>
    <row r="607" customFormat="1" s="114"/>
    <row r="608" customFormat="1" s="114"/>
    <row r="609" customFormat="1" s="114"/>
    <row r="610" customFormat="1" s="114"/>
    <row r="611" customFormat="1" s="114"/>
    <row r="612" customFormat="1" s="114"/>
    <row r="613" customFormat="1" s="114"/>
    <row r="614" customFormat="1" s="114"/>
    <row r="615" customFormat="1" s="114"/>
    <row r="616" customFormat="1" s="114"/>
    <row r="617" customFormat="1" s="114"/>
    <row r="618" customFormat="1" s="114"/>
    <row r="619" customFormat="1" s="114"/>
    <row r="620" customFormat="1" s="114"/>
    <row r="621" customFormat="1" s="114"/>
    <row r="622" customFormat="1" s="114"/>
    <row r="623" customFormat="1" s="114"/>
    <row r="624" customFormat="1" s="114"/>
    <row r="625" customFormat="1" s="114"/>
    <row r="626" customFormat="1" s="114"/>
    <row r="627" customFormat="1" s="114"/>
    <row r="628" customFormat="1" s="114"/>
    <row r="629" customFormat="1" s="114"/>
    <row r="630" customFormat="1" s="114"/>
    <row r="631" customFormat="1" s="114"/>
    <row r="632" customFormat="1" s="114"/>
    <row r="633">
      <c r="A633" s="114" t="n"/>
      <c r="B633" s="114" t="n"/>
      <c r="C633" s="114" t="n"/>
      <c r="D633" s="114" t="n"/>
    </row>
    <row r="634">
      <c r="A634" s="114" t="n"/>
      <c r="B634" s="114" t="n"/>
      <c r="C634" s="114" t="n"/>
      <c r="D634" s="114" t="n"/>
    </row>
    <row r="635">
      <c r="A635" s="114" t="n"/>
      <c r="B635" s="114" t="n"/>
      <c r="C635" s="114" t="n"/>
      <c r="D635" s="114" t="n"/>
    </row>
    <row r="636">
      <c r="A636" s="114" t="n"/>
      <c r="B636" s="114" t="n"/>
      <c r="C636" s="114" t="n"/>
      <c r="D636" s="114" t="n"/>
    </row>
    <row r="637">
      <c r="A637" s="114" t="n"/>
      <c r="B637" s="114" t="n"/>
      <c r="C637" s="114" t="n"/>
      <c r="D637" s="114" t="n"/>
    </row>
    <row r="638">
      <c r="A638" s="114" t="n"/>
      <c r="B638" s="114" t="n"/>
      <c r="C638" s="114" t="n"/>
      <c r="D638" s="114" t="n"/>
    </row>
    <row r="639">
      <c r="A639" s="114" t="n"/>
      <c r="B639" s="114" t="n"/>
      <c r="C639" s="114" t="n"/>
      <c r="D639" s="114" t="n"/>
    </row>
    <row r="640">
      <c r="A640" s="114" t="n"/>
      <c r="B640" s="114" t="n"/>
      <c r="C640" s="114" t="n"/>
      <c r="D640" s="114" t="n"/>
    </row>
    <row r="641">
      <c r="A641" s="114" t="n"/>
      <c r="B641" s="114" t="n"/>
      <c r="C641" s="114" t="n"/>
      <c r="D641" s="114" t="n"/>
    </row>
    <row r="642">
      <c r="A642" s="114" t="n"/>
      <c r="B642" s="114" t="n"/>
      <c r="C642" s="114" t="n"/>
      <c r="D642" s="114" t="n"/>
    </row>
    <row r="643">
      <c r="A643" s="114" t="n"/>
      <c r="B643" s="114" t="n"/>
      <c r="C643" s="114" t="n"/>
      <c r="D643" s="114" t="n"/>
    </row>
    <row r="644">
      <c r="A644" s="114" t="n"/>
      <c r="B644" s="114" t="n"/>
      <c r="C644" s="114" t="n"/>
      <c r="D644" s="114" t="n"/>
    </row>
    <row r="645">
      <c r="A645" s="114" t="n"/>
      <c r="B645" s="114" t="n"/>
      <c r="C645" s="114" t="n"/>
      <c r="D645" s="114" t="n"/>
    </row>
    <row r="646">
      <c r="A646" s="114" t="n"/>
      <c r="B646" s="114" t="n"/>
      <c r="C646" s="114" t="n"/>
      <c r="D646" s="114" t="n"/>
    </row>
    <row r="647">
      <c r="A647" s="114" t="n"/>
      <c r="B647" s="114" t="n"/>
      <c r="C647" s="114" t="n"/>
      <c r="D647" s="114" t="n"/>
    </row>
    <row r="648">
      <c r="A648" s="114" t="n"/>
      <c r="B648" s="114" t="n"/>
      <c r="C648" s="114" t="n"/>
      <c r="D648" s="114" t="n"/>
    </row>
    <row r="649">
      <c r="A649" s="114" t="n"/>
      <c r="B649" s="114" t="n"/>
      <c r="C649" s="114" t="n"/>
      <c r="D649" s="114" t="n"/>
    </row>
    <row r="650">
      <c r="A650" s="114" t="n"/>
      <c r="B650" s="114" t="n"/>
      <c r="C650" s="114" t="n"/>
      <c r="D650" s="114" t="n"/>
    </row>
    <row r="651">
      <c r="A651" s="114" t="n"/>
      <c r="B651" s="114" t="n"/>
      <c r="C651" s="114" t="n"/>
      <c r="D651" s="114" t="n"/>
    </row>
    <row r="652">
      <c r="A652" s="114" t="n"/>
      <c r="B652" s="114" t="n"/>
      <c r="C652" s="114" t="n"/>
      <c r="D652" s="114" t="n"/>
    </row>
    <row r="653">
      <c r="A653" s="114" t="n"/>
      <c r="B653" s="114" t="n"/>
      <c r="C653" s="114" t="n"/>
      <c r="D653" s="114" t="n"/>
    </row>
    <row r="654">
      <c r="A654" s="114" t="n"/>
      <c r="B654" s="114" t="n"/>
      <c r="C654" s="114" t="n"/>
      <c r="D654" s="114" t="n"/>
    </row>
    <row r="655">
      <c r="A655" s="114" t="n"/>
      <c r="B655" s="114" t="n"/>
      <c r="C655" s="114" t="n"/>
      <c r="D655" s="114" t="n"/>
    </row>
    <row r="656">
      <c r="A656" s="114" t="n"/>
      <c r="B656" s="114" t="n"/>
      <c r="C656" s="114" t="n"/>
      <c r="D656" s="114" t="n"/>
    </row>
    <row r="657">
      <c r="A657" s="114" t="n"/>
      <c r="B657" s="114" t="n"/>
      <c r="C657" s="114" t="n"/>
      <c r="D657" s="114" t="n"/>
    </row>
    <row r="658">
      <c r="A658" s="114" t="n"/>
      <c r="B658" s="114" t="n"/>
      <c r="C658" s="114" t="n"/>
      <c r="D658" s="114" t="n"/>
    </row>
    <row r="659">
      <c r="A659" s="114" t="n"/>
      <c r="B659" s="114" t="n"/>
      <c r="C659" s="114" t="n"/>
      <c r="D659" s="114" t="n"/>
    </row>
    <row r="660">
      <c r="A660" s="114" t="n"/>
      <c r="B660" s="114" t="n"/>
      <c r="C660" s="114" t="n"/>
      <c r="D660" s="114" t="n"/>
    </row>
    <row r="661">
      <c r="A661" s="114" t="n"/>
      <c r="B661" s="114" t="n"/>
      <c r="C661" s="114" t="n"/>
      <c r="D661" s="114" t="n"/>
    </row>
    <row r="662">
      <c r="A662" s="114" t="n"/>
      <c r="B662" s="114" t="n"/>
      <c r="C662" s="114" t="n"/>
      <c r="D662" s="114" t="n"/>
    </row>
    <row r="663">
      <c r="A663" s="114" t="n"/>
      <c r="B663" s="114" t="n"/>
      <c r="C663" s="114" t="n"/>
      <c r="D663" s="114" t="n"/>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38"/>
  <sheetViews>
    <sheetView zoomScale="160" zoomScaleNormal="160" workbookViewId="0">
      <pane ySplit="6" topLeftCell="A330" activePane="bottomLeft" state="frozen"/>
      <selection pane="bottomLeft" activeCell="U355" sqref="U355"/>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14" min="5" max="140"/>
  </cols>
  <sheetData>
    <row r="1" customFormat="1" s="114">
      <c r="A1" s="27" t="inlineStr">
        <is>
          <t>RSAFS</t>
        </is>
      </c>
      <c r="B1" s="25" t="inlineStr">
        <is>
          <t>Retail and Food Services Sales (RSAFS), Millions of Dollars, Monthly, Seasonally Adjusted</t>
        </is>
      </c>
      <c r="C1" s="54" t="n"/>
      <c r="D1" s="54" t="n"/>
    </row>
    <row r="2" customFormat="1" s="114">
      <c r="A2" s="9" t="inlineStr">
        <is>
          <t>https://fred.stlouisfed.org/series/RSAFS</t>
        </is>
      </c>
      <c r="B2" s="14" t="n"/>
      <c r="C2" s="54" t="n"/>
      <c r="D2" s="54" t="n"/>
    </row>
    <row r="3" customFormat="1" s="114">
      <c r="A3" s="9" t="n"/>
      <c r="B3" s="14" t="n"/>
      <c r="C3" s="54" t="n"/>
      <c r="D3" s="54" t="n"/>
    </row>
    <row r="4" customFormat="1" s="114">
      <c r="A4" s="9" t="n"/>
      <c r="B4" s="14" t="n"/>
      <c r="C4" s="54" t="n"/>
      <c r="D4" s="54" t="n"/>
    </row>
    <row r="5" ht="16" customFormat="1" customHeight="1" s="114"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14">
      <c r="A338" s="11" t="n">
        <v>43678</v>
      </c>
      <c r="B338" s="15">
        <f>VLOOKUP(A338,Database!A:K,MATCH('Retail Sales'!$A$1,Database!$A$1:$K$1,),)</f>
        <v/>
      </c>
      <c r="C338" s="12">
        <f>(B338-B337)/B337</f>
        <v/>
      </c>
      <c r="D338" s="13">
        <f>(B338-B326)/B326</f>
        <v/>
      </c>
    </row>
    <row r="339" customFormat="1" s="114">
      <c r="A339" s="10" t="n">
        <v>43709</v>
      </c>
      <c r="B339" s="15">
        <f>VLOOKUP(A339,Database!A:K,MATCH('Retail Sales'!$A$1,Database!$A$1:$K$1,),)</f>
        <v/>
      </c>
      <c r="C339" s="12">
        <f>(B339-B338)/B338</f>
        <v/>
      </c>
      <c r="D339" s="13">
        <f>(B339-B327)/B327</f>
        <v/>
      </c>
    </row>
    <row r="340" customFormat="1" s="114">
      <c r="A340" s="11" t="n">
        <v>43739</v>
      </c>
      <c r="B340" s="15">
        <f>VLOOKUP(A340,Database!A:K,MATCH('Retail Sales'!$A$1,Database!$A$1:$K$1,),)</f>
        <v/>
      </c>
      <c r="C340" s="12">
        <f>(B340-B339)/B339</f>
        <v/>
      </c>
      <c r="D340" s="13">
        <f>(B340-B328)/B328</f>
        <v/>
      </c>
    </row>
    <row r="341" customFormat="1" s="114">
      <c r="A341" s="10" t="n">
        <v>43770</v>
      </c>
      <c r="B341" s="15">
        <f>VLOOKUP(A341,Database!A:K,MATCH('Retail Sales'!$A$1,Database!$A$1:$K$1,),)</f>
        <v/>
      </c>
      <c r="C341" s="12">
        <f>(B341-B340)/B340</f>
        <v/>
      </c>
      <c r="D341" s="13">
        <f>(B341-B329)/B329</f>
        <v/>
      </c>
    </row>
    <row r="342" customFormat="1" s="114">
      <c r="A342" s="11" t="n">
        <v>43800</v>
      </c>
      <c r="B342" s="15">
        <f>VLOOKUP(A342,Database!A:K,MATCH('Retail Sales'!$A$1,Database!$A$1:$K$1,),)</f>
        <v/>
      </c>
      <c r="C342" s="12">
        <f>(B342-B341)/B341</f>
        <v/>
      </c>
      <c r="D342" s="13">
        <f>(B342-B330)/B330</f>
        <v/>
      </c>
    </row>
    <row r="343" customFormat="1" s="114">
      <c r="A343" s="10" t="n">
        <v>43831</v>
      </c>
      <c r="B343" s="15">
        <f>VLOOKUP(A343,Database!A:K,MATCH('Retail Sales'!$A$1,Database!$A$1:$K$1,),)</f>
        <v/>
      </c>
      <c r="C343" s="12">
        <f>(B343-B342)/B342</f>
        <v/>
      </c>
      <c r="D343" s="13">
        <f>(B343-B331)/B331</f>
        <v/>
      </c>
    </row>
    <row r="344" customFormat="1" s="114">
      <c r="A344" s="11" t="n">
        <v>43862</v>
      </c>
      <c r="B344" s="15">
        <f>VLOOKUP(A344,Database!A:K,MATCH('Retail Sales'!$A$1,Database!$A$1:$K$1,),)</f>
        <v/>
      </c>
      <c r="C344" s="12">
        <f>(B344-B343)/B343</f>
        <v/>
      </c>
      <c r="D344" s="13">
        <f>(B344-B332)/B332</f>
        <v/>
      </c>
    </row>
    <row r="345" customFormat="1" s="114">
      <c r="A345" s="10" t="n">
        <v>43891</v>
      </c>
      <c r="B345" s="15">
        <f>VLOOKUP(A345,Database!A:K,MATCH('Retail Sales'!$A$1,Database!$A$1:$K$1,),)</f>
        <v/>
      </c>
      <c r="C345" s="12">
        <f>(B345-B344)/B344</f>
        <v/>
      </c>
      <c r="D345" s="13">
        <f>(B345-B333)/B333</f>
        <v/>
      </c>
    </row>
    <row r="346" customFormat="1" s="114">
      <c r="A346" s="11" t="n">
        <v>43922</v>
      </c>
      <c r="B346" s="15">
        <f>VLOOKUP(A346,Database!A:K,MATCH('Retail Sales'!$A$1,Database!$A$1:$K$1,),)</f>
        <v/>
      </c>
      <c r="C346" s="12">
        <f>(B346-B345)/B345</f>
        <v/>
      </c>
      <c r="D346" s="13">
        <f>(B346-B334)/B334</f>
        <v/>
      </c>
    </row>
    <row r="347" customFormat="1" s="114">
      <c r="A347" s="10" t="n">
        <v>43952</v>
      </c>
      <c r="B347" s="15">
        <f>VLOOKUP(A347,Database!A:K,MATCH('Retail Sales'!$A$1,Database!$A$1:$K$1,),)</f>
        <v/>
      </c>
      <c r="C347" s="12">
        <f>(B347-B346)/B346</f>
        <v/>
      </c>
      <c r="D347" s="13">
        <f>(B347-B335)/B335</f>
        <v/>
      </c>
    </row>
    <row r="348" customFormat="1" s="114">
      <c r="A348" s="11" t="n">
        <v>43983</v>
      </c>
      <c r="B348" s="15">
        <f>VLOOKUP(A348,Database!A:K,MATCH('Retail Sales'!$A$1,Database!$A$1:$K$1,),)</f>
        <v/>
      </c>
      <c r="C348" s="12">
        <f>(B348-B347)/B347</f>
        <v/>
      </c>
      <c r="D348" s="13">
        <f>(B348-B336)/B336</f>
        <v/>
      </c>
    </row>
    <row r="349" customFormat="1" s="114">
      <c r="A349" s="10" t="n">
        <v>44013</v>
      </c>
      <c r="B349" s="15">
        <f>VLOOKUP(A349,Database!A:K,MATCH('Retail Sales'!$A$1,Database!$A$1:$K$1,),)</f>
        <v/>
      </c>
      <c r="C349" s="12">
        <f>(B349-B348)/B348</f>
        <v/>
      </c>
      <c r="D349" s="13">
        <f>(B349-B337)/B337</f>
        <v/>
      </c>
    </row>
    <row r="350" customFormat="1" s="114">
      <c r="A350" s="11" t="n">
        <v>44044</v>
      </c>
      <c r="B350" s="15">
        <f>VLOOKUP(A350,Database!A:K,MATCH('Retail Sales'!$A$1,Database!$A$1:$K$1,),)</f>
        <v/>
      </c>
      <c r="C350" s="12">
        <f>(B350-B349)/B349</f>
        <v/>
      </c>
      <c r="D350" s="13">
        <f>(B350-B338)/B338</f>
        <v/>
      </c>
    </row>
    <row r="351" customFormat="1" s="114">
      <c r="A351" s="10" t="n">
        <v>44075</v>
      </c>
      <c r="B351" s="15">
        <f>VLOOKUP(A351,Database!A:K,MATCH('Retail Sales'!$A$1,Database!$A$1:$K$1,),)</f>
        <v/>
      </c>
      <c r="C351" s="12">
        <f>(B351-B350)/B350</f>
        <v/>
      </c>
      <c r="D351" s="13">
        <f>(B351-B339)/B339</f>
        <v/>
      </c>
    </row>
    <row r="352" customFormat="1" s="114">
      <c r="A352" s="11" t="n">
        <v>44105</v>
      </c>
      <c r="B352" s="15">
        <f>VLOOKUP(A352,Database!A:K,MATCH('Retail Sales'!$A$1,Database!$A$1:$K$1,),)</f>
        <v/>
      </c>
      <c r="C352" s="12">
        <f>(B352-B351)/B351</f>
        <v/>
      </c>
      <c r="D352" s="13">
        <f>(B352-B340)/B340</f>
        <v/>
      </c>
    </row>
    <row r="353" customFormat="1" s="114">
      <c r="A353" s="10" t="n">
        <v>44136</v>
      </c>
      <c r="B353" s="15">
        <f>VLOOKUP(A353,Database!A:K,MATCH('Retail Sales'!$A$1,Database!$A$1:$K$1,),)</f>
        <v/>
      </c>
      <c r="C353" s="12">
        <f>(B353-B352)/B352</f>
        <v/>
      </c>
      <c r="D353" s="13">
        <f>(B353-B341)/B341</f>
        <v/>
      </c>
    </row>
    <row r="354" customFormat="1" s="114">
      <c r="A354" s="11" t="n">
        <v>44166</v>
      </c>
      <c r="B354" s="15">
        <f>VLOOKUP(A354,Database!A:K,MATCH('Retail Sales'!$A$1,Database!$A$1:$K$1,),)</f>
        <v/>
      </c>
      <c r="C354" s="12">
        <f>(B354-B353)/B353</f>
        <v/>
      </c>
      <c r="D354" s="13">
        <f>(B354-B342)/B342</f>
        <v/>
      </c>
    </row>
    <row r="355" customFormat="1" s="114">
      <c r="A355" s="10" t="n">
        <v>44197</v>
      </c>
      <c r="B355" s="15">
        <f>VLOOKUP(A355,Database!A:K,MATCH('Retail Sales'!$A$1,Database!$A$1:$K$1,),)</f>
        <v/>
      </c>
      <c r="C355" s="12">
        <f>(B355-B354)/B354</f>
        <v/>
      </c>
      <c r="D355" s="13">
        <f>(B355-B343)/B343</f>
        <v/>
      </c>
    </row>
    <row r="356" customFormat="1" s="114">
      <c r="A356" s="11" t="n">
        <v>44228</v>
      </c>
      <c r="B356" s="15">
        <f>VLOOKUP(A356,Database!A:K,MATCH('Retail Sales'!$A$1,Database!$A$1:$K$1,),)</f>
        <v/>
      </c>
      <c r="C356" s="12">
        <f>(B356-B355)/B355</f>
        <v/>
      </c>
      <c r="D356" s="13">
        <f>(B356-B344)/B344</f>
        <v/>
      </c>
    </row>
    <row r="357" customFormat="1" s="114">
      <c r="A357" s="10" t="n">
        <v>44256</v>
      </c>
      <c r="B357" s="15">
        <f>VLOOKUP(A357,Database!A:K,MATCH('Retail Sales'!$A$1,Database!$A$1:$K$1,),)</f>
        <v/>
      </c>
      <c r="C357" s="12">
        <f>(B357-B356)/B356</f>
        <v/>
      </c>
      <c r="D357" s="13">
        <f>(B357-B345)/B345</f>
        <v/>
      </c>
    </row>
    <row r="358" customFormat="1" s="114">
      <c r="A358" s="11" t="n">
        <v>44287</v>
      </c>
      <c r="B358" s="15">
        <f>VLOOKUP(A358,Database!A:K,MATCH('Retail Sales'!$A$1,Database!$A$1:$K$1,),)</f>
        <v/>
      </c>
      <c r="C358" s="12">
        <f>(B358-B357)/B357</f>
        <v/>
      </c>
      <c r="D358" s="13">
        <f>(B358-B346)/B346</f>
        <v/>
      </c>
    </row>
    <row r="359" customFormat="1" s="114">
      <c r="A359" s="10" t="n">
        <v>44317</v>
      </c>
      <c r="B359" s="15">
        <f>VLOOKUP(A359,Database!A:K,MATCH('Retail Sales'!$A$1,Database!$A$1:$K$1,),)</f>
        <v/>
      </c>
      <c r="C359" s="12">
        <f>(B359-B358)/B358</f>
        <v/>
      </c>
      <c r="D359" s="13">
        <f>(B359-B347)/B347</f>
        <v/>
      </c>
    </row>
    <row r="360" customFormat="1" s="114">
      <c r="A360" s="11" t="n">
        <v>44348</v>
      </c>
      <c r="B360" s="15">
        <f>VLOOKUP(A360,Database!A:K,MATCH('Retail Sales'!$A$1,Database!$A$1:$K$1,),)</f>
        <v/>
      </c>
      <c r="C360" s="12">
        <f>(B360-B359)/B359</f>
        <v/>
      </c>
      <c r="D360" s="13">
        <f>(B360-B348)/B348</f>
        <v/>
      </c>
    </row>
    <row r="361" customFormat="1" s="114">
      <c r="A361" s="10" t="n">
        <v>44378</v>
      </c>
      <c r="B361" s="15">
        <f>VLOOKUP(A361,Database!A:K,MATCH('Retail Sales'!$A$1,Database!$A$1:$K$1,),)</f>
        <v/>
      </c>
      <c r="C361" s="12">
        <f>(B361-B360)/B360</f>
        <v/>
      </c>
      <c r="D361" s="13">
        <f>(B361-B349)/B349</f>
        <v/>
      </c>
    </row>
    <row r="362" customFormat="1" s="114">
      <c r="A362" s="11" t="n">
        <v>44409</v>
      </c>
      <c r="B362" s="15">
        <f>VLOOKUP(A362,Database!A:K,MATCH('Retail Sales'!$A$1,Database!$A$1:$K$1,),)</f>
        <v/>
      </c>
      <c r="C362" s="12">
        <f>(B362-B361)/B361</f>
        <v/>
      </c>
      <c r="D362" s="13">
        <f>(B362-B350)/B350</f>
        <v/>
      </c>
    </row>
    <row r="363" customFormat="1" s="114">
      <c r="A363" s="11" t="n">
        <v>44440</v>
      </c>
      <c r="B363" s="15">
        <f>VLOOKUP(A363,Database!A:K,MATCH('Retail Sales'!$A$1,Database!$A$1:$K$1,),)</f>
        <v/>
      </c>
      <c r="C363" s="12">
        <f>(B363-B362)/B362</f>
        <v/>
      </c>
      <c r="D363" s="13">
        <f>(B363-B351)/B351</f>
        <v/>
      </c>
    </row>
    <row r="364" customFormat="1" s="114">
      <c r="A364" s="10" t="n">
        <v>44470</v>
      </c>
      <c r="B364" s="15">
        <f>VLOOKUP(A364,Database!A:K,MATCH('Retail Sales'!$A$1,Database!$A$1:$K$1,),)</f>
        <v/>
      </c>
      <c r="C364" s="12">
        <f>(B364-B363)/B363</f>
        <v/>
      </c>
      <c r="D364" s="13">
        <f>(B364-B352)/B352</f>
        <v/>
      </c>
    </row>
    <row r="365" customFormat="1" s="114">
      <c r="A365" s="11" t="n">
        <v>44501</v>
      </c>
      <c r="B365" s="15">
        <f>VLOOKUP(A365,Database!A:K,MATCH('Retail Sales'!$A$1,Database!$A$1:$K$1,),)</f>
        <v/>
      </c>
      <c r="C365" s="12">
        <f>(B365-B364)/B364</f>
        <v/>
      </c>
      <c r="D365" s="13">
        <f>(B365-B353)/B353</f>
        <v/>
      </c>
    </row>
    <row r="366" customFormat="1" s="114">
      <c r="A366" s="11" t="n">
        <v>44531</v>
      </c>
      <c r="B366" s="15">
        <f>VLOOKUP(A366,Database!A:K,MATCH('Retail Sales'!$A$1,Database!$A$1:$K$1,),)</f>
        <v/>
      </c>
      <c r="C366" s="12">
        <f>(B366-B365)/B365</f>
        <v/>
      </c>
      <c r="D366" s="13">
        <f>(B366-B354)/B354</f>
        <v/>
      </c>
    </row>
    <row r="367" customFormat="1" s="114">
      <c r="A367" s="54" t="n"/>
      <c r="B367" s="14" t="n"/>
      <c r="C367" s="54" t="n"/>
      <c r="D367" s="54" t="n"/>
    </row>
    <row r="368" customFormat="1" s="114">
      <c r="A368" s="54" t="n"/>
      <c r="B368" s="14" t="n"/>
      <c r="C368" s="54" t="n"/>
      <c r="D368" s="54" t="n"/>
    </row>
    <row r="369" customFormat="1" s="114">
      <c r="A369" s="54" t="n"/>
      <c r="B369" s="14" t="n"/>
      <c r="C369" s="54" t="n"/>
      <c r="D369" s="54" t="n"/>
    </row>
    <row r="370" customFormat="1" s="114">
      <c r="A370" s="54" t="n"/>
      <c r="B370" s="14" t="n"/>
      <c r="C370" s="54" t="n"/>
      <c r="D370" s="54" t="n"/>
    </row>
    <row r="371" customFormat="1" s="114">
      <c r="A371" s="54" t="n"/>
      <c r="B371" s="14" t="n"/>
      <c r="C371" s="54" t="n"/>
      <c r="D371" s="54" t="n"/>
    </row>
    <row r="372" customFormat="1" s="114">
      <c r="A372" s="54" t="n"/>
      <c r="B372" s="14" t="n"/>
      <c r="C372" s="54" t="n"/>
      <c r="D372" s="54" t="n"/>
    </row>
    <row r="373" customFormat="1" s="114">
      <c r="A373" s="54" t="n"/>
      <c r="B373" s="14" t="n"/>
      <c r="C373" s="54" t="n"/>
      <c r="D373" s="54" t="n"/>
    </row>
    <row r="374" customFormat="1" s="114">
      <c r="A374" s="54" t="n"/>
      <c r="B374" s="14" t="n"/>
      <c r="C374" s="54" t="n"/>
      <c r="D374" s="54" t="n"/>
    </row>
    <row r="375" customFormat="1" s="114">
      <c r="A375" s="54" t="n"/>
      <c r="B375" s="14" t="n"/>
      <c r="C375" s="54" t="n"/>
      <c r="D375" s="54" t="n"/>
    </row>
    <row r="376" customFormat="1" s="114">
      <c r="A376" s="54" t="n"/>
      <c r="B376" s="14" t="n"/>
      <c r="C376" s="54" t="n"/>
      <c r="D376" s="54" t="n"/>
    </row>
    <row r="377" customFormat="1" s="114">
      <c r="A377" s="54" t="n"/>
      <c r="B377" s="14" t="n"/>
      <c r="C377" s="54" t="n"/>
      <c r="D377" s="54" t="n"/>
    </row>
    <row r="378" customFormat="1" s="114">
      <c r="A378" s="54" t="n"/>
      <c r="B378" s="14" t="n"/>
      <c r="C378" s="54" t="n"/>
      <c r="D378" s="54" t="n"/>
    </row>
    <row r="379" customFormat="1" s="114">
      <c r="A379" s="54" t="n"/>
      <c r="B379" s="14" t="n"/>
      <c r="C379" s="54" t="n"/>
      <c r="D379" s="54" t="n"/>
    </row>
    <row r="380" customFormat="1" s="114">
      <c r="A380" s="54" t="n"/>
      <c r="B380" s="14" t="n"/>
      <c r="C380" s="54" t="n"/>
      <c r="D380" s="54" t="n"/>
    </row>
    <row r="381" customFormat="1" s="114">
      <c r="A381" s="54" t="n"/>
      <c r="B381" s="14" t="n"/>
      <c r="C381" s="54" t="n"/>
      <c r="D381" s="54" t="n"/>
    </row>
    <row r="382" customFormat="1" s="114">
      <c r="A382" s="54" t="n"/>
      <c r="B382" s="14" t="n"/>
      <c r="C382" s="54" t="n"/>
      <c r="D382" s="54" t="n"/>
    </row>
    <row r="383" customFormat="1" s="114">
      <c r="A383" s="54" t="n"/>
      <c r="B383" s="14" t="n"/>
      <c r="C383" s="54" t="n"/>
      <c r="D383" s="54" t="n"/>
    </row>
    <row r="384" customFormat="1" s="114">
      <c r="A384" s="54" t="n"/>
      <c r="B384" s="14" t="n"/>
      <c r="C384" s="54" t="n"/>
      <c r="D384" s="54" t="n"/>
    </row>
    <row r="385" customFormat="1" s="114">
      <c r="A385" s="54" t="n"/>
      <c r="B385" s="14" t="n"/>
      <c r="C385" s="54" t="n"/>
      <c r="D385" s="54" t="n"/>
    </row>
    <row r="386" customFormat="1" s="114">
      <c r="A386" s="54" t="n"/>
      <c r="B386" s="14" t="n"/>
      <c r="C386" s="54" t="n"/>
      <c r="D386" s="54" t="n"/>
    </row>
    <row r="387" customFormat="1" s="114">
      <c r="A387" s="54" t="n"/>
      <c r="B387" s="14" t="n"/>
      <c r="C387" s="54" t="n"/>
      <c r="D387" s="54" t="n"/>
    </row>
    <row r="388" customFormat="1" s="114">
      <c r="A388" s="54" t="n"/>
      <c r="B388" s="14" t="n"/>
      <c r="C388" s="54" t="n"/>
      <c r="D388" s="54" t="n"/>
    </row>
    <row r="389" customFormat="1" s="114">
      <c r="A389" s="54" t="n"/>
      <c r="B389" s="14" t="n"/>
      <c r="C389" s="54" t="n"/>
      <c r="D389" s="54" t="n"/>
    </row>
    <row r="390" customFormat="1" s="114">
      <c r="A390" s="54" t="n"/>
      <c r="B390" s="14" t="n"/>
      <c r="C390" s="54" t="n"/>
      <c r="D390" s="54" t="n"/>
    </row>
    <row r="391" customFormat="1" s="114">
      <c r="A391" s="54" t="n"/>
      <c r="B391" s="14" t="n"/>
      <c r="C391" s="54" t="n"/>
      <c r="D391" s="54" t="n"/>
    </row>
    <row r="392" customFormat="1" s="114">
      <c r="A392" s="54" t="n"/>
      <c r="B392" s="14" t="n"/>
      <c r="C392" s="54" t="n"/>
      <c r="D392" s="54" t="n"/>
    </row>
    <row r="393" customFormat="1" s="114">
      <c r="A393" s="54" t="n"/>
      <c r="B393" s="14" t="n"/>
      <c r="C393" s="54" t="n"/>
      <c r="D393" s="54" t="n"/>
    </row>
    <row r="394" customFormat="1" s="114">
      <c r="A394" s="54" t="n"/>
      <c r="B394" s="14" t="n"/>
      <c r="C394" s="54" t="n"/>
      <c r="D394" s="54" t="n"/>
    </row>
    <row r="395" customFormat="1" s="114">
      <c r="A395" s="54" t="n"/>
      <c r="B395" s="14" t="n"/>
      <c r="C395" s="54" t="n"/>
      <c r="D395" s="54" t="n"/>
    </row>
    <row r="396" customFormat="1" s="114">
      <c r="A396" s="54" t="n"/>
      <c r="B396" s="14" t="n"/>
      <c r="C396" s="54" t="n"/>
      <c r="D396" s="54" t="n"/>
    </row>
    <row r="397" customFormat="1" s="114">
      <c r="A397" s="54" t="n"/>
      <c r="B397" s="14" t="n"/>
      <c r="C397" s="54" t="n"/>
      <c r="D397" s="54" t="n"/>
    </row>
    <row r="398" customFormat="1" s="114">
      <c r="A398" s="54" t="n"/>
      <c r="B398" s="14" t="n"/>
      <c r="C398" s="54" t="n"/>
      <c r="D398" s="54" t="n"/>
    </row>
    <row r="399" customFormat="1" s="114">
      <c r="A399" s="54" t="n"/>
      <c r="B399" s="14" t="n"/>
      <c r="C399" s="54" t="n"/>
      <c r="D399" s="54" t="n"/>
    </row>
    <row r="400" customFormat="1" s="114">
      <c r="A400" s="54" t="n"/>
      <c r="B400" s="14" t="n"/>
      <c r="C400" s="54" t="n"/>
      <c r="D400" s="54" t="n"/>
    </row>
    <row r="401" customFormat="1" s="114">
      <c r="A401" s="54" t="n"/>
      <c r="B401" s="14" t="n"/>
      <c r="C401" s="54" t="n"/>
      <c r="D401" s="54" t="n"/>
    </row>
    <row r="402" customFormat="1" s="114">
      <c r="A402" s="54" t="n"/>
      <c r="B402" s="14" t="n"/>
      <c r="C402" s="54" t="n"/>
      <c r="D402" s="54" t="n"/>
    </row>
    <row r="403" customFormat="1" s="114">
      <c r="A403" s="54" t="n"/>
      <c r="B403" s="14" t="n"/>
      <c r="C403" s="54" t="n"/>
      <c r="D403" s="54" t="n"/>
    </row>
    <row r="404" customFormat="1" s="114">
      <c r="A404" s="54" t="n"/>
      <c r="B404" s="14" t="n"/>
      <c r="C404" s="54" t="n"/>
      <c r="D404" s="54" t="n"/>
    </row>
    <row r="405" customFormat="1" s="114">
      <c r="A405" s="54" t="n"/>
      <c r="B405" s="14" t="n"/>
      <c r="C405" s="54" t="n"/>
      <c r="D405" s="54" t="n"/>
    </row>
    <row r="406" customFormat="1" s="114">
      <c r="A406" s="54" t="n"/>
      <c r="B406" s="14" t="n"/>
      <c r="C406" s="54" t="n"/>
      <c r="D406" s="54" t="n"/>
    </row>
    <row r="407" customFormat="1" s="114">
      <c r="A407" s="54" t="n"/>
      <c r="B407" s="14" t="n"/>
      <c r="C407" s="54" t="n"/>
      <c r="D407" s="54" t="n"/>
    </row>
    <row r="408" customFormat="1" s="114">
      <c r="A408" s="54" t="n"/>
      <c r="B408" s="14" t="n"/>
      <c r="C408" s="54" t="n"/>
      <c r="D408" s="54" t="n"/>
    </row>
    <row r="409" customFormat="1" s="114">
      <c r="A409" s="54" t="n"/>
      <c r="B409" s="14" t="n"/>
      <c r="C409" s="54" t="n"/>
      <c r="D409" s="54" t="n"/>
    </row>
    <row r="410" customFormat="1" s="114">
      <c r="A410" s="54" t="n"/>
      <c r="B410" s="14" t="n"/>
      <c r="C410" s="54" t="n"/>
      <c r="D410" s="54" t="n"/>
    </row>
    <row r="411" customFormat="1" s="114">
      <c r="A411" s="54" t="n"/>
      <c r="B411" s="14" t="n"/>
      <c r="C411" s="54" t="n"/>
      <c r="D411" s="54" t="n"/>
    </row>
    <row r="412" customFormat="1" s="114">
      <c r="A412" s="54" t="n"/>
      <c r="B412" s="14" t="n"/>
      <c r="C412" s="54" t="n"/>
      <c r="D412" s="54" t="n"/>
    </row>
    <row r="413" customFormat="1" s="114">
      <c r="A413" s="54" t="n"/>
      <c r="B413" s="14" t="n"/>
      <c r="C413" s="54" t="n"/>
      <c r="D413" s="54" t="n"/>
    </row>
    <row r="414" customFormat="1" s="114">
      <c r="A414" s="54" t="n"/>
      <c r="B414" s="14" t="n"/>
      <c r="C414" s="54" t="n"/>
      <c r="D414" s="54" t="n"/>
    </row>
    <row r="415" customFormat="1" s="114">
      <c r="A415" s="54" t="n"/>
      <c r="B415" s="14" t="n"/>
      <c r="C415" s="54" t="n"/>
      <c r="D415" s="54" t="n"/>
    </row>
    <row r="416" customFormat="1" s="114">
      <c r="A416" s="54" t="n"/>
      <c r="B416" s="14" t="n"/>
      <c r="C416" s="54" t="n"/>
      <c r="D416" s="54" t="n"/>
    </row>
    <row r="417" customFormat="1" s="114">
      <c r="A417" s="54" t="n"/>
      <c r="B417" s="14" t="n"/>
      <c r="C417" s="54" t="n"/>
      <c r="D417" s="54" t="n"/>
    </row>
    <row r="418" customFormat="1" s="114">
      <c r="A418" s="54" t="n"/>
      <c r="B418" s="14" t="n"/>
      <c r="C418" s="54" t="n"/>
      <c r="D418" s="54" t="n"/>
    </row>
    <row r="419" customFormat="1" s="114">
      <c r="A419" s="54" t="n"/>
      <c r="B419" s="14" t="n"/>
      <c r="C419" s="54" t="n"/>
      <c r="D419" s="54" t="n"/>
    </row>
    <row r="420" customFormat="1" s="114">
      <c r="A420" s="54" t="n"/>
      <c r="B420" s="14" t="n"/>
      <c r="C420" s="54" t="n"/>
      <c r="D420" s="54" t="n"/>
    </row>
    <row r="421" customFormat="1" s="114">
      <c r="A421" s="54" t="n"/>
      <c r="B421" s="14" t="n"/>
      <c r="C421" s="54" t="n"/>
      <c r="D421" s="54" t="n"/>
    </row>
    <row r="422" customFormat="1" s="114">
      <c r="A422" s="54" t="n"/>
      <c r="B422" s="14" t="n"/>
      <c r="C422" s="54" t="n"/>
      <c r="D422" s="54" t="n"/>
    </row>
    <row r="423" customFormat="1" s="114">
      <c r="A423" s="54" t="n"/>
      <c r="B423" s="14" t="n"/>
      <c r="C423" s="54" t="n"/>
      <c r="D423" s="54" t="n"/>
    </row>
    <row r="424" customFormat="1" s="114">
      <c r="A424" s="54" t="n"/>
      <c r="B424" s="14" t="n"/>
      <c r="C424" s="54" t="n"/>
      <c r="D424" s="54" t="n"/>
    </row>
    <row r="425" customFormat="1" s="114">
      <c r="A425" s="54" t="n"/>
      <c r="B425" s="14" t="n"/>
      <c r="C425" s="54" t="n"/>
      <c r="D425" s="54" t="n"/>
    </row>
    <row r="426" customFormat="1" s="114">
      <c r="A426" s="54" t="n"/>
      <c r="B426" s="14" t="n"/>
      <c r="C426" s="54" t="n"/>
      <c r="D426" s="54" t="n"/>
    </row>
    <row r="427" customFormat="1" s="114">
      <c r="A427" s="54" t="n"/>
      <c r="B427" s="14" t="n"/>
      <c r="C427" s="54" t="n"/>
      <c r="D427" s="54" t="n"/>
    </row>
    <row r="428" customFormat="1" s="114">
      <c r="A428" s="54" t="n"/>
      <c r="B428" s="14" t="n"/>
      <c r="C428" s="54" t="n"/>
      <c r="D428" s="54" t="n"/>
    </row>
    <row r="429" customFormat="1" s="114">
      <c r="A429" s="54" t="n"/>
      <c r="B429" s="14" t="n"/>
      <c r="C429" s="54" t="n"/>
      <c r="D429" s="54" t="n"/>
    </row>
    <row r="430" customFormat="1" s="114">
      <c r="A430" s="54" t="n"/>
      <c r="B430" s="14" t="n"/>
      <c r="C430" s="54" t="n"/>
      <c r="D430" s="54" t="n"/>
    </row>
    <row r="431" customFormat="1" s="114">
      <c r="A431" s="54" t="n"/>
      <c r="B431" s="14" t="n"/>
      <c r="C431" s="54" t="n"/>
      <c r="D431" s="54" t="n"/>
    </row>
    <row r="432" customFormat="1" s="114">
      <c r="A432" s="54" t="n"/>
      <c r="B432" s="14" t="n"/>
      <c r="C432" s="54" t="n"/>
      <c r="D432" s="54" t="n"/>
    </row>
    <row r="433" customFormat="1" s="114">
      <c r="A433" s="54" t="n"/>
      <c r="B433" s="14" t="n"/>
      <c r="C433" s="54" t="n"/>
      <c r="D433" s="54" t="n"/>
    </row>
    <row r="434" customFormat="1" s="114">
      <c r="A434" s="54" t="n"/>
      <c r="B434" s="14" t="n"/>
      <c r="C434" s="54" t="n"/>
      <c r="D434" s="54" t="n"/>
    </row>
    <row r="435" customFormat="1" s="114">
      <c r="A435" s="54" t="n"/>
      <c r="B435" s="14" t="n"/>
      <c r="C435" s="54" t="n"/>
      <c r="D435" s="54" t="n"/>
    </row>
    <row r="436" customFormat="1" s="114">
      <c r="A436" s="54" t="n"/>
      <c r="B436" s="14" t="n"/>
      <c r="C436" s="54" t="n"/>
      <c r="D436" s="54" t="n"/>
    </row>
    <row r="437" customFormat="1" s="114">
      <c r="A437" s="54" t="n"/>
      <c r="B437" s="14" t="n"/>
      <c r="C437" s="54" t="n"/>
      <c r="D437" s="54" t="n"/>
    </row>
    <row r="438" customFormat="1" s="114">
      <c r="A438" s="54" t="n"/>
      <c r="B438" s="14" t="n"/>
      <c r="C438" s="54" t="n"/>
      <c r="D438" s="54" t="n"/>
    </row>
    <row r="439" customFormat="1" s="114">
      <c r="A439" s="54" t="n"/>
      <c r="B439" s="14" t="n"/>
      <c r="C439" s="54" t="n"/>
      <c r="D439" s="54" t="n"/>
    </row>
    <row r="440" customFormat="1" s="114">
      <c r="A440" s="54" t="n"/>
      <c r="B440" s="14" t="n"/>
      <c r="C440" s="54" t="n"/>
      <c r="D440" s="54" t="n"/>
    </row>
    <row r="441" customFormat="1" s="114">
      <c r="A441" s="54" t="n"/>
      <c r="B441" s="14" t="n"/>
      <c r="C441" s="54" t="n"/>
      <c r="D441" s="54" t="n"/>
    </row>
    <row r="442" customFormat="1" s="114">
      <c r="A442" s="54" t="n"/>
      <c r="B442" s="14" t="n"/>
      <c r="C442" s="54" t="n"/>
      <c r="D442" s="54" t="n"/>
    </row>
    <row r="443" customFormat="1" s="114">
      <c r="A443" s="54" t="n"/>
      <c r="B443" s="14" t="n"/>
      <c r="C443" s="54" t="n"/>
      <c r="D443" s="54" t="n"/>
    </row>
    <row r="444" customFormat="1" s="114">
      <c r="A444" s="54" t="n"/>
      <c r="B444" s="14" t="n"/>
      <c r="C444" s="54" t="n"/>
      <c r="D444" s="54" t="n"/>
    </row>
    <row r="445" customFormat="1" s="114">
      <c r="A445" s="54" t="n"/>
      <c r="B445" s="14" t="n"/>
      <c r="C445" s="54" t="n"/>
      <c r="D445" s="54" t="n"/>
    </row>
    <row r="446" customFormat="1" s="114">
      <c r="A446" s="54" t="n"/>
      <c r="B446" s="14" t="n"/>
      <c r="C446" s="54" t="n"/>
      <c r="D446" s="54" t="n"/>
    </row>
    <row r="447" customFormat="1" s="114">
      <c r="A447" s="54" t="n"/>
      <c r="B447" s="14" t="n"/>
      <c r="C447" s="54" t="n"/>
      <c r="D447" s="54" t="n"/>
    </row>
    <row r="448" customFormat="1" s="114">
      <c r="A448" s="54" t="n"/>
      <c r="B448" s="14" t="n"/>
      <c r="C448" s="54" t="n"/>
      <c r="D448" s="54" t="n"/>
    </row>
    <row r="449" customFormat="1" s="114">
      <c r="A449" s="54" t="n"/>
      <c r="B449" s="14" t="n"/>
      <c r="C449" s="54" t="n"/>
      <c r="D449" s="54" t="n"/>
    </row>
    <row r="450" customFormat="1" s="114">
      <c r="A450" s="54" t="n"/>
      <c r="B450" s="14" t="n"/>
      <c r="C450" s="54" t="n"/>
      <c r="D450" s="54" t="n"/>
    </row>
    <row r="451" customFormat="1" s="114">
      <c r="A451" s="54" t="n"/>
      <c r="B451" s="14" t="n"/>
      <c r="C451" s="54" t="n"/>
      <c r="D451" s="54" t="n"/>
    </row>
    <row r="452" customFormat="1" s="114">
      <c r="A452" s="54" t="n"/>
      <c r="B452" s="14" t="n"/>
      <c r="C452" s="54" t="n"/>
      <c r="D452" s="54" t="n"/>
    </row>
    <row r="453" customFormat="1" s="114">
      <c r="A453" s="54" t="n"/>
      <c r="B453" s="14" t="n"/>
      <c r="C453" s="54" t="n"/>
      <c r="D453" s="54" t="n"/>
    </row>
    <row r="454" customFormat="1" s="114">
      <c r="A454" s="54" t="n"/>
      <c r="B454" s="14" t="n"/>
      <c r="C454" s="54" t="n"/>
      <c r="D454" s="54" t="n"/>
    </row>
    <row r="455" customFormat="1" s="114">
      <c r="A455" s="54" t="n"/>
      <c r="B455" s="14" t="n"/>
      <c r="C455" s="54" t="n"/>
      <c r="D455" s="54" t="n"/>
    </row>
    <row r="456" customFormat="1" s="114">
      <c r="A456" s="54" t="n"/>
      <c r="B456" s="14" t="n"/>
      <c r="C456" s="54" t="n"/>
      <c r="D456" s="54" t="n"/>
    </row>
    <row r="457" customFormat="1" s="114">
      <c r="A457" s="54" t="n"/>
      <c r="B457" s="14" t="n"/>
      <c r="C457" s="54" t="n"/>
      <c r="D457" s="54" t="n"/>
    </row>
    <row r="458" customFormat="1" s="114">
      <c r="A458" s="54" t="n"/>
      <c r="B458" s="14" t="n"/>
      <c r="C458" s="54" t="n"/>
      <c r="D458" s="54" t="n"/>
    </row>
    <row r="459" customFormat="1" s="114">
      <c r="A459" s="54" t="n"/>
      <c r="B459" s="14" t="n"/>
      <c r="C459" s="54" t="n"/>
      <c r="D459" s="54" t="n"/>
    </row>
    <row r="460" customFormat="1" s="114">
      <c r="A460" s="54" t="n"/>
      <c r="B460" s="14" t="n"/>
      <c r="C460" s="54" t="n"/>
      <c r="D460" s="54" t="n"/>
    </row>
    <row r="461" customFormat="1" s="114">
      <c r="A461" s="54" t="n"/>
      <c r="B461" s="14" t="n"/>
      <c r="C461" s="54" t="n"/>
      <c r="D461" s="54" t="n"/>
    </row>
    <row r="462" customFormat="1" s="114">
      <c r="A462" s="54" t="n"/>
      <c r="B462" s="14" t="n"/>
      <c r="C462" s="54" t="n"/>
      <c r="D462" s="54" t="n"/>
    </row>
    <row r="463" customFormat="1" s="114">
      <c r="A463" s="54" t="n"/>
      <c r="B463" s="14" t="n"/>
      <c r="C463" s="54" t="n"/>
      <c r="D463" s="54" t="n"/>
    </row>
    <row r="464" customFormat="1" s="114">
      <c r="A464" s="54" t="n"/>
      <c r="B464" s="14" t="n"/>
      <c r="C464" s="54" t="n"/>
      <c r="D464" s="54" t="n"/>
    </row>
    <row r="465" customFormat="1" s="114">
      <c r="A465" s="54" t="n"/>
      <c r="B465" s="14" t="n"/>
      <c r="C465" s="54" t="n"/>
      <c r="D465" s="54" t="n"/>
    </row>
    <row r="466" customFormat="1" s="114">
      <c r="A466" s="54" t="n"/>
      <c r="B466" s="14" t="n"/>
      <c r="C466" s="54" t="n"/>
      <c r="D466" s="54" t="n"/>
    </row>
    <row r="467" customFormat="1" s="114">
      <c r="A467" s="54" t="n"/>
      <c r="B467" s="14" t="n"/>
      <c r="C467" s="54" t="n"/>
      <c r="D467" s="54" t="n"/>
    </row>
    <row r="468" customFormat="1" s="114">
      <c r="A468" s="54" t="n"/>
      <c r="B468" s="14" t="n"/>
      <c r="C468" s="54" t="n"/>
      <c r="D468" s="54" t="n"/>
    </row>
    <row r="469" customFormat="1" s="114">
      <c r="A469" s="54" t="n"/>
      <c r="B469" s="14" t="n"/>
      <c r="C469" s="54" t="n"/>
      <c r="D469" s="54" t="n"/>
    </row>
    <row r="470" customFormat="1" s="114">
      <c r="A470" s="54" t="n"/>
      <c r="B470" s="14" t="n"/>
      <c r="C470" s="54" t="n"/>
      <c r="D470" s="54" t="n"/>
    </row>
    <row r="471" customFormat="1" s="114">
      <c r="A471" s="54" t="n"/>
      <c r="B471" s="14" t="n"/>
      <c r="C471" s="54" t="n"/>
      <c r="D471" s="54" t="n"/>
    </row>
    <row r="472" customFormat="1" s="114">
      <c r="A472" s="54" t="n"/>
      <c r="B472" s="14" t="n"/>
      <c r="C472" s="54" t="n"/>
      <c r="D472" s="54" t="n"/>
    </row>
    <row r="473" customFormat="1" s="114">
      <c r="A473" s="54" t="n"/>
      <c r="B473" s="14" t="n"/>
      <c r="C473" s="54" t="n"/>
      <c r="D473" s="54" t="n"/>
    </row>
    <row r="474" customFormat="1" s="114">
      <c r="A474" s="54" t="n"/>
      <c r="B474" s="14" t="n"/>
      <c r="C474" s="54" t="n"/>
      <c r="D474" s="54" t="n"/>
    </row>
    <row r="475" customFormat="1" s="114">
      <c r="A475" s="54" t="n"/>
      <c r="B475" s="14" t="n"/>
      <c r="C475" s="54" t="n"/>
      <c r="D475" s="54" t="n"/>
    </row>
    <row r="476" customFormat="1" s="114">
      <c r="A476" s="54" t="n"/>
      <c r="B476" s="14" t="n"/>
      <c r="C476" s="54" t="n"/>
      <c r="D476" s="54" t="n"/>
    </row>
    <row r="477" customFormat="1" s="114">
      <c r="A477" s="54" t="n"/>
      <c r="B477" s="14" t="n"/>
      <c r="C477" s="54" t="n"/>
      <c r="D477" s="54" t="n"/>
    </row>
    <row r="478" customFormat="1" s="114">
      <c r="A478" s="54" t="n"/>
      <c r="B478" s="14" t="n"/>
      <c r="C478" s="54" t="n"/>
      <c r="D478" s="54" t="n"/>
    </row>
    <row r="479" customFormat="1" s="114">
      <c r="A479" s="54" t="n"/>
      <c r="B479" s="14" t="n"/>
      <c r="C479" s="54" t="n"/>
      <c r="D479" s="54" t="n"/>
    </row>
    <row r="480" customFormat="1" s="114">
      <c r="A480" s="54" t="n"/>
      <c r="B480" s="14" t="n"/>
      <c r="C480" s="54" t="n"/>
      <c r="D480" s="54" t="n"/>
    </row>
    <row r="481" customFormat="1" s="114">
      <c r="A481" s="54" t="n"/>
      <c r="B481" s="14" t="n"/>
      <c r="C481" s="54" t="n"/>
      <c r="D481" s="54" t="n"/>
    </row>
    <row r="482" customFormat="1" s="114">
      <c r="A482" s="54" t="n"/>
      <c r="B482" s="14" t="n"/>
      <c r="C482" s="54" t="n"/>
      <c r="D482" s="54" t="n"/>
    </row>
    <row r="483" customFormat="1" s="114">
      <c r="A483" s="54" t="n"/>
      <c r="B483" s="14" t="n"/>
      <c r="C483" s="54" t="n"/>
      <c r="D483" s="54" t="n"/>
    </row>
    <row r="484" customFormat="1" s="114">
      <c r="A484" s="54" t="n"/>
      <c r="B484" s="14" t="n"/>
      <c r="C484" s="54" t="n"/>
      <c r="D484" s="54" t="n"/>
    </row>
    <row r="485" customFormat="1" s="114">
      <c r="A485" s="54" t="n"/>
      <c r="B485" s="14" t="n"/>
      <c r="C485" s="54" t="n"/>
      <c r="D485" s="54" t="n"/>
    </row>
    <row r="486" customFormat="1" s="114">
      <c r="A486" s="54" t="n"/>
      <c r="B486" s="14" t="n"/>
      <c r="C486" s="54" t="n"/>
      <c r="D486" s="54" t="n"/>
    </row>
    <row r="487" customFormat="1" s="114">
      <c r="A487" s="54" t="n"/>
      <c r="B487" s="14" t="n"/>
      <c r="C487" s="54" t="n"/>
      <c r="D487" s="54" t="n"/>
    </row>
    <row r="488" customFormat="1" s="114">
      <c r="A488" s="54" t="n"/>
      <c r="B488" s="14" t="n"/>
      <c r="C488" s="54" t="n"/>
      <c r="D488" s="54" t="n"/>
    </row>
    <row r="489" customFormat="1" s="114">
      <c r="A489" s="54" t="n"/>
      <c r="B489" s="14" t="n"/>
      <c r="C489" s="54" t="n"/>
      <c r="D489" s="54" t="n"/>
    </row>
    <row r="490" customFormat="1" s="114">
      <c r="A490" s="54" t="n"/>
      <c r="B490" s="14" t="n"/>
      <c r="C490" s="54" t="n"/>
      <c r="D490" s="54" t="n"/>
    </row>
    <row r="491" customFormat="1" s="114">
      <c r="A491" s="54" t="n"/>
      <c r="B491" s="14" t="n"/>
      <c r="C491" s="54" t="n"/>
      <c r="D491" s="54" t="n"/>
    </row>
    <row r="492" customFormat="1" s="114">
      <c r="A492" s="54" t="n"/>
      <c r="B492" s="14" t="n"/>
      <c r="C492" s="54" t="n"/>
      <c r="D492" s="54" t="n"/>
    </row>
    <row r="493" customFormat="1" s="114">
      <c r="A493" s="54" t="n"/>
      <c r="B493" s="14" t="n"/>
      <c r="C493" s="54" t="n"/>
      <c r="D493" s="54" t="n"/>
    </row>
    <row r="494" customFormat="1" s="114">
      <c r="A494" s="54" t="n"/>
      <c r="B494" s="14" t="n"/>
      <c r="C494" s="54" t="n"/>
      <c r="D494" s="54" t="n"/>
    </row>
    <row r="495" customFormat="1" s="114">
      <c r="A495" s="54" t="n"/>
      <c r="B495" s="14" t="n"/>
      <c r="C495" s="54" t="n"/>
      <c r="D495" s="54" t="n"/>
    </row>
    <row r="496" customFormat="1" s="114">
      <c r="A496" s="54" t="n"/>
      <c r="B496" s="14" t="n"/>
      <c r="C496" s="54" t="n"/>
      <c r="D496" s="54" t="n"/>
    </row>
    <row r="497" customFormat="1" s="114">
      <c r="A497" s="54" t="n"/>
      <c r="B497" s="14" t="n"/>
      <c r="C497" s="54" t="n"/>
      <c r="D497" s="54" t="n"/>
    </row>
    <row r="498" customFormat="1" s="114">
      <c r="A498" s="54" t="n"/>
      <c r="B498" s="14" t="n"/>
      <c r="C498" s="54" t="n"/>
      <c r="D498" s="54" t="n"/>
    </row>
    <row r="499" customFormat="1" s="114">
      <c r="A499" s="54" t="n"/>
      <c r="B499" s="14" t="n"/>
      <c r="C499" s="54" t="n"/>
      <c r="D499" s="54" t="n"/>
    </row>
    <row r="500" customFormat="1" s="114">
      <c r="A500" s="54" t="n"/>
      <c r="B500" s="14" t="n"/>
      <c r="C500" s="54" t="n"/>
      <c r="D500" s="54" t="n"/>
    </row>
    <row r="501" customFormat="1" s="114">
      <c r="A501" s="54" t="n"/>
      <c r="B501" s="14" t="n"/>
      <c r="C501" s="54" t="n"/>
      <c r="D501" s="54" t="n"/>
    </row>
    <row r="502" customFormat="1" s="114">
      <c r="A502" s="54" t="n"/>
      <c r="B502" s="14" t="n"/>
      <c r="C502" s="54" t="n"/>
      <c r="D502" s="54" t="n"/>
    </row>
    <row r="503" customFormat="1" s="114">
      <c r="A503" s="54" t="n"/>
      <c r="B503" s="14" t="n"/>
      <c r="C503" s="54" t="n"/>
      <c r="D503" s="54" t="n"/>
    </row>
    <row r="504" customFormat="1" s="114">
      <c r="A504" s="54" t="n"/>
      <c r="B504" s="14" t="n"/>
      <c r="C504" s="54" t="n"/>
      <c r="D504" s="54" t="n"/>
    </row>
    <row r="505" customFormat="1" s="114">
      <c r="A505" s="54" t="n"/>
      <c r="B505" s="14" t="n"/>
      <c r="C505" s="54" t="n"/>
      <c r="D505" s="54" t="n"/>
    </row>
    <row r="506" customFormat="1" s="114">
      <c r="A506" s="54" t="n"/>
      <c r="B506" s="14" t="n"/>
      <c r="C506" s="54" t="n"/>
      <c r="D506" s="54" t="n"/>
    </row>
    <row r="507" customFormat="1" s="114">
      <c r="A507" s="54" t="n"/>
      <c r="B507" s="14" t="n"/>
      <c r="C507" s="54" t="n"/>
      <c r="D507" s="54" t="n"/>
    </row>
    <row r="508" customFormat="1" s="114">
      <c r="A508" s="54" t="n"/>
      <c r="B508" s="14" t="n"/>
      <c r="C508" s="54" t="n"/>
      <c r="D508" s="54" t="n"/>
    </row>
    <row r="509" customFormat="1" s="114">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sheetData>
  <conditionalFormatting sqref="C8:C366">
    <cfRule type="colorScale" priority="42">
      <colorScale>
        <cfvo type="min"/>
        <cfvo type="percentile" val="50"/>
        <cfvo type="max"/>
        <color rgb="FFF8696B"/>
        <color rgb="FFFFEB84"/>
        <color rgb="FF63BE7B"/>
      </colorScale>
    </cfRule>
  </conditionalFormatting>
  <conditionalFormatting sqref="D19:D366">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04"/>
  <sheetViews>
    <sheetView zoomScale="160" zoomScaleNormal="160" workbookViewId="0">
      <pane ySplit="6" topLeftCell="A336" activePane="bottomLeft" state="frozen"/>
      <selection pane="bottomLeft" activeCell="P368" sqref="P368"/>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14" min="5" max="5"/>
    <col width="9.1640625" customWidth="1" style="114" min="6" max="53"/>
  </cols>
  <sheetData>
    <row r="1" customFormat="1" s="114">
      <c r="A1" s="20" t="inlineStr">
        <is>
          <t>RSFSXMV</t>
        </is>
      </c>
      <c r="B1" s="24" t="inlineStr">
        <is>
          <t>Advance Retail Sales: Retail and Food Services Excluding Motor Vehicles and Parts Dealers</t>
        </is>
      </c>
      <c r="I1" s="21" t="n"/>
      <c r="J1" s="21" t="n"/>
    </row>
    <row r="2" customFormat="1" s="114">
      <c r="A2" s="129" t="inlineStr">
        <is>
          <t>https://fred.stlouisfed.org/series/RSFSXMV</t>
        </is>
      </c>
      <c r="B2" s="22" t="n"/>
    </row>
    <row r="3" customFormat="1" s="114">
      <c r="A3" s="129" t="n"/>
      <c r="B3" s="22" t="n"/>
    </row>
    <row r="4" customFormat="1" s="114">
      <c r="A4" s="129" t="n"/>
      <c r="B4" s="22" t="n"/>
    </row>
    <row r="5" ht="16" customFormat="1" customHeight="1" s="114"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0" t="n">
        <v>44531</v>
      </c>
      <c r="B366" s="15">
        <f>VLOOKUP(A366,Database!A:M,MATCH($A$1,Database!$A$1:$M$1,),)</f>
        <v/>
      </c>
      <c r="C366" s="12">
        <f>(B366-B365)/B365</f>
        <v/>
      </c>
      <c r="D366" s="13">
        <f>(B366-B354)/B354</f>
        <v/>
      </c>
    </row>
    <row r="367" customFormat="1" s="114">
      <c r="B367" s="22" t="n"/>
    </row>
    <row r="368" customFormat="1" s="114">
      <c r="B368" s="22" t="n"/>
    </row>
    <row r="369" customFormat="1" s="114">
      <c r="B369" s="22" t="n"/>
    </row>
    <row r="370" customFormat="1" s="114">
      <c r="B370" s="22" t="n"/>
    </row>
    <row r="371" customFormat="1" s="114">
      <c r="B371" s="22" t="n"/>
    </row>
    <row r="372" customFormat="1" s="114">
      <c r="B372" s="22" t="n"/>
    </row>
    <row r="373" customFormat="1" s="114">
      <c r="B373" s="22" t="n"/>
    </row>
    <row r="374" customFormat="1" s="114">
      <c r="B374" s="22" t="n"/>
    </row>
    <row r="375" customFormat="1" s="114">
      <c r="B375" s="22" t="n"/>
    </row>
    <row r="376" customFormat="1" s="114">
      <c r="B376" s="22" t="n"/>
    </row>
    <row r="377" customFormat="1" s="114">
      <c r="B377" s="22" t="n"/>
    </row>
    <row r="378" customFormat="1" s="114">
      <c r="B378" s="22" t="n"/>
    </row>
    <row r="379" customFormat="1" s="114">
      <c r="B379" s="22" t="n"/>
    </row>
    <row r="380" customFormat="1" s="114">
      <c r="B380" s="22" t="n"/>
    </row>
    <row r="381" customFormat="1" s="114">
      <c r="B381" s="22" t="n"/>
    </row>
    <row r="382" customFormat="1" s="114">
      <c r="B382" s="22" t="n"/>
    </row>
    <row r="383" customFormat="1" s="114">
      <c r="B383" s="22" t="n"/>
    </row>
    <row r="384" customFormat="1" s="114">
      <c r="B384" s="22" t="n"/>
    </row>
    <row r="385" customFormat="1" s="114">
      <c r="B385" s="22" t="n"/>
    </row>
    <row r="386" customFormat="1" s="114">
      <c r="B386" s="22" t="n"/>
    </row>
    <row r="387" customFormat="1" s="114">
      <c r="B387" s="22" t="n"/>
    </row>
    <row r="388" customFormat="1" s="114">
      <c r="B388" s="22" t="n"/>
    </row>
    <row r="389" customFormat="1" s="114">
      <c r="B389" s="22" t="n"/>
    </row>
    <row r="390" customFormat="1" s="114">
      <c r="B390" s="22" t="n"/>
    </row>
    <row r="391" customFormat="1" s="114">
      <c r="B391" s="22" t="n"/>
    </row>
    <row r="392" customFormat="1" s="114">
      <c r="B392" s="22" t="n"/>
    </row>
    <row r="393" customFormat="1" s="114">
      <c r="B393" s="22" t="n"/>
    </row>
    <row r="394" customFormat="1" s="114">
      <c r="B394" s="22" t="n"/>
    </row>
    <row r="395" customFormat="1" s="114">
      <c r="B395" s="22" t="n"/>
    </row>
    <row r="396" customFormat="1" s="114">
      <c r="B396" s="22" t="n"/>
    </row>
    <row r="397" customFormat="1" s="114">
      <c r="B397" s="22" t="n"/>
    </row>
    <row r="398" customFormat="1" s="114">
      <c r="B398" s="22" t="n"/>
    </row>
    <row r="399" customFormat="1" s="114">
      <c r="B399" s="22" t="n"/>
    </row>
    <row r="400" customFormat="1" s="114">
      <c r="B400" s="22" t="n"/>
    </row>
    <row r="401" customFormat="1" s="114">
      <c r="B401" s="22" t="n"/>
    </row>
    <row r="402" customFormat="1" s="114">
      <c r="B402" s="22" t="n"/>
    </row>
    <row r="403" customFormat="1" s="114">
      <c r="B403" s="22" t="n"/>
    </row>
    <row r="404" customFormat="1" s="114">
      <c r="B404" s="22" t="n"/>
    </row>
    <row r="405" customFormat="1" s="114">
      <c r="B405" s="22" t="n"/>
    </row>
    <row r="406" customFormat="1" s="114">
      <c r="B406" s="22" t="n"/>
    </row>
    <row r="407" customFormat="1" s="114">
      <c r="B407" s="22" t="n"/>
    </row>
    <row r="408" customFormat="1" s="114">
      <c r="B408" s="22" t="n"/>
    </row>
    <row r="409" customFormat="1" s="114">
      <c r="B409" s="22" t="n"/>
    </row>
    <row r="410" customFormat="1" s="114">
      <c r="B410" s="22" t="n"/>
    </row>
    <row r="411" customFormat="1" s="114">
      <c r="B411" s="22" t="n"/>
    </row>
    <row r="412" customFormat="1" s="114">
      <c r="B412" s="22" t="n"/>
    </row>
    <row r="413" customFormat="1" s="114">
      <c r="B413" s="22" t="n"/>
    </row>
    <row r="414" customFormat="1" s="114">
      <c r="B414" s="22" t="n"/>
    </row>
    <row r="415" customFormat="1" s="114">
      <c r="B415" s="22" t="n"/>
    </row>
    <row r="416" customFormat="1" s="114">
      <c r="B416" s="22" t="n"/>
    </row>
    <row r="417" customFormat="1" s="114">
      <c r="B417" s="22" t="n"/>
    </row>
    <row r="418" customFormat="1" s="114">
      <c r="B418" s="22" t="n"/>
    </row>
    <row r="419" customFormat="1" s="114">
      <c r="B419" s="22" t="n"/>
    </row>
    <row r="420" customFormat="1" s="114">
      <c r="B420" s="22" t="n"/>
    </row>
    <row r="421" customFormat="1" s="114">
      <c r="B421" s="22" t="n"/>
    </row>
    <row r="422" customFormat="1" s="114">
      <c r="B422" s="22" t="n"/>
    </row>
    <row r="423" customFormat="1" s="114">
      <c r="B423" s="22" t="n"/>
    </row>
    <row r="424" customFormat="1" s="114">
      <c r="B424" s="22" t="n"/>
    </row>
    <row r="425" customFormat="1" s="114">
      <c r="B425" s="22" t="n"/>
    </row>
    <row r="426" customFormat="1" s="114">
      <c r="B426" s="22" t="n"/>
    </row>
    <row r="427" customFormat="1" s="114">
      <c r="B427" s="22" t="n"/>
    </row>
    <row r="428" customFormat="1" s="114">
      <c r="B428" s="22" t="n"/>
    </row>
    <row r="429" customFormat="1" s="114">
      <c r="B429" s="22" t="n"/>
    </row>
    <row r="430" customFormat="1" s="114">
      <c r="B430" s="22" t="n"/>
    </row>
    <row r="431" customFormat="1" s="114">
      <c r="B431" s="22" t="n"/>
    </row>
    <row r="432" customFormat="1" s="114">
      <c r="B432" s="22" t="n"/>
    </row>
    <row r="433" customFormat="1" s="114">
      <c r="B433" s="22" t="n"/>
    </row>
    <row r="434" customFormat="1" s="114">
      <c r="B434" s="22" t="n"/>
    </row>
    <row r="435" customFormat="1" s="114">
      <c r="B435" s="22" t="n"/>
    </row>
    <row r="436" customFormat="1" s="114">
      <c r="B436" s="22" t="n"/>
    </row>
    <row r="437" customFormat="1" s="114">
      <c r="B437" s="22" t="n"/>
    </row>
    <row r="438" customFormat="1" s="114">
      <c r="B438" s="22" t="n"/>
    </row>
    <row r="439" customFormat="1" s="114">
      <c r="B439" s="22" t="n"/>
    </row>
    <row r="440" customFormat="1" s="114">
      <c r="B440" s="22" t="n"/>
    </row>
    <row r="441" customFormat="1" s="114">
      <c r="B441" s="22" t="n"/>
    </row>
    <row r="442" customFormat="1" s="114">
      <c r="B442" s="22" t="n"/>
    </row>
    <row r="443" customFormat="1" s="114">
      <c r="B443" s="22" t="n"/>
    </row>
    <row r="444" customFormat="1" s="114">
      <c r="B444" s="22" t="n"/>
    </row>
    <row r="445" customFormat="1" s="114">
      <c r="B445" s="22" t="n"/>
    </row>
    <row r="446" customFormat="1" s="114">
      <c r="B446" s="22" t="n"/>
    </row>
    <row r="447" customFormat="1" s="114">
      <c r="B447" s="22" t="n"/>
    </row>
    <row r="448" customFormat="1" s="114">
      <c r="B448" s="22" t="n"/>
    </row>
    <row r="449" customFormat="1" s="114">
      <c r="B449" s="22" t="n"/>
    </row>
    <row r="450" customFormat="1" s="114">
      <c r="B450" s="22" t="n"/>
    </row>
    <row r="451" customFormat="1" s="114">
      <c r="B451" s="22" t="n"/>
    </row>
    <row r="452" customFormat="1" s="114">
      <c r="B452" s="22" t="n"/>
    </row>
    <row r="453" customFormat="1" s="114">
      <c r="B453" s="22" t="n"/>
    </row>
    <row r="454" customFormat="1" s="114">
      <c r="B454" s="22" t="n"/>
    </row>
    <row r="455" customFormat="1" s="114">
      <c r="B455" s="22" t="n"/>
    </row>
    <row r="456" customFormat="1" s="114">
      <c r="B456" s="22" t="n"/>
    </row>
    <row r="457" customFormat="1" s="114">
      <c r="B457" s="22" t="n"/>
    </row>
    <row r="458" customFormat="1" s="114">
      <c r="B458" s="22" t="n"/>
    </row>
    <row r="459" customFormat="1" s="114">
      <c r="B459" s="22" t="n"/>
    </row>
    <row r="460" customFormat="1" s="114">
      <c r="B460" s="22" t="n"/>
    </row>
    <row r="461" customFormat="1" s="114">
      <c r="B461" s="22" t="n"/>
    </row>
    <row r="462" customFormat="1" s="114">
      <c r="B462" s="22" t="n"/>
    </row>
    <row r="463" customFormat="1" s="114">
      <c r="B463" s="22" t="n"/>
    </row>
    <row r="464" customFormat="1" s="114">
      <c r="B464" s="22" t="n"/>
    </row>
    <row r="465" customFormat="1" s="114">
      <c r="B465" s="22" t="n"/>
    </row>
    <row r="466" customFormat="1" s="114">
      <c r="B466" s="22" t="n"/>
    </row>
    <row r="467" customFormat="1" s="114">
      <c r="B467" s="22" t="n"/>
    </row>
    <row r="468" customFormat="1" s="114">
      <c r="B468" s="22" t="n"/>
    </row>
    <row r="469" customFormat="1" s="114">
      <c r="B469" s="22" t="n"/>
    </row>
    <row r="470" customFormat="1" s="114">
      <c r="B470" s="22" t="n"/>
    </row>
    <row r="471" customFormat="1" s="114">
      <c r="B471" s="22" t="n"/>
    </row>
    <row r="472" customFormat="1" s="114">
      <c r="B472" s="22" t="n"/>
    </row>
    <row r="473" customFormat="1" s="114">
      <c r="B473" s="22" t="n"/>
    </row>
    <row r="474" customFormat="1" s="114">
      <c r="B474" s="22" t="n"/>
    </row>
    <row r="475" customFormat="1" s="114">
      <c r="B475" s="22" t="n"/>
    </row>
    <row r="476" customFormat="1" s="114">
      <c r="B476" s="22" t="n"/>
    </row>
    <row r="477" customFormat="1" s="114">
      <c r="B477" s="22" t="n"/>
    </row>
    <row r="478" customFormat="1" s="114">
      <c r="B478" s="22" t="n"/>
    </row>
    <row r="479" customFormat="1" s="114">
      <c r="B479" s="22" t="n"/>
    </row>
    <row r="480" customFormat="1" s="114">
      <c r="B480" s="22" t="n"/>
    </row>
    <row r="481" customFormat="1" s="114">
      <c r="B481" s="22" t="n"/>
    </row>
    <row r="482" customFormat="1" s="114">
      <c r="B482" s="22" t="n"/>
    </row>
    <row r="483" customFormat="1" s="114">
      <c r="B483" s="22" t="n"/>
    </row>
    <row r="484" customFormat="1" s="114">
      <c r="B484" s="22" t="n"/>
    </row>
    <row r="485" customFormat="1" s="114">
      <c r="B485" s="22" t="n"/>
    </row>
    <row r="486" customFormat="1" s="114">
      <c r="B486" s="22" t="n"/>
    </row>
    <row r="487" customFormat="1" s="114">
      <c r="B487" s="22" t="n"/>
    </row>
    <row r="488" customFormat="1" s="114">
      <c r="B488" s="22" t="n"/>
    </row>
    <row r="489" customFormat="1" s="114">
      <c r="B489" s="22" t="n"/>
    </row>
    <row r="490" customFormat="1" s="114">
      <c r="B490" s="22" t="n"/>
    </row>
    <row r="491" customFormat="1" s="114">
      <c r="B491" s="22" t="n"/>
    </row>
    <row r="492" customFormat="1" s="114">
      <c r="B492" s="22" t="n"/>
    </row>
    <row r="493" customFormat="1" s="114">
      <c r="B493" s="22" t="n"/>
    </row>
    <row r="494" customFormat="1" s="114">
      <c r="B494" s="22" t="n"/>
    </row>
    <row r="495" customFormat="1" s="114">
      <c r="B495" s="22" t="n"/>
    </row>
    <row r="496" customFormat="1" s="114">
      <c r="B496" s="22" t="n"/>
    </row>
    <row r="497" customFormat="1" s="114">
      <c r="B497" s="22" t="n"/>
    </row>
    <row r="498" customFormat="1" s="114">
      <c r="B498" s="22" t="n"/>
    </row>
    <row r="499" customFormat="1" s="114">
      <c r="B499" s="22" t="n"/>
    </row>
    <row r="500" customFormat="1" s="114">
      <c r="B500" s="22" t="n"/>
    </row>
    <row r="501" customFormat="1" s="114">
      <c r="B501" s="22" t="n"/>
    </row>
    <row r="502" customFormat="1" s="114">
      <c r="B502" s="22" t="n"/>
    </row>
    <row r="503" customFormat="1" s="114">
      <c r="B503" s="22" t="n"/>
    </row>
    <row r="504" customFormat="1" s="114">
      <c r="B504" s="22" t="n"/>
    </row>
    <row r="505" customFormat="1" s="114">
      <c r="B505" s="22" t="n"/>
    </row>
    <row r="506" customFormat="1" s="114">
      <c r="B506" s="22" t="n"/>
    </row>
    <row r="507" customFormat="1" s="114">
      <c r="B507" s="22" t="n"/>
    </row>
    <row r="508" customFormat="1" s="114">
      <c r="B508" s="22" t="n"/>
    </row>
    <row r="509" customFormat="1" s="114">
      <c r="B509" s="22" t="n"/>
    </row>
    <row r="510" customFormat="1" s="114">
      <c r="B510" s="22" t="n"/>
    </row>
    <row r="511" customFormat="1" s="114">
      <c r="B511" s="22" t="n"/>
    </row>
    <row r="512" customFormat="1" s="114">
      <c r="B512" s="22" t="n"/>
    </row>
    <row r="513" customFormat="1" s="114">
      <c r="B513" s="22" t="n"/>
    </row>
    <row r="514" customFormat="1" s="114">
      <c r="B514" s="22" t="n"/>
    </row>
    <row r="515" customFormat="1" s="114">
      <c r="B515" s="22" t="n"/>
    </row>
    <row r="516" customFormat="1" s="114">
      <c r="B516" s="22" t="n"/>
    </row>
    <row r="517" customFormat="1" s="114">
      <c r="B517" s="22" t="n"/>
    </row>
    <row r="518" customFormat="1" s="114">
      <c r="B518" s="22" t="n"/>
    </row>
    <row r="519" customFormat="1" s="114">
      <c r="B519" s="22" t="n"/>
    </row>
    <row r="520" customFormat="1" s="114">
      <c r="B520" s="22" t="n"/>
    </row>
    <row r="521" customFormat="1" s="114">
      <c r="B521" s="22" t="n"/>
    </row>
    <row r="522" customFormat="1" s="114">
      <c r="B522" s="22" t="n"/>
    </row>
    <row r="523" customFormat="1" s="114">
      <c r="B523" s="22" t="n"/>
    </row>
    <row r="524" customFormat="1" s="114">
      <c r="B524" s="22" t="n"/>
    </row>
    <row r="525" customFormat="1" s="114">
      <c r="B525" s="22" t="n"/>
    </row>
    <row r="526" customFormat="1" s="114">
      <c r="B526" s="22" t="n"/>
    </row>
    <row r="527" customFormat="1" s="114">
      <c r="B527" s="22" t="n"/>
    </row>
    <row r="528" customFormat="1" s="114">
      <c r="B528" s="22" t="n"/>
    </row>
    <row r="529" customFormat="1" s="114">
      <c r="B529" s="22" t="n"/>
    </row>
    <row r="530" customFormat="1" s="114">
      <c r="B530" s="22" t="n"/>
    </row>
    <row r="531" customFormat="1" s="114">
      <c r="B531" s="22" t="n"/>
    </row>
    <row r="532" customFormat="1" s="114">
      <c r="B532" s="22" t="n"/>
    </row>
    <row r="533" customFormat="1" s="114">
      <c r="B533" s="22" t="n"/>
    </row>
    <row r="534" customFormat="1" s="114">
      <c r="B534" s="22" t="n"/>
    </row>
    <row r="535" customFormat="1" s="114">
      <c r="B535" s="22" t="n"/>
    </row>
    <row r="536" customFormat="1" s="114">
      <c r="B536" s="22" t="n"/>
    </row>
    <row r="537" customFormat="1" s="114">
      <c r="B537" s="22" t="n"/>
    </row>
    <row r="538" customFormat="1" s="114">
      <c r="B538" s="22" t="n"/>
    </row>
    <row r="539" customFormat="1" s="114">
      <c r="B539" s="22" t="n"/>
    </row>
    <row r="540" customFormat="1" s="114">
      <c r="B540" s="22" t="n"/>
    </row>
    <row r="541" customFormat="1" s="114">
      <c r="B541" s="22" t="n"/>
    </row>
    <row r="542" customFormat="1" s="114">
      <c r="B542" s="22" t="n"/>
    </row>
    <row r="543" customFormat="1" s="114">
      <c r="B543" s="22" t="n"/>
    </row>
    <row r="544" customFormat="1" s="114">
      <c r="B544" s="22" t="n"/>
    </row>
    <row r="545" customFormat="1" s="114">
      <c r="B545" s="22" t="n"/>
    </row>
    <row r="546" customFormat="1" s="114">
      <c r="B546" s="22" t="n"/>
    </row>
    <row r="547" customFormat="1" s="114">
      <c r="B547" s="22" t="n"/>
    </row>
    <row r="548" customFormat="1" s="114">
      <c r="B548" s="22" t="n"/>
    </row>
    <row r="549" customFormat="1" s="114">
      <c r="B549" s="22" t="n"/>
    </row>
    <row r="550" customFormat="1" s="114">
      <c r="B550" s="22" t="n"/>
    </row>
    <row r="551" customFormat="1" s="114">
      <c r="B551" s="22" t="n"/>
    </row>
    <row r="552" customFormat="1" s="114">
      <c r="B552" s="22" t="n"/>
    </row>
    <row r="553" customFormat="1" s="114">
      <c r="B553" s="22" t="n"/>
    </row>
    <row r="554" customFormat="1" s="114">
      <c r="B554" s="22" t="n"/>
    </row>
    <row r="555" customFormat="1" s="114">
      <c r="B555" s="22" t="n"/>
    </row>
    <row r="556" customFormat="1" s="114">
      <c r="B556" s="22" t="n"/>
    </row>
    <row r="557" customFormat="1" s="114">
      <c r="B557" s="22" t="n"/>
    </row>
    <row r="558" customFormat="1" s="114">
      <c r="B558" s="22" t="n"/>
    </row>
    <row r="559" customFormat="1" s="114">
      <c r="B559" s="22" t="n"/>
    </row>
    <row r="560" customFormat="1" s="114">
      <c r="B560" s="22" t="n"/>
    </row>
    <row r="561" customFormat="1" s="114">
      <c r="B561" s="22" t="n"/>
    </row>
    <row r="562" customFormat="1" s="114">
      <c r="B562" s="22" t="n"/>
    </row>
    <row r="563" customFormat="1" s="114">
      <c r="B563" s="22" t="n"/>
    </row>
    <row r="564" customFormat="1" s="114">
      <c r="B564" s="22" t="n"/>
    </row>
    <row r="565" customFormat="1" s="114">
      <c r="B565" s="22" t="n"/>
    </row>
    <row r="566" customFormat="1" s="114">
      <c r="B566" s="22" t="n"/>
    </row>
    <row r="567" customFormat="1" s="114">
      <c r="B567" s="22" t="n"/>
    </row>
    <row r="568" customFormat="1" s="114">
      <c r="B568" s="22" t="n"/>
    </row>
    <row r="569" customFormat="1" s="114">
      <c r="B569" s="22" t="n"/>
    </row>
    <row r="570" customFormat="1" s="114">
      <c r="B570" s="22" t="n"/>
    </row>
    <row r="571" customFormat="1" s="114">
      <c r="B571" s="22" t="n"/>
    </row>
    <row r="572" customFormat="1" s="114">
      <c r="B572" s="22" t="n"/>
    </row>
    <row r="573" customFormat="1" s="114">
      <c r="B573" s="22" t="n"/>
    </row>
    <row r="574" customFormat="1" s="114">
      <c r="B574" s="22" t="n"/>
    </row>
    <row r="575" customFormat="1" s="114">
      <c r="B575" s="22" t="n"/>
    </row>
    <row r="576" customFormat="1" s="114">
      <c r="B576" s="22" t="n"/>
    </row>
    <row r="577" customFormat="1" s="114">
      <c r="B577" s="22" t="n"/>
    </row>
    <row r="578" customFormat="1" s="114">
      <c r="B578" s="22" t="n"/>
    </row>
    <row r="579" customFormat="1" s="114">
      <c r="B579" s="22" t="n"/>
    </row>
    <row r="580" customFormat="1" s="114">
      <c r="B580" s="22" t="n"/>
    </row>
    <row r="581" customFormat="1" s="114">
      <c r="B581" s="22" t="n"/>
    </row>
    <row r="582" customFormat="1" s="114">
      <c r="B582" s="22" t="n"/>
    </row>
    <row r="583" customFormat="1" s="114">
      <c r="B583" s="22" t="n"/>
    </row>
    <row r="584" customFormat="1" s="114">
      <c r="B584" s="22" t="n"/>
    </row>
    <row r="585" customFormat="1" s="114">
      <c r="B585" s="22" t="n"/>
    </row>
    <row r="586" customFormat="1" s="114">
      <c r="B586" s="22" t="n"/>
    </row>
    <row r="587" customFormat="1" s="114">
      <c r="B587" s="22" t="n"/>
    </row>
    <row r="588" customFormat="1" s="114">
      <c r="B588" s="22" t="n"/>
    </row>
    <row r="589" customFormat="1" s="114">
      <c r="B589" s="22" t="n"/>
    </row>
    <row r="590" customFormat="1" s="114">
      <c r="B590" s="22" t="n"/>
    </row>
    <row r="591" customFormat="1" s="114">
      <c r="B591" s="22" t="n"/>
    </row>
    <row r="592" customFormat="1" s="114">
      <c r="B592" s="22" t="n"/>
    </row>
    <row r="593" customFormat="1" s="114">
      <c r="B593" s="22" t="n"/>
    </row>
    <row r="594" customFormat="1" s="114">
      <c r="B594" s="22" t="n"/>
    </row>
    <row r="595" customFormat="1" s="114">
      <c r="B595" s="22" t="n"/>
    </row>
    <row r="596" customFormat="1" s="114">
      <c r="B596" s="22" t="n"/>
    </row>
    <row r="597" customFormat="1" s="114">
      <c r="B597" s="22" t="n"/>
    </row>
    <row r="598" customFormat="1" s="114">
      <c r="B598" s="22" t="n"/>
    </row>
    <row r="599" customFormat="1" s="114">
      <c r="B599" s="22" t="n"/>
    </row>
    <row r="600" customFormat="1" s="114">
      <c r="B600" s="22" t="n"/>
    </row>
    <row r="601" customFormat="1" s="114">
      <c r="B601" s="22" t="n"/>
    </row>
    <row r="602" customFormat="1" s="114">
      <c r="B602" s="22" t="n"/>
    </row>
    <row r="603" customFormat="1" s="114">
      <c r="B603" s="22" t="n"/>
    </row>
    <row r="604" customFormat="1" s="114">
      <c r="B604" s="22" t="n"/>
    </row>
    <row r="605" customFormat="1" s="114">
      <c r="B605" s="22" t="n"/>
    </row>
    <row r="606" customFormat="1" s="114">
      <c r="B606" s="22" t="n"/>
    </row>
    <row r="607" customFormat="1" s="114">
      <c r="B607" s="22" t="n"/>
    </row>
    <row r="608" customFormat="1" s="114">
      <c r="B608" s="22" t="n"/>
    </row>
    <row r="609" customFormat="1" s="114">
      <c r="B609" s="22" t="n"/>
    </row>
    <row r="610" customFormat="1" s="114">
      <c r="B610" s="22" t="n"/>
    </row>
    <row r="611" customFormat="1" s="114">
      <c r="B611" s="22" t="n"/>
    </row>
    <row r="612" customFormat="1" s="114">
      <c r="B612" s="22" t="n"/>
    </row>
    <row r="613" customFormat="1" s="114">
      <c r="B613" s="22" t="n"/>
    </row>
    <row r="614" customFormat="1" s="114">
      <c r="B614" s="22" t="n"/>
    </row>
    <row r="615" customFormat="1" s="114">
      <c r="B615" s="22" t="n"/>
    </row>
    <row r="616" customFormat="1" s="114">
      <c r="B616" s="22" t="n"/>
    </row>
    <row r="617" customFormat="1" s="114">
      <c r="B617" s="22" t="n"/>
    </row>
    <row r="618" customFormat="1" s="114">
      <c r="B618" s="22" t="n"/>
    </row>
    <row r="619" customFormat="1" s="114">
      <c r="B619" s="22" t="n"/>
    </row>
    <row r="620" customFormat="1" s="114">
      <c r="B620" s="22" t="n"/>
    </row>
    <row r="621" customFormat="1" s="114">
      <c r="B621" s="22" t="n"/>
    </row>
    <row r="622" customFormat="1" s="114">
      <c r="B622" s="22" t="n"/>
    </row>
    <row r="623" customFormat="1" s="114">
      <c r="B623" s="22" t="n"/>
    </row>
    <row r="624" customFormat="1" s="114">
      <c r="B624" s="22" t="n"/>
    </row>
    <row r="625" customFormat="1" s="114">
      <c r="B625" s="22" t="n"/>
    </row>
    <row r="626" customFormat="1" s="114">
      <c r="B626" s="22" t="n"/>
    </row>
    <row r="627" customFormat="1" s="114">
      <c r="B627" s="22" t="n"/>
    </row>
    <row r="628" customFormat="1" s="114">
      <c r="B628" s="22" t="n"/>
    </row>
    <row r="629" customFormat="1" s="114">
      <c r="B629" s="22" t="n"/>
    </row>
    <row r="630" customFormat="1" s="114">
      <c r="B630" s="22" t="n"/>
    </row>
    <row r="631" customFormat="1" s="114">
      <c r="B631" s="22" t="n"/>
    </row>
    <row r="632" customFormat="1" s="114">
      <c r="B632" s="22" t="n"/>
    </row>
    <row r="633" customFormat="1" s="114">
      <c r="B633" s="22" t="n"/>
    </row>
    <row r="634" customFormat="1" s="114">
      <c r="B634" s="22" t="n"/>
    </row>
    <row r="635" customFormat="1" s="114">
      <c r="B635" s="22" t="n"/>
    </row>
    <row r="636" customFormat="1" s="114">
      <c r="B636" s="22" t="n"/>
    </row>
    <row r="637" customFormat="1" s="114">
      <c r="B637" s="22" t="n"/>
    </row>
    <row r="638" customFormat="1" s="114">
      <c r="B638" s="22" t="n"/>
    </row>
    <row r="639" customFormat="1" s="114">
      <c r="B639" s="22" t="n"/>
    </row>
    <row r="640" customFormat="1" s="114">
      <c r="B640" s="22" t="n"/>
    </row>
    <row r="641" customFormat="1" s="114">
      <c r="B641" s="22" t="n"/>
    </row>
    <row r="642" customFormat="1" s="114">
      <c r="B642" s="22" t="n"/>
    </row>
    <row r="643" customFormat="1" s="114">
      <c r="B643" s="22" t="n"/>
    </row>
    <row r="644" customFormat="1" s="114">
      <c r="B644" s="22" t="n"/>
    </row>
    <row r="645" customFormat="1" s="114">
      <c r="B645" s="22" t="n"/>
    </row>
    <row r="646" customFormat="1" s="114">
      <c r="B646" s="22" t="n"/>
    </row>
    <row r="647" customFormat="1" s="114">
      <c r="B647" s="22" t="n"/>
    </row>
    <row r="648" customFormat="1" s="114">
      <c r="B648" s="22" t="n"/>
    </row>
    <row r="649" customFormat="1" s="114">
      <c r="B649" s="22" t="n"/>
    </row>
    <row r="650" customFormat="1" s="114">
      <c r="B650" s="22" t="n"/>
    </row>
    <row r="651" customFormat="1" s="114">
      <c r="B651" s="22" t="n"/>
    </row>
    <row r="652" customFormat="1" s="114">
      <c r="B652" s="22" t="n"/>
    </row>
    <row r="653" customFormat="1" s="114">
      <c r="B653" s="22" t="n"/>
    </row>
    <row r="654" customFormat="1" s="114">
      <c r="B654" s="22" t="n"/>
    </row>
    <row r="655" customFormat="1" s="114">
      <c r="B655" s="22" t="n"/>
    </row>
    <row r="656" customFormat="1" s="114">
      <c r="B656" s="22" t="n"/>
    </row>
    <row r="657" customFormat="1" s="114">
      <c r="B657" s="22" t="n"/>
    </row>
    <row r="658" customFormat="1" s="114">
      <c r="B658" s="22" t="n"/>
    </row>
    <row r="659" customFormat="1" s="114">
      <c r="B659" s="22" t="n"/>
    </row>
    <row r="660" customFormat="1" s="114">
      <c r="B660" s="22" t="n"/>
    </row>
    <row r="661" customFormat="1" s="114">
      <c r="B661" s="22" t="n"/>
    </row>
    <row r="662" customFormat="1" s="114">
      <c r="B662" s="22" t="n"/>
    </row>
    <row r="663" customFormat="1" s="114">
      <c r="B663" s="22" t="n"/>
    </row>
    <row r="664" customFormat="1" s="114">
      <c r="B664" s="22" t="n"/>
    </row>
    <row r="665" customFormat="1" s="114">
      <c r="B665" s="22" t="n"/>
    </row>
    <row r="666" customFormat="1" s="114">
      <c r="B666" s="22" t="n"/>
    </row>
    <row r="667" customFormat="1" s="114">
      <c r="B667" s="22" t="n"/>
    </row>
    <row r="668" customFormat="1" s="114">
      <c r="B668" s="22" t="n"/>
    </row>
    <row r="669" customFormat="1" s="114">
      <c r="B669" s="22" t="n"/>
    </row>
    <row r="670" customFormat="1" s="114">
      <c r="B670" s="22" t="n"/>
    </row>
    <row r="671" customFormat="1" s="114">
      <c r="B671" s="22" t="n"/>
    </row>
    <row r="672" customFormat="1" s="114">
      <c r="B672" s="22" t="n"/>
    </row>
    <row r="673" customFormat="1" s="114">
      <c r="B673" s="22" t="n"/>
    </row>
    <row r="674" customFormat="1" s="114">
      <c r="B674" s="22" t="n"/>
    </row>
    <row r="675" customFormat="1" s="114">
      <c r="B675" s="22" t="n"/>
    </row>
    <row r="676" customFormat="1" s="114">
      <c r="B676" s="22" t="n"/>
    </row>
    <row r="677" customFormat="1" s="114">
      <c r="B677" s="22" t="n"/>
    </row>
    <row r="678" customFormat="1" s="114">
      <c r="B678" s="22" t="n"/>
    </row>
    <row r="679" customFormat="1" s="114">
      <c r="B679" s="22" t="n"/>
    </row>
    <row r="680" customFormat="1" s="114">
      <c r="B680" s="22" t="n"/>
    </row>
    <row r="681" customFormat="1" s="114">
      <c r="B681" s="22" t="n"/>
    </row>
    <row r="682" customFormat="1" s="114">
      <c r="B682" s="22" t="n"/>
    </row>
    <row r="683" customFormat="1" s="114">
      <c r="B683" s="22" t="n"/>
    </row>
    <row r="684" customFormat="1" s="114">
      <c r="B684" s="22" t="n"/>
    </row>
    <row r="685" customFormat="1" s="114">
      <c r="B685" s="22" t="n"/>
    </row>
    <row r="686" customFormat="1" s="114">
      <c r="B686" s="22" t="n"/>
    </row>
    <row r="687" customFormat="1" s="114">
      <c r="B687" s="22" t="n"/>
    </row>
    <row r="688" customFormat="1" s="114">
      <c r="B688" s="22" t="n"/>
    </row>
    <row r="689" customFormat="1" s="114">
      <c r="B689" s="22" t="n"/>
    </row>
    <row r="690" customFormat="1" s="114">
      <c r="B690" s="22" t="n"/>
    </row>
    <row r="691" customFormat="1" s="114">
      <c r="B691" s="22" t="n"/>
    </row>
    <row r="692" customFormat="1" s="114">
      <c r="B692" s="22" t="n"/>
    </row>
    <row r="693" customFormat="1" s="114">
      <c r="B693" s="22" t="n"/>
    </row>
    <row r="694" customFormat="1" s="114">
      <c r="B694" s="22" t="n"/>
    </row>
    <row r="695" customFormat="1" s="114">
      <c r="B695" s="22" t="n"/>
    </row>
    <row r="696" customFormat="1" s="114">
      <c r="B696" s="22" t="n"/>
    </row>
    <row r="697" customFormat="1" s="114">
      <c r="B697" s="22" t="n"/>
    </row>
    <row r="698" customFormat="1" s="114">
      <c r="B698" s="22" t="n"/>
    </row>
    <row r="699" customFormat="1" s="114">
      <c r="B699" s="22" t="n"/>
    </row>
    <row r="700" customFormat="1" s="114">
      <c r="B700" s="22" t="n"/>
    </row>
    <row r="701" customFormat="1" s="114">
      <c r="B701" s="22" t="n"/>
    </row>
    <row r="702" customFormat="1" s="114">
      <c r="B702" s="22" t="n"/>
    </row>
    <row r="703" customFormat="1" s="114">
      <c r="B703" s="22" t="n"/>
    </row>
    <row r="704" customFormat="1" s="114">
      <c r="B704" s="22" t="n"/>
    </row>
    <row r="705" customFormat="1" s="114">
      <c r="B705" s="22" t="n"/>
    </row>
    <row r="706" customFormat="1" s="114">
      <c r="B706" s="22" t="n"/>
    </row>
    <row r="707" customFormat="1" s="114">
      <c r="B707" s="22" t="n"/>
    </row>
    <row r="708" customFormat="1" s="114">
      <c r="B708" s="22" t="n"/>
    </row>
    <row r="709" customFormat="1" s="114">
      <c r="B709" s="22" t="n"/>
    </row>
    <row r="710" customFormat="1" s="114">
      <c r="B710" s="22" t="n"/>
    </row>
    <row r="711" customFormat="1" s="114">
      <c r="B711" s="22" t="n"/>
    </row>
    <row r="712" customFormat="1" s="114">
      <c r="B712" s="22" t="n"/>
    </row>
    <row r="713" customFormat="1" s="114">
      <c r="B713" s="22" t="n"/>
    </row>
    <row r="714" customFormat="1" s="114">
      <c r="B714" s="22" t="n"/>
    </row>
    <row r="715" customFormat="1" s="114">
      <c r="B715" s="22" t="n"/>
    </row>
    <row r="716" customFormat="1" s="114">
      <c r="B716" s="22" t="n"/>
    </row>
    <row r="717" customFormat="1" s="114">
      <c r="B717" s="22" t="n"/>
    </row>
    <row r="718" customFormat="1" s="114">
      <c r="B718" s="22" t="n"/>
    </row>
    <row r="719" customFormat="1" s="114">
      <c r="B719" s="22" t="n"/>
    </row>
    <row r="720" customFormat="1" s="114">
      <c r="B720" s="22" t="n"/>
    </row>
    <row r="721" customFormat="1" s="114">
      <c r="B721" s="22" t="n"/>
    </row>
    <row r="722" customFormat="1" s="114">
      <c r="B722" s="22" t="n"/>
    </row>
    <row r="723" customFormat="1" s="114">
      <c r="B723" s="22" t="n"/>
    </row>
    <row r="724" customFormat="1" s="114">
      <c r="B724" s="22" t="n"/>
    </row>
    <row r="725" customFormat="1" s="114">
      <c r="B725" s="22" t="n"/>
    </row>
    <row r="726" customFormat="1" s="114">
      <c r="B726" s="22" t="n"/>
    </row>
    <row r="727" customFormat="1" s="114">
      <c r="B727" s="22" t="n"/>
    </row>
    <row r="728" customFormat="1" s="114">
      <c r="B728" s="22" t="n"/>
    </row>
    <row r="729" customFormat="1" s="114">
      <c r="B729" s="22" t="n"/>
    </row>
    <row r="730" customFormat="1" s="114">
      <c r="B730" s="22" t="n"/>
    </row>
    <row r="731" customFormat="1" s="114">
      <c r="B731" s="22" t="n"/>
    </row>
    <row r="732" customFormat="1" s="114">
      <c r="B732" s="22" t="n"/>
    </row>
    <row r="733" customFormat="1" s="114">
      <c r="B733" s="22" t="n"/>
    </row>
    <row r="734" customFormat="1" s="114">
      <c r="B734" s="22" t="n"/>
    </row>
    <row r="735" customFormat="1" s="114">
      <c r="B735" s="22" t="n"/>
    </row>
    <row r="736" customFormat="1" s="114">
      <c r="B736" s="22" t="n"/>
    </row>
    <row r="737" customFormat="1" s="114">
      <c r="B737" s="22" t="n"/>
    </row>
    <row r="738" customFormat="1" s="114">
      <c r="B738" s="22" t="n"/>
    </row>
    <row r="739" customFormat="1" s="114">
      <c r="B739" s="22" t="n"/>
    </row>
    <row r="740" customFormat="1" s="114">
      <c r="B740" s="22" t="n"/>
    </row>
    <row r="741" customFormat="1" s="114">
      <c r="B741" s="22" t="n"/>
    </row>
    <row r="742" customFormat="1" s="114">
      <c r="B742" s="22" t="n"/>
    </row>
    <row r="743" customFormat="1" s="114">
      <c r="B743" s="22" t="n"/>
    </row>
    <row r="744" customFormat="1" s="114">
      <c r="B744" s="22" t="n"/>
    </row>
    <row r="745" customFormat="1" s="114">
      <c r="B745" s="22" t="n"/>
    </row>
    <row r="746" customFormat="1" s="114">
      <c r="B746" s="22" t="n"/>
    </row>
    <row r="747" customFormat="1" s="114">
      <c r="B747" s="22" t="n"/>
    </row>
    <row r="748" customFormat="1" s="114">
      <c r="B748" s="22" t="n"/>
    </row>
    <row r="749" customFormat="1" s="114">
      <c r="B749" s="22" t="n"/>
    </row>
    <row r="750" customFormat="1" s="114">
      <c r="B750" s="22" t="n"/>
    </row>
    <row r="751" customFormat="1" s="114">
      <c r="B751" s="22" t="n"/>
    </row>
    <row r="752" customFormat="1" s="114">
      <c r="B752" s="22" t="n"/>
    </row>
    <row r="753" customFormat="1" s="114">
      <c r="B753" s="22" t="n"/>
    </row>
    <row r="754" customFormat="1" s="114">
      <c r="B754" s="22" t="n"/>
    </row>
    <row r="755" customFormat="1" s="114">
      <c r="B755" s="22" t="n"/>
    </row>
    <row r="756" customFormat="1" s="114">
      <c r="B756" s="22" t="n"/>
    </row>
    <row r="757" customFormat="1" s="114">
      <c r="B757" s="22" t="n"/>
    </row>
    <row r="758" customFormat="1" s="114">
      <c r="B758" s="22" t="n"/>
    </row>
    <row r="759" customFormat="1" s="114">
      <c r="B759" s="22" t="n"/>
    </row>
    <row r="760" customFormat="1" s="114">
      <c r="B760" s="22" t="n"/>
    </row>
    <row r="761" customFormat="1" s="114">
      <c r="B761" s="22" t="n"/>
    </row>
    <row r="762" customFormat="1" s="114">
      <c r="B762" s="22" t="n"/>
    </row>
    <row r="763" customFormat="1" s="114">
      <c r="B763" s="22" t="n"/>
    </row>
    <row r="764" customFormat="1" s="114">
      <c r="B764" s="22" t="n"/>
    </row>
    <row r="765" customFormat="1" s="114">
      <c r="B765" s="22" t="n"/>
    </row>
    <row r="766" customFormat="1" s="114">
      <c r="B766" s="22" t="n"/>
    </row>
    <row r="767" customFormat="1" s="114">
      <c r="B767" s="22" t="n"/>
    </row>
    <row r="768" customFormat="1" s="114">
      <c r="B768" s="22" t="n"/>
    </row>
    <row r="769" customFormat="1" s="114">
      <c r="B769" s="22" t="n"/>
    </row>
    <row r="770" customFormat="1" s="114">
      <c r="B770" s="22" t="n"/>
    </row>
    <row r="771" customFormat="1" s="114">
      <c r="B771" s="22" t="n"/>
    </row>
    <row r="772" customFormat="1" s="114">
      <c r="B772" s="22" t="n"/>
    </row>
    <row r="773" customFormat="1" s="114">
      <c r="B773" s="22" t="n"/>
    </row>
    <row r="774">
      <c r="A774" s="114" t="n"/>
      <c r="B774" s="22" t="n"/>
      <c r="C774" s="114" t="n"/>
      <c r="D774" s="114" t="n"/>
    </row>
    <row r="775">
      <c r="A775" s="114" t="n"/>
      <c r="B775" s="22" t="n"/>
      <c r="C775" s="114" t="n"/>
      <c r="D775" s="114" t="n"/>
    </row>
    <row r="776">
      <c r="A776" s="114" t="n"/>
      <c r="B776" s="22" t="n"/>
      <c r="C776" s="114" t="n"/>
      <c r="D776" s="114" t="n"/>
    </row>
    <row r="777">
      <c r="A777" s="114" t="n"/>
      <c r="B777" s="22" t="n"/>
      <c r="C777" s="114" t="n"/>
      <c r="D777" s="114" t="n"/>
    </row>
    <row r="778">
      <c r="A778" s="114" t="n"/>
      <c r="B778" s="22" t="n"/>
      <c r="C778" s="114" t="n"/>
      <c r="D778" s="114" t="n"/>
    </row>
    <row r="779">
      <c r="A779" s="114" t="n"/>
      <c r="B779" s="22" t="n"/>
      <c r="C779" s="114" t="n"/>
      <c r="D779" s="114" t="n"/>
    </row>
    <row r="780">
      <c r="A780" s="114" t="n"/>
      <c r="B780" s="22" t="n"/>
      <c r="C780" s="114" t="n"/>
      <c r="D780" s="114" t="n"/>
    </row>
    <row r="781">
      <c r="A781" s="114" t="n"/>
      <c r="B781" s="22" t="n"/>
      <c r="C781" s="114" t="n"/>
      <c r="D781" s="114" t="n"/>
    </row>
    <row r="782">
      <c r="A782" s="114" t="n"/>
      <c r="B782" s="22" t="n"/>
      <c r="C782" s="114" t="n"/>
      <c r="D782" s="114" t="n"/>
    </row>
    <row r="783">
      <c r="A783" s="114" t="n"/>
      <c r="B783" s="22" t="n"/>
      <c r="C783" s="114" t="n"/>
      <c r="D783" s="114" t="n"/>
    </row>
    <row r="784">
      <c r="A784" s="114" t="n"/>
      <c r="B784" s="22" t="n"/>
      <c r="C784" s="114" t="n"/>
      <c r="D784" s="114" t="n"/>
    </row>
    <row r="785">
      <c r="A785" s="114" t="n"/>
      <c r="B785" s="22" t="n"/>
      <c r="C785" s="114" t="n"/>
      <c r="D785" s="114" t="n"/>
    </row>
    <row r="786">
      <c r="A786" s="114" t="n"/>
      <c r="B786" s="22" t="n"/>
      <c r="C786" s="114" t="n"/>
      <c r="D786" s="114" t="n"/>
    </row>
    <row r="787">
      <c r="A787" s="114" t="n"/>
      <c r="B787" s="22" t="n"/>
      <c r="C787" s="114" t="n"/>
      <c r="D787" s="114" t="n"/>
    </row>
    <row r="788">
      <c r="A788" s="114" t="n"/>
      <c r="B788" s="22" t="n"/>
      <c r="C788" s="114" t="n"/>
      <c r="D788" s="114" t="n"/>
    </row>
    <row r="789">
      <c r="A789" s="114" t="n"/>
      <c r="B789" s="22" t="n"/>
      <c r="C789" s="114" t="n"/>
      <c r="D789" s="114" t="n"/>
    </row>
    <row r="790">
      <c r="A790" s="114" t="n"/>
      <c r="B790" s="22" t="n"/>
      <c r="C790" s="114" t="n"/>
      <c r="D790" s="114" t="n"/>
    </row>
    <row r="791">
      <c r="A791" s="114" t="n"/>
      <c r="B791" s="22" t="n"/>
      <c r="C791" s="114" t="n"/>
      <c r="D791" s="114" t="n"/>
    </row>
    <row r="792">
      <c r="A792" s="114" t="n"/>
      <c r="B792" s="22" t="n"/>
      <c r="C792" s="114" t="n"/>
      <c r="D792" s="114" t="n"/>
    </row>
    <row r="793">
      <c r="A793" s="114" t="n"/>
      <c r="B793" s="22" t="n"/>
      <c r="C793" s="114" t="n"/>
      <c r="D793" s="114" t="n"/>
    </row>
    <row r="794">
      <c r="A794" s="114" t="n"/>
      <c r="B794" s="22" t="n"/>
      <c r="C794" s="114" t="n"/>
      <c r="D794" s="114" t="n"/>
    </row>
    <row r="795">
      <c r="A795" s="114" t="n"/>
      <c r="B795" s="22" t="n"/>
      <c r="C795" s="114" t="n"/>
      <c r="D795" s="114" t="n"/>
    </row>
    <row r="796">
      <c r="A796" s="114" t="n"/>
      <c r="B796" s="22" t="n"/>
      <c r="C796" s="114" t="n"/>
      <c r="D796" s="114" t="n"/>
    </row>
    <row r="797">
      <c r="A797" s="114" t="n"/>
      <c r="B797" s="22" t="n"/>
      <c r="C797" s="114" t="n"/>
      <c r="D797" s="114" t="n"/>
    </row>
    <row r="798">
      <c r="A798" s="114" t="n"/>
      <c r="B798" s="22" t="n"/>
      <c r="C798" s="114" t="n"/>
      <c r="D798" s="114" t="n"/>
    </row>
    <row r="799">
      <c r="A799" s="114" t="n"/>
      <c r="B799" s="22" t="n"/>
      <c r="C799" s="114" t="n"/>
      <c r="D799" s="114" t="n"/>
    </row>
    <row r="800">
      <c r="A800" s="114" t="n"/>
      <c r="B800" s="22" t="n"/>
      <c r="C800" s="114" t="n"/>
      <c r="D800" s="114" t="n"/>
    </row>
    <row r="801">
      <c r="A801" s="114" t="n"/>
      <c r="B801" s="22" t="n"/>
      <c r="C801" s="114" t="n"/>
      <c r="D801" s="114" t="n"/>
    </row>
    <row r="802">
      <c r="A802" s="114" t="n"/>
      <c r="B802" s="22" t="n"/>
      <c r="C802" s="114" t="n"/>
      <c r="D802" s="114" t="n"/>
    </row>
    <row r="803">
      <c r="A803" s="114" t="n"/>
      <c r="B803" s="22" t="n"/>
      <c r="C803" s="114" t="n"/>
      <c r="D803" s="114" t="n"/>
    </row>
    <row r="804">
      <c r="A804" s="114" t="n"/>
      <c r="B804" s="22" t="n"/>
      <c r="C804" s="114" t="n"/>
      <c r="D804" s="114" t="n"/>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66"/>
  <sheetViews>
    <sheetView zoomScale="160" zoomScaleNormal="160" workbookViewId="0">
      <pane ySplit="6" topLeftCell="A332" activePane="bottomLeft" state="frozen"/>
      <selection pane="bottomLeft" activeCell="P366" sqref="P366"/>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14" min="5" max="69"/>
  </cols>
  <sheetData>
    <row r="1" customFormat="1" s="114">
      <c r="A1" s="114" t="inlineStr">
        <is>
          <t>RSDBS</t>
        </is>
      </c>
      <c r="B1" s="29" t="inlineStr">
        <is>
          <t>Food and Beverage Stores (RSDBS), Millions of Dollars, Monthly, Seasonally Adjusted</t>
        </is>
      </c>
      <c r="C1" s="54" t="n"/>
      <c r="D1" s="54" t="n"/>
    </row>
    <row r="2" customFormat="1" s="114">
      <c r="A2" s="129" t="inlineStr">
        <is>
          <t>https://fred.stlouisfed.org/series/RSDBS</t>
        </is>
      </c>
      <c r="C2" s="54" t="n"/>
      <c r="D2" s="54" t="n"/>
    </row>
    <row r="3" customFormat="1" s="114">
      <c r="A3" s="9" t="n"/>
      <c r="B3" s="54" t="n"/>
      <c r="C3" s="54" t="n"/>
      <c r="D3" s="54" t="n"/>
    </row>
    <row r="4" customFormat="1" s="114">
      <c r="A4" s="9" t="n"/>
      <c r="B4" s="54" t="n"/>
      <c r="C4" s="54" t="n"/>
      <c r="D4" s="54" t="n"/>
    </row>
    <row r="5" ht="16" customFormat="1" customHeight="1" s="114"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66"/>
  <sheetViews>
    <sheetView zoomScale="200" zoomScaleNormal="200" workbookViewId="0">
      <pane ySplit="6" topLeftCell="A340" activePane="bottomLeft" state="frozen"/>
      <selection pane="bottomLeft" activeCell="CX328" sqref="CX328"/>
    </sheetView>
  </sheetViews>
  <sheetFormatPr baseColWidth="10" defaultColWidth="9.1640625" defaultRowHeight="15"/>
  <cols>
    <col width="14" customWidth="1" style="54" min="1" max="1"/>
    <col width="14.1640625" customWidth="1" style="54" min="2" max="4"/>
    <col width="9.1640625" customWidth="1" style="114" min="5" max="7"/>
    <col width="9.1640625" customWidth="1" style="114" min="8" max="16384"/>
  </cols>
  <sheetData>
    <row r="1">
      <c r="A1" s="114" t="inlineStr">
        <is>
          <t>RSNSR</t>
        </is>
      </c>
      <c r="B1" s="29" t="inlineStr">
        <is>
          <t>Retail Trade: Nonstore Retailers (RSNSR), Millions of Dollars, Monthly, Seasonally Adjusted</t>
        </is>
      </c>
    </row>
    <row r="2">
      <c r="A2" s="129" t="inlineStr">
        <is>
          <t>https://fred.stlouisfed.org/series/RSNSR</t>
        </is>
      </c>
      <c r="B2" s="114"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66"/>
  <sheetViews>
    <sheetView zoomScale="160" zoomScaleNormal="160" workbookViewId="0">
      <pane ySplit="6" topLeftCell="A335" activePane="bottomLeft" state="frozen"/>
      <selection pane="bottomLeft" activeCell="P348" sqref="P34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RSHPCS</t>
        </is>
      </c>
      <c r="B1" s="29" t="inlineStr">
        <is>
          <t>Retail Trade: Health and Personal Care Stores (RSHPCS), Millions of Dollars, Monthly, Seasonally Adjusted</t>
        </is>
      </c>
    </row>
    <row r="2">
      <c r="A2" s="129" t="inlineStr">
        <is>
          <t>https://fred.stlouisfed.org/series/RSHPCS</t>
        </is>
      </c>
      <c r="B2" s="114"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66"/>
  <sheetViews>
    <sheetView zoomScale="160" zoomScaleNormal="160" workbookViewId="0">
      <pane ySplit="6" topLeftCell="A331" activePane="bottomLeft" state="frozen"/>
      <selection pane="bottomLeft" activeCell="U357" sqref="U357"/>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RSSGHBMS</t>
        </is>
      </c>
      <c r="B1" s="29" t="inlineStr">
        <is>
          <t>Retail Trade: Sporting Goods, Hobby, Book, and Music Stores (RSSGHBMS), Millions of Dollars, Monthly, Seasonally Adjusted</t>
        </is>
      </c>
    </row>
    <row r="2">
      <c r="A2" s="129" t="inlineStr">
        <is>
          <t>https://fred.stlouisfed.org/series/RSSGHBMS</t>
        </is>
      </c>
      <c r="B2" s="114"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66"/>
  <sheetViews>
    <sheetView zoomScale="150" zoomScaleNormal="150" workbookViewId="0">
      <pane ySplit="6" topLeftCell="A333" activePane="bottomLeft" state="frozen"/>
      <selection pane="bottomLeft" activeCell="F375" sqref="F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RSGMS</t>
        </is>
      </c>
      <c r="B1" s="29" t="inlineStr">
        <is>
          <t>Retail Trade: General Merchandise Stores (RSGMS), Millions of Dollars, Monthly, Seasonally Adjusted</t>
        </is>
      </c>
    </row>
    <row r="2">
      <c r="A2" s="129" t="inlineStr">
        <is>
          <t>https://fred.stlouisfed.org/series/RSGMS</t>
        </is>
      </c>
      <c r="B2" s="114"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66"/>
  <sheetViews>
    <sheetView zoomScale="190" zoomScaleNormal="190" workbookViewId="0">
      <pane ySplit="6" topLeftCell="A334" activePane="bottomLeft" state="frozen"/>
      <selection pane="bottomLeft" activeCell="P360" sqref="P360"/>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RSFSDP</t>
        </is>
      </c>
      <c r="B1" s="29" t="inlineStr">
        <is>
          <t>Advance Retail Sales: Food Services and Drinking Places</t>
        </is>
      </c>
    </row>
    <row r="2">
      <c r="A2" s="129" t="n"/>
      <c r="B2" s="114"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66"/>
  <sheetViews>
    <sheetView zoomScale="190" zoomScaleNormal="190" workbookViewId="0">
      <pane ySplit="6" topLeftCell="A335" activePane="bottomLeft" state="frozen"/>
      <selection pane="bottomLeft" activeCell="Q352" sqref="Q352"/>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RSGASS</t>
        </is>
      </c>
      <c r="B1" s="29" t="inlineStr">
        <is>
          <t>Retail Trade: Gasoline Stations (RSGASS), Millions of Dollars, Monthly, Seasonally Adjusted</t>
        </is>
      </c>
    </row>
    <row r="2">
      <c r="A2" s="129" t="inlineStr">
        <is>
          <t>https://fred.stlouisfed.org/series/RSGASS</t>
        </is>
      </c>
      <c r="B2" s="114"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66"/>
  <sheetViews>
    <sheetView topLeftCell="B1" zoomScale="200" zoomScaleNormal="200" workbookViewId="0">
      <pane ySplit="6" topLeftCell="A343" activePane="bottomLeft" state="frozen"/>
      <selection pane="bottomLeft" activeCell="O344" sqref="O344"/>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RSMVPD</t>
        </is>
      </c>
      <c r="B1" s="29" t="inlineStr">
        <is>
          <t>Retail Trade: Motor Vehicle and Parts Dealers (RSMVPD), Millions of Dollars, Monthly, Seasonally Adjusted</t>
        </is>
      </c>
    </row>
    <row r="2">
      <c r="A2" s="129" t="inlineStr">
        <is>
          <t>https://fred.stlouisfed.org/series/RSMVPD</t>
        </is>
      </c>
      <c r="B2" s="114"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sheetData>
  <conditionalFormatting sqref="D19:D366">
    <cfRule type="colorScale" priority="50">
      <colorScale>
        <cfvo type="min"/>
        <cfvo type="percentile" val="50"/>
        <cfvo type="max"/>
        <color rgb="FFF8696B"/>
        <color rgb="FFFFEB84"/>
        <color rgb="FF63BE7B"/>
      </colorScale>
    </cfRule>
  </conditionalFormatting>
  <conditionalFormatting sqref="C8:C366">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66"/>
  <sheetViews>
    <sheetView zoomScale="200" zoomScaleNormal="200" workbookViewId="0">
      <pane ySplit="6" topLeftCell="A338" activePane="bottomLeft" state="frozen"/>
      <selection pane="bottomLeft" activeCell="Q351" sqref="Q351"/>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14" min="5" max="7"/>
    <col width="9.1640625" customWidth="1" style="114" min="8" max="16384"/>
  </cols>
  <sheetData>
    <row r="1">
      <c r="A1" s="114" t="inlineStr">
        <is>
          <t>RSBMGESD</t>
        </is>
      </c>
      <c r="B1" s="29" t="inlineStr">
        <is>
          <t>Retail Trade: Building Materials, Garden Equipment and Supplies Dealers (RSBMGESD), Millions of Dollars, Monthly, Seasonally Adjusted</t>
        </is>
      </c>
    </row>
    <row r="2">
      <c r="A2" s="129" t="inlineStr">
        <is>
          <t>https://fred.stlouisfed.org/series/RSBMGESD</t>
        </is>
      </c>
      <c r="B2" s="114"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sheetData>
  <conditionalFormatting sqref="D19:D366">
    <cfRule type="colorScale" priority="48">
      <colorScale>
        <cfvo type="min"/>
        <cfvo type="percentile" val="50"/>
        <cfvo type="max"/>
        <color rgb="FFF8696B"/>
        <color rgb="FFFFEB84"/>
        <color rgb="FF63BE7B"/>
      </colorScale>
    </cfRule>
  </conditionalFormatting>
  <conditionalFormatting sqref="C8:C366">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66"/>
  <sheetViews>
    <sheetView zoomScale="210" zoomScaleNormal="210" workbookViewId="0">
      <pane ySplit="6" topLeftCell="A346" activePane="bottomLeft" state="frozen"/>
      <selection pane="bottomLeft" activeCell="P351" sqref="P351"/>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RSFHFS</t>
        </is>
      </c>
      <c r="B1" s="29" t="inlineStr">
        <is>
          <t>RSEAS</t>
        </is>
      </c>
    </row>
    <row r="2">
      <c r="A2" s="129" t="n"/>
      <c r="B2" s="114"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sheetData>
  <conditionalFormatting sqref="D19:D366">
    <cfRule type="colorScale" priority="46">
      <colorScale>
        <cfvo type="min"/>
        <cfvo type="percentile" val="50"/>
        <cfvo type="max"/>
        <color rgb="FFF8696B"/>
        <color rgb="FFFFEB84"/>
        <color rgb="FF63BE7B"/>
      </colorScale>
    </cfRule>
  </conditionalFormatting>
  <conditionalFormatting sqref="C8:C366">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66"/>
  <sheetViews>
    <sheetView zoomScale="170" zoomScaleNormal="170" workbookViewId="0">
      <pane ySplit="6" topLeftCell="A333" activePane="bottomLeft" state="frozen"/>
      <selection pane="bottomLeft" activeCell="Q356" sqref="Q35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RSMSR</t>
        </is>
      </c>
      <c r="B1" s="29" t="inlineStr">
        <is>
          <t>Miscellaneous stores retailers</t>
        </is>
      </c>
    </row>
    <row r="2">
      <c r="A2" s="129" t="n"/>
      <c r="B2" s="114"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sheetData>
  <conditionalFormatting sqref="D19:D366">
    <cfRule type="colorScale" priority="44">
      <colorScale>
        <cfvo type="min"/>
        <cfvo type="percentile" val="50"/>
        <cfvo type="max"/>
        <color rgb="FFF8696B"/>
        <color rgb="FFFFEB84"/>
        <color rgb="FF63BE7B"/>
      </colorScale>
    </cfRule>
  </conditionalFormatting>
  <conditionalFormatting sqref="C8:C366">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66"/>
  <sheetViews>
    <sheetView zoomScale="190" zoomScaleNormal="190" workbookViewId="0">
      <pane ySplit="6" topLeftCell="A337" activePane="bottomLeft" state="frozen"/>
      <selection pane="bottomLeft" activeCell="O363" sqref="O36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7"/>
    <col width="9.1640625" customWidth="1" style="114" min="8" max="16384"/>
  </cols>
  <sheetData>
    <row r="1">
      <c r="A1" s="114" t="inlineStr">
        <is>
          <t>RSCCAS</t>
        </is>
      </c>
      <c r="B1" s="29" t="inlineStr">
        <is>
          <t>Clothing and clothing access. stores</t>
        </is>
      </c>
    </row>
    <row r="2">
      <c r="A2" s="129" t="n"/>
      <c r="B2" s="114"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2022-02-07T06:30:33Z</dcterms:modified>
  <cp:lastModifiedBy>Mark Mukherjee</cp:lastModifiedBy>
</cp:coreProperties>
</file>