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3580" yWindow="260" windowWidth="42440" windowHeight="27400" tabRatio="600" firstSheet="2"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5" fillId="2" borderId="0" pivotButton="0" quotePrefix="0" xfId="1"/>
    <xf numFmtId="0" fontId="0" fillId="0" borderId="0" pivotButton="0" quotePrefix="0" xfId="0"/>
    <xf numFmtId="0" fontId="0" fillId="2"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7" fontId="0" fillId="0" borderId="0" pivotButton="0" quotePrefix="0" xfId="0"/>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Gas'!$A$8:$A$371</f>
              <numCache>
                <formatCode>[$-409]mmm\-yy;@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numCache>
            </numRef>
          </cat>
          <val>
            <numRef>
              <f>'Retail Sales ex Auto and Gas'!$C$8:$C$371</f>
              <numCache>
                <formatCode>0.00%</formatCode>
                <ptCount val="364"/>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Gas'!$A$8:$A$368</f>
              <numCache>
                <formatCode>[$-409]mmm\-yy;@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numCache>
            </numRef>
          </cat>
          <val>
            <numRef>
              <f>'Retail Sales ex Auto and Gas'!$C$8:$C$368</f>
              <numCache>
                <formatCode>0.00%</formatCode>
                <ptCount val="361"/>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Gas'!$A$19:$A$368</f>
              <numCache>
                <formatCode>[$-409]mmm\-yy;@</formatCode>
                <ptCount val="350"/>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numCache>
            </numRef>
          </cat>
          <val>
            <numRef>
              <f>'Retail Sales ex Auto and Gas'!$D$19:$D$368</f>
              <numCache>
                <formatCode>0.00%</formatCode>
                <ptCount val="350"/>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'Retail Sales ex Auto and Gas'!$B$7:$B$368</f>
              <numCache>
                <formatCode>#,##0</formatCode>
                <ptCount val="362"/>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'Retail Sales'!$D$7:$D$370</f>
              <numCache>
                <formatCode>General</formatCode>
                <ptCount val="364"/>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'Retail Sales'!$B$7:$B$365</f>
              <numCache>
                <formatCode>#,##0</formatCode>
                <ptCount val="359"/>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Auto'!$A$19:$A$335</f>
              <numCache>
                <formatCode>[$-409]mmm\-yy;@</formatCode>
                <ptCount val="31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numCache>
            </numRef>
          </cat>
          <val>
            <numRef>
              <f>'Retail Sales ex Auto'!$C$19:$C$335</f>
              <numCache>
                <formatCode>0.00%</formatCode>
                <ptCount val="317"/>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'Retail Sales ex Auto'!$B$7:$B$365</f>
              <numCache>
                <formatCode>#,##0</formatCode>
                <ptCount val="359"/>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'Retail Sales ex Auto'!$D$7:$D$365</f>
              <numCache>
                <formatCode>General</formatCode>
                <ptCount val="359"/>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Beverage'!$A$19:$A$350</f>
              <numCache>
                <formatCode>[$-409]mmm\-yy;@</formatCode>
                <ptCount val="33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numCache>
            </numRef>
          </cat>
          <val>
            <numRef>
              <f>'Food and Beverage'!$D$19:$D$350</f>
              <numCache>
                <formatCode>0.00%</formatCode>
                <ptCount val="332"/>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'Non Store Retail'!$B$7:$B$350</f>
              <numCache>
                <formatCode>#,##0</formatCode>
                <ptCount val="34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'Non Store Retail'!$D$7:$D$350</f>
              <numCache>
                <formatCode>General</formatCode>
                <ptCount val="34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Health!$B$7:$B$350</f>
              <numCache>
                <formatCode>#,##0</formatCode>
                <ptCount val="344"/>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Health!$D$7:$D$350</f>
              <numCache>
                <formatCode>General</formatCode>
                <ptCount val="344"/>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'Sporting Goods'!$B$7:$B$350</f>
              <numCache>
                <formatCode>#,##0</formatCode>
                <ptCount val="344"/>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'Sporting Goods'!$D$7:$D$350</f>
              <numCache>
                <formatCode>General</formatCode>
                <ptCount val="344"/>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'General Merchandising'!$B$7:$B$350</f>
              <numCache>
                <formatCode>#,##0</formatCode>
                <ptCount val="344"/>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'General Merchandising'!$D$7:$D$350</f>
              <numCache>
                <formatCode>General</formatCode>
                <ptCount val="344"/>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'Food Services'!$B$7:$B$350</f>
              <numCache>
                <formatCode>#,##0</formatCode>
                <ptCount val="344"/>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'Food Services'!$D$7:$D$350</f>
              <numCache>
                <formatCode>General</formatCode>
                <ptCount val="344"/>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'Gas Station'!$B$7:$B$350</f>
              <numCache>
                <formatCode>#,##0</formatCode>
                <ptCount val="344"/>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Station'!$A$7:$A$360</f>
              <numCache>
                <formatCode>[$-409]mmm\-yy;@</formatCode>
                <ptCount val="35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numCache>
            </numRef>
          </cat>
          <val>
            <numRef>
              <f>'Gas Station'!$D$7:$D$360</f>
              <numCache>
                <formatCode>General</formatCode>
                <ptCount val="354"/>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Motor!$A$7:$A$350</f>
              <numCache>
                <formatCode>[$-409]mmm\-yy;@</formatCode>
                <ptCount val="34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numCache>
            </numRef>
          </cat>
          <val>
            <numRef>
              <f>Motor!$B$7:$B$350</f>
              <numCache>
                <formatCode>#,##0</formatCode>
                <ptCount val="344"/>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Motor!$A$7:$A$360</f>
              <numCache>
                <formatCode>[$-409]mmm\-yy;@</formatCode>
                <ptCount val="35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numCache>
            </numRef>
          </cat>
          <val>
            <numRef>
              <f>Motor!$D$7:$D$360</f>
              <numCache>
                <formatCode>General</formatCode>
                <ptCount val="354"/>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Housing!$B$7:$B$365</f>
              <numCache>
                <formatCode>#,##0</formatCode>
                <ptCount val="359"/>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Housing!$D$7:$D$365</f>
              <numCache>
                <formatCode>General</formatCode>
                <ptCount val="359"/>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'Furniture Home'!$B$7:$B$365</f>
              <numCache>
                <formatCode>#,##0</formatCode>
                <ptCount val="359"/>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'Furniture Home'!$D$7:$D$365</f>
              <numCache>
                <formatCode>General</formatCode>
                <ptCount val="359"/>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'Miscellaneous stores retailers'!$B$7:$B$365</f>
              <numCache>
                <formatCode>#,##0</formatCode>
                <ptCount val="359"/>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'Miscellaneous stores retailers'!$D$7:$D$365</f>
              <numCache>
                <formatCode>General</formatCode>
                <ptCount val="359"/>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'Clothing and clothing access'!$B$7:$B$365</f>
              <numCache>
                <formatCode>#,##0</formatCode>
                <ptCount val="359"/>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access'!$A$7:$A$365</f>
              <numCache>
                <formatCode>[$-409]mmm\-yy;@</formatCode>
                <ptCount val="35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numCache>
            </numRef>
          </cat>
          <val>
            <numRef>
              <f>'Clothing and clothing access'!$D$7:$D$365</f>
              <numCache>
                <formatCode>General</formatCode>
                <ptCount val="359"/>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s>
</file>

<file path=xl/drawings/_rels/drawing7.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8.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s>
</file>

<file path=xl/drawings/_rels/drawing9.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s>
</file>

<file path=xl/drawings/_rels/drawing10.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s>
</file>

<file path=xl/drawings/_rels/drawing11.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s>
</file>

<file path=xl/drawings/_rels/drawing12.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s>
</file>

<file path=xl/drawings/_rels/drawing13.xml.rels><Relationships xmlns="http://schemas.openxmlformats.org/package/2006/relationships"><Relationship Type="http://schemas.openxmlformats.org/officeDocument/2006/relationships/chart" Target="/xl/charts/chart25.xml" Id="rId1"/><Relationship Type="http://schemas.openxmlformats.org/officeDocument/2006/relationships/chart" Target="/xl/charts/chart26.xml" Id="rId2"/></Relationships>
</file>

<file path=xl/drawings/_rels/drawing14.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s>
</file>

<file path=xl/drawings/_rels/drawing15.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s>
</file>

<file path=xl/drawings/_rels/drawing16.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5</col>
      <colOff>38100</colOff>
      <row>297</row>
      <rowOff>180975</rowOff>
    </from>
    <to>
      <col>12</col>
      <colOff>295276</colOff>
      <row>314</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33337</colOff>
      <row>314</row>
      <rowOff>180975</rowOff>
    </from>
    <to>
      <col>12</col>
      <colOff>304800</colOff>
      <row>331</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371475</colOff>
      <row>305</row>
      <rowOff>76200</rowOff>
    </from>
    <to>
      <col>20</col>
      <colOff>66675</colOff>
      <row>319</row>
      <rowOff>152400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5</col>
      <colOff>314326</colOff>
      <row>322</row>
      <rowOff>57149</rowOff>
    </from>
    <to>
      <col>16</col>
      <colOff>571500</colOff>
      <row>351</row>
      <rowOff>79374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266700</colOff>
      <row>303</row>
      <rowOff>180975</rowOff>
    </from>
    <to>
      <col>12</col>
      <colOff>571500</colOff>
      <row>318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547687</colOff>
      <row>296</row>
      <rowOff>133349</rowOff>
    </from>
    <to>
      <col>12</col>
      <colOff>542925</colOff>
      <row>312</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628650</colOff>
      <row>313</row>
      <rowOff>47625</rowOff>
    </from>
    <to>
      <col>11</col>
      <colOff>600075</colOff>
      <row>327</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676275</colOff>
      <row>328</row>
      <rowOff>19050</rowOff>
    </from>
    <to>
      <col>12</col>
      <colOff>38100</colOff>
      <row>342</row>
      <rowOff>95250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552450</colOff>
      <row>324</row>
      <rowOff>0</rowOff>
    </from>
    <to>
      <col>13</col>
      <colOff>152400</colOff>
      <row>341</row>
      <rowOff>90487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5</col>
      <colOff>257174</colOff>
      <row>305</row>
      <rowOff>114300</rowOff>
    </from>
    <to>
      <col>13</col>
      <colOff>95249</colOff>
      <row>322</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257174</colOff>
      <row>322</row>
      <rowOff>171450</rowOff>
    </from>
    <to>
      <col>13</col>
      <colOff>76199</colOff>
      <row>337</row>
      <rowOff>57150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5</col>
      <colOff>128587</colOff>
      <row>314</row>
      <rowOff>142875</rowOff>
    </from>
    <to>
      <col>12</col>
      <colOff>433387</colOff>
      <row>329</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133350</colOff>
      <row>329</row>
      <rowOff>76200</rowOff>
    </from>
    <to>
      <col>12</col>
      <colOff>438150</colOff>
      <row>343</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5</col>
      <colOff>228600</colOff>
      <row>310</row>
      <rowOff>66675</rowOff>
    </from>
    <to>
      <col>13</col>
      <colOff>304800</colOff>
      <row>326</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247650</colOff>
      <row>326</row>
      <rowOff>114300</rowOff>
    </from>
    <to>
      <col>13</col>
      <colOff>285750</colOff>
      <row>341</row>
      <rowOff>38100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5</col>
      <colOff>0</colOff>
      <row>307</row>
      <rowOff>0</rowOff>
    </from>
    <to>
      <col>12</col>
      <colOff>304800</colOff>
      <row>321</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0</colOff>
      <row>322</row>
      <rowOff>0</rowOff>
    </from>
    <to>
      <col>12</col>
      <colOff>304800</colOff>
      <row>336</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5</col>
      <colOff>0</colOff>
      <row>311</row>
      <rowOff>0</rowOff>
    </from>
    <to>
      <col>12</col>
      <colOff>304800</colOff>
      <row>325</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0</colOff>
      <row>325</row>
      <rowOff>104775</rowOff>
    </from>
    <to>
      <col>12</col>
      <colOff>304800</colOff>
      <row>339</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5</col>
      <colOff>219075</colOff>
      <row>307</row>
      <rowOff>123825</rowOff>
    </from>
    <to>
      <col>12</col>
      <colOff>523875</colOff>
      <row>322</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228600</colOff>
      <row>322</row>
      <rowOff>95250</rowOff>
    </from>
    <to>
      <col>12</col>
      <colOff>533400</colOff>
      <row>336</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5</col>
      <colOff>161925</colOff>
      <row>305</row>
      <rowOff>180975</rowOff>
    </from>
    <to>
      <col>12</col>
      <colOff>466725</colOff>
      <row>320</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152400</colOff>
      <row>320</row>
      <rowOff>161925</rowOff>
    </from>
    <to>
      <col>12</col>
      <colOff>457200</colOff>
      <row>335</row>
      <rowOff>47625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6</col>
      <colOff>0</colOff>
      <row>312</row>
      <rowOff>0</rowOff>
    </from>
    <to>
      <col>13</col>
      <colOff>304800</colOff>
      <row>326</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0</colOff>
      <row>327</row>
      <rowOff>0</rowOff>
    </from>
    <to>
      <col>13</col>
      <colOff>304800</colOff>
      <row>341</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461962</colOff>
      <row>304</row>
      <rowOff>123825</rowOff>
    </from>
    <to>
      <col>12</col>
      <colOff>157162</colOff>
      <row>319</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447675</colOff>
      <row>320</row>
      <rowOff>133350</rowOff>
    </from>
    <to>
      <col>12</col>
      <colOff>142875</colOff>
      <row>335</row>
      <rowOff>19050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533400</colOff>
      <row>307</row>
      <rowOff>133350</rowOff>
    </from>
    <to>
      <col>12</col>
      <colOff>228600</colOff>
      <row>322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552450</colOff>
      <row>322</row>
      <rowOff>142875</rowOff>
    </from>
    <to>
      <col>12</col>
      <colOff>247650</colOff>
      <row>337</row>
      <rowOff>28575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557212</colOff>
      <row>307</row>
      <rowOff>142875</rowOff>
    </from>
    <to>
      <col>12</col>
      <colOff>252412</colOff>
      <row>322</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0</colOff>
      <row>323</row>
      <rowOff>0</rowOff>
    </from>
    <to>
      <col>12</col>
      <colOff>304800</colOff>
      <row>337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5" headerRowCount="1" totalsRowShown="0" headerRowDxfId="50" dataDxfId="48" headerRowBorderDxfId="49" tableBorderDxfId="47">
  <autoFilter ref="A6:D365"/>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5" headerRowCount="1" totalsRowShown="0" headerRowDxfId="42" dataDxfId="40" headerRowBorderDxfId="41" tableBorderDxfId="39">
  <autoFilter ref="A6:D365"/>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5" headerRowCount="1" totalsRowShown="0" headerRowDxfId="34" dataDxfId="32" headerRowBorderDxfId="33" tableBorderDxfId="31">
  <autoFilter ref="A6:D365"/>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5" headerRowCount="1" totalsRowShown="0" headerRowDxfId="26" headerRowBorderDxfId="25" tableBorderDxfId="24">
  <autoFilter ref="A6:D365"/>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5" headerRowCount="1" totalsRowShown="0" headerRowDxfId="19" tableBorderDxfId="18">
  <autoFilter ref="A6:D365"/>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5" headerRowCount="1" totalsRowShown="0" headerRowDxfId="13" headerRowBorderDxfId="12" tableBorderDxfId="11">
  <autoFilter ref="A6:D365"/>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5" headerRowCount="1" totalsRowShown="0" headerRowDxfId="6" headerRowBorderDxfId="5" tableBorderDxfId="4">
  <autoFilter ref="A6:D365"/>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140" zoomScaleNormal="140" workbookViewId="0">
      <selection activeCell="S20" sqref="S20"/>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20"/>
    <col width="9.1640625" customWidth="1" style="114" min="21" max="16384"/>
  </cols>
  <sheetData>
    <row r="1">
      <c r="B1" s="123" t="n"/>
    </row>
    <row r="2" ht="16" customHeight="1" s="96" thickBot="1">
      <c r="B2" s="124" t="n"/>
      <c r="C2" s="124" t="n"/>
      <c r="D2" s="124" t="n"/>
      <c r="E2" s="124" t="n"/>
      <c r="F2" s="124" t="n"/>
      <c r="G2" s="124" t="n"/>
      <c r="H2" s="124" t="n"/>
      <c r="I2" s="124" t="n"/>
      <c r="J2" s="124" t="n"/>
    </row>
    <row r="3" ht="16" customHeight="1" s="96"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6">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6">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6" thickBot="1"/>
    <row r="14">
      <c r="B14" s="114" t="inlineStr">
        <is>
          <t>Database</t>
        </is>
      </c>
      <c r="G14" s="114" t="n"/>
      <c r="P14" s="68" t="n">
        <v>44501</v>
      </c>
      <c r="Q14" s="69" t="n"/>
    </row>
    <row r="15" ht="16" customHeight="1" s="96" thickBot="1">
      <c r="B15" s="114" t="inlineStr">
        <is>
          <t>Create data on Fred</t>
        </is>
      </c>
      <c r="G15" s="114" t="n"/>
      <c r="N15" s="129" t="inlineStr">
        <is>
          <t>www.duponttrading.com</t>
        </is>
      </c>
      <c r="P15" s="70" t="inlineStr">
        <is>
          <t>mom</t>
        </is>
      </c>
      <c r="Q15" s="70" t="inlineStr">
        <is>
          <t>yoy</t>
        </is>
      </c>
    </row>
    <row r="16" ht="15.75" customHeight="1" s="96">
      <c r="B16" s="114" t="inlineStr">
        <is>
          <t>https://research.stlouisfed.org/useraccount/datalists</t>
        </is>
      </c>
      <c r="G16" s="116" t="n"/>
      <c r="N16" s="120" t="inlineStr">
        <is>
          <t>Retail Sales</t>
        </is>
      </c>
      <c r="O16" s="121" t="n"/>
      <c r="P16" s="98">
        <f>Recap!F7</f>
        <v/>
      </c>
      <c r="Q16" s="99">
        <f>Recap!G7</f>
        <v/>
      </c>
      <c r="S16" s="71" t="n"/>
    </row>
    <row r="17" ht="15.75" customHeight="1" s="96">
      <c r="G17" s="116" t="n"/>
      <c r="N17" s="122" t="inlineStr">
        <is>
          <t>Retail Sales ex Auto</t>
        </is>
      </c>
      <c r="O17" s="119" t="n"/>
      <c r="P17" s="100">
        <f>Recap!F8</f>
        <v/>
      </c>
      <c r="Q17" s="101">
        <f>Recap!G8</f>
        <v/>
      </c>
      <c r="S17" s="71" t="n"/>
    </row>
    <row r="18" ht="15.75" customHeight="1" s="96">
      <c r="B18" s="114" t="inlineStr">
        <is>
          <t>https://fred.stlouisfed.org/series/RSAFs</t>
        </is>
      </c>
      <c r="G18" s="102" t="inlineStr">
        <is>
          <t>Retail Sales</t>
        </is>
      </c>
      <c r="H18" s="67" t="n"/>
      <c r="I18" s="67" t="n"/>
      <c r="J18" s="67" t="n"/>
      <c r="N18" s="122" t="inlineStr">
        <is>
          <t>Retail Sales ex Auto and Gas</t>
        </is>
      </c>
      <c r="O18" s="119" t="n"/>
      <c r="P18" s="100">
        <f>Recap!F9</f>
        <v/>
      </c>
      <c r="Q18" s="101">
        <f>Recap!G9</f>
        <v/>
      </c>
      <c r="S18" s="71" t="n"/>
    </row>
    <row r="19" ht="15.75" customHeight="1" s="96">
      <c r="B19" s="114" t="inlineStr">
        <is>
          <t>https://fred.stlouisfed.org/series/RSFSXMV</t>
        </is>
      </c>
      <c r="G19" s="102" t="inlineStr">
        <is>
          <t>Retail Sales ex Auto</t>
        </is>
      </c>
      <c r="H19" s="67" t="n"/>
      <c r="I19" s="67" t="n"/>
      <c r="J19" s="67" t="n"/>
      <c r="N19" s="122" t="inlineStr">
        <is>
          <t>Motor Vechicle</t>
        </is>
      </c>
      <c r="O19" s="119" t="n"/>
      <c r="P19" s="100">
        <f>Recap!F10</f>
        <v/>
      </c>
      <c r="Q19" s="101">
        <f>Recap!G10</f>
        <v/>
      </c>
      <c r="S19" s="71" t="n"/>
    </row>
    <row r="20" ht="15.75" customHeight="1" s="96">
      <c r="B20" s="114" t="inlineStr">
        <is>
          <t>https://fred.stlouisfed.org/series/MARTSSM44W72USS</t>
        </is>
      </c>
      <c r="G20" s="102" t="inlineStr">
        <is>
          <t>Retail Sales ex Auto and Gas</t>
        </is>
      </c>
      <c r="H20" s="67" t="n"/>
      <c r="I20" s="67" t="n"/>
      <c r="J20" s="67" t="n"/>
      <c r="N20" s="122" t="inlineStr">
        <is>
          <t>Non Store</t>
        </is>
      </c>
      <c r="O20" s="119" t="n"/>
      <c r="P20" s="100">
        <f>Recap!F11</f>
        <v/>
      </c>
      <c r="Q20" s="101">
        <f>Recap!G11</f>
        <v/>
      </c>
    </row>
    <row r="21" ht="15.75" customHeight="1" s="96">
      <c r="B21" s="114" t="inlineStr">
        <is>
          <t>https://fred.stlouisfed.org/series/RSDBs</t>
        </is>
      </c>
      <c r="G21" s="102" t="inlineStr">
        <is>
          <t>Food&amp;Beverage</t>
        </is>
      </c>
      <c r="H21" s="67" t="n"/>
      <c r="I21" s="67" t="n"/>
      <c r="J21" s="67" t="n"/>
      <c r="N21" s="122" t="inlineStr">
        <is>
          <t>Food &amp; Beverage</t>
        </is>
      </c>
      <c r="O21" s="119" t="n"/>
      <c r="P21" s="100">
        <f>Recap!F12</f>
        <v/>
      </c>
      <c r="Q21" s="101">
        <f>Recap!G12</f>
        <v/>
      </c>
    </row>
    <row r="22" ht="15.75" customHeight="1" s="96">
      <c r="B22" s="114" t="inlineStr">
        <is>
          <t>https://fred.stlouisfed.org/series/RSNSr</t>
        </is>
      </c>
      <c r="G22" s="102" t="inlineStr">
        <is>
          <t>NonStore</t>
        </is>
      </c>
      <c r="H22" s="67" t="n"/>
      <c r="I22" s="67" t="n"/>
      <c r="J22" s="67" t="n"/>
      <c r="N22" s="122" t="inlineStr">
        <is>
          <t>Food Services</t>
        </is>
      </c>
      <c r="O22" s="119" t="n"/>
      <c r="P22" s="100">
        <f>Recap!F13</f>
        <v/>
      </c>
      <c r="Q22" s="101">
        <f>Recap!G13</f>
        <v/>
      </c>
    </row>
    <row r="23" ht="15.75" customHeight="1" s="96">
      <c r="B23" s="114" t="inlineStr">
        <is>
          <t>https://fred.stlouisfed.org/series/RSHPCs</t>
        </is>
      </c>
      <c r="G23" s="102" t="inlineStr">
        <is>
          <t>HealthCare</t>
        </is>
      </c>
      <c r="H23" s="67" t="n"/>
      <c r="I23" s="67" t="n"/>
      <c r="J23" s="67" t="n"/>
      <c r="N23" s="122" t="inlineStr">
        <is>
          <t>General Merchandising</t>
        </is>
      </c>
      <c r="O23" s="119" t="n"/>
      <c r="P23" s="100">
        <f>Recap!F14</f>
        <v/>
      </c>
      <c r="Q23" s="101">
        <f>Recap!G14</f>
        <v/>
      </c>
    </row>
    <row r="24" ht="15.75" customHeight="1" s="96">
      <c r="B24" s="114" t="inlineStr">
        <is>
          <t>https://fred.stlouisfed.org/series/RSSGHBMs</t>
        </is>
      </c>
      <c r="G24" s="102" t="inlineStr">
        <is>
          <t>Clothing, Sport</t>
        </is>
      </c>
      <c r="H24" s="67" t="n"/>
      <c r="I24" s="67" t="n"/>
      <c r="J24" s="67" t="n"/>
      <c r="N24" s="122" t="inlineStr">
        <is>
          <t>Gasoline Stations</t>
        </is>
      </c>
      <c r="O24" s="119" t="n"/>
      <c r="P24" s="100">
        <f>Recap!F15</f>
        <v/>
      </c>
      <c r="Q24" s="101">
        <f>Recap!G15</f>
        <v/>
      </c>
    </row>
    <row r="25" ht="15.75" customHeight="1" s="96">
      <c r="B25" s="114" t="inlineStr">
        <is>
          <t>https://fred.stlouisfed.org/series/RSGMs</t>
        </is>
      </c>
      <c r="G25" s="102" t="inlineStr">
        <is>
          <t>General Merch</t>
        </is>
      </c>
      <c r="H25" s="67" t="n"/>
      <c r="I25" s="67" t="n"/>
      <c r="J25" s="67" t="n"/>
      <c r="N25" s="122" t="inlineStr">
        <is>
          <t>Housing Supplies</t>
        </is>
      </c>
      <c r="O25" s="119" t="n"/>
      <c r="P25" s="100">
        <f>Recap!F16</f>
        <v/>
      </c>
      <c r="Q25" s="101">
        <f>Recap!G16</f>
        <v/>
      </c>
    </row>
    <row r="26" ht="15.75" customHeight="1" s="96">
      <c r="B26" s="114" t="inlineStr">
        <is>
          <t>https://fred.stlouisfed.org/series/RSFSDp</t>
        </is>
      </c>
      <c r="G26" s="103" t="inlineStr">
        <is>
          <t>FoodServices</t>
        </is>
      </c>
      <c r="H26" s="67" t="n"/>
      <c r="I26" s="67" t="n"/>
      <c r="J26" s="67" t="n"/>
      <c r="N26" s="122" t="inlineStr">
        <is>
          <t>HealthCare</t>
        </is>
      </c>
      <c r="O26" s="119" t="n"/>
      <c r="P26" s="100">
        <f>Recap!F17</f>
        <v/>
      </c>
      <c r="Q26" s="101">
        <f>Recap!G17</f>
        <v/>
      </c>
    </row>
    <row r="27" ht="15.75" customHeight="1" s="96">
      <c r="B27" s="114" t="inlineStr">
        <is>
          <t>https://fred.stlouisfed.org/series/RSGASs</t>
        </is>
      </c>
      <c r="G27" s="102" t="inlineStr">
        <is>
          <t>Gasoline St</t>
        </is>
      </c>
      <c r="H27" s="67" t="n"/>
      <c r="I27" s="67" t="n"/>
      <c r="J27" s="67" t="n"/>
      <c r="N27" s="122" t="inlineStr">
        <is>
          <t>Clothing and clothing access. stores</t>
        </is>
      </c>
      <c r="O27" s="119" t="n"/>
      <c r="P27" s="100">
        <f>Recap!F18</f>
        <v/>
      </c>
      <c r="Q27" s="101">
        <f>Recap!G18</f>
        <v/>
      </c>
    </row>
    <row r="28" ht="15.75" customHeight="1" s="96">
      <c r="B28" s="114" t="inlineStr">
        <is>
          <t>https://fred.stlouisfed.org/series/RSMVPd</t>
        </is>
      </c>
      <c r="G28" s="102" t="inlineStr">
        <is>
          <t>Motor Vechicle</t>
        </is>
      </c>
      <c r="H28" s="67" t="n"/>
      <c r="I28" s="67" t="n"/>
      <c r="J28" s="67" t="n"/>
      <c r="N28" s="122" t="inlineStr">
        <is>
          <t>Furniture, home furn, electronics, and appliance stores</t>
        </is>
      </c>
      <c r="O28" s="119" t="n"/>
      <c r="P28" s="100">
        <f>Recap!F19</f>
        <v/>
      </c>
      <c r="Q28" s="101">
        <f>Recap!G19</f>
        <v/>
      </c>
    </row>
    <row r="29" ht="15.75" customHeight="1" s="96">
      <c r="B29" s="114" t="inlineStr">
        <is>
          <t>https://fred.stlouisfed.org/series/RSBMGESD</t>
        </is>
      </c>
      <c r="G29" s="102" t="inlineStr">
        <is>
          <t>Housing Supplies</t>
        </is>
      </c>
      <c r="H29" s="67" t="n"/>
      <c r="I29" s="67" t="n"/>
      <c r="J29" s="67" t="n"/>
      <c r="N29" s="122" t="inlineStr">
        <is>
          <t>Miscellaneous stores retailers</t>
        </is>
      </c>
      <c r="O29" s="119" t="n"/>
      <c r="P29" s="100">
        <f>Recap!F20</f>
        <v/>
      </c>
      <c r="Q29" s="101">
        <f>Recap!G20</f>
        <v/>
      </c>
    </row>
    <row r="30" ht="15.75" customHeight="1" s="96" thickBot="1">
      <c r="B30" s="114" t="inlineStr">
        <is>
          <t>https://fred.stlouisfed.org/series/RSFHFS</t>
        </is>
      </c>
      <c r="G30" s="102" t="inlineStr">
        <is>
          <t>Furniture, home furn, electronics, and appliance stores</t>
        </is>
      </c>
      <c r="H30" s="67" t="n"/>
      <c r="I30" s="67" t="n"/>
      <c r="J30" s="67" t="n"/>
      <c r="N30" s="130" t="inlineStr">
        <is>
          <t>Clothing, Sport</t>
        </is>
      </c>
      <c r="O30" s="131" t="n"/>
      <c r="P30" s="104">
        <f>Recap!F21</f>
        <v/>
      </c>
      <c r="Q30" s="105">
        <f>Recap!G21</f>
        <v/>
      </c>
    </row>
    <row r="31" ht="15.75" customHeight="1" s="96">
      <c r="B31" s="114" t="inlineStr">
        <is>
          <t>https://fred.stlouisfed.org/series/RSCCAS</t>
        </is>
      </c>
      <c r="G31" s="102" t="inlineStr">
        <is>
          <t>Clothing and clothing access. stores</t>
        </is>
      </c>
      <c r="H31" s="67" t="n"/>
      <c r="I31" s="67" t="n"/>
      <c r="J31" s="67" t="n"/>
    </row>
    <row r="32" ht="15.75" customHeight="1" s="96">
      <c r="B32" s="114" t="inlineStr">
        <is>
          <t>https://fred.stlouisfed.org/series/RSMSR</t>
        </is>
      </c>
      <c r="G32" s="102" t="inlineStr">
        <is>
          <t>Miscellaneous stores retailers</t>
        </is>
      </c>
      <c r="H32" s="67" t="n"/>
      <c r="I32" s="67" t="n"/>
      <c r="J32" s="67" t="n"/>
    </row>
    <row r="33" ht="14.25" customHeight="1" s="96" thickBot="1">
      <c r="B33" s="115" t="n"/>
      <c r="G33" s="116" t="n"/>
    </row>
    <row r="34" ht="16" customHeight="1" s="96" thickBot="1">
      <c r="B34" s="27" t="n"/>
      <c r="N34" s="69">
        <f>DATE(YEAR($P$14),MONTH($P$14)-1,DAY($P$14))</f>
        <v/>
      </c>
    </row>
    <row r="35" ht="33.75" customHeight="1" s="96"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0"/>
  <sheetViews>
    <sheetView topLeftCell="A323" zoomScale="150" zoomScaleNormal="150" workbookViewId="0">
      <selection activeCell="V55" sqref="V55"/>
    </sheetView>
  </sheetViews>
  <sheetFormatPr baseColWidth="10" defaultColWidth="8.83203125" defaultRowHeight="15"/>
  <cols>
    <col width="12.6640625" customWidth="1" style="96" min="1" max="1"/>
    <col width="15.6640625" customWidth="1" style="96" min="2" max="2"/>
    <col width="9.6640625" customWidth="1" style="96" min="3" max="3"/>
    <col width="8.6640625" customWidth="1" style="96" min="4" max="6"/>
    <col width="7.6640625" customWidth="1" style="96" min="7" max="7"/>
    <col width="8.6640625" customWidth="1" style="96" min="8" max="9"/>
    <col width="9.6640625" customWidth="1" style="96" min="10" max="10"/>
    <col width="8.6640625" customWidth="1" style="96" min="11" max="14"/>
    <col width="9.6640625" customWidth="1" style="96" min="15" max="15"/>
    <col width="8.6640625" customWidth="1" style="96" min="16" max="17"/>
    <col width="9.1640625" customWidth="1" style="96" min="18" max="256"/>
    <col width="12.6640625" customWidth="1" style="96" min="257" max="257"/>
    <col width="15.6640625" customWidth="1" style="96" min="258" max="258"/>
    <col width="9.6640625" customWidth="1" style="96" min="259" max="259"/>
    <col width="8.6640625" customWidth="1" style="96" min="260" max="262"/>
    <col width="7.6640625" customWidth="1" style="96" min="263" max="263"/>
    <col width="8.6640625" customWidth="1" style="96" min="264" max="265"/>
    <col width="9.6640625" customWidth="1" style="96" min="266" max="266"/>
    <col width="8.6640625" customWidth="1" style="96" min="267" max="270"/>
    <col width="9.6640625" customWidth="1" style="96" min="271" max="271"/>
    <col width="8.6640625" customWidth="1" style="96" min="272" max="273"/>
    <col width="9.1640625" customWidth="1" style="96" min="274" max="512"/>
    <col width="12.6640625" customWidth="1" style="96" min="513" max="513"/>
    <col width="15.6640625" customWidth="1" style="96" min="514" max="514"/>
    <col width="9.6640625" customWidth="1" style="96" min="515" max="515"/>
    <col width="8.6640625" customWidth="1" style="96" min="516" max="518"/>
    <col width="7.6640625" customWidth="1" style="96" min="519" max="519"/>
    <col width="8.6640625" customWidth="1" style="96" min="520" max="521"/>
    <col width="9.6640625" customWidth="1" style="96" min="522" max="522"/>
    <col width="8.6640625" customWidth="1" style="96" min="523" max="526"/>
    <col width="9.6640625" customWidth="1" style="96" min="527" max="527"/>
    <col width="8.6640625" customWidth="1" style="96" min="528" max="529"/>
    <col width="9.1640625" customWidth="1" style="96" min="530" max="768"/>
    <col width="12.6640625" customWidth="1" style="96" min="769" max="769"/>
    <col width="15.6640625" customWidth="1" style="96" min="770" max="770"/>
    <col width="9.6640625" customWidth="1" style="96" min="771" max="771"/>
    <col width="8.6640625" customWidth="1" style="96" min="772" max="774"/>
    <col width="7.6640625" customWidth="1" style="96" min="775" max="775"/>
    <col width="8.6640625" customWidth="1" style="96" min="776" max="777"/>
    <col width="9.6640625" customWidth="1" style="96" min="778" max="778"/>
    <col width="8.6640625" customWidth="1" style="96" min="779" max="782"/>
    <col width="9.6640625" customWidth="1" style="96" min="783" max="783"/>
    <col width="8.6640625" customWidth="1" style="96" min="784" max="785"/>
    <col width="9.1640625" customWidth="1" style="96" min="786" max="1024"/>
    <col width="12.6640625" customWidth="1" style="96" min="1025" max="1025"/>
    <col width="15.6640625" customWidth="1" style="96" min="1026" max="1026"/>
    <col width="9.6640625" customWidth="1" style="96" min="1027" max="1027"/>
    <col width="8.6640625" customWidth="1" style="96" min="1028" max="1030"/>
    <col width="7.6640625" customWidth="1" style="96" min="1031" max="1031"/>
    <col width="8.6640625" customWidth="1" style="96" min="1032" max="1033"/>
    <col width="9.6640625" customWidth="1" style="96" min="1034" max="1034"/>
    <col width="8.6640625" customWidth="1" style="96" min="1035" max="1038"/>
    <col width="9.6640625" customWidth="1" style="96" min="1039" max="1039"/>
    <col width="8.6640625" customWidth="1" style="96" min="1040" max="1041"/>
    <col width="9.1640625" customWidth="1" style="96" min="1042" max="1280"/>
    <col width="12.6640625" customWidth="1" style="96" min="1281" max="1281"/>
    <col width="15.6640625" customWidth="1" style="96" min="1282" max="1282"/>
    <col width="9.6640625" customWidth="1" style="96" min="1283" max="1283"/>
    <col width="8.6640625" customWidth="1" style="96" min="1284" max="1286"/>
    <col width="7.6640625" customWidth="1" style="96" min="1287" max="1287"/>
    <col width="8.6640625" customWidth="1" style="96" min="1288" max="1289"/>
    <col width="9.6640625" customWidth="1" style="96" min="1290" max="1290"/>
    <col width="8.6640625" customWidth="1" style="96" min="1291" max="1294"/>
    <col width="9.6640625" customWidth="1" style="96" min="1295" max="1295"/>
    <col width="8.6640625" customWidth="1" style="96" min="1296" max="1297"/>
    <col width="9.1640625" customWidth="1" style="96" min="1298" max="1536"/>
    <col width="12.6640625" customWidth="1" style="96" min="1537" max="1537"/>
    <col width="15.6640625" customWidth="1" style="96" min="1538" max="1538"/>
    <col width="9.6640625" customWidth="1" style="96" min="1539" max="1539"/>
    <col width="8.6640625" customWidth="1" style="96" min="1540" max="1542"/>
    <col width="7.6640625" customWidth="1" style="96" min="1543" max="1543"/>
    <col width="8.6640625" customWidth="1" style="96" min="1544" max="1545"/>
    <col width="9.6640625" customWidth="1" style="96" min="1546" max="1546"/>
    <col width="8.6640625" customWidth="1" style="96" min="1547" max="1550"/>
    <col width="9.6640625" customWidth="1" style="96" min="1551" max="1551"/>
    <col width="8.6640625" customWidth="1" style="96" min="1552" max="1553"/>
    <col width="9.1640625" customWidth="1" style="96" min="1554" max="1792"/>
    <col width="12.6640625" customWidth="1" style="96" min="1793" max="1793"/>
    <col width="15.6640625" customWidth="1" style="96" min="1794" max="1794"/>
    <col width="9.6640625" customWidth="1" style="96" min="1795" max="1795"/>
    <col width="8.6640625" customWidth="1" style="96" min="1796" max="1798"/>
    <col width="7.6640625" customWidth="1" style="96" min="1799" max="1799"/>
    <col width="8.6640625" customWidth="1" style="96" min="1800" max="1801"/>
    <col width="9.6640625" customWidth="1" style="96" min="1802" max="1802"/>
    <col width="8.6640625" customWidth="1" style="96" min="1803" max="1806"/>
    <col width="9.6640625" customWidth="1" style="96" min="1807" max="1807"/>
    <col width="8.6640625" customWidth="1" style="96" min="1808" max="1809"/>
    <col width="9.1640625" customWidth="1" style="96" min="1810" max="2048"/>
    <col width="12.6640625" customWidth="1" style="96" min="2049" max="2049"/>
    <col width="15.6640625" customWidth="1" style="96" min="2050" max="2050"/>
    <col width="9.6640625" customWidth="1" style="96" min="2051" max="2051"/>
    <col width="8.6640625" customWidth="1" style="96" min="2052" max="2054"/>
    <col width="7.6640625" customWidth="1" style="96" min="2055" max="2055"/>
    <col width="8.6640625" customWidth="1" style="96" min="2056" max="2057"/>
    <col width="9.6640625" customWidth="1" style="96" min="2058" max="2058"/>
    <col width="8.6640625" customWidth="1" style="96" min="2059" max="2062"/>
    <col width="9.6640625" customWidth="1" style="96" min="2063" max="2063"/>
    <col width="8.6640625" customWidth="1" style="96" min="2064" max="2065"/>
    <col width="9.1640625" customWidth="1" style="96" min="2066" max="2304"/>
    <col width="12.6640625" customWidth="1" style="96" min="2305" max="2305"/>
    <col width="15.6640625" customWidth="1" style="96" min="2306" max="2306"/>
    <col width="9.6640625" customWidth="1" style="96" min="2307" max="2307"/>
    <col width="8.6640625" customWidth="1" style="96" min="2308" max="2310"/>
    <col width="7.6640625" customWidth="1" style="96" min="2311" max="2311"/>
    <col width="8.6640625" customWidth="1" style="96" min="2312" max="2313"/>
    <col width="9.6640625" customWidth="1" style="96" min="2314" max="2314"/>
    <col width="8.6640625" customWidth="1" style="96" min="2315" max="2318"/>
    <col width="9.6640625" customWidth="1" style="96" min="2319" max="2319"/>
    <col width="8.6640625" customWidth="1" style="96" min="2320" max="2321"/>
    <col width="9.1640625" customWidth="1" style="96" min="2322" max="2560"/>
    <col width="12.6640625" customWidth="1" style="96" min="2561" max="2561"/>
    <col width="15.6640625" customWidth="1" style="96" min="2562" max="2562"/>
    <col width="9.6640625" customWidth="1" style="96" min="2563" max="2563"/>
    <col width="8.6640625" customWidth="1" style="96" min="2564" max="2566"/>
    <col width="7.6640625" customWidth="1" style="96" min="2567" max="2567"/>
    <col width="8.6640625" customWidth="1" style="96" min="2568" max="2569"/>
    <col width="9.6640625" customWidth="1" style="96" min="2570" max="2570"/>
    <col width="8.6640625" customWidth="1" style="96" min="2571" max="2574"/>
    <col width="9.6640625" customWidth="1" style="96" min="2575" max="2575"/>
    <col width="8.6640625" customWidth="1" style="96" min="2576" max="2577"/>
    <col width="9.1640625" customWidth="1" style="96" min="2578" max="2816"/>
    <col width="12.6640625" customWidth="1" style="96" min="2817" max="2817"/>
    <col width="15.6640625" customWidth="1" style="96" min="2818" max="2818"/>
    <col width="9.6640625" customWidth="1" style="96" min="2819" max="2819"/>
    <col width="8.6640625" customWidth="1" style="96" min="2820" max="2822"/>
    <col width="7.6640625" customWidth="1" style="96" min="2823" max="2823"/>
    <col width="8.6640625" customWidth="1" style="96" min="2824" max="2825"/>
    <col width="9.6640625" customWidth="1" style="96" min="2826" max="2826"/>
    <col width="8.6640625" customWidth="1" style="96" min="2827" max="2830"/>
    <col width="9.6640625" customWidth="1" style="96" min="2831" max="2831"/>
    <col width="8.6640625" customWidth="1" style="96" min="2832" max="2833"/>
    <col width="9.1640625" customWidth="1" style="96" min="2834" max="3072"/>
    <col width="12.6640625" customWidth="1" style="96" min="3073" max="3073"/>
    <col width="15.6640625" customWidth="1" style="96" min="3074" max="3074"/>
    <col width="9.6640625" customWidth="1" style="96" min="3075" max="3075"/>
    <col width="8.6640625" customWidth="1" style="96" min="3076" max="3078"/>
    <col width="7.6640625" customWidth="1" style="96" min="3079" max="3079"/>
    <col width="8.6640625" customWidth="1" style="96" min="3080" max="3081"/>
    <col width="9.6640625" customWidth="1" style="96" min="3082" max="3082"/>
    <col width="8.6640625" customWidth="1" style="96" min="3083" max="3086"/>
    <col width="9.6640625" customWidth="1" style="96" min="3087" max="3087"/>
    <col width="8.6640625" customWidth="1" style="96" min="3088" max="3089"/>
    <col width="9.1640625" customWidth="1" style="96" min="3090" max="3328"/>
    <col width="12.6640625" customWidth="1" style="96" min="3329" max="3329"/>
    <col width="15.6640625" customWidth="1" style="96" min="3330" max="3330"/>
    <col width="9.6640625" customWidth="1" style="96" min="3331" max="3331"/>
    <col width="8.6640625" customWidth="1" style="96" min="3332" max="3334"/>
    <col width="7.6640625" customWidth="1" style="96" min="3335" max="3335"/>
    <col width="8.6640625" customWidth="1" style="96" min="3336" max="3337"/>
    <col width="9.6640625" customWidth="1" style="96" min="3338" max="3338"/>
    <col width="8.6640625" customWidth="1" style="96" min="3339" max="3342"/>
    <col width="9.6640625" customWidth="1" style="96" min="3343" max="3343"/>
    <col width="8.6640625" customWidth="1" style="96" min="3344" max="3345"/>
    <col width="9.1640625" customWidth="1" style="96" min="3346" max="3584"/>
    <col width="12.6640625" customWidth="1" style="96" min="3585" max="3585"/>
    <col width="15.6640625" customWidth="1" style="96" min="3586" max="3586"/>
    <col width="9.6640625" customWidth="1" style="96" min="3587" max="3587"/>
    <col width="8.6640625" customWidth="1" style="96" min="3588" max="3590"/>
    <col width="7.6640625" customWidth="1" style="96" min="3591" max="3591"/>
    <col width="8.6640625" customWidth="1" style="96" min="3592" max="3593"/>
    <col width="9.6640625" customWidth="1" style="96" min="3594" max="3594"/>
    <col width="8.6640625" customWidth="1" style="96" min="3595" max="3598"/>
    <col width="9.6640625" customWidth="1" style="96" min="3599" max="3599"/>
    <col width="8.6640625" customWidth="1" style="96" min="3600" max="3601"/>
    <col width="9.1640625" customWidth="1" style="96" min="3602" max="3840"/>
    <col width="12.6640625" customWidth="1" style="96" min="3841" max="3841"/>
    <col width="15.6640625" customWidth="1" style="96" min="3842" max="3842"/>
    <col width="9.6640625" customWidth="1" style="96" min="3843" max="3843"/>
    <col width="8.6640625" customWidth="1" style="96" min="3844" max="3846"/>
    <col width="7.6640625" customWidth="1" style="96" min="3847" max="3847"/>
    <col width="8.6640625" customWidth="1" style="96" min="3848" max="3849"/>
    <col width="9.6640625" customWidth="1" style="96" min="3850" max="3850"/>
    <col width="8.6640625" customWidth="1" style="96" min="3851" max="3854"/>
    <col width="9.6640625" customWidth="1" style="96" min="3855" max="3855"/>
    <col width="8.6640625" customWidth="1" style="96" min="3856" max="3857"/>
    <col width="9.1640625" customWidth="1" style="96" min="3858" max="4096"/>
    <col width="12.6640625" customWidth="1" style="96" min="4097" max="4097"/>
    <col width="15.6640625" customWidth="1" style="96" min="4098" max="4098"/>
    <col width="9.6640625" customWidth="1" style="96" min="4099" max="4099"/>
    <col width="8.6640625" customWidth="1" style="96" min="4100" max="4102"/>
    <col width="7.6640625" customWidth="1" style="96" min="4103" max="4103"/>
    <col width="8.6640625" customWidth="1" style="96" min="4104" max="4105"/>
    <col width="9.6640625" customWidth="1" style="96" min="4106" max="4106"/>
    <col width="8.6640625" customWidth="1" style="96" min="4107" max="4110"/>
    <col width="9.6640625" customWidth="1" style="96" min="4111" max="4111"/>
    <col width="8.6640625" customWidth="1" style="96" min="4112" max="4113"/>
    <col width="9.1640625" customWidth="1" style="96" min="4114" max="4352"/>
    <col width="12.6640625" customWidth="1" style="96" min="4353" max="4353"/>
    <col width="15.6640625" customWidth="1" style="96" min="4354" max="4354"/>
    <col width="9.6640625" customWidth="1" style="96" min="4355" max="4355"/>
    <col width="8.6640625" customWidth="1" style="96" min="4356" max="4358"/>
    <col width="7.6640625" customWidth="1" style="96" min="4359" max="4359"/>
    <col width="8.6640625" customWidth="1" style="96" min="4360" max="4361"/>
    <col width="9.6640625" customWidth="1" style="96" min="4362" max="4362"/>
    <col width="8.6640625" customWidth="1" style="96" min="4363" max="4366"/>
    <col width="9.6640625" customWidth="1" style="96" min="4367" max="4367"/>
    <col width="8.6640625" customWidth="1" style="96" min="4368" max="4369"/>
    <col width="9.1640625" customWidth="1" style="96" min="4370" max="4608"/>
    <col width="12.6640625" customWidth="1" style="96" min="4609" max="4609"/>
    <col width="15.6640625" customWidth="1" style="96" min="4610" max="4610"/>
    <col width="9.6640625" customWidth="1" style="96" min="4611" max="4611"/>
    <col width="8.6640625" customWidth="1" style="96" min="4612" max="4614"/>
    <col width="7.6640625" customWidth="1" style="96" min="4615" max="4615"/>
    <col width="8.6640625" customWidth="1" style="96" min="4616" max="4617"/>
    <col width="9.6640625" customWidth="1" style="96" min="4618" max="4618"/>
    <col width="8.6640625" customWidth="1" style="96" min="4619" max="4622"/>
    <col width="9.6640625" customWidth="1" style="96" min="4623" max="4623"/>
    <col width="8.6640625" customWidth="1" style="96" min="4624" max="4625"/>
    <col width="9.1640625" customWidth="1" style="96" min="4626" max="4864"/>
    <col width="12.6640625" customWidth="1" style="96" min="4865" max="4865"/>
    <col width="15.6640625" customWidth="1" style="96" min="4866" max="4866"/>
    <col width="9.6640625" customWidth="1" style="96" min="4867" max="4867"/>
    <col width="8.6640625" customWidth="1" style="96" min="4868" max="4870"/>
    <col width="7.6640625" customWidth="1" style="96" min="4871" max="4871"/>
    <col width="8.6640625" customWidth="1" style="96" min="4872" max="4873"/>
    <col width="9.6640625" customWidth="1" style="96" min="4874" max="4874"/>
    <col width="8.6640625" customWidth="1" style="96" min="4875" max="4878"/>
    <col width="9.6640625" customWidth="1" style="96" min="4879" max="4879"/>
    <col width="8.6640625" customWidth="1" style="96" min="4880" max="4881"/>
    <col width="9.1640625" customWidth="1" style="96" min="4882" max="5120"/>
    <col width="12.6640625" customWidth="1" style="96" min="5121" max="5121"/>
    <col width="15.6640625" customWidth="1" style="96" min="5122" max="5122"/>
    <col width="9.6640625" customWidth="1" style="96" min="5123" max="5123"/>
    <col width="8.6640625" customWidth="1" style="96" min="5124" max="5126"/>
    <col width="7.6640625" customWidth="1" style="96" min="5127" max="5127"/>
    <col width="8.6640625" customWidth="1" style="96" min="5128" max="5129"/>
    <col width="9.6640625" customWidth="1" style="96" min="5130" max="5130"/>
    <col width="8.6640625" customWidth="1" style="96" min="5131" max="5134"/>
    <col width="9.6640625" customWidth="1" style="96" min="5135" max="5135"/>
    <col width="8.6640625" customWidth="1" style="96" min="5136" max="5137"/>
    <col width="9.1640625" customWidth="1" style="96" min="5138" max="5376"/>
    <col width="12.6640625" customWidth="1" style="96" min="5377" max="5377"/>
    <col width="15.6640625" customWidth="1" style="96" min="5378" max="5378"/>
    <col width="9.6640625" customWidth="1" style="96" min="5379" max="5379"/>
    <col width="8.6640625" customWidth="1" style="96" min="5380" max="5382"/>
    <col width="7.6640625" customWidth="1" style="96" min="5383" max="5383"/>
    <col width="8.6640625" customWidth="1" style="96" min="5384" max="5385"/>
    <col width="9.6640625" customWidth="1" style="96" min="5386" max="5386"/>
    <col width="8.6640625" customWidth="1" style="96" min="5387" max="5390"/>
    <col width="9.6640625" customWidth="1" style="96" min="5391" max="5391"/>
    <col width="8.6640625" customWidth="1" style="96" min="5392" max="5393"/>
    <col width="9.1640625" customWidth="1" style="96" min="5394" max="5632"/>
    <col width="12.6640625" customWidth="1" style="96" min="5633" max="5633"/>
    <col width="15.6640625" customWidth="1" style="96" min="5634" max="5634"/>
    <col width="9.6640625" customWidth="1" style="96" min="5635" max="5635"/>
    <col width="8.6640625" customWidth="1" style="96" min="5636" max="5638"/>
    <col width="7.6640625" customWidth="1" style="96" min="5639" max="5639"/>
    <col width="8.6640625" customWidth="1" style="96" min="5640" max="5641"/>
    <col width="9.6640625" customWidth="1" style="96" min="5642" max="5642"/>
    <col width="8.6640625" customWidth="1" style="96" min="5643" max="5646"/>
    <col width="9.6640625" customWidth="1" style="96" min="5647" max="5647"/>
    <col width="8.6640625" customWidth="1" style="96" min="5648" max="5649"/>
    <col width="9.1640625" customWidth="1" style="96" min="5650" max="5888"/>
    <col width="12.6640625" customWidth="1" style="96" min="5889" max="5889"/>
    <col width="15.6640625" customWidth="1" style="96" min="5890" max="5890"/>
    <col width="9.6640625" customWidth="1" style="96" min="5891" max="5891"/>
    <col width="8.6640625" customWidth="1" style="96" min="5892" max="5894"/>
    <col width="7.6640625" customWidth="1" style="96" min="5895" max="5895"/>
    <col width="8.6640625" customWidth="1" style="96" min="5896" max="5897"/>
    <col width="9.6640625" customWidth="1" style="96" min="5898" max="5898"/>
    <col width="8.6640625" customWidth="1" style="96" min="5899" max="5902"/>
    <col width="9.6640625" customWidth="1" style="96" min="5903" max="5903"/>
    <col width="8.6640625" customWidth="1" style="96" min="5904" max="5905"/>
    <col width="9.1640625" customWidth="1" style="96" min="5906" max="6144"/>
    <col width="12.6640625" customWidth="1" style="96" min="6145" max="6145"/>
    <col width="15.6640625" customWidth="1" style="96" min="6146" max="6146"/>
    <col width="9.6640625" customWidth="1" style="96" min="6147" max="6147"/>
    <col width="8.6640625" customWidth="1" style="96" min="6148" max="6150"/>
    <col width="7.6640625" customWidth="1" style="96" min="6151" max="6151"/>
    <col width="8.6640625" customWidth="1" style="96" min="6152" max="6153"/>
    <col width="9.6640625" customWidth="1" style="96" min="6154" max="6154"/>
    <col width="8.6640625" customWidth="1" style="96" min="6155" max="6158"/>
    <col width="9.6640625" customWidth="1" style="96" min="6159" max="6159"/>
    <col width="8.6640625" customWidth="1" style="96" min="6160" max="6161"/>
    <col width="9.1640625" customWidth="1" style="96" min="6162" max="6400"/>
    <col width="12.6640625" customWidth="1" style="96" min="6401" max="6401"/>
    <col width="15.6640625" customWidth="1" style="96" min="6402" max="6402"/>
    <col width="9.6640625" customWidth="1" style="96" min="6403" max="6403"/>
    <col width="8.6640625" customWidth="1" style="96" min="6404" max="6406"/>
    <col width="7.6640625" customWidth="1" style="96" min="6407" max="6407"/>
    <col width="8.6640625" customWidth="1" style="96" min="6408" max="6409"/>
    <col width="9.6640625" customWidth="1" style="96" min="6410" max="6410"/>
    <col width="8.6640625" customWidth="1" style="96" min="6411" max="6414"/>
    <col width="9.6640625" customWidth="1" style="96" min="6415" max="6415"/>
    <col width="8.6640625" customWidth="1" style="96" min="6416" max="6417"/>
    <col width="9.1640625" customWidth="1" style="96" min="6418" max="6656"/>
    <col width="12.6640625" customWidth="1" style="96" min="6657" max="6657"/>
    <col width="15.6640625" customWidth="1" style="96" min="6658" max="6658"/>
    <col width="9.6640625" customWidth="1" style="96" min="6659" max="6659"/>
    <col width="8.6640625" customWidth="1" style="96" min="6660" max="6662"/>
    <col width="7.6640625" customWidth="1" style="96" min="6663" max="6663"/>
    <col width="8.6640625" customWidth="1" style="96" min="6664" max="6665"/>
    <col width="9.6640625" customWidth="1" style="96" min="6666" max="6666"/>
    <col width="8.6640625" customWidth="1" style="96" min="6667" max="6670"/>
    <col width="9.6640625" customWidth="1" style="96" min="6671" max="6671"/>
    <col width="8.6640625" customWidth="1" style="96" min="6672" max="6673"/>
    <col width="9.1640625" customWidth="1" style="96" min="6674" max="6912"/>
    <col width="12.6640625" customWidth="1" style="96" min="6913" max="6913"/>
    <col width="15.6640625" customWidth="1" style="96" min="6914" max="6914"/>
    <col width="9.6640625" customWidth="1" style="96" min="6915" max="6915"/>
    <col width="8.6640625" customWidth="1" style="96" min="6916" max="6918"/>
    <col width="7.6640625" customWidth="1" style="96" min="6919" max="6919"/>
    <col width="8.6640625" customWidth="1" style="96" min="6920" max="6921"/>
    <col width="9.6640625" customWidth="1" style="96" min="6922" max="6922"/>
    <col width="8.6640625" customWidth="1" style="96" min="6923" max="6926"/>
    <col width="9.6640625" customWidth="1" style="96" min="6927" max="6927"/>
    <col width="8.6640625" customWidth="1" style="96" min="6928" max="6929"/>
    <col width="9.1640625" customWidth="1" style="96" min="6930" max="7168"/>
    <col width="12.6640625" customWidth="1" style="96" min="7169" max="7169"/>
    <col width="15.6640625" customWidth="1" style="96" min="7170" max="7170"/>
    <col width="9.6640625" customWidth="1" style="96" min="7171" max="7171"/>
    <col width="8.6640625" customWidth="1" style="96" min="7172" max="7174"/>
    <col width="7.6640625" customWidth="1" style="96" min="7175" max="7175"/>
    <col width="8.6640625" customWidth="1" style="96" min="7176" max="7177"/>
    <col width="9.6640625" customWidth="1" style="96" min="7178" max="7178"/>
    <col width="8.6640625" customWidth="1" style="96" min="7179" max="7182"/>
    <col width="9.6640625" customWidth="1" style="96" min="7183" max="7183"/>
    <col width="8.6640625" customWidth="1" style="96" min="7184" max="7185"/>
    <col width="9.1640625" customWidth="1" style="96" min="7186" max="7424"/>
    <col width="12.6640625" customWidth="1" style="96" min="7425" max="7425"/>
    <col width="15.6640625" customWidth="1" style="96" min="7426" max="7426"/>
    <col width="9.6640625" customWidth="1" style="96" min="7427" max="7427"/>
    <col width="8.6640625" customWidth="1" style="96" min="7428" max="7430"/>
    <col width="7.6640625" customWidth="1" style="96" min="7431" max="7431"/>
    <col width="8.6640625" customWidth="1" style="96" min="7432" max="7433"/>
    <col width="9.6640625" customWidth="1" style="96" min="7434" max="7434"/>
    <col width="8.6640625" customWidth="1" style="96" min="7435" max="7438"/>
    <col width="9.6640625" customWidth="1" style="96" min="7439" max="7439"/>
    <col width="8.6640625" customWidth="1" style="96" min="7440" max="7441"/>
    <col width="9.1640625" customWidth="1" style="96" min="7442" max="7680"/>
    <col width="12.6640625" customWidth="1" style="96" min="7681" max="7681"/>
    <col width="15.6640625" customWidth="1" style="96" min="7682" max="7682"/>
    <col width="9.6640625" customWidth="1" style="96" min="7683" max="7683"/>
    <col width="8.6640625" customWidth="1" style="96" min="7684" max="7686"/>
    <col width="7.6640625" customWidth="1" style="96" min="7687" max="7687"/>
    <col width="8.6640625" customWidth="1" style="96" min="7688" max="7689"/>
    <col width="9.6640625" customWidth="1" style="96" min="7690" max="7690"/>
    <col width="8.6640625" customWidth="1" style="96" min="7691" max="7694"/>
    <col width="9.6640625" customWidth="1" style="96" min="7695" max="7695"/>
    <col width="8.6640625" customWidth="1" style="96" min="7696" max="7697"/>
    <col width="9.1640625" customWidth="1" style="96" min="7698" max="7936"/>
    <col width="12.6640625" customWidth="1" style="96" min="7937" max="7937"/>
    <col width="15.6640625" customWidth="1" style="96" min="7938" max="7938"/>
    <col width="9.6640625" customWidth="1" style="96" min="7939" max="7939"/>
    <col width="8.6640625" customWidth="1" style="96" min="7940" max="7942"/>
    <col width="7.6640625" customWidth="1" style="96" min="7943" max="7943"/>
    <col width="8.6640625" customWidth="1" style="96" min="7944" max="7945"/>
    <col width="9.6640625" customWidth="1" style="96" min="7946" max="7946"/>
    <col width="8.6640625" customWidth="1" style="96" min="7947" max="7950"/>
    <col width="9.6640625" customWidth="1" style="96" min="7951" max="7951"/>
    <col width="8.6640625" customWidth="1" style="96" min="7952" max="7953"/>
    <col width="9.1640625" customWidth="1" style="96" min="7954" max="8192"/>
    <col width="12.6640625" customWidth="1" style="96" min="8193" max="8193"/>
    <col width="15.6640625" customWidth="1" style="96" min="8194" max="8194"/>
    <col width="9.6640625" customWidth="1" style="96" min="8195" max="8195"/>
    <col width="8.6640625" customWidth="1" style="96" min="8196" max="8198"/>
    <col width="7.6640625" customWidth="1" style="96" min="8199" max="8199"/>
    <col width="8.6640625" customWidth="1" style="96" min="8200" max="8201"/>
    <col width="9.6640625" customWidth="1" style="96" min="8202" max="8202"/>
    <col width="8.6640625" customWidth="1" style="96" min="8203" max="8206"/>
    <col width="9.6640625" customWidth="1" style="96" min="8207" max="8207"/>
    <col width="8.6640625" customWidth="1" style="96" min="8208" max="8209"/>
    <col width="9.1640625" customWidth="1" style="96" min="8210" max="8448"/>
    <col width="12.6640625" customWidth="1" style="96" min="8449" max="8449"/>
    <col width="15.6640625" customWidth="1" style="96" min="8450" max="8450"/>
    <col width="9.6640625" customWidth="1" style="96" min="8451" max="8451"/>
    <col width="8.6640625" customWidth="1" style="96" min="8452" max="8454"/>
    <col width="7.6640625" customWidth="1" style="96" min="8455" max="8455"/>
    <col width="8.6640625" customWidth="1" style="96" min="8456" max="8457"/>
    <col width="9.6640625" customWidth="1" style="96" min="8458" max="8458"/>
    <col width="8.6640625" customWidth="1" style="96" min="8459" max="8462"/>
    <col width="9.6640625" customWidth="1" style="96" min="8463" max="8463"/>
    <col width="8.6640625" customWidth="1" style="96" min="8464" max="8465"/>
    <col width="9.1640625" customWidth="1" style="96" min="8466" max="8704"/>
    <col width="12.6640625" customWidth="1" style="96" min="8705" max="8705"/>
    <col width="15.6640625" customWidth="1" style="96" min="8706" max="8706"/>
    <col width="9.6640625" customWidth="1" style="96" min="8707" max="8707"/>
    <col width="8.6640625" customWidth="1" style="96" min="8708" max="8710"/>
    <col width="7.6640625" customWidth="1" style="96" min="8711" max="8711"/>
    <col width="8.6640625" customWidth="1" style="96" min="8712" max="8713"/>
    <col width="9.6640625" customWidth="1" style="96" min="8714" max="8714"/>
    <col width="8.6640625" customWidth="1" style="96" min="8715" max="8718"/>
    <col width="9.6640625" customWidth="1" style="96" min="8719" max="8719"/>
    <col width="8.6640625" customWidth="1" style="96" min="8720" max="8721"/>
    <col width="9.1640625" customWidth="1" style="96" min="8722" max="8960"/>
    <col width="12.6640625" customWidth="1" style="96" min="8961" max="8961"/>
    <col width="15.6640625" customWidth="1" style="96" min="8962" max="8962"/>
    <col width="9.6640625" customWidth="1" style="96" min="8963" max="8963"/>
    <col width="8.6640625" customWidth="1" style="96" min="8964" max="8966"/>
    <col width="7.6640625" customWidth="1" style="96" min="8967" max="8967"/>
    <col width="8.6640625" customWidth="1" style="96" min="8968" max="8969"/>
    <col width="9.6640625" customWidth="1" style="96" min="8970" max="8970"/>
    <col width="8.6640625" customWidth="1" style="96" min="8971" max="8974"/>
    <col width="9.6640625" customWidth="1" style="96" min="8975" max="8975"/>
    <col width="8.6640625" customWidth="1" style="96" min="8976" max="8977"/>
    <col width="9.1640625" customWidth="1" style="96" min="8978" max="9216"/>
    <col width="12.6640625" customWidth="1" style="96" min="9217" max="9217"/>
    <col width="15.6640625" customWidth="1" style="96" min="9218" max="9218"/>
    <col width="9.6640625" customWidth="1" style="96" min="9219" max="9219"/>
    <col width="8.6640625" customWidth="1" style="96" min="9220" max="9222"/>
    <col width="7.6640625" customWidth="1" style="96" min="9223" max="9223"/>
    <col width="8.6640625" customWidth="1" style="96" min="9224" max="9225"/>
    <col width="9.6640625" customWidth="1" style="96" min="9226" max="9226"/>
    <col width="8.6640625" customWidth="1" style="96" min="9227" max="9230"/>
    <col width="9.6640625" customWidth="1" style="96" min="9231" max="9231"/>
    <col width="8.6640625" customWidth="1" style="96" min="9232" max="9233"/>
    <col width="9.1640625" customWidth="1" style="96" min="9234" max="9472"/>
    <col width="12.6640625" customWidth="1" style="96" min="9473" max="9473"/>
    <col width="15.6640625" customWidth="1" style="96" min="9474" max="9474"/>
    <col width="9.6640625" customWidth="1" style="96" min="9475" max="9475"/>
    <col width="8.6640625" customWidth="1" style="96" min="9476" max="9478"/>
    <col width="7.6640625" customWidth="1" style="96" min="9479" max="9479"/>
    <col width="8.6640625" customWidth="1" style="96" min="9480" max="9481"/>
    <col width="9.6640625" customWidth="1" style="96" min="9482" max="9482"/>
    <col width="8.6640625" customWidth="1" style="96" min="9483" max="9486"/>
    <col width="9.6640625" customWidth="1" style="96" min="9487" max="9487"/>
    <col width="8.6640625" customWidth="1" style="96" min="9488" max="9489"/>
    <col width="9.1640625" customWidth="1" style="96" min="9490" max="9728"/>
    <col width="12.6640625" customWidth="1" style="96" min="9729" max="9729"/>
    <col width="15.6640625" customWidth="1" style="96" min="9730" max="9730"/>
    <col width="9.6640625" customWidth="1" style="96" min="9731" max="9731"/>
    <col width="8.6640625" customWidth="1" style="96" min="9732" max="9734"/>
    <col width="7.6640625" customWidth="1" style="96" min="9735" max="9735"/>
    <col width="8.6640625" customWidth="1" style="96" min="9736" max="9737"/>
    <col width="9.6640625" customWidth="1" style="96" min="9738" max="9738"/>
    <col width="8.6640625" customWidth="1" style="96" min="9739" max="9742"/>
    <col width="9.6640625" customWidth="1" style="96" min="9743" max="9743"/>
    <col width="8.6640625" customWidth="1" style="96" min="9744" max="9745"/>
    <col width="9.1640625" customWidth="1" style="96" min="9746" max="9984"/>
    <col width="12.6640625" customWidth="1" style="96" min="9985" max="9985"/>
    <col width="15.6640625" customWidth="1" style="96" min="9986" max="9986"/>
    <col width="9.6640625" customWidth="1" style="96" min="9987" max="9987"/>
    <col width="8.6640625" customWidth="1" style="96" min="9988" max="9990"/>
    <col width="7.6640625" customWidth="1" style="96" min="9991" max="9991"/>
    <col width="8.6640625" customWidth="1" style="96" min="9992" max="9993"/>
    <col width="9.6640625" customWidth="1" style="96" min="9994" max="9994"/>
    <col width="8.6640625" customWidth="1" style="96" min="9995" max="9998"/>
    <col width="9.6640625" customWidth="1" style="96" min="9999" max="9999"/>
    <col width="8.6640625" customWidth="1" style="96" min="10000" max="10001"/>
    <col width="9.1640625" customWidth="1" style="96" min="10002" max="10240"/>
    <col width="12.6640625" customWidth="1" style="96" min="10241" max="10241"/>
    <col width="15.6640625" customWidth="1" style="96" min="10242" max="10242"/>
    <col width="9.6640625" customWidth="1" style="96" min="10243" max="10243"/>
    <col width="8.6640625" customWidth="1" style="96" min="10244" max="10246"/>
    <col width="7.6640625" customWidth="1" style="96" min="10247" max="10247"/>
    <col width="8.6640625" customWidth="1" style="96" min="10248" max="10249"/>
    <col width="9.6640625" customWidth="1" style="96" min="10250" max="10250"/>
    <col width="8.6640625" customWidth="1" style="96" min="10251" max="10254"/>
    <col width="9.6640625" customWidth="1" style="96" min="10255" max="10255"/>
    <col width="8.6640625" customWidth="1" style="96" min="10256" max="10257"/>
    <col width="9.1640625" customWidth="1" style="96" min="10258" max="10496"/>
    <col width="12.6640625" customWidth="1" style="96" min="10497" max="10497"/>
    <col width="15.6640625" customWidth="1" style="96" min="10498" max="10498"/>
    <col width="9.6640625" customWidth="1" style="96" min="10499" max="10499"/>
    <col width="8.6640625" customWidth="1" style="96" min="10500" max="10502"/>
    <col width="7.6640625" customWidth="1" style="96" min="10503" max="10503"/>
    <col width="8.6640625" customWidth="1" style="96" min="10504" max="10505"/>
    <col width="9.6640625" customWidth="1" style="96" min="10506" max="10506"/>
    <col width="8.6640625" customWidth="1" style="96" min="10507" max="10510"/>
    <col width="9.6640625" customWidth="1" style="96" min="10511" max="10511"/>
    <col width="8.6640625" customWidth="1" style="96" min="10512" max="10513"/>
    <col width="9.1640625" customWidth="1" style="96" min="10514" max="10752"/>
    <col width="12.6640625" customWidth="1" style="96" min="10753" max="10753"/>
    <col width="15.6640625" customWidth="1" style="96" min="10754" max="10754"/>
    <col width="9.6640625" customWidth="1" style="96" min="10755" max="10755"/>
    <col width="8.6640625" customWidth="1" style="96" min="10756" max="10758"/>
    <col width="7.6640625" customWidth="1" style="96" min="10759" max="10759"/>
    <col width="8.6640625" customWidth="1" style="96" min="10760" max="10761"/>
    <col width="9.6640625" customWidth="1" style="96" min="10762" max="10762"/>
    <col width="8.6640625" customWidth="1" style="96" min="10763" max="10766"/>
    <col width="9.6640625" customWidth="1" style="96" min="10767" max="10767"/>
    <col width="8.6640625" customWidth="1" style="96" min="10768" max="10769"/>
    <col width="9.1640625" customWidth="1" style="96" min="10770" max="11008"/>
    <col width="12.6640625" customWidth="1" style="96" min="11009" max="11009"/>
    <col width="15.6640625" customWidth="1" style="96" min="11010" max="11010"/>
    <col width="9.6640625" customWidth="1" style="96" min="11011" max="11011"/>
    <col width="8.6640625" customWidth="1" style="96" min="11012" max="11014"/>
    <col width="7.6640625" customWidth="1" style="96" min="11015" max="11015"/>
    <col width="8.6640625" customWidth="1" style="96" min="11016" max="11017"/>
    <col width="9.6640625" customWidth="1" style="96" min="11018" max="11018"/>
    <col width="8.6640625" customWidth="1" style="96" min="11019" max="11022"/>
    <col width="9.6640625" customWidth="1" style="96" min="11023" max="11023"/>
    <col width="8.6640625" customWidth="1" style="96" min="11024" max="11025"/>
    <col width="9.1640625" customWidth="1" style="96" min="11026" max="11264"/>
    <col width="12.6640625" customWidth="1" style="96" min="11265" max="11265"/>
    <col width="15.6640625" customWidth="1" style="96" min="11266" max="11266"/>
    <col width="9.6640625" customWidth="1" style="96" min="11267" max="11267"/>
    <col width="8.6640625" customWidth="1" style="96" min="11268" max="11270"/>
    <col width="7.6640625" customWidth="1" style="96" min="11271" max="11271"/>
    <col width="8.6640625" customWidth="1" style="96" min="11272" max="11273"/>
    <col width="9.6640625" customWidth="1" style="96" min="11274" max="11274"/>
    <col width="8.6640625" customWidth="1" style="96" min="11275" max="11278"/>
    <col width="9.6640625" customWidth="1" style="96" min="11279" max="11279"/>
    <col width="8.6640625" customWidth="1" style="96" min="11280" max="11281"/>
    <col width="9.1640625" customWidth="1" style="96" min="11282" max="11520"/>
    <col width="12.6640625" customWidth="1" style="96" min="11521" max="11521"/>
    <col width="15.6640625" customWidth="1" style="96" min="11522" max="11522"/>
    <col width="9.6640625" customWidth="1" style="96" min="11523" max="11523"/>
    <col width="8.6640625" customWidth="1" style="96" min="11524" max="11526"/>
    <col width="7.6640625" customWidth="1" style="96" min="11527" max="11527"/>
    <col width="8.6640625" customWidth="1" style="96" min="11528" max="11529"/>
    <col width="9.6640625" customWidth="1" style="96" min="11530" max="11530"/>
    <col width="8.6640625" customWidth="1" style="96" min="11531" max="11534"/>
    <col width="9.6640625" customWidth="1" style="96" min="11535" max="11535"/>
    <col width="8.6640625" customWidth="1" style="96" min="11536" max="11537"/>
    <col width="9.1640625" customWidth="1" style="96" min="11538" max="11776"/>
    <col width="12.6640625" customWidth="1" style="96" min="11777" max="11777"/>
    <col width="15.6640625" customWidth="1" style="96" min="11778" max="11778"/>
    <col width="9.6640625" customWidth="1" style="96" min="11779" max="11779"/>
    <col width="8.6640625" customWidth="1" style="96" min="11780" max="11782"/>
    <col width="7.6640625" customWidth="1" style="96" min="11783" max="11783"/>
    <col width="8.6640625" customWidth="1" style="96" min="11784" max="11785"/>
    <col width="9.6640625" customWidth="1" style="96" min="11786" max="11786"/>
    <col width="8.6640625" customWidth="1" style="96" min="11787" max="11790"/>
    <col width="9.6640625" customWidth="1" style="96" min="11791" max="11791"/>
    <col width="8.6640625" customWidth="1" style="96" min="11792" max="11793"/>
    <col width="9.1640625" customWidth="1" style="96" min="11794" max="12032"/>
    <col width="12.6640625" customWidth="1" style="96" min="12033" max="12033"/>
    <col width="15.6640625" customWidth="1" style="96" min="12034" max="12034"/>
    <col width="9.6640625" customWidth="1" style="96" min="12035" max="12035"/>
    <col width="8.6640625" customWidth="1" style="96" min="12036" max="12038"/>
    <col width="7.6640625" customWidth="1" style="96" min="12039" max="12039"/>
    <col width="8.6640625" customWidth="1" style="96" min="12040" max="12041"/>
    <col width="9.6640625" customWidth="1" style="96" min="12042" max="12042"/>
    <col width="8.6640625" customWidth="1" style="96" min="12043" max="12046"/>
    <col width="9.6640625" customWidth="1" style="96" min="12047" max="12047"/>
    <col width="8.6640625" customWidth="1" style="96" min="12048" max="12049"/>
    <col width="9.1640625" customWidth="1" style="96" min="12050" max="12288"/>
    <col width="12.6640625" customWidth="1" style="96" min="12289" max="12289"/>
    <col width="15.6640625" customWidth="1" style="96" min="12290" max="12290"/>
    <col width="9.6640625" customWidth="1" style="96" min="12291" max="12291"/>
    <col width="8.6640625" customWidth="1" style="96" min="12292" max="12294"/>
    <col width="7.6640625" customWidth="1" style="96" min="12295" max="12295"/>
    <col width="8.6640625" customWidth="1" style="96" min="12296" max="12297"/>
    <col width="9.6640625" customWidth="1" style="96" min="12298" max="12298"/>
    <col width="8.6640625" customWidth="1" style="96" min="12299" max="12302"/>
    <col width="9.6640625" customWidth="1" style="96" min="12303" max="12303"/>
    <col width="8.6640625" customWidth="1" style="96" min="12304" max="12305"/>
    <col width="9.1640625" customWidth="1" style="96" min="12306" max="12544"/>
    <col width="12.6640625" customWidth="1" style="96" min="12545" max="12545"/>
    <col width="15.6640625" customWidth="1" style="96" min="12546" max="12546"/>
    <col width="9.6640625" customWidth="1" style="96" min="12547" max="12547"/>
    <col width="8.6640625" customWidth="1" style="96" min="12548" max="12550"/>
    <col width="7.6640625" customWidth="1" style="96" min="12551" max="12551"/>
    <col width="8.6640625" customWidth="1" style="96" min="12552" max="12553"/>
    <col width="9.6640625" customWidth="1" style="96" min="12554" max="12554"/>
    <col width="8.6640625" customWidth="1" style="96" min="12555" max="12558"/>
    <col width="9.6640625" customWidth="1" style="96" min="12559" max="12559"/>
    <col width="8.6640625" customWidth="1" style="96" min="12560" max="12561"/>
    <col width="9.1640625" customWidth="1" style="96" min="12562" max="12800"/>
    <col width="12.6640625" customWidth="1" style="96" min="12801" max="12801"/>
    <col width="15.6640625" customWidth="1" style="96" min="12802" max="12802"/>
    <col width="9.6640625" customWidth="1" style="96" min="12803" max="12803"/>
    <col width="8.6640625" customWidth="1" style="96" min="12804" max="12806"/>
    <col width="7.6640625" customWidth="1" style="96" min="12807" max="12807"/>
    <col width="8.6640625" customWidth="1" style="96" min="12808" max="12809"/>
    <col width="9.6640625" customWidth="1" style="96" min="12810" max="12810"/>
    <col width="8.6640625" customWidth="1" style="96" min="12811" max="12814"/>
    <col width="9.6640625" customWidth="1" style="96" min="12815" max="12815"/>
    <col width="8.6640625" customWidth="1" style="96" min="12816" max="12817"/>
    <col width="9.1640625" customWidth="1" style="96" min="12818" max="13056"/>
    <col width="12.6640625" customWidth="1" style="96" min="13057" max="13057"/>
    <col width="15.6640625" customWidth="1" style="96" min="13058" max="13058"/>
    <col width="9.6640625" customWidth="1" style="96" min="13059" max="13059"/>
    <col width="8.6640625" customWidth="1" style="96" min="13060" max="13062"/>
    <col width="7.6640625" customWidth="1" style="96" min="13063" max="13063"/>
    <col width="8.6640625" customWidth="1" style="96" min="13064" max="13065"/>
    <col width="9.6640625" customWidth="1" style="96" min="13066" max="13066"/>
    <col width="8.6640625" customWidth="1" style="96" min="13067" max="13070"/>
    <col width="9.6640625" customWidth="1" style="96" min="13071" max="13071"/>
    <col width="8.6640625" customWidth="1" style="96" min="13072" max="13073"/>
    <col width="9.1640625" customWidth="1" style="96" min="13074" max="13312"/>
    <col width="12.6640625" customWidth="1" style="96" min="13313" max="13313"/>
    <col width="15.6640625" customWidth="1" style="96" min="13314" max="13314"/>
    <col width="9.6640625" customWidth="1" style="96" min="13315" max="13315"/>
    <col width="8.6640625" customWidth="1" style="96" min="13316" max="13318"/>
    <col width="7.6640625" customWidth="1" style="96" min="13319" max="13319"/>
    <col width="8.6640625" customWidth="1" style="96" min="13320" max="13321"/>
    <col width="9.6640625" customWidth="1" style="96" min="13322" max="13322"/>
    <col width="8.6640625" customWidth="1" style="96" min="13323" max="13326"/>
    <col width="9.6640625" customWidth="1" style="96" min="13327" max="13327"/>
    <col width="8.6640625" customWidth="1" style="96" min="13328" max="13329"/>
    <col width="9.1640625" customWidth="1" style="96" min="13330" max="13568"/>
    <col width="12.6640625" customWidth="1" style="96" min="13569" max="13569"/>
    <col width="15.6640625" customWidth="1" style="96" min="13570" max="13570"/>
    <col width="9.6640625" customWidth="1" style="96" min="13571" max="13571"/>
    <col width="8.6640625" customWidth="1" style="96" min="13572" max="13574"/>
    <col width="7.6640625" customWidth="1" style="96" min="13575" max="13575"/>
    <col width="8.6640625" customWidth="1" style="96" min="13576" max="13577"/>
    <col width="9.6640625" customWidth="1" style="96" min="13578" max="13578"/>
    <col width="8.6640625" customWidth="1" style="96" min="13579" max="13582"/>
    <col width="9.6640625" customWidth="1" style="96" min="13583" max="13583"/>
    <col width="8.6640625" customWidth="1" style="96" min="13584" max="13585"/>
    <col width="9.1640625" customWidth="1" style="96" min="13586" max="13824"/>
    <col width="12.6640625" customWidth="1" style="96" min="13825" max="13825"/>
    <col width="15.6640625" customWidth="1" style="96" min="13826" max="13826"/>
    <col width="9.6640625" customWidth="1" style="96" min="13827" max="13827"/>
    <col width="8.6640625" customWidth="1" style="96" min="13828" max="13830"/>
    <col width="7.6640625" customWidth="1" style="96" min="13831" max="13831"/>
    <col width="8.6640625" customWidth="1" style="96" min="13832" max="13833"/>
    <col width="9.6640625" customWidth="1" style="96" min="13834" max="13834"/>
    <col width="8.6640625" customWidth="1" style="96" min="13835" max="13838"/>
    <col width="9.6640625" customWidth="1" style="96" min="13839" max="13839"/>
    <col width="8.6640625" customWidth="1" style="96" min="13840" max="13841"/>
    <col width="9.1640625" customWidth="1" style="96" min="13842" max="14080"/>
    <col width="12.6640625" customWidth="1" style="96" min="14081" max="14081"/>
    <col width="15.6640625" customWidth="1" style="96" min="14082" max="14082"/>
    <col width="9.6640625" customWidth="1" style="96" min="14083" max="14083"/>
    <col width="8.6640625" customWidth="1" style="96" min="14084" max="14086"/>
    <col width="7.6640625" customWidth="1" style="96" min="14087" max="14087"/>
    <col width="8.6640625" customWidth="1" style="96" min="14088" max="14089"/>
    <col width="9.6640625" customWidth="1" style="96" min="14090" max="14090"/>
    <col width="8.6640625" customWidth="1" style="96" min="14091" max="14094"/>
    <col width="9.6640625" customWidth="1" style="96" min="14095" max="14095"/>
    <col width="8.6640625" customWidth="1" style="96" min="14096" max="14097"/>
    <col width="9.1640625" customWidth="1" style="96" min="14098" max="14336"/>
    <col width="12.6640625" customWidth="1" style="96" min="14337" max="14337"/>
    <col width="15.6640625" customWidth="1" style="96" min="14338" max="14338"/>
    <col width="9.6640625" customWidth="1" style="96" min="14339" max="14339"/>
    <col width="8.6640625" customWidth="1" style="96" min="14340" max="14342"/>
    <col width="7.6640625" customWidth="1" style="96" min="14343" max="14343"/>
    <col width="8.6640625" customWidth="1" style="96" min="14344" max="14345"/>
    <col width="9.6640625" customWidth="1" style="96" min="14346" max="14346"/>
    <col width="8.6640625" customWidth="1" style="96" min="14347" max="14350"/>
    <col width="9.6640625" customWidth="1" style="96" min="14351" max="14351"/>
    <col width="8.6640625" customWidth="1" style="96" min="14352" max="14353"/>
    <col width="9.1640625" customWidth="1" style="96" min="14354" max="14592"/>
    <col width="12.6640625" customWidth="1" style="96" min="14593" max="14593"/>
    <col width="15.6640625" customWidth="1" style="96" min="14594" max="14594"/>
    <col width="9.6640625" customWidth="1" style="96" min="14595" max="14595"/>
    <col width="8.6640625" customWidth="1" style="96" min="14596" max="14598"/>
    <col width="7.6640625" customWidth="1" style="96" min="14599" max="14599"/>
    <col width="8.6640625" customWidth="1" style="96" min="14600" max="14601"/>
    <col width="9.6640625" customWidth="1" style="96" min="14602" max="14602"/>
    <col width="8.6640625" customWidth="1" style="96" min="14603" max="14606"/>
    <col width="9.6640625" customWidth="1" style="96" min="14607" max="14607"/>
    <col width="8.6640625" customWidth="1" style="96" min="14608" max="14609"/>
    <col width="9.1640625" customWidth="1" style="96" min="14610" max="14848"/>
    <col width="12.6640625" customWidth="1" style="96" min="14849" max="14849"/>
    <col width="15.6640625" customWidth="1" style="96" min="14850" max="14850"/>
    <col width="9.6640625" customWidth="1" style="96" min="14851" max="14851"/>
    <col width="8.6640625" customWidth="1" style="96" min="14852" max="14854"/>
    <col width="7.6640625" customWidth="1" style="96" min="14855" max="14855"/>
    <col width="8.6640625" customWidth="1" style="96" min="14856" max="14857"/>
    <col width="9.6640625" customWidth="1" style="96" min="14858" max="14858"/>
    <col width="8.6640625" customWidth="1" style="96" min="14859" max="14862"/>
    <col width="9.6640625" customWidth="1" style="96" min="14863" max="14863"/>
    <col width="8.6640625" customWidth="1" style="96" min="14864" max="14865"/>
    <col width="9.1640625" customWidth="1" style="96" min="14866" max="15104"/>
    <col width="12.6640625" customWidth="1" style="96" min="15105" max="15105"/>
    <col width="15.6640625" customWidth="1" style="96" min="15106" max="15106"/>
    <col width="9.6640625" customWidth="1" style="96" min="15107" max="15107"/>
    <col width="8.6640625" customWidth="1" style="96" min="15108" max="15110"/>
    <col width="7.6640625" customWidth="1" style="96" min="15111" max="15111"/>
    <col width="8.6640625" customWidth="1" style="96" min="15112" max="15113"/>
    <col width="9.6640625" customWidth="1" style="96" min="15114" max="15114"/>
    <col width="8.6640625" customWidth="1" style="96" min="15115" max="15118"/>
    <col width="9.6640625" customWidth="1" style="96" min="15119" max="15119"/>
    <col width="8.6640625" customWidth="1" style="96" min="15120" max="15121"/>
    <col width="9.1640625" customWidth="1" style="96" min="15122" max="15360"/>
    <col width="12.6640625" customWidth="1" style="96" min="15361" max="15361"/>
    <col width="15.6640625" customWidth="1" style="96" min="15362" max="15362"/>
    <col width="9.6640625" customWidth="1" style="96" min="15363" max="15363"/>
    <col width="8.6640625" customWidth="1" style="96" min="15364" max="15366"/>
    <col width="7.6640625" customWidth="1" style="96" min="15367" max="15367"/>
    <col width="8.6640625" customWidth="1" style="96" min="15368" max="15369"/>
    <col width="9.6640625" customWidth="1" style="96" min="15370" max="15370"/>
    <col width="8.6640625" customWidth="1" style="96" min="15371" max="15374"/>
    <col width="9.6640625" customWidth="1" style="96" min="15375" max="15375"/>
    <col width="8.6640625" customWidth="1" style="96" min="15376" max="15377"/>
    <col width="9.1640625" customWidth="1" style="96" min="15378" max="15616"/>
    <col width="12.6640625" customWidth="1" style="96" min="15617" max="15617"/>
    <col width="15.6640625" customWidth="1" style="96" min="15618" max="15618"/>
    <col width="9.6640625" customWidth="1" style="96" min="15619" max="15619"/>
    <col width="8.6640625" customWidth="1" style="96" min="15620" max="15622"/>
    <col width="7.6640625" customWidth="1" style="96" min="15623" max="15623"/>
    <col width="8.6640625" customWidth="1" style="96" min="15624" max="15625"/>
    <col width="9.6640625" customWidth="1" style="96" min="15626" max="15626"/>
    <col width="8.6640625" customWidth="1" style="96" min="15627" max="15630"/>
    <col width="9.6640625" customWidth="1" style="96" min="15631" max="15631"/>
    <col width="8.6640625" customWidth="1" style="96" min="15632" max="15633"/>
    <col width="9.1640625" customWidth="1" style="96" min="15634" max="15872"/>
    <col width="12.6640625" customWidth="1" style="96" min="15873" max="15873"/>
    <col width="15.6640625" customWidth="1" style="96" min="15874" max="15874"/>
    <col width="9.6640625" customWidth="1" style="96" min="15875" max="15875"/>
    <col width="8.6640625" customWidth="1" style="96" min="15876" max="15878"/>
    <col width="7.6640625" customWidth="1" style="96" min="15879" max="15879"/>
    <col width="8.6640625" customWidth="1" style="96" min="15880" max="15881"/>
    <col width="9.6640625" customWidth="1" style="96" min="15882" max="15882"/>
    <col width="8.6640625" customWidth="1" style="96" min="15883" max="15886"/>
    <col width="9.6640625" customWidth="1" style="96" min="15887" max="15887"/>
    <col width="8.6640625" customWidth="1" style="96" min="15888" max="15889"/>
    <col width="9.1640625" customWidth="1" style="96" min="15890" max="16128"/>
    <col width="12.6640625" customWidth="1" style="96" min="16129" max="16129"/>
    <col width="15.6640625" customWidth="1" style="96" min="16130" max="16130"/>
    <col width="9.6640625" customWidth="1" style="96" min="16131" max="16131"/>
    <col width="8.6640625" customWidth="1" style="96" min="16132" max="16134"/>
    <col width="7.6640625" customWidth="1" style="96" min="16135" max="16135"/>
    <col width="8.6640625" customWidth="1" style="96" min="16136" max="16137"/>
    <col width="9.6640625" customWidth="1" style="96" min="16138" max="16138"/>
    <col width="8.6640625" customWidth="1" style="96" min="16139" max="16142"/>
    <col width="9.6640625" customWidth="1" style="96" min="16143" max="16143"/>
    <col width="8.6640625" customWidth="1" style="96" min="16144" max="16145"/>
    <col width="9.1640625" customWidth="1" style="96"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4"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4"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4"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4"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4"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4"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4"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4"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4"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4"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4"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4"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4"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4"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4"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4"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4"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4"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4"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4"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4"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4"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4"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4"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4"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4"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4"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4"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4"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4"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4"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4"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4"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4"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4"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4"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4"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4"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4"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4"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4"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4"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4"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4"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4"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4"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4"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4"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4"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4"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4"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4"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4"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4"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4"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4"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4"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4"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4"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4"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4"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4"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4"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4"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4"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4"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4"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4"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4"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4"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4"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4"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4"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4"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4"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4"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4"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4"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4"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4"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4"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4"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4"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4"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4"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4"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4"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4"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4"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4"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4"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4"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4"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4"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4"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4"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4"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4"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4"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4"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4"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4"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4"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4"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4"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4"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4"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4"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4"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4"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4"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4"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4"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4"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4"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4"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4"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4"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4"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4"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4"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4"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4"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4"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4"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4"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4"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4"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4"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4"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4"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4"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4"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4"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4"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4"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4"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4"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4"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4"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4"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4"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14"/>
    <col width="9.1640625" customWidth="1" style="114" min="15" max="16384"/>
  </cols>
  <sheetData>
    <row r="1" ht="16" customHeight="1" s="96" thickBot="1"/>
    <row r="2">
      <c r="D2" s="4" t="inlineStr">
        <is>
          <t>Previous</t>
        </is>
      </c>
      <c r="E2" s="6">
        <f>DATE(YEAR(E3),MONTH(E3)-1,DAY(E3))</f>
        <v/>
      </c>
    </row>
    <row r="3" ht="16" customHeight="1" s="96" thickBot="1">
      <c r="D3" s="5" t="inlineStr">
        <is>
          <t>Latest</t>
        </is>
      </c>
      <c r="E3" s="7" t="n">
        <v>44501</v>
      </c>
      <c r="F3" s="8" t="inlineStr">
        <is>
          <t>* to modify</t>
        </is>
      </c>
    </row>
    <row r="5" ht="16" customHeight="1" s="96" thickBot="1"/>
    <row r="6" ht="21" customHeight="1" s="96"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6">
      <c r="B7" s="59" t="n"/>
      <c r="C7" s="60" t="inlineStr">
        <is>
          <t>Retail Sales</t>
        </is>
      </c>
      <c r="D7" s="61">
        <f>VLOOKUP($E$2,'Retail Sales'!A:B,2,)</f>
        <v/>
      </c>
      <c r="E7" s="61">
        <f>VLOOKUP($E$3,'Retail Sales'!A:B,2,)</f>
        <v/>
      </c>
      <c r="F7" s="107">
        <f>(E7-D7)/D7</f>
        <v/>
      </c>
      <c r="G7" s="107">
        <f>VLOOKUP($E$3,'Retail Sales'!A:D,4,)</f>
        <v/>
      </c>
      <c r="H7" s="62" t="n"/>
      <c r="I7" s="63" t="inlineStr">
        <is>
          <t>RSAFS</t>
        </is>
      </c>
      <c r="J7" s="64" t="inlineStr">
        <is>
          <t>https://fred.stlouisfed.org/series/RSAFs</t>
        </is>
      </c>
    </row>
    <row r="8" ht="25.5" customHeight="1" s="96">
      <c r="B8" s="38" t="n"/>
      <c r="C8" s="34" t="inlineStr">
        <is>
          <t>Retail Sales ex Auto</t>
        </is>
      </c>
      <c r="D8" s="35">
        <f>VLOOKUP($E$2,'Retail Sales ex Auto'!A:B,2,)</f>
        <v/>
      </c>
      <c r="E8" s="35">
        <f>VLOOKUP($E$3,'Retail Sales ex Auto'!A:B,2,)</f>
        <v/>
      </c>
      <c r="F8" s="108">
        <f>(E8-D8)/D8</f>
        <v/>
      </c>
      <c r="G8" s="108">
        <f>VLOOKUP($E$3,'Retail Sales ex Auto'!A:D,4,)</f>
        <v/>
      </c>
      <c r="H8" s="3" t="n"/>
      <c r="I8" s="36" t="inlineStr">
        <is>
          <t>RSFSXMV</t>
        </is>
      </c>
      <c r="J8" s="39" t="inlineStr">
        <is>
          <t>https://fred.stlouisfed.org/series/RSFSXMV</t>
        </is>
      </c>
    </row>
    <row r="9" ht="25.5" customHeight="1" s="96">
      <c r="B9" s="38" t="n"/>
      <c r="C9" s="34" t="inlineStr">
        <is>
          <t>Retail Sales ex Auto and Gas</t>
        </is>
      </c>
      <c r="D9" s="35">
        <f>VLOOKUP($E$2,'Retail Sales ex Auto and Gas'!A:B,2,)</f>
        <v/>
      </c>
      <c r="E9" s="35">
        <f>VLOOKUP($E$3,'Retail Sales ex Auto and Gas'!A:B,2,)</f>
        <v/>
      </c>
      <c r="F9" s="108">
        <f>(E9-D9)/D9</f>
        <v/>
      </c>
      <c r="G9" s="108">
        <f>VLOOKUP($E$3,'Retail Sales ex Auto and Gas'!A:D,4,)</f>
        <v/>
      </c>
      <c r="H9" s="3" t="n"/>
      <c r="I9" s="36" t="inlineStr">
        <is>
          <t>MARTSSM44W72USS</t>
        </is>
      </c>
      <c r="J9" s="39" t="inlineStr">
        <is>
          <t>https://fred.stlouisfed.org/series/MARTSSM44W72USS</t>
        </is>
      </c>
    </row>
    <row r="10" ht="25.5" customHeight="1" s="96">
      <c r="B10" s="40" t="n">
        <v>441</v>
      </c>
      <c r="C10" s="34" t="inlineStr">
        <is>
          <t>Motor Vehicle</t>
        </is>
      </c>
      <c r="D10" s="35">
        <f>VLOOKUP($E$2,Motor!A:B,2,)</f>
        <v/>
      </c>
      <c r="E10" s="35">
        <f>VLOOKUP($E$3,Motor!A:B,2,)</f>
        <v/>
      </c>
      <c r="F10" s="108">
        <f>(E10-D10)/D10</f>
        <v/>
      </c>
      <c r="G10" s="108">
        <f>VLOOKUP($E$3,Motor!A:D,4,)</f>
        <v/>
      </c>
      <c r="H10" s="109">
        <f>D10/$D$7</f>
        <v/>
      </c>
      <c r="I10" s="36" t="inlineStr">
        <is>
          <t>RSMVPD</t>
        </is>
      </c>
      <c r="J10" s="39" t="inlineStr">
        <is>
          <t>https://fred.stlouisfed.org/series/RSMVPd</t>
        </is>
      </c>
    </row>
    <row r="11" ht="25.5" customHeight="1" s="96">
      <c r="B11" s="40" t="n">
        <v>454</v>
      </c>
      <c r="C11" s="34" t="inlineStr">
        <is>
          <t>Non Store</t>
        </is>
      </c>
      <c r="D11" s="35">
        <f>VLOOKUP($E$2,'Non Store Retail'!A:B,2,)</f>
        <v/>
      </c>
      <c r="E11" s="35">
        <f>VLOOKUP($E$3,'Non Store Retail'!A:B,2,)</f>
        <v/>
      </c>
      <c r="F11" s="108">
        <f>(E11-D11)/D11</f>
        <v/>
      </c>
      <c r="G11" s="108">
        <f>VLOOKUP($E$3,'Non Store Retail'!A:D,4,)</f>
        <v/>
      </c>
      <c r="H11" s="109">
        <f>D11/$D$7</f>
        <v/>
      </c>
      <c r="I11" s="36" t="inlineStr">
        <is>
          <t>RSNSR</t>
        </is>
      </c>
      <c r="J11" s="39" t="inlineStr">
        <is>
          <t>https://fred.stlouisfed.org/series/RSNSr</t>
        </is>
      </c>
    </row>
    <row r="12" ht="25.5" customHeight="1" s="96">
      <c r="B12" s="40" t="n">
        <v>445</v>
      </c>
      <c r="C12" s="34" t="inlineStr">
        <is>
          <t>Food &amp; Beverage</t>
        </is>
      </c>
      <c r="D12" s="35">
        <f>VLOOKUP($E$2,'Food and Beverage'!A:B,2,)</f>
        <v/>
      </c>
      <c r="E12" s="35">
        <f>VLOOKUP($E$3,'Food and Beverage'!A:B,2,)</f>
        <v/>
      </c>
      <c r="F12" s="108">
        <f>(E12-D12)/D12</f>
        <v/>
      </c>
      <c r="G12" s="108">
        <f>VLOOKUP($E$3,'Food and Beverage'!A:D,4,)</f>
        <v/>
      </c>
      <c r="H12" s="109">
        <f>D12/$D$7</f>
        <v/>
      </c>
      <c r="I12" s="36" t="inlineStr">
        <is>
          <t>RSDBS</t>
        </is>
      </c>
      <c r="J12" s="39" t="inlineStr">
        <is>
          <t>https://fred.stlouisfed.org/series/RSDBs</t>
        </is>
      </c>
    </row>
    <row r="13" ht="25.5" customHeight="1" s="96">
      <c r="B13" s="40" t="n">
        <v>722</v>
      </c>
      <c r="C13" s="34" t="inlineStr">
        <is>
          <t>Food Services</t>
        </is>
      </c>
      <c r="D13" s="35">
        <f>VLOOKUP($E$2,'Food Services'!A:B,2,)</f>
        <v/>
      </c>
      <c r="E13" s="35">
        <f>VLOOKUP($E$3,'Food Services'!A:B,2,)</f>
        <v/>
      </c>
      <c r="F13" s="108">
        <f>(E13-D13)/D13</f>
        <v/>
      </c>
      <c r="G13" s="108">
        <f>VLOOKUP($E$3,'Food Services'!A:D,4,)</f>
        <v/>
      </c>
      <c r="H13" s="109">
        <f>D13/$D$7</f>
        <v/>
      </c>
      <c r="I13" s="36" t="inlineStr">
        <is>
          <t>RSFSDP</t>
        </is>
      </c>
      <c r="J13" s="39" t="inlineStr">
        <is>
          <t>https://fred.stlouisfed.org/series/RSFSDp</t>
        </is>
      </c>
    </row>
    <row r="14" ht="25.5" customHeight="1" s="96">
      <c r="B14" s="40" t="n">
        <v>452</v>
      </c>
      <c r="C14" s="34" t="inlineStr">
        <is>
          <t>General Merchandising</t>
        </is>
      </c>
      <c r="D14" s="35">
        <f>VLOOKUP($E$2,'General Merchandising'!A:B,2,)</f>
        <v/>
      </c>
      <c r="E14" s="35">
        <f>VLOOKUP($E$3,'General Merchandising'!A:B,2,)</f>
        <v/>
      </c>
      <c r="F14" s="108">
        <f>(E14-D14)/D14</f>
        <v/>
      </c>
      <c r="G14" s="108">
        <f>VLOOKUP($E$3,'General Merchandising'!A:D,4,)</f>
        <v/>
      </c>
      <c r="H14" s="109">
        <f>D14/$D$7</f>
        <v/>
      </c>
      <c r="I14" s="36" t="inlineStr">
        <is>
          <t>RSGMS</t>
        </is>
      </c>
      <c r="J14" s="39" t="inlineStr">
        <is>
          <t>https://fred.stlouisfed.org/series/RSGMs</t>
        </is>
      </c>
    </row>
    <row r="15" ht="25.5" customHeight="1" s="96">
      <c r="B15" s="40" t="n">
        <v>447</v>
      </c>
      <c r="C15" s="34" t="inlineStr">
        <is>
          <t>Gasoline Stations</t>
        </is>
      </c>
      <c r="D15" s="35">
        <f>VLOOKUP($E$2,'Gas Station'!A:B,2,)</f>
        <v/>
      </c>
      <c r="E15" s="35">
        <f>VLOOKUP($E$3,'Gas Station'!A:B,2,)</f>
        <v/>
      </c>
      <c r="F15" s="108">
        <f>(E15-D15)/D15</f>
        <v/>
      </c>
      <c r="G15" s="108">
        <f>VLOOKUP($E$3,'Gas Station'!A:D,4,)</f>
        <v/>
      </c>
      <c r="H15" s="109">
        <f>D15/$D$7</f>
        <v/>
      </c>
      <c r="I15" s="36" t="inlineStr">
        <is>
          <t>RSGASS</t>
        </is>
      </c>
      <c r="J15" s="39" t="inlineStr">
        <is>
          <t>https://fred.stlouisfed.org/series/RSGASs</t>
        </is>
      </c>
    </row>
    <row r="16" ht="25.5" customHeight="1" s="96">
      <c r="B16" s="40" t="n">
        <v>444</v>
      </c>
      <c r="C16" s="34" t="inlineStr">
        <is>
          <t>Housing Supplies</t>
        </is>
      </c>
      <c r="D16" s="35">
        <f>VLOOKUP($E$2,Housing!A:B,2,)</f>
        <v/>
      </c>
      <c r="E16" s="35">
        <f>VLOOKUP($E$3,Housing!A:B,2,)</f>
        <v/>
      </c>
      <c r="F16" s="108">
        <f>(E16-D16)/D16</f>
        <v/>
      </c>
      <c r="G16" s="108">
        <f>VLOOKUP($E$3,Housing!A:D,4,)</f>
        <v/>
      </c>
      <c r="H16" s="109">
        <f>D16/$D$7</f>
        <v/>
      </c>
      <c r="I16" s="36" t="inlineStr">
        <is>
          <t>RSBMGESD</t>
        </is>
      </c>
      <c r="J16" s="39" t="inlineStr">
        <is>
          <t>https://fred.stlouisfed.org/series/RSBMGESD</t>
        </is>
      </c>
    </row>
    <row r="17" ht="25.5" customHeight="1" s="96">
      <c r="B17" s="40" t="n">
        <v>446</v>
      </c>
      <c r="C17" s="34" t="inlineStr">
        <is>
          <t>HealthCare</t>
        </is>
      </c>
      <c r="D17" s="35">
        <f>VLOOKUP($E$2,Health!A:B,2,)</f>
        <v/>
      </c>
      <c r="E17" s="35">
        <f>VLOOKUP($E$3,Health!A:B,2,)</f>
        <v/>
      </c>
      <c r="F17" s="108">
        <f>(E17-D17)/D17</f>
        <v/>
      </c>
      <c r="G17" s="108">
        <f>VLOOKUP($E$3,Health!A:D,4,)</f>
        <v/>
      </c>
      <c r="H17" s="109">
        <f>D17/$D$7</f>
        <v/>
      </c>
      <c r="I17" s="36" t="inlineStr">
        <is>
          <t>RSHPCS</t>
        </is>
      </c>
      <c r="J17" s="39" t="inlineStr">
        <is>
          <t>https://fred.stlouisfed.org/series/RSHPCs</t>
        </is>
      </c>
    </row>
    <row r="18" ht="25.5" customHeight="1" s="96">
      <c r="B18" s="40" t="n">
        <v>448</v>
      </c>
      <c r="C18" s="34" t="inlineStr">
        <is>
          <t>Clothing and clothing access. stores</t>
        </is>
      </c>
      <c r="D18" s="35">
        <f>VLOOKUP($E$2,'Clothing and clothing access'!A:B,2,0)</f>
        <v/>
      </c>
      <c r="E18" s="35">
        <f>VLOOKUP($E$3,'Clothing and clothing access'!A:B,2,)</f>
        <v/>
      </c>
      <c r="F18" s="108">
        <f>(E18-D18)/D18</f>
        <v/>
      </c>
      <c r="G18" s="108">
        <f>VLOOKUP($E$3,'Clothing and clothing access'!A:D,4,)</f>
        <v/>
      </c>
      <c r="H18" s="109">
        <f>D18/$D$7</f>
        <v/>
      </c>
      <c r="I18" s="37" t="inlineStr">
        <is>
          <t>RSCCAS</t>
        </is>
      </c>
      <c r="J18" s="41" t="inlineStr">
        <is>
          <t>https://fred.stlouisfed.org/series/RSCCAS</t>
        </is>
      </c>
    </row>
    <row r="19" ht="25.5" customHeight="1" s="96">
      <c r="B19" s="40" t="inlineStr">
        <is>
          <t>442,443</t>
        </is>
      </c>
      <c r="C19" s="34" t="inlineStr">
        <is>
          <t>Furniture, home furn, electronics, and appliance stores</t>
        </is>
      </c>
      <c r="D19" s="35">
        <f>VLOOKUP($E$2,'Furniture Home'!A:B,2,)</f>
        <v/>
      </c>
      <c r="E19" s="35">
        <f>VLOOKUP($E$3,'Furniture Home'!A:B,2,)</f>
        <v/>
      </c>
      <c r="F19" s="108">
        <f>(E19-D19)/D19</f>
        <v/>
      </c>
      <c r="G19" s="108">
        <f>VLOOKUP($E$3,'Furniture Home'!A:D,4,)</f>
        <v/>
      </c>
      <c r="H19" s="109">
        <f>D19/$D$7</f>
        <v/>
      </c>
      <c r="I19" s="37" t="inlineStr">
        <is>
          <t>RSFHFS + RSEAS</t>
        </is>
      </c>
      <c r="J19" s="41" t="inlineStr">
        <is>
          <t>https://fred.stlouisfed.org/series/RSFHFS</t>
        </is>
      </c>
    </row>
    <row r="20" ht="25.5" customHeight="1" s="96">
      <c r="B20" s="40" t="n">
        <v>453</v>
      </c>
      <c r="C20" s="34" t="inlineStr">
        <is>
          <t>Miscellaneous stores retailers</t>
        </is>
      </c>
      <c r="D20" s="35">
        <f>VLOOKUP($E$2,'Miscellaneous stores retailers'!A:B,2,)</f>
        <v/>
      </c>
      <c r="E20" s="35">
        <f>VLOOKUP($E$3,'Miscellaneous stores retailers'!A:B,2,)</f>
        <v/>
      </c>
      <c r="F20" s="108">
        <f>(E20-D20)/D20</f>
        <v/>
      </c>
      <c r="G20" s="108">
        <f>VLOOKUP($E$3,'Miscellaneous stores retailers'!A:D,4,)</f>
        <v/>
      </c>
      <c r="H20" s="109">
        <f>D20/$D$7</f>
        <v/>
      </c>
      <c r="I20" s="37" t="inlineStr">
        <is>
          <t>RSMSR</t>
        </is>
      </c>
      <c r="J20" s="41" t="inlineStr">
        <is>
          <t>https://fred.stlouisfed.org/series/RSMSR</t>
        </is>
      </c>
    </row>
    <row r="21" ht="25.5" customHeight="1" s="96" thickBot="1">
      <c r="B21" s="42" t="n">
        <v>451</v>
      </c>
      <c r="C21" s="43" t="inlineStr">
        <is>
          <t>Clothing, Sport</t>
        </is>
      </c>
      <c r="D21" s="44">
        <f>VLOOKUP($E$2,'Sporting Goods'!A:B,2,)</f>
        <v/>
      </c>
      <c r="E21" s="44">
        <f>VLOOKUP($E$3,'Sporting Goods'!A:B,2,)</f>
        <v/>
      </c>
      <c r="F21" s="110">
        <f>(E21-D21)/D21</f>
        <v/>
      </c>
      <c r="G21" s="110">
        <f>VLOOKUP($E$3,'Sporting Goods'!A:D,4,)</f>
        <v/>
      </c>
      <c r="H21" s="111">
        <f>D21/$D$7</f>
        <v/>
      </c>
      <c r="I21" s="47" t="inlineStr">
        <is>
          <t>RSSGHBMS</t>
        </is>
      </c>
      <c r="J21" s="48" t="inlineStr">
        <is>
          <t>https://fred.stlouisfed.org/series/RSSGHBMs</t>
        </is>
      </c>
    </row>
    <row r="22" ht="25.5" customHeight="1" s="96" thickBot="1">
      <c r="D22" s="45">
        <f>SUM(D10:D21)</f>
        <v/>
      </c>
      <c r="E22" s="46">
        <f>SUM(E10:E21)</f>
        <v/>
      </c>
      <c r="H22" s="112">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5"/>
  <sheetViews>
    <sheetView topLeftCell="A43" zoomScale="140" zoomScaleNormal="140" workbookViewId="0">
      <selection activeCell="AG54" sqref="AG54"/>
    </sheetView>
  </sheetViews>
  <sheetFormatPr baseColWidth="10" defaultColWidth="9.1640625" defaultRowHeight="15"/>
  <cols>
    <col width="3" customWidth="1" style="114" min="1" max="1"/>
    <col width="7.6640625" customWidth="1" style="114" min="2" max="32"/>
    <col width="9.1640625" customWidth="1" style="114" min="33" max="33"/>
    <col width="9.1640625" customWidth="1" style="114" min="34" max="16384"/>
  </cols>
  <sheetData>
    <row r="1" ht="16" customHeight="1" s="96" thickBot="1"/>
    <row r="2" ht="87" customHeight="1" s="96"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5">
    <cfRule type="colorScale" priority="243">
      <colorScale>
        <cfvo type="min"/>
        <cfvo type="percentile" val="50"/>
        <cfvo type="max"/>
        <color rgb="FFF8696B"/>
        <color rgb="FFFFEB84"/>
        <color rgb="FF63BE7B"/>
      </colorScale>
    </cfRule>
  </conditionalFormatting>
  <conditionalFormatting sqref="D4:D55">
    <cfRule type="colorScale" priority="244">
      <colorScale>
        <cfvo type="min"/>
        <cfvo type="percentile" val="50"/>
        <cfvo type="max"/>
        <color rgb="FFF8696B"/>
        <color rgb="FFFFEB84"/>
        <color rgb="FF63BE7B"/>
      </colorScale>
    </cfRule>
  </conditionalFormatting>
  <conditionalFormatting sqref="E4:E55">
    <cfRule type="colorScale" priority="245">
      <colorScale>
        <cfvo type="min"/>
        <cfvo type="percentile" val="50"/>
        <cfvo type="max"/>
        <color rgb="FFF8696B"/>
        <color rgb="FFFFEB84"/>
        <color rgb="FF63BE7B"/>
      </colorScale>
    </cfRule>
  </conditionalFormatting>
  <conditionalFormatting sqref="F4:F55">
    <cfRule type="colorScale" priority="246">
      <colorScale>
        <cfvo type="min"/>
        <cfvo type="percentile" val="50"/>
        <cfvo type="max"/>
        <color rgb="FFF8696B"/>
        <color rgb="FFFFEB84"/>
        <color rgb="FF63BE7B"/>
      </colorScale>
    </cfRule>
  </conditionalFormatting>
  <conditionalFormatting sqref="G4:G55">
    <cfRule type="colorScale" priority="247">
      <colorScale>
        <cfvo type="min"/>
        <cfvo type="percentile" val="50"/>
        <cfvo type="max"/>
        <color rgb="FFF8696B"/>
        <color rgb="FFFFEB84"/>
        <color rgb="FF63BE7B"/>
      </colorScale>
    </cfRule>
  </conditionalFormatting>
  <conditionalFormatting sqref="H4:H55">
    <cfRule type="colorScale" priority="248">
      <colorScale>
        <cfvo type="min"/>
        <cfvo type="percentile" val="50"/>
        <cfvo type="max"/>
        <color rgb="FFF8696B"/>
        <color rgb="FFFFEB84"/>
        <color rgb="FF63BE7B"/>
      </colorScale>
    </cfRule>
  </conditionalFormatting>
  <conditionalFormatting sqref="I4:I55">
    <cfRule type="colorScale" priority="249">
      <colorScale>
        <cfvo type="min"/>
        <cfvo type="percentile" val="50"/>
        <cfvo type="max"/>
        <color rgb="FFF8696B"/>
        <color rgb="FFFFEB84"/>
        <color rgb="FF63BE7B"/>
      </colorScale>
    </cfRule>
  </conditionalFormatting>
  <conditionalFormatting sqref="J4:J55">
    <cfRule type="colorScale" priority="250">
      <colorScale>
        <cfvo type="min"/>
        <cfvo type="percentile" val="50"/>
        <cfvo type="max"/>
        <color rgb="FFF8696B"/>
        <color rgb="FFFFEB84"/>
        <color rgb="FF63BE7B"/>
      </colorScale>
    </cfRule>
  </conditionalFormatting>
  <conditionalFormatting sqref="K4:K55">
    <cfRule type="colorScale" priority="251">
      <colorScale>
        <cfvo type="min"/>
        <cfvo type="percentile" val="50"/>
        <cfvo type="max"/>
        <color rgb="FFF8696B"/>
        <color rgb="FFFFEB84"/>
        <color rgb="FF63BE7B"/>
      </colorScale>
    </cfRule>
  </conditionalFormatting>
  <conditionalFormatting sqref="L4:L55">
    <cfRule type="colorScale" priority="252">
      <colorScale>
        <cfvo type="min"/>
        <cfvo type="percentile" val="50"/>
        <cfvo type="max"/>
        <color rgb="FFF8696B"/>
        <color rgb="FFFFEB84"/>
        <color rgb="FF63BE7B"/>
      </colorScale>
    </cfRule>
  </conditionalFormatting>
  <conditionalFormatting sqref="M4:M55">
    <cfRule type="colorScale" priority="253">
      <colorScale>
        <cfvo type="min"/>
        <cfvo type="percentile" val="50"/>
        <cfvo type="max"/>
        <color rgb="FFF8696B"/>
        <color rgb="FFFFEB84"/>
        <color rgb="FF63BE7B"/>
      </colorScale>
    </cfRule>
  </conditionalFormatting>
  <conditionalFormatting sqref="O4:O55">
    <cfRule type="colorScale" priority="254">
      <colorScale>
        <cfvo type="min"/>
        <cfvo type="percentile" val="50"/>
        <cfvo type="max"/>
        <color rgb="FFF8696B"/>
        <color rgb="FFFFEB84"/>
        <color rgb="FF63BE7B"/>
      </colorScale>
    </cfRule>
  </conditionalFormatting>
  <conditionalFormatting sqref="P4:P55">
    <cfRule type="colorScale" priority="255">
      <colorScale>
        <cfvo type="min"/>
        <cfvo type="percentile" val="50"/>
        <cfvo type="max"/>
        <color rgb="FFF8696B"/>
        <color rgb="FFFFEB84"/>
        <color rgb="FF63BE7B"/>
      </colorScale>
    </cfRule>
  </conditionalFormatting>
  <conditionalFormatting sqref="Q4:Q55">
    <cfRule type="colorScale" priority="256">
      <colorScale>
        <cfvo type="min"/>
        <cfvo type="percentile" val="50"/>
        <cfvo type="max"/>
        <color rgb="FFF8696B"/>
        <color rgb="FFFFEB84"/>
        <color rgb="FF63BE7B"/>
      </colorScale>
    </cfRule>
  </conditionalFormatting>
  <conditionalFormatting sqref="R4:R55">
    <cfRule type="colorScale" priority="257">
      <colorScale>
        <cfvo type="min"/>
        <cfvo type="percentile" val="50"/>
        <cfvo type="max"/>
        <color rgb="FFF8696B"/>
        <color rgb="FFFFEB84"/>
        <color rgb="FF63BE7B"/>
      </colorScale>
    </cfRule>
  </conditionalFormatting>
  <conditionalFormatting sqref="S4:S55">
    <cfRule type="colorScale" priority="258">
      <colorScale>
        <cfvo type="min"/>
        <cfvo type="percentile" val="50"/>
        <cfvo type="max"/>
        <color rgb="FFF8696B"/>
        <color rgb="FFFFEB84"/>
        <color rgb="FF63BE7B"/>
      </colorScale>
    </cfRule>
  </conditionalFormatting>
  <conditionalFormatting sqref="T4:T55">
    <cfRule type="colorScale" priority="259">
      <colorScale>
        <cfvo type="min"/>
        <cfvo type="percentile" val="50"/>
        <cfvo type="max"/>
        <color rgb="FFF8696B"/>
        <color rgb="FFFFEB84"/>
        <color rgb="FF63BE7B"/>
      </colorScale>
    </cfRule>
  </conditionalFormatting>
  <conditionalFormatting sqref="U4:U55">
    <cfRule type="colorScale" priority="260">
      <colorScale>
        <cfvo type="min"/>
        <cfvo type="percentile" val="50"/>
        <cfvo type="max"/>
        <color rgb="FFF8696B"/>
        <color rgb="FFFFEB84"/>
        <color rgb="FF63BE7B"/>
      </colorScale>
    </cfRule>
  </conditionalFormatting>
  <conditionalFormatting sqref="V4:V55">
    <cfRule type="colorScale" priority="261">
      <colorScale>
        <cfvo type="min"/>
        <cfvo type="percentile" val="50"/>
        <cfvo type="max"/>
        <color rgb="FFF8696B"/>
        <color rgb="FFFFEB84"/>
        <color rgb="FF63BE7B"/>
      </colorScale>
    </cfRule>
  </conditionalFormatting>
  <conditionalFormatting sqref="W4:W55">
    <cfRule type="colorScale" priority="262">
      <colorScale>
        <cfvo type="min"/>
        <cfvo type="percentile" val="50"/>
        <cfvo type="max"/>
        <color rgb="FFF8696B"/>
        <color rgb="FFFFEB84"/>
        <color rgb="FF63BE7B"/>
      </colorScale>
    </cfRule>
  </conditionalFormatting>
  <conditionalFormatting sqref="X4:X55">
    <cfRule type="colorScale" priority="265">
      <colorScale>
        <cfvo type="min"/>
        <cfvo type="percentile" val="50"/>
        <cfvo type="max"/>
        <color rgb="FFF8696B"/>
        <color rgb="FFFFEB84"/>
        <color rgb="FF63BE7B"/>
      </colorScale>
    </cfRule>
  </conditionalFormatting>
  <conditionalFormatting sqref="Y4:Y55">
    <cfRule type="colorScale" priority="268">
      <colorScale>
        <cfvo type="min"/>
        <cfvo type="percentile" val="50"/>
        <cfvo type="max"/>
        <color rgb="FFF8696B"/>
        <color rgb="FFFFEB84"/>
        <color rgb="FF63BE7B"/>
      </colorScale>
    </cfRule>
  </conditionalFormatting>
  <conditionalFormatting sqref="Z4:Z55">
    <cfRule type="colorScale" priority="269">
      <colorScale>
        <cfvo type="min"/>
        <cfvo type="percentile" val="50"/>
        <cfvo type="max"/>
        <color rgb="FFF8696B"/>
        <color rgb="FFFFEB84"/>
        <color rgb="FF63BE7B"/>
      </colorScale>
    </cfRule>
  </conditionalFormatting>
  <conditionalFormatting sqref="AA4:AA55">
    <cfRule type="colorScale" priority="270">
      <colorScale>
        <cfvo type="min"/>
        <cfvo type="percentile" val="50"/>
        <cfvo type="max"/>
        <color rgb="FFF8696B"/>
        <color rgb="FFFFEB84"/>
        <color rgb="FF63BE7B"/>
      </colorScale>
    </cfRule>
  </conditionalFormatting>
  <conditionalFormatting sqref="AB4:AB55">
    <cfRule type="colorScale" priority="271">
      <colorScale>
        <cfvo type="min"/>
        <cfvo type="percentile" val="50"/>
        <cfvo type="max"/>
        <color rgb="FFF8696B"/>
        <color rgb="FFFFEB84"/>
        <color rgb="FF63BE7B"/>
      </colorScale>
    </cfRule>
  </conditionalFormatting>
  <conditionalFormatting sqref="AC4:AC55">
    <cfRule type="colorScale" priority="272">
      <colorScale>
        <cfvo type="min"/>
        <cfvo type="percentile" val="50"/>
        <cfvo type="max"/>
        <color rgb="FFF8696B"/>
        <color rgb="FFFFEB84"/>
        <color rgb="FF63BE7B"/>
      </colorScale>
    </cfRule>
  </conditionalFormatting>
  <conditionalFormatting sqref="AD4:AD55">
    <cfRule type="colorScale" priority="273">
      <colorScale>
        <cfvo type="min"/>
        <cfvo type="percentile" val="50"/>
        <cfvo type="max"/>
        <color rgb="FFF8696B"/>
        <color rgb="FFFFEB84"/>
        <color rgb="FF63BE7B"/>
      </colorScale>
    </cfRule>
  </conditionalFormatting>
  <conditionalFormatting sqref="AE4:AE55">
    <cfRule type="colorScale" priority="274">
      <colorScale>
        <cfvo type="min"/>
        <cfvo type="percentile" val="50"/>
        <cfvo type="max"/>
        <color rgb="FFF8696B"/>
        <color rgb="FFFFEB84"/>
        <color rgb="FF63BE7B"/>
      </colorScale>
    </cfRule>
  </conditionalFormatting>
  <conditionalFormatting sqref="AF4:AF55">
    <cfRule type="colorScale" priority="275">
      <colorScale>
        <cfvo type="min"/>
        <cfvo type="percentile" val="50"/>
        <cfvo type="max"/>
        <color rgb="FFF8696B"/>
        <color rgb="FFFFEB84"/>
        <color rgb="FF63BE7B"/>
      </colorScale>
    </cfRule>
  </conditionalFormatting>
  <conditionalFormatting sqref="N4:N55">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2"/>
  <sheetViews>
    <sheetView zoomScale="170" zoomScaleNormal="170" workbookViewId="0">
      <pane ySplit="6" topLeftCell="A292" activePane="bottomLeft" state="frozen"/>
      <selection pane="bottomLeft" activeCell="F381" sqref="F381"/>
    </sheetView>
  </sheetViews>
  <sheetFormatPr baseColWidth="10" defaultColWidth="8.83203125" defaultRowHeight="15"/>
  <cols>
    <col width="14" customWidth="1" style="96" min="1" max="1"/>
    <col width="17.6640625" customWidth="1" style="96" min="2" max="2"/>
    <col width="14.33203125" customWidth="1" style="96" min="3" max="3"/>
    <col width="14.1640625" customWidth="1" style="96"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row r="367" customFormat="1" s="114"/>
    <row r="368" customFormat="1" s="114"/>
    <row r="369" customFormat="1" s="114"/>
    <row r="370" customFormat="1" s="114"/>
    <row r="371" customFormat="1" s="114"/>
    <row r="372" customFormat="1" s="114"/>
    <row r="373" customFormat="1" s="114"/>
    <row r="374" customFormat="1" s="114"/>
    <row r="375" customFormat="1" s="114"/>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37"/>
  <sheetViews>
    <sheetView zoomScale="160" zoomScaleNormal="160" workbookViewId="0">
      <pane ySplit="6" topLeftCell="A341" activePane="bottomLeft" state="frozen"/>
      <selection pane="bottomLeft" activeCell="J359" sqref="J359"/>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6"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54" t="n"/>
      <c r="B366" s="14" t="n"/>
      <c r="C366" s="54" t="n"/>
      <c r="D366" s="54" t="n"/>
    </row>
    <row r="367" customFormat="1" s="114">
      <c r="A367" s="54" t="n"/>
      <c r="B367" s="14" t="n"/>
      <c r="C367" s="54" t="n"/>
      <c r="D367" s="54" t="n"/>
    </row>
    <row r="368" customFormat="1" s="114">
      <c r="A368" s="54" t="n"/>
      <c r="B368" s="14" t="n"/>
      <c r="C368" s="54" t="n"/>
      <c r="D368" s="54" t="n"/>
    </row>
    <row r="369" customFormat="1" s="114">
      <c r="A369" s="54" t="n"/>
      <c r="B369" s="14" t="n"/>
      <c r="C369" s="54" t="n"/>
      <c r="D369" s="54" t="n"/>
    </row>
    <row r="370" customFormat="1" s="114">
      <c r="A370" s="54" t="n"/>
      <c r="B370" s="14" t="n"/>
      <c r="C370" s="54" t="n"/>
      <c r="D370" s="54" t="n"/>
    </row>
    <row r="371" customFormat="1" s="114">
      <c r="A371" s="54" t="n"/>
      <c r="B371" s="14" t="n"/>
      <c r="C371" s="54" t="n"/>
      <c r="D371" s="54" t="n"/>
    </row>
    <row r="372" customFormat="1" s="114">
      <c r="A372" s="54" t="n"/>
      <c r="B372" s="14" t="n"/>
      <c r="C372" s="54" t="n"/>
      <c r="D372" s="54" t="n"/>
    </row>
    <row r="373" customFormat="1" s="114">
      <c r="A373" s="54" t="n"/>
      <c r="B373" s="14" t="n"/>
      <c r="C373" s="54" t="n"/>
      <c r="D373" s="54" t="n"/>
    </row>
    <row r="374" customFormat="1" s="114">
      <c r="A374" s="54" t="n"/>
      <c r="B374" s="14" t="n"/>
      <c r="C374" s="54" t="n"/>
      <c r="D374" s="54" t="n"/>
    </row>
    <row r="375" customFormat="1" s="114">
      <c r="A375" s="54" t="n"/>
      <c r="B375" s="14" t="n"/>
      <c r="C375" s="54" t="n"/>
      <c r="D375" s="54" t="n"/>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sheetData>
  <conditionalFormatting sqref="C8:C365">
    <cfRule type="colorScale" priority="42">
      <colorScale>
        <cfvo type="min"/>
        <cfvo type="percentile" val="50"/>
        <cfvo type="max"/>
        <color rgb="FFF8696B"/>
        <color rgb="FFFFEB84"/>
        <color rgb="FF63BE7B"/>
      </colorScale>
    </cfRule>
  </conditionalFormatting>
  <conditionalFormatting sqref="D19:D365">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3"/>
  <sheetViews>
    <sheetView zoomScale="160" zoomScaleNormal="160" workbookViewId="0">
      <pane ySplit="6" topLeftCell="A330" activePane="bottomLeft" state="frozen"/>
      <selection pane="bottomLeft" activeCell="G362" sqref="G362"/>
    </sheetView>
  </sheetViews>
  <sheetFormatPr baseColWidth="10" defaultColWidth="8.83203125" defaultRowHeight="15"/>
  <cols>
    <col width="14" customWidth="1" style="96" min="1" max="1"/>
    <col width="23.6640625" customWidth="1" style="23" min="2" max="2"/>
    <col width="14.33203125" customWidth="1" style="96" min="3" max="3"/>
    <col width="14.1640625" customWidth="1" style="96"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6"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B366" s="22" t="n"/>
    </row>
    <row r="367" customFormat="1" s="114">
      <c r="B367" s="22" t="n"/>
    </row>
    <row r="368" customFormat="1" s="114">
      <c r="B368" s="22" t="n"/>
    </row>
    <row r="369" customFormat="1" s="114">
      <c r="B369" s="22" t="n"/>
    </row>
    <row r="370" customFormat="1" s="114">
      <c r="B370" s="22" t="n"/>
    </row>
    <row r="371" customFormat="1" s="114">
      <c r="B371" s="22" t="n"/>
    </row>
    <row r="372" customFormat="1" s="114">
      <c r="B372" s="22" t="n"/>
    </row>
    <row r="373" customFormat="1" s="114">
      <c r="B373" s="22" t="n"/>
    </row>
    <row r="374" customFormat="1" s="114">
      <c r="B374" s="22" t="n"/>
    </row>
    <row r="375" customFormat="1" s="114">
      <c r="B375" s="22" t="n"/>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5"/>
  <sheetViews>
    <sheetView zoomScale="160" zoomScaleNormal="160" workbookViewId="0">
      <pane ySplit="6" topLeftCell="A332" activePane="bottomLeft" state="frozen"/>
      <selection pane="bottomLeft" activeCell="G362" sqref="G362"/>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6">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5"/>
  <sheetViews>
    <sheetView zoomScale="160" zoomScaleNormal="160" workbookViewId="0">
      <pane ySplit="6" topLeftCell="A302" activePane="bottomLeft" state="frozen"/>
      <selection pane="bottomLeft" activeCell="H360" sqref="H360"/>
    </sheetView>
  </sheetViews>
  <sheetFormatPr baseColWidth="10" defaultColWidth="9.1640625" defaultRowHeight="15"/>
  <cols>
    <col width="14" customWidth="1" style="54" min="1" max="1"/>
    <col width="14.1640625" customWidth="1" style="54" min="2" max="4"/>
    <col width="9.1640625" customWidth="1" style="114" min="5" max="5"/>
    <col width="9.1640625" customWidth="1" style="114" min="6"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6" thickBot="1"/>
    <row r="6" ht="57" customHeight="1" s="96">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5"/>
  <sheetViews>
    <sheetView zoomScale="160" zoomScaleNormal="160" workbookViewId="0">
      <pane ySplit="6" topLeftCell="A309" activePane="bottomLeft" state="frozen"/>
      <selection pane="bottomLeft" activeCell="I363" sqref="I36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6" thickBot="1"/>
    <row r="6" ht="44.25" customHeight="1" s="96">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5"/>
  <sheetViews>
    <sheetView zoomScale="160" zoomScaleNormal="160" workbookViewId="0">
      <pane ySplit="6" topLeftCell="A304" activePane="bottomLeft" state="frozen"/>
      <selection pane="bottomLeft" activeCell="H363" sqref="H363:I36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6" thickBot="1"/>
    <row r="6" ht="44.25" customHeight="1" s="96">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5"/>
  <sheetViews>
    <sheetView zoomScale="160" zoomScaleNormal="160" workbookViewId="0">
      <pane ySplit="6" topLeftCell="A300" activePane="bottomLeft" state="frozen"/>
      <selection pane="bottomLeft" activeCell="H363" sqref="H36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6" thickBot="1"/>
    <row r="6" ht="44.25" customHeight="1" s="96">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5"/>
  <sheetViews>
    <sheetView zoomScale="190" zoomScaleNormal="190" workbookViewId="0">
      <pane ySplit="6" topLeftCell="A311" activePane="bottomLeft" state="frozen"/>
      <selection pane="bottomLeft" activeCell="J365" sqref="J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RSFSDP</t>
        </is>
      </c>
      <c r="B1" s="29" t="inlineStr">
        <is>
          <t>Advance Retail Sales: Food Services and Drinking Places</t>
        </is>
      </c>
    </row>
    <row r="2">
      <c r="A2" s="129" t="n"/>
      <c r="B2" s="114" t="n"/>
    </row>
    <row r="3">
      <c r="A3" s="9" t="n"/>
    </row>
    <row r="4">
      <c r="A4" s="9" t="n"/>
    </row>
    <row r="5" ht="16" customHeight="1" s="96" thickBot="1"/>
    <row r="6" ht="44.25" customHeight="1" s="96">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5"/>
  <sheetViews>
    <sheetView zoomScale="190" zoomScaleNormal="190" workbookViewId="0">
      <pane ySplit="6" topLeftCell="A306" activePane="bottomLeft" state="frozen"/>
      <selection pane="bottomLeft" activeCell="J366" sqref="J366:K36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6" thickBot="1"/>
    <row r="6" ht="44.25" customHeight="1" s="96">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5"/>
  <sheetViews>
    <sheetView zoomScale="200" zoomScaleNormal="200" workbookViewId="0">
      <pane ySplit="6" topLeftCell="A305" activePane="bottomLeft" state="frozen"/>
      <selection pane="bottomLeft" activeCell="A360" sqref="A360:D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6" thickBot="1"/>
    <row r="6" ht="44.25" customHeight="1" s="96">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sheetData>
  <conditionalFormatting sqref="D19:D365">
    <cfRule type="colorScale" priority="50">
      <colorScale>
        <cfvo type="min"/>
        <cfvo type="percentile" val="50"/>
        <cfvo type="max"/>
        <color rgb="FFF8696B"/>
        <color rgb="FFFFEB84"/>
        <color rgb="FF63BE7B"/>
      </colorScale>
    </cfRule>
  </conditionalFormatting>
  <conditionalFormatting sqref="C8:C365">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5"/>
  <sheetViews>
    <sheetView zoomScale="200" zoomScaleNormal="200" workbookViewId="0">
      <pane ySplit="6" topLeftCell="A312" activePane="bottomLeft" state="frozen"/>
      <selection pane="bottomLeft" activeCell="Q370" sqref="Q370"/>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5"/>
    <col width="9.1640625" customWidth="1" style="114" min="6"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6" thickBot="1">
      <c r="A5" s="9" t="n"/>
    </row>
    <row r="6" ht="16" customHeight="1" s="96"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sheetData>
  <conditionalFormatting sqref="D19:D365">
    <cfRule type="colorScale" priority="48">
      <colorScale>
        <cfvo type="min"/>
        <cfvo type="percentile" val="50"/>
        <cfvo type="max"/>
        <color rgb="FFF8696B"/>
        <color rgb="FFFFEB84"/>
        <color rgb="FF63BE7B"/>
      </colorScale>
    </cfRule>
  </conditionalFormatting>
  <conditionalFormatting sqref="C8:C365">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5"/>
  <sheetViews>
    <sheetView tabSelected="1" topLeftCell="A302" zoomScale="210" zoomScaleNormal="210" workbookViewId="0">
      <selection activeCell="G367" sqref="G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RSFHFS</t>
        </is>
      </c>
      <c r="B1" s="29" t="inlineStr">
        <is>
          <t>RSEAS</t>
        </is>
      </c>
    </row>
    <row r="2">
      <c r="A2" s="129" t="n"/>
      <c r="B2" s="114" t="n"/>
    </row>
    <row r="3">
      <c r="A3" s="9" t="n"/>
    </row>
    <row r="4">
      <c r="A4" s="9" t="n"/>
    </row>
    <row r="5" ht="16" customHeight="1" s="96" thickBot="1"/>
    <row r="6" ht="44.25" customHeight="1" s="96">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sheetData>
  <conditionalFormatting sqref="D19:D365">
    <cfRule type="colorScale" priority="46">
      <colorScale>
        <cfvo type="min"/>
        <cfvo type="percentile" val="50"/>
        <cfvo type="max"/>
        <color rgb="FFF8696B"/>
        <color rgb="FFFFEB84"/>
        <color rgb="FF63BE7B"/>
      </colorScale>
    </cfRule>
  </conditionalFormatting>
  <conditionalFormatting sqref="C8:C365">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5"/>
  <sheetViews>
    <sheetView zoomScale="170" zoomScaleNormal="170" workbookViewId="0">
      <pane ySplit="6" topLeftCell="A303" activePane="bottomLeft" state="frozen"/>
      <selection pane="bottomLeft" activeCell="L366" sqref="L36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RSMSR</t>
        </is>
      </c>
      <c r="B1" s="29" t="inlineStr">
        <is>
          <t>Miscellaneous stores retailers</t>
        </is>
      </c>
    </row>
    <row r="2">
      <c r="A2" s="129" t="n"/>
      <c r="B2" s="114" t="n"/>
    </row>
    <row r="3">
      <c r="A3" s="9" t="n"/>
    </row>
    <row r="4">
      <c r="A4" s="9" t="n"/>
    </row>
    <row r="5" ht="16" customHeight="1" s="96" thickBot="1"/>
    <row r="6" ht="44.25" customHeight="1" s="96"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sheetData>
  <conditionalFormatting sqref="D19:D365">
    <cfRule type="colorScale" priority="44">
      <colorScale>
        <cfvo type="min"/>
        <cfvo type="percentile" val="50"/>
        <cfvo type="max"/>
        <color rgb="FFF8696B"/>
        <color rgb="FFFFEB84"/>
        <color rgb="FF63BE7B"/>
      </colorScale>
    </cfRule>
  </conditionalFormatting>
  <conditionalFormatting sqref="C8:C365">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5"/>
  <sheetViews>
    <sheetView zoomScale="190" zoomScaleNormal="190" workbookViewId="0">
      <pane ySplit="6" topLeftCell="A339" activePane="bottomLeft" state="frozen"/>
      <selection pane="bottomLeft" activeCell="N355" sqref="N35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5"/>
    <col width="9.1640625" customWidth="1" style="114" min="6" max="16384"/>
  </cols>
  <sheetData>
    <row r="1">
      <c r="A1" s="114" t="inlineStr">
        <is>
          <t>RSCCAS</t>
        </is>
      </c>
      <c r="B1" s="29" t="inlineStr">
        <is>
          <t>Clothing and clothing access. stores</t>
        </is>
      </c>
    </row>
    <row r="2">
      <c r="A2" s="129" t="n"/>
      <c r="B2" s="114" t="n"/>
    </row>
    <row r="3">
      <c r="A3" s="9" t="n"/>
    </row>
    <row r="4">
      <c r="A4" s="9" t="n"/>
    </row>
    <row r="5" ht="16" customHeight="1" s="96" thickBot="1"/>
    <row r="6" ht="44.25" customHeight="1" s="96"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2021-12-24T08:17:20Z</dcterms:modified>
  <cp:lastModifiedBy>Mark Mukherjee</cp:lastModifiedBy>
</cp:coreProperties>
</file>