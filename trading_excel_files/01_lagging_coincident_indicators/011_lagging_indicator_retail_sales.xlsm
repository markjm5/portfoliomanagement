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40" yWindow="-640" windowWidth="49400" windowHeight="274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Gas'!$A$8:$A$372</f>
              <numCache>
                <formatCode>[$-409]mmm\-yy;@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'Retail Sales ex Auto and Gas'!$C$8:$C$372</f>
              <numCache>
                <formatCode>0.00%</formatCode>
                <ptCount val="365"/>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Gas'!$A$8:$A$369</f>
              <numCache>
                <formatCode>[$-409]mmm\-yy;@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'Retail Sales ex Auto and Gas'!$C$8:$C$369</f>
              <numCache>
                <formatCode>0.00%</formatCode>
                <ptCount val="36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Gas'!$A$19:$A$369</f>
              <numCache>
                <formatCode>[$-409]mmm\-yy;@</formatCode>
                <ptCount val="351"/>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numCache>
            </numRef>
          </cat>
          <val>
            <numRef>
              <f>'Retail Sales ex Auto and Gas'!$D$19:$D$369</f>
              <numCache>
                <formatCode>0.00%</formatCode>
                <ptCount val="351"/>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Gas'!$A$7:$A$369</f>
              <numCache>
                <formatCode>[$-409]mmm\-yy;@</formatCode>
                <ptCount val="36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 and Gas'!$B$7:$B$369</f>
              <numCache>
                <formatCode>#,##0</formatCode>
                <ptCount val="363"/>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Sales'!$A$7:$A$371</f>
              <numCache>
                <formatCode>[$-409]mmm\-yy;@</formatCode>
                <ptCount val="36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Sales'!$D$7:$D$371</f>
              <numCache>
                <formatCode>General</formatCode>
                <ptCount val="365"/>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Sales'!$B$7:$B$366</f>
              <numCache>
                <formatCode>#,##0</formatCode>
                <ptCount val="360"/>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Auto'!$A$19:$A$335</f>
              <numCache>
                <formatCode>[$-409]mmm\-yy;@</formatCode>
                <ptCount val="31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numCache>
            </numRef>
          </cat>
          <val>
            <numRef>
              <f>'Retail Sales ex Auto'!$C$19:$C$335</f>
              <numCache>
                <formatCode>0.00%</formatCode>
                <ptCount val="317"/>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Auto'!$B$7:$B$366</f>
              <numCache>
                <formatCode>#,##0</formatCode>
                <ptCount val="360"/>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Auto'!$D$7:$D$366</f>
              <numCache>
                <formatCode>General</formatCode>
                <ptCount val="360"/>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Beverage'!$A$19:$A$366</f>
              <numCache>
                <formatCode>[$-409]mmm\-yy;@</formatCode>
                <ptCount val="348"/>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numCache>
            </numRef>
          </cat>
          <val>
            <numRef>
              <f>'Food and Beverage'!$D$19:$D$366</f>
              <numCache>
                <formatCode>0.00%</formatCode>
                <ptCount val="348"/>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Retail'!$D$7:$D$366</f>
              <numCache>
                <formatCode>General</formatCode>
                <ptCount val="36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Housing!$B$7:$B$366</f>
              <numCache>
                <formatCode>#,##0</formatCode>
                <ptCount val="360"/>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Housing!$D$7:$D$366</f>
              <numCache>
                <formatCode>General</formatCode>
                <ptCount val="360"/>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'Furniture Home'!$B$7:$B$366</f>
              <numCache>
                <formatCode>#,##0</formatCode>
                <ptCount val="360"/>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'Furniture Home'!$D$7:$D$366</f>
              <numCache>
                <formatCode>General</formatCode>
                <ptCount val="360"/>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'Miscellaneous stores retailers'!$B$7:$B$366</f>
              <numCache>
                <formatCode>#,##0</formatCode>
                <ptCount val="360"/>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'Miscellaneous stores retailers'!$D$7:$D$366</f>
              <numCache>
                <formatCode>General</formatCode>
                <ptCount val="360"/>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'Clothing and clothing access'!$B$7:$B$366</f>
              <numCache>
                <formatCode>#,##0</formatCode>
                <ptCount val="360"/>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'Clothing and clothing access'!$D$7:$D$366</f>
              <numCache>
                <formatCode>General</formatCode>
                <ptCount val="360"/>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6" headerRowCount="1" totalsRowShown="0" headerRowDxfId="50" dataDxfId="48" headerRowBorderDxfId="49" tableBorderDxfId="47">
  <autoFilter ref="A6:D366"/>
  <tableColumns count="4">
    <tableColumn id="1" name="Date" dataDxfId="46"/>
    <tableColumn id="2" name="Retail Sales mil$" dataDxfId="45" dataCellStyle="Normal 2">
      <calculatedColumnFormula>VLOOKUP(A7,Database!A:M,MATCH($A$1,Database!$A$1:$M$1,),)</calculatedColumnFormula>
    </tableColumn>
    <tableColumn id="3" name="mom" dataDxfId="44">
      <calculatedColumnFormula>(B7-B6)/B6</calculatedColumnFormula>
    </tableColumn>
    <tableColumn id="4" name="yoy" dataDxfId="43"/>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6" headerRowCount="1" totalsRowShown="0" headerRowDxfId="42" dataDxfId="40" headerRowBorderDxfId="41" tableBorderDxfId="39">
  <autoFilter ref="A6:D366"/>
  <tableColumns count="4">
    <tableColumn id="1" name="Date" dataDxfId="38"/>
    <tableColumn id="2" name="Retail Sales (RSAFS), Millions of Dollars" dataDxfId="37" dataCellStyle="Normal 2">
      <calculatedColumnFormula>VLOOKUP(A7,Database!A:K,MATCH('Retail Sales'!$A$1,Database!$A$1:$K$1,),)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6" headerRowCount="1" totalsRowShown="0" headerRowDxfId="34" dataDxfId="32" headerRowBorderDxfId="33" tableBorderDxfId="31">
  <autoFilter ref="A6:D366"/>
  <tableColumns count="4">
    <tableColumn id="1" name="Date" dataDxfId="30"/>
    <tableColumn id="2" name="Retail and Food Services Excluding Motor Vehicles and Parts Dealers, Retail Sales mil$" dataDxfId="29" dataCellStyle="Normal 2">
      <calculatedColumnFormula>VLOOKUP(A7,Database!A:M,MATCH($A$1,Database!$A$1:$M$1,),)</calculatedColumnFormula>
    </tableColumn>
    <tableColumn id="3" name="mom %" dataDxfId="28">
      <calculatedColumnFormula>(B7-B6)/B6</calculatedColumnFormula>
    </tableColumn>
    <tableColumn id="4" name="yoy %" dataDxfId="2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6" headerRowCount="1" totalsRowShown="0" headerRowDxfId="26" headerRowBorderDxfId="25" tableBorderDxfId="24">
  <autoFilter ref="A6:D366"/>
  <tableColumns count="4">
    <tableColumn id="1" name="Date" dataDxfId="23"/>
    <tableColumn id="2" name="Building Materials. mil$" dataDxfId="22" dataCellStyle="Normal 2">
      <calculatedColumnFormula>VLOOKUP(A7,Database!A:K,MATCH($A$1,Database!$A$1:$K$1,),)</calculatedColumnFormula>
    </tableColumn>
    <tableColumn id="3" name="Change m/m" dataDxfId="21">
      <calculatedColumnFormula>(B7-B6)/B6</calculatedColumnFormula>
    </tableColumn>
    <tableColumn id="4" name="Change y/y " dataDxfId="20"/>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6" headerRowCount="1" totalsRowShown="0" headerRowDxfId="19" tableBorderDxfId="18">
  <autoFilter ref="A6:D366"/>
  <tableColumns count="4">
    <tableColumn id="1" name="Date" dataDxfId="17"/>
    <tableColumn id="2" name="Retail Sales mil$" dataDxfId="16" dataCellStyle="Normal 2">
      <calculatedColumnFormula>VLOOKUP(A7,Database!A:K,MATCH($A$1,Database!$A$1:$K$1,),)+VLOOKUP(A7,Database!A:K,MATCH($B$1,Database!$A$1:$K$1,),)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6" headerRowCount="1" totalsRowShown="0" headerRowDxfId="13" headerRowBorderDxfId="12" tableBorderDxfId="11">
  <autoFilter ref="A6:D366"/>
  <tableColumns count="4">
    <tableColumn id="1" name="Date" dataDxfId="10"/>
    <tableColumn id="2" name=" Miscellaneous stores retailers, mil$" dataDxfId="9" dataCellStyle="Normal 2">
      <calculatedColumnFormula>VLOOKUP(A7,Database!A:Q,MATCH($A$1,Database!$A$1:$Q$1,),)</calculatedColumnFormula>
    </tableColumn>
    <tableColumn id="3" name="mom" dataDxfId="8">
      <calculatedColumnFormula>(B7-B6)/B6</calculatedColumnFormula>
    </tableColumn>
    <tableColumn id="4" name="yoy" dataDxfId="7"/>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6" headerRowCount="1" totalsRowShown="0" headerRowDxfId="6" headerRowBorderDxfId="5" tableBorderDxfId="4">
  <autoFilter ref="A6:D366"/>
  <tableColumns count="4">
    <tableColumn id="1" name="Date" dataDxfId="3"/>
    <tableColumn id="2" name="Clothing and clothing access. Stores, mil$" dataDxfId="2" dataCellStyle="Normal 2">
      <calculatedColumnFormula>VLOOKUP(A7,Database!A:Q,MATCH($A$1,Database!$A$1:$Q$1,),)</calculatedColumnFormula>
    </tableColumn>
    <tableColumn id="3" name="mom" dataDxfId="1">
      <calculatedColumnFormula>(B7-B6)/B6</calculatedColumnFormula>
    </tableColumn>
    <tableColumn id="4"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14" min="1" max="1"/>
    <col width="12.83203125" customWidth="1" style="114" min="2" max="10"/>
    <col width="3.33203125" customWidth="1" style="114" min="11" max="13"/>
    <col width="18.6640625" customWidth="1" style="114" min="14" max="14"/>
    <col width="30.33203125" customWidth="1" style="114" min="15" max="15"/>
    <col width="12.33203125" customWidth="1" style="114" min="16" max="19"/>
    <col width="9.1640625" customWidth="1" style="114" min="20" max="22"/>
    <col width="9.1640625" customWidth="1" style="114" min="23"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44501</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64">
      <formula>0</formula>
    </cfRule>
    <cfRule type="cellIs" priority="2" operator="greaterThan" dxfId="63">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1"/>
  <sheetViews>
    <sheetView topLeftCell="A322"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5"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5"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5"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5"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5"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5"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5"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5"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5"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5"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5"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5"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5"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5"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5"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5"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5"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5"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5"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5"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5"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5"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5"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5"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5"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5"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5"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5"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5"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5"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5"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5"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5"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5"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5"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5"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5"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5"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5"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5"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5"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5"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5"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5"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5"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5"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5"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5"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5"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5"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5"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5"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5"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5"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5"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5"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5"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5"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5"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5"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5"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5"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5"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5"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5"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5"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5"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5"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5"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5"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5"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5"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5"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5"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5"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5"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5"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5"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5"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5"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5"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5"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5"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5"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5"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5"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5"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5"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5"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5"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5"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5"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5"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5"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5"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5"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5"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5"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5"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5"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5"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5"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5"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5"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5"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5"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5"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5"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5"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5"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5"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5"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5"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5"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5"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5"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5"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5"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5"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5"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5"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5"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5"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5"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5"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5"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5"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5"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5"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5"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5"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5"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5"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5"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5"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5"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5"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5"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5"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5"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5"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5"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5"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14" min="1" max="1"/>
    <col width="14.6640625" customWidth="1" style="114" min="2" max="2"/>
    <col width="63.1640625" customWidth="1" style="114" min="3" max="3"/>
    <col width="16.33203125" bestFit="1" customWidth="1" style="114" min="4" max="4"/>
    <col width="16.33203125" customWidth="1" style="114" min="5" max="8"/>
    <col width="21.83203125" customWidth="1" style="114" min="9" max="9"/>
    <col width="52.33203125" customWidth="1" style="114" min="10" max="10"/>
    <col width="9.1640625" customWidth="1" style="114" min="11" max="12"/>
    <col width="9.83203125" customWidth="1" style="114" min="13" max="13"/>
    <col width="9.1640625" customWidth="1" style="114" min="14" max="16"/>
    <col width="9.1640625" customWidth="1" style="114" min="17" max="16384"/>
  </cols>
  <sheetData>
    <row r="1" ht="16" customHeight="1" s="95" thickBot="1"/>
    <row r="2">
      <c r="D2" s="4" t="inlineStr">
        <is>
          <t>Previous</t>
        </is>
      </c>
      <c r="E2" s="6">
        <f>DATE(YEAR(E3),MONTH(E3)-1,DAY(E3))</f>
        <v/>
      </c>
    </row>
    <row r="3" ht="16" customHeight="1" s="95" thickBot="1">
      <c r="D3" s="5" t="inlineStr">
        <is>
          <t>Latest</t>
        </is>
      </c>
      <c r="E3" s="7" t="n">
        <v>44531</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53" stopIfTrue="1">
      <formula>0</formula>
    </cfRule>
    <cfRule type="cellIs" priority="16" operator="lessThan" dxfId="52" stopIfTrue="1">
      <formula>0</formula>
    </cfRule>
    <cfRule type="cellIs" priority="17" operator="greaterThan" dxfId="51" stopIfTrue="1">
      <formula>0</formula>
    </cfRule>
  </conditionalFormatting>
  <conditionalFormatting sqref="F19">
    <cfRule type="cellIs" priority="9" operator="equal" dxfId="53" stopIfTrue="1">
      <formula>0</formula>
    </cfRule>
    <cfRule type="cellIs" priority="10" operator="lessThan" dxfId="52" stopIfTrue="1">
      <formula>0</formula>
    </cfRule>
    <cfRule type="cellIs" priority="11" operator="greaterThan" dxfId="51" stopIfTrue="1">
      <formula>0</formula>
    </cfRule>
  </conditionalFormatting>
  <conditionalFormatting sqref="F20">
    <cfRule type="cellIs" priority="6" operator="equal" dxfId="53" stopIfTrue="1">
      <formula>0</formula>
    </cfRule>
    <cfRule type="cellIs" priority="7" operator="lessThan" dxfId="52" stopIfTrue="1">
      <formula>0</formula>
    </cfRule>
    <cfRule type="cellIs" priority="8" operator="greaterThan" dxfId="51" stopIfTrue="1">
      <formula>0</formula>
    </cfRule>
  </conditionalFormatting>
  <conditionalFormatting sqref="F21">
    <cfRule type="cellIs" priority="3" operator="equal" dxfId="53" stopIfTrue="1">
      <formula>0</formula>
    </cfRule>
    <cfRule type="cellIs" priority="4" operator="lessThan" dxfId="52" stopIfTrue="1">
      <formula>0</formula>
    </cfRule>
    <cfRule type="cellIs" priority="5" operator="greaterThan" dxfId="51"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6"/>
  <sheetViews>
    <sheetView topLeftCell="A6" zoomScale="140" zoomScaleNormal="140" workbookViewId="0">
      <selection activeCell="P65" sqref="P65"/>
    </sheetView>
  </sheetViews>
  <sheetFormatPr baseColWidth="10" defaultColWidth="9.1640625" defaultRowHeight="15"/>
  <cols>
    <col width="3" customWidth="1" style="114" min="1" max="1"/>
    <col width="7.6640625" customWidth="1" style="114" min="2" max="32"/>
    <col width="9.1640625" customWidth="1" style="114" min="33" max="35"/>
    <col width="9.1640625" customWidth="1" style="114" min="36"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6">
    <cfRule type="colorScale" priority="243">
      <colorScale>
        <cfvo type="min"/>
        <cfvo type="percentile" val="50"/>
        <cfvo type="max"/>
        <color rgb="FFF8696B"/>
        <color rgb="FFFFEB84"/>
        <color rgb="FF63BE7B"/>
      </colorScale>
    </cfRule>
  </conditionalFormatting>
  <conditionalFormatting sqref="D4:D56">
    <cfRule type="colorScale" priority="244">
      <colorScale>
        <cfvo type="min"/>
        <cfvo type="percentile" val="50"/>
        <cfvo type="max"/>
        <color rgb="FFF8696B"/>
        <color rgb="FFFFEB84"/>
        <color rgb="FF63BE7B"/>
      </colorScale>
    </cfRule>
  </conditionalFormatting>
  <conditionalFormatting sqref="E4:E56">
    <cfRule type="colorScale" priority="245">
      <colorScale>
        <cfvo type="min"/>
        <cfvo type="percentile" val="50"/>
        <cfvo type="max"/>
        <color rgb="FFF8696B"/>
        <color rgb="FFFFEB84"/>
        <color rgb="FF63BE7B"/>
      </colorScale>
    </cfRule>
  </conditionalFormatting>
  <conditionalFormatting sqref="F4:F56">
    <cfRule type="colorScale" priority="246">
      <colorScale>
        <cfvo type="min"/>
        <cfvo type="percentile" val="50"/>
        <cfvo type="max"/>
        <color rgb="FFF8696B"/>
        <color rgb="FFFFEB84"/>
        <color rgb="FF63BE7B"/>
      </colorScale>
    </cfRule>
  </conditionalFormatting>
  <conditionalFormatting sqref="G4:G56">
    <cfRule type="colorScale" priority="247">
      <colorScale>
        <cfvo type="min"/>
        <cfvo type="percentile" val="50"/>
        <cfvo type="max"/>
        <color rgb="FFF8696B"/>
        <color rgb="FFFFEB84"/>
        <color rgb="FF63BE7B"/>
      </colorScale>
    </cfRule>
  </conditionalFormatting>
  <conditionalFormatting sqref="H4:H56">
    <cfRule type="colorScale" priority="248">
      <colorScale>
        <cfvo type="min"/>
        <cfvo type="percentile" val="50"/>
        <cfvo type="max"/>
        <color rgb="FFF8696B"/>
        <color rgb="FFFFEB84"/>
        <color rgb="FF63BE7B"/>
      </colorScale>
    </cfRule>
  </conditionalFormatting>
  <conditionalFormatting sqref="I4:I56">
    <cfRule type="colorScale" priority="249">
      <colorScale>
        <cfvo type="min"/>
        <cfvo type="percentile" val="50"/>
        <cfvo type="max"/>
        <color rgb="FFF8696B"/>
        <color rgb="FFFFEB84"/>
        <color rgb="FF63BE7B"/>
      </colorScale>
    </cfRule>
  </conditionalFormatting>
  <conditionalFormatting sqref="J4:J56">
    <cfRule type="colorScale" priority="250">
      <colorScale>
        <cfvo type="min"/>
        <cfvo type="percentile" val="50"/>
        <cfvo type="max"/>
        <color rgb="FFF8696B"/>
        <color rgb="FFFFEB84"/>
        <color rgb="FF63BE7B"/>
      </colorScale>
    </cfRule>
  </conditionalFormatting>
  <conditionalFormatting sqref="K4:K56">
    <cfRule type="colorScale" priority="251">
      <colorScale>
        <cfvo type="min"/>
        <cfvo type="percentile" val="50"/>
        <cfvo type="max"/>
        <color rgb="FFF8696B"/>
        <color rgb="FFFFEB84"/>
        <color rgb="FF63BE7B"/>
      </colorScale>
    </cfRule>
  </conditionalFormatting>
  <conditionalFormatting sqref="L4:L56">
    <cfRule type="colorScale" priority="252">
      <colorScale>
        <cfvo type="min"/>
        <cfvo type="percentile" val="50"/>
        <cfvo type="max"/>
        <color rgb="FFF8696B"/>
        <color rgb="FFFFEB84"/>
        <color rgb="FF63BE7B"/>
      </colorScale>
    </cfRule>
  </conditionalFormatting>
  <conditionalFormatting sqref="M4:M56">
    <cfRule type="colorScale" priority="253">
      <colorScale>
        <cfvo type="min"/>
        <cfvo type="percentile" val="50"/>
        <cfvo type="max"/>
        <color rgb="FFF8696B"/>
        <color rgb="FFFFEB84"/>
        <color rgb="FF63BE7B"/>
      </colorScale>
    </cfRule>
  </conditionalFormatting>
  <conditionalFormatting sqref="O4:O56">
    <cfRule type="colorScale" priority="254">
      <colorScale>
        <cfvo type="min"/>
        <cfvo type="percentile" val="50"/>
        <cfvo type="max"/>
        <color rgb="FFF8696B"/>
        <color rgb="FFFFEB84"/>
        <color rgb="FF63BE7B"/>
      </colorScale>
    </cfRule>
  </conditionalFormatting>
  <conditionalFormatting sqref="P4:P56">
    <cfRule type="colorScale" priority="255">
      <colorScale>
        <cfvo type="min"/>
        <cfvo type="percentile" val="50"/>
        <cfvo type="max"/>
        <color rgb="FFF8696B"/>
        <color rgb="FFFFEB84"/>
        <color rgb="FF63BE7B"/>
      </colorScale>
    </cfRule>
  </conditionalFormatting>
  <conditionalFormatting sqref="Q4:Q56">
    <cfRule type="colorScale" priority="256">
      <colorScale>
        <cfvo type="min"/>
        <cfvo type="percentile" val="50"/>
        <cfvo type="max"/>
        <color rgb="FFF8696B"/>
        <color rgb="FFFFEB84"/>
        <color rgb="FF63BE7B"/>
      </colorScale>
    </cfRule>
  </conditionalFormatting>
  <conditionalFormatting sqref="R4:R56">
    <cfRule type="colorScale" priority="257">
      <colorScale>
        <cfvo type="min"/>
        <cfvo type="percentile" val="50"/>
        <cfvo type="max"/>
        <color rgb="FFF8696B"/>
        <color rgb="FFFFEB84"/>
        <color rgb="FF63BE7B"/>
      </colorScale>
    </cfRule>
  </conditionalFormatting>
  <conditionalFormatting sqref="S4:S56">
    <cfRule type="colorScale" priority="258">
      <colorScale>
        <cfvo type="min"/>
        <cfvo type="percentile" val="50"/>
        <cfvo type="max"/>
        <color rgb="FFF8696B"/>
        <color rgb="FFFFEB84"/>
        <color rgb="FF63BE7B"/>
      </colorScale>
    </cfRule>
  </conditionalFormatting>
  <conditionalFormatting sqref="T4:T56">
    <cfRule type="colorScale" priority="259">
      <colorScale>
        <cfvo type="min"/>
        <cfvo type="percentile" val="50"/>
        <cfvo type="max"/>
        <color rgb="FFF8696B"/>
        <color rgb="FFFFEB84"/>
        <color rgb="FF63BE7B"/>
      </colorScale>
    </cfRule>
  </conditionalFormatting>
  <conditionalFormatting sqref="U4:U56">
    <cfRule type="colorScale" priority="260">
      <colorScale>
        <cfvo type="min"/>
        <cfvo type="percentile" val="50"/>
        <cfvo type="max"/>
        <color rgb="FFF8696B"/>
        <color rgb="FFFFEB84"/>
        <color rgb="FF63BE7B"/>
      </colorScale>
    </cfRule>
  </conditionalFormatting>
  <conditionalFormatting sqref="V4:V56">
    <cfRule type="colorScale" priority="261">
      <colorScale>
        <cfvo type="min"/>
        <cfvo type="percentile" val="50"/>
        <cfvo type="max"/>
        <color rgb="FFF8696B"/>
        <color rgb="FFFFEB84"/>
        <color rgb="FF63BE7B"/>
      </colorScale>
    </cfRule>
  </conditionalFormatting>
  <conditionalFormatting sqref="W4:W56">
    <cfRule type="colorScale" priority="262">
      <colorScale>
        <cfvo type="min"/>
        <cfvo type="percentile" val="50"/>
        <cfvo type="max"/>
        <color rgb="FFF8696B"/>
        <color rgb="FFFFEB84"/>
        <color rgb="FF63BE7B"/>
      </colorScale>
    </cfRule>
  </conditionalFormatting>
  <conditionalFormatting sqref="X4:X56">
    <cfRule type="colorScale" priority="265">
      <colorScale>
        <cfvo type="min"/>
        <cfvo type="percentile" val="50"/>
        <cfvo type="max"/>
        <color rgb="FFF8696B"/>
        <color rgb="FFFFEB84"/>
        <color rgb="FF63BE7B"/>
      </colorScale>
    </cfRule>
  </conditionalFormatting>
  <conditionalFormatting sqref="Y4:Y56">
    <cfRule type="colorScale" priority="268">
      <colorScale>
        <cfvo type="min"/>
        <cfvo type="percentile" val="50"/>
        <cfvo type="max"/>
        <color rgb="FFF8696B"/>
        <color rgb="FFFFEB84"/>
        <color rgb="FF63BE7B"/>
      </colorScale>
    </cfRule>
  </conditionalFormatting>
  <conditionalFormatting sqref="Z4:Z56">
    <cfRule type="colorScale" priority="269">
      <colorScale>
        <cfvo type="min"/>
        <cfvo type="percentile" val="50"/>
        <cfvo type="max"/>
        <color rgb="FFF8696B"/>
        <color rgb="FFFFEB84"/>
        <color rgb="FF63BE7B"/>
      </colorScale>
    </cfRule>
  </conditionalFormatting>
  <conditionalFormatting sqref="AA4:AA56">
    <cfRule type="colorScale" priority="270">
      <colorScale>
        <cfvo type="min"/>
        <cfvo type="percentile" val="50"/>
        <cfvo type="max"/>
        <color rgb="FFF8696B"/>
        <color rgb="FFFFEB84"/>
        <color rgb="FF63BE7B"/>
      </colorScale>
    </cfRule>
  </conditionalFormatting>
  <conditionalFormatting sqref="AB4:AB56">
    <cfRule type="colorScale" priority="271">
      <colorScale>
        <cfvo type="min"/>
        <cfvo type="percentile" val="50"/>
        <cfvo type="max"/>
        <color rgb="FFF8696B"/>
        <color rgb="FFFFEB84"/>
        <color rgb="FF63BE7B"/>
      </colorScale>
    </cfRule>
  </conditionalFormatting>
  <conditionalFormatting sqref="AC4:AC56">
    <cfRule type="colorScale" priority="272">
      <colorScale>
        <cfvo type="min"/>
        <cfvo type="percentile" val="50"/>
        <cfvo type="max"/>
        <color rgb="FFF8696B"/>
        <color rgb="FFFFEB84"/>
        <color rgb="FF63BE7B"/>
      </colorScale>
    </cfRule>
  </conditionalFormatting>
  <conditionalFormatting sqref="AD4:AD56">
    <cfRule type="colorScale" priority="273">
      <colorScale>
        <cfvo type="min"/>
        <cfvo type="percentile" val="50"/>
        <cfvo type="max"/>
        <color rgb="FFF8696B"/>
        <color rgb="FFFFEB84"/>
        <color rgb="FF63BE7B"/>
      </colorScale>
    </cfRule>
  </conditionalFormatting>
  <conditionalFormatting sqref="AE4:AE56">
    <cfRule type="colorScale" priority="274">
      <colorScale>
        <cfvo type="min"/>
        <cfvo type="percentile" val="50"/>
        <cfvo type="max"/>
        <color rgb="FFF8696B"/>
        <color rgb="FFFFEB84"/>
        <color rgb="FF63BE7B"/>
      </colorScale>
    </cfRule>
  </conditionalFormatting>
  <conditionalFormatting sqref="AF4:AF56">
    <cfRule type="colorScale" priority="275">
      <colorScale>
        <cfvo type="min"/>
        <cfvo type="percentile" val="50"/>
        <cfvo type="max"/>
        <color rgb="FFF8696B"/>
        <color rgb="FFFFEB84"/>
        <color rgb="FF63BE7B"/>
      </colorScale>
    </cfRule>
  </conditionalFormatting>
  <conditionalFormatting sqref="N4:N5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3"/>
  <sheetViews>
    <sheetView zoomScale="170" zoomScaleNormal="170" workbookViewId="0">
      <pane ySplit="6" topLeftCell="A333" activePane="bottomLeft" state="frozen"/>
      <selection pane="bottomLeft" activeCell="Q370" sqref="Q370"/>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row r="368" customFormat="1" s="114"/>
    <row r="369" customFormat="1" s="114"/>
    <row r="370" customFormat="1" s="114"/>
    <row r="371" customFormat="1" s="114"/>
    <row r="372" customFormat="1" s="114"/>
    <row r="373" customFormat="1" s="114"/>
    <row r="374" customFormat="1" s="114"/>
    <row r="375" customFormat="1" s="114"/>
    <row r="376" customFormat="1" s="114"/>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38"/>
  <sheetViews>
    <sheetView zoomScale="160" zoomScaleNormal="160" workbookViewId="0">
      <pane ySplit="6" topLeftCell="A330" activePane="bottomLeft" state="frozen"/>
      <selection pane="bottomLeft" activeCell="U355" sqref="U355"/>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54" t="n"/>
      <c r="B367" s="14" t="n"/>
      <c r="C367" s="54" t="n"/>
      <c r="D367" s="54" t="n"/>
    </row>
    <row r="368" customFormat="1" s="114">
      <c r="A368" s="54" t="n"/>
      <c r="B368" s="14" t="n"/>
      <c r="C368" s="54" t="n"/>
      <c r="D368" s="54" t="n"/>
    </row>
    <row r="369" customFormat="1" s="114">
      <c r="A369" s="54" t="n"/>
      <c r="B369" s="14" t="n"/>
      <c r="C369" s="54" t="n"/>
      <c r="D369" s="54" t="n"/>
    </row>
    <row r="370" customFormat="1" s="114">
      <c r="A370" s="54" t="n"/>
      <c r="B370" s="14" t="n"/>
      <c r="C370" s="54" t="n"/>
      <c r="D370" s="54" t="n"/>
    </row>
    <row r="371" customFormat="1" s="114">
      <c r="A371" s="54" t="n"/>
      <c r="B371" s="14" t="n"/>
      <c r="C371" s="54" t="n"/>
      <c r="D371" s="54" t="n"/>
    </row>
    <row r="372" customFormat="1" s="114">
      <c r="A372" s="54" t="n"/>
      <c r="B372" s="14" t="n"/>
      <c r="C372" s="54" t="n"/>
      <c r="D372" s="54" t="n"/>
    </row>
    <row r="373" customFormat="1" s="114">
      <c r="A373" s="54" t="n"/>
      <c r="B373" s="14" t="n"/>
      <c r="C373" s="54" t="n"/>
      <c r="D373" s="54" t="n"/>
    </row>
    <row r="374" customFormat="1" s="114">
      <c r="A374" s="54" t="n"/>
      <c r="B374" s="14" t="n"/>
      <c r="C374" s="54" t="n"/>
      <c r="D374" s="54" t="n"/>
    </row>
    <row r="375" customFormat="1" s="114">
      <c r="A375" s="54" t="n"/>
      <c r="B375" s="14" t="n"/>
      <c r="C375" s="54" t="n"/>
      <c r="D375" s="54" t="n"/>
    </row>
    <row r="376" customFormat="1" s="114">
      <c r="A376" s="54" t="n"/>
      <c r="B376" s="14" t="n"/>
      <c r="C376" s="54" t="n"/>
      <c r="D376" s="54" t="n"/>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sheetData>
  <conditionalFormatting sqref="C8:C366">
    <cfRule type="colorScale" priority="42">
      <colorScale>
        <cfvo type="min"/>
        <cfvo type="percentile" val="50"/>
        <cfvo type="max"/>
        <color rgb="FFF8696B"/>
        <color rgb="FFFFEB84"/>
        <color rgb="FF63BE7B"/>
      </colorScale>
    </cfRule>
  </conditionalFormatting>
  <conditionalFormatting sqref="D19:D366">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4"/>
  <sheetViews>
    <sheetView zoomScale="160" zoomScaleNormal="160" workbookViewId="0">
      <pane ySplit="6" topLeftCell="A336" activePane="bottomLeft" state="frozen"/>
      <selection pane="bottomLeft" activeCell="P368" sqref="P368"/>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14" min="5" max="5"/>
    <col width="9.164062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B367" s="22" t="n"/>
    </row>
    <row r="368" customFormat="1" s="114">
      <c r="B368" s="22" t="n"/>
    </row>
    <row r="369" customFormat="1" s="114">
      <c r="B369" s="22" t="n"/>
    </row>
    <row r="370" customFormat="1" s="114">
      <c r="B370" s="22" t="n"/>
    </row>
    <row r="371" customFormat="1" s="114">
      <c r="B371" s="22" t="n"/>
    </row>
    <row r="372" customFormat="1" s="114">
      <c r="B372" s="22" t="n"/>
    </row>
    <row r="373" customFormat="1" s="114">
      <c r="B373" s="22" t="n"/>
    </row>
    <row r="374" customFormat="1" s="114">
      <c r="B374" s="22" t="n"/>
    </row>
    <row r="375" customFormat="1" s="114">
      <c r="B375" s="22" t="n"/>
    </row>
    <row r="376" customFormat="1" s="114">
      <c r="B376" s="22" t="n"/>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6"/>
  <sheetViews>
    <sheetView zoomScale="160" zoomScaleNormal="160" workbookViewId="0">
      <pane ySplit="6" topLeftCell="A332" activePane="bottomLeft" state="frozen"/>
      <selection pane="bottomLeft" activeCell="P366" sqref="P366"/>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6"/>
  <sheetViews>
    <sheetView zoomScale="200" zoomScaleNormal="200" workbookViewId="0">
      <pane ySplit="6" topLeftCell="A340" activePane="bottomLeft" state="frozen"/>
      <selection pane="bottomLeft" activeCell="CX328" sqref="CX328"/>
    </sheetView>
  </sheetViews>
  <sheetFormatPr baseColWidth="10" defaultColWidth="9.1640625" defaultRowHeight="15"/>
  <cols>
    <col width="14" customWidth="1" style="54" min="1" max="1"/>
    <col width="14.1640625" customWidth="1" style="54" min="2" max="4"/>
    <col width="9.1640625" customWidth="1" style="114" min="5" max="7"/>
    <col width="9.1640625" customWidth="1" style="114" min="8"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6"/>
  <sheetViews>
    <sheetView zoomScale="160" zoomScaleNormal="160" workbookViewId="0">
      <pane ySplit="6" topLeftCell="A335" activePane="bottomLeft" state="frozen"/>
      <selection pane="bottomLeft" activeCell="P348" sqref="P34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6"/>
  <sheetViews>
    <sheetView zoomScale="160" zoomScaleNormal="160" workbookViewId="0">
      <pane ySplit="6" topLeftCell="A331" activePane="bottomLeft" state="frozen"/>
      <selection pane="bottomLeft" activeCell="U357" sqref="U35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6"/>
  <sheetViews>
    <sheetView zoomScale="150" zoomScaleNormal="150" workbookViewId="0">
      <pane ySplit="6" topLeftCell="A333" activePane="bottomLeft" state="frozen"/>
      <selection pane="bottomLeft" activeCell="F375" sqref="F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6"/>
  <sheetViews>
    <sheetView zoomScale="190" zoomScaleNormal="190" workbookViewId="0">
      <pane ySplit="6" topLeftCell="A334" activePane="bottomLeft" state="frozen"/>
      <selection pane="bottomLeft" activeCell="P360" sqref="P360"/>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6"/>
  <sheetViews>
    <sheetView zoomScale="190" zoomScaleNormal="190" workbookViewId="0">
      <pane ySplit="6" topLeftCell="A335" activePane="bottomLeft" state="frozen"/>
      <selection pane="bottomLeft" activeCell="Q352" sqref="Q35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6"/>
  <sheetViews>
    <sheetView topLeftCell="B1" zoomScale="200" zoomScaleNormal="200" workbookViewId="0">
      <pane ySplit="6" topLeftCell="A343" activePane="bottomLeft" state="frozen"/>
      <selection pane="bottomLeft" activeCell="O344" sqref="O344"/>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D19:D366">
    <cfRule type="colorScale" priority="50">
      <colorScale>
        <cfvo type="min"/>
        <cfvo type="percentile" val="50"/>
        <cfvo type="max"/>
        <color rgb="FFF8696B"/>
        <color rgb="FFFFEB84"/>
        <color rgb="FF63BE7B"/>
      </colorScale>
    </cfRule>
  </conditionalFormatting>
  <conditionalFormatting sqref="C8:C366">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6"/>
  <sheetViews>
    <sheetView zoomScale="200" zoomScaleNormal="200" workbookViewId="0">
      <pane ySplit="6" topLeftCell="A338" activePane="bottomLeft" state="frozen"/>
      <selection pane="bottomLeft" activeCell="Q351" sqref="Q351"/>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14" min="5" max="7"/>
    <col width="9.1640625" customWidth="1" style="114" min="8"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sheetData>
  <conditionalFormatting sqref="D19:D366">
    <cfRule type="colorScale" priority="48">
      <colorScale>
        <cfvo type="min"/>
        <cfvo type="percentile" val="50"/>
        <cfvo type="max"/>
        <color rgb="FFF8696B"/>
        <color rgb="FFFFEB84"/>
        <color rgb="FF63BE7B"/>
      </colorScale>
    </cfRule>
  </conditionalFormatting>
  <conditionalFormatting sqref="C8:C366">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6"/>
  <sheetViews>
    <sheetView zoomScale="210" zoomScaleNormal="210" workbookViewId="0">
      <pane ySplit="6" topLeftCell="A346" activePane="bottomLeft" state="frozen"/>
      <selection pane="bottomLeft" activeCell="P351" sqref="P351"/>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sheetData>
  <conditionalFormatting sqref="D19:D366">
    <cfRule type="colorScale" priority="46">
      <colorScale>
        <cfvo type="min"/>
        <cfvo type="percentile" val="50"/>
        <cfvo type="max"/>
        <color rgb="FFF8696B"/>
        <color rgb="FFFFEB84"/>
        <color rgb="FF63BE7B"/>
      </colorScale>
    </cfRule>
  </conditionalFormatting>
  <conditionalFormatting sqref="C8:C366">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6"/>
  <sheetViews>
    <sheetView zoomScale="170" zoomScaleNormal="170" workbookViewId="0">
      <pane ySplit="6" topLeftCell="A333" activePane="bottomLeft" state="frozen"/>
      <selection pane="bottomLeft" activeCell="Q356" sqref="Q35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D19:D366">
    <cfRule type="colorScale" priority="44">
      <colorScale>
        <cfvo type="min"/>
        <cfvo type="percentile" val="50"/>
        <cfvo type="max"/>
        <color rgb="FFF8696B"/>
        <color rgb="FFFFEB84"/>
        <color rgb="FF63BE7B"/>
      </colorScale>
    </cfRule>
  </conditionalFormatting>
  <conditionalFormatting sqref="C8:C366">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6"/>
  <sheetViews>
    <sheetView zoomScale="190" zoomScaleNormal="190" workbookViewId="0">
      <pane ySplit="6" topLeftCell="A337" activePane="bottomLeft" state="frozen"/>
      <selection pane="bottomLeft" activeCell="O363" sqref="O36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2022-02-07T06:30:33Z</dcterms:modified>
  <cp:lastModifiedBy>Mark Mukherjee</cp:lastModifiedBy>
</cp:coreProperties>
</file>