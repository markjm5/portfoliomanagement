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4970" yWindow="-14390" windowWidth="24190" windowHeight="1376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6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pivotButton="0" quotePrefix="0" xfId="0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0" pivotButton="0" quotePrefix="0" xfId="2"/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World'!$A$2:$A$410</f>
              <numCache>
                <formatCode>mmm\-yy</formatCode>
                <ptCount val="409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  <pt idx="395">
                  <v>44896</v>
                </pt>
                <pt idx="396">
                  <v>44927</v>
                </pt>
              </numCache>
            </numRef>
          </cat>
          <val>
            <numRef>
              <f>'IP World'!$H$2:$H$399</f>
              <numCache>
                <formatCode>0.00</formatCode>
                <ptCount val="398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100.6578947369341</v>
                </pt>
                <pt idx="145">
                  <v>101.8092105263631</v>
                </pt>
                <pt idx="146">
                  <v>102.5493421051056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101.4802631583073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102.0559210526106</v>
                </pt>
                <pt idx="167">
                  <v>102.0559210526106</v>
                </pt>
                <pt idx="168">
                  <v>102.0559210526106</v>
                </pt>
                <pt idx="169">
                  <v>101.8092105263631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99.01315789501008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101.644736841924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106.8256578947659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83.5526315791151</v>
                </pt>
                <pt idx="237">
                  <v>84.95065789479163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86.4309210522765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92.51644736829999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84.95065789479163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82.15460526343858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82.56578947330276</v>
                </pt>
                <pt idx="317">
                  <v>81.66118421094363</v>
                </pt>
                <pt idx="318">
                  <v>83.30592105286763</v>
                </pt>
                <pt idx="319">
                  <v>83.96381578980171</v>
                </pt>
                <pt idx="320">
                  <v>83.7993421053626</v>
                </pt>
                <pt idx="321">
                  <v>84.2105263160492</v>
                </pt>
                <pt idx="322">
                  <v>84.95065789479163</v>
                </pt>
                <pt idx="323">
                  <v>86.34868421046815</v>
                </pt>
                <pt idx="324">
                  <v>83.96381578980171</v>
                </pt>
                <pt idx="325">
                  <v>84.6217105267358</v>
                </pt>
                <pt idx="326">
                  <v>85.36184210547825</v>
                </pt>
                <pt idx="327">
                  <v>85.11513157923076</v>
                </pt>
                <pt idx="328">
                  <v>85.77302631616485</v>
                </pt>
                <pt idx="329">
                  <v>86.92434210559389</v>
                </pt>
                <pt idx="330">
                  <v>87.4999999998972</v>
                </pt>
                <pt idx="331">
                  <v>88.98026315820451</v>
                </pt>
                <pt idx="332">
                  <v>86.51315789490728</v>
                </pt>
                <pt idx="333">
                  <v>87.00657894740225</v>
                </pt>
                <pt idx="334">
                  <v>88.32236842127043</v>
                </pt>
                <pt idx="335">
                  <v>91.03618421081512</v>
                </pt>
                <pt idx="336">
                  <v>87.66447368433633</v>
                </pt>
                <pt idx="337">
                  <v>87.0888157892106</v>
                </pt>
                <pt idx="338">
                  <v>88.32236842127043</v>
                </pt>
                <pt idx="339">
                  <v>86.92434210559389</v>
                </pt>
                <pt idx="340">
                  <v>87.74671052614468</v>
                </pt>
                <pt idx="341">
                  <v>88.1578947368313</v>
                </pt>
                <pt idx="342">
                  <v>87.25328947364972</v>
                </pt>
                <pt idx="343">
                  <v>87.9111842105838</v>
                </pt>
                <pt idx="344">
                  <v>88.07565789502294</v>
                </pt>
                <pt idx="345">
                  <v>87.82894736877546</v>
                </pt>
                <pt idx="346">
                  <v>86.34868421046815</v>
                </pt>
                <pt idx="347">
                  <v>86.67763157934641</v>
                </pt>
                <pt idx="348">
                  <v>87.33552631545807</v>
                </pt>
                <pt idx="349">
                  <v>87.58223684252799</v>
                </pt>
                <pt idx="350">
                  <v>86.8421052629631</v>
                </pt>
                <pt idx="351">
                  <v>85.52631578909492</v>
                </pt>
                <pt idx="352">
                  <v>87.41776315808886</v>
                </pt>
                <pt idx="353">
                  <v>87.25328947364972</v>
                </pt>
                <pt idx="354">
                  <v>87.33552631545807</v>
                </pt>
                <pt idx="355">
                  <v>86.59539473671563</v>
                </pt>
                <pt idx="356">
                  <v>86.34868421046815</v>
                </pt>
                <pt idx="357">
                  <v>85.77302631616485</v>
                </pt>
                <pt idx="358">
                  <v>86.01973684241233</v>
                </pt>
                <pt idx="359">
                  <v>83.71710526355423</v>
                </pt>
                <pt idx="360">
                  <v>86.92434210559389</v>
                </pt>
                <pt idx="361">
                  <v>84.95065789479163</v>
                </pt>
                <pt idx="362">
                  <v>60.93750000039837</v>
                </pt>
                <pt idx="363">
                  <v>47.86184210516983</v>
                </pt>
                <pt idx="364">
                  <v>69.49013157889665</v>
                </pt>
                <pt idx="365">
                  <v>75.32894736867266</v>
                </pt>
                <pt idx="366">
                  <v>80.50986842069214</v>
                </pt>
                <pt idx="367">
                  <v>85.85526315797318</v>
                </pt>
                <pt idx="368">
                  <v>82.40131578968607</v>
                </pt>
                <pt idx="369">
                  <v>84.29276315785754</v>
                </pt>
                <pt idx="370">
                  <v>82.4835526314944</v>
                </pt>
                <pt idx="371">
                  <v>82.64802631593355</v>
                </pt>
                <pt idx="372">
                  <v>85.60855263172571</v>
                </pt>
                <pt idx="373">
                  <v>84.37499999966589</v>
                </pt>
                <pt idx="374">
                  <v>84.6217105267358</v>
                </pt>
                <pt idx="375">
                  <v>85.52631578909492</v>
                </pt>
                <pt idx="376">
                  <v>84.45723684229667</v>
                </pt>
                <pt idx="377">
                  <v>86.26644736865981</v>
                </pt>
                <pt idx="378">
                  <v>86.92434210559389</v>
                </pt>
                <pt idx="379">
                  <v>85.60855263172571</v>
                </pt>
                <pt idx="380">
                  <v>86.59539473671563</v>
                </pt>
                <pt idx="381">
                  <v>86.51315789490728</v>
                </pt>
                <pt idx="382">
                  <v>88.1578947368313</v>
                </pt>
                <pt idx="383">
                  <v>86.59539473671563</v>
                </pt>
                <pt idx="384">
                  <v>83.88157894717094</v>
                </pt>
                <pt idx="385">
                  <v>87.17105263184138</v>
                </pt>
                <pt idx="386">
                  <v>87.25328947364972</v>
                </pt>
                <pt idx="387">
                  <v>88.32236842127043</v>
                </pt>
                <pt idx="388">
                  <v>87.25328947364972</v>
                </pt>
                <pt idx="389">
                  <v>85.52631578909492</v>
                </pt>
                <pt idx="390">
                  <v>85.85526315797318</v>
                </pt>
                <pt idx="391">
                  <v>87.74671052614468</v>
                </pt>
                <pt idx="392">
                  <v>86.26644736865981</v>
                </pt>
                <pt idx="393">
                  <v>85.36184210547825</v>
                </pt>
                <pt idx="394">
                  <v>85.27960526284745</v>
                </pt>
                <pt idx="395">
                  <v>86.67763157934641</v>
                </pt>
                <pt idx="396">
                  <v>#N/A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World'!$A$2:$A$410</f>
              <numCache>
                <formatCode>mmm\-yy</formatCode>
                <ptCount val="409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  <pt idx="395">
                  <v>44896</v>
                </pt>
                <pt idx="396">
                  <v>44927</v>
                </pt>
              </numCache>
            </numRef>
          </cat>
          <val>
            <numRef>
              <f>'IP World'!$I$2:$I$399</f>
              <numCache>
                <formatCode>0.00</formatCode>
                <ptCount val="398"/>
                <pt idx="0">
                  <v>88.87153455753798</v>
                </pt>
                <pt idx="1">
                  <v>90.31628270204892</v>
                </pt>
                <pt idx="2">
                  <v>89.90628660680034</v>
                </pt>
                <pt idx="3">
                  <v>90.33580632628299</v>
                </pt>
                <pt idx="4">
                  <v>90.58961343254006</v>
                </pt>
                <pt idx="5">
                  <v>89.25224521741168</v>
                </pt>
                <pt idx="6">
                  <v>89.29129246392742</v>
                </pt>
                <pt idx="7">
                  <v>88.76415462717922</v>
                </pt>
                <pt idx="8">
                  <v>89.53533775904366</v>
                </pt>
                <pt idx="9">
                  <v>89.22295978203678</v>
                </pt>
                <pt idx="10">
                  <v>88.21749316717316</v>
                </pt>
                <pt idx="11">
                  <v>89.33033971141936</v>
                </pt>
                <pt idx="12">
                  <v>90.48223350315749</v>
                </pt>
                <pt idx="13">
                  <v>90.13080827865868</v>
                </pt>
                <pt idx="14">
                  <v>88.99843811017841</v>
                </pt>
                <pt idx="15">
                  <v>88.96915267480352</v>
                </pt>
                <pt idx="16">
                  <v>89.09605622842015</v>
                </pt>
                <pt idx="17">
                  <v>89.43771964080192</v>
                </pt>
                <pt idx="18">
                  <v>87.92463881342415</v>
                </pt>
                <pt idx="19">
                  <v>88.84224912216308</v>
                </pt>
                <pt idx="20">
                  <v>89.16438891128698</v>
                </pt>
                <pt idx="21">
                  <v>88.78367825141328</v>
                </pt>
                <pt idx="22">
                  <v>90.17961733729145</v>
                </pt>
                <pt idx="23">
                  <v>89.35962514679426</v>
                </pt>
                <pt idx="24">
                  <v>89.61343225305133</v>
                </pt>
                <pt idx="25">
                  <v>88.91058180405372</v>
                </pt>
                <pt idx="26">
                  <v>89.77938305415989</v>
                </pt>
                <pt idx="27">
                  <v>89.13510347591209</v>
                </pt>
                <pt idx="28">
                  <v>89.13510347591209</v>
                </pt>
                <pt idx="29">
                  <v>88.08082780241568</v>
                </pt>
                <pt idx="30">
                  <v>87.75868801329177</v>
                </pt>
                <pt idx="31">
                  <v>88.03201874280671</v>
                </pt>
                <pt idx="32">
                  <v>86.78250683380305</v>
                </pt>
                <pt idx="33">
                  <v>87.69035533042495</v>
                </pt>
                <pt idx="34">
                  <v>86.53846153868682</v>
                </pt>
                <pt idx="35">
                  <v>85.40609137118275</v>
                </pt>
                <pt idx="36">
                  <v>85.28894962968315</v>
                </pt>
                <pt idx="37">
                  <v>85.43537680655764</v>
                </pt>
                <pt idx="38">
                  <v>85.03514252244989</v>
                </pt>
                <pt idx="39">
                  <v>84.46895743918596</v>
                </pt>
                <pt idx="40">
                  <v>84.37133932094422</v>
                </pt>
                <pt idx="41">
                  <v>83.70753611943854</v>
                </pt>
                <pt idx="42">
                  <v>84.83990628694261</v>
                </pt>
                <pt idx="43">
                  <v>84.26395939156164</v>
                </pt>
                <pt idx="44">
                  <v>84.82038266368474</v>
                </pt>
                <pt idx="45">
                  <v>85.1815696993244</v>
                </pt>
                <pt idx="46">
                  <v>84.60562280394342</v>
                </pt>
                <pt idx="47">
                  <v>83.83443967207899</v>
                </pt>
                <pt idx="48">
                  <v>85.38656774694869</v>
                </pt>
                <pt idx="49">
                  <v>85.14252245280865</v>
                </pt>
                <pt idx="50">
                  <v>85.12299882857458</v>
                </pt>
                <pt idx="51">
                  <v>87.45607184742576</v>
                </pt>
                <pt idx="52">
                  <v>87.39750097667594</v>
                </pt>
                <pt idx="53">
                  <v>87.85630613055731</v>
                </pt>
                <pt idx="54">
                  <v>88.65677469779666</v>
                </pt>
                <pt idx="55">
                  <v>89.14486528705292</v>
                </pt>
                <pt idx="56">
                  <v>88.87153455753798</v>
                </pt>
                <pt idx="57">
                  <v>89.72081218341009</v>
                </pt>
                <pt idx="58">
                  <v>90.49199531429832</v>
                </pt>
                <pt idx="59">
                  <v>90.38461538491575</v>
                </pt>
                <pt idx="60">
                  <v>91.04841858642143</v>
                </pt>
                <pt idx="61">
                  <v>90.43342444354852</v>
                </pt>
                <pt idx="62">
                  <v>91.19484576329593</v>
                </pt>
                <pt idx="63">
                  <v>91.20460757541296</v>
                </pt>
                <pt idx="64">
                  <v>90.7750878569065</v>
                </pt>
                <pt idx="65">
                  <v>91.39008199977938</v>
                </pt>
                <pt idx="66">
                  <v>91.80007809502798</v>
                </pt>
                <pt idx="67">
                  <v>91.23389301078787</v>
                </pt>
                <pt idx="68">
                  <v>91.37055837554533</v>
                </pt>
                <pt idx="69">
                  <v>89.6036704419105</v>
                </pt>
                <pt idx="70">
                  <v>89.58414681767643</v>
                </pt>
                <pt idx="71">
                  <v>91.49746192916196</v>
                </pt>
                <pt idx="72">
                  <v>90.67746973866475</v>
                </pt>
                <pt idx="73">
                  <v>90.96056228029673</v>
                </pt>
                <pt idx="74">
                  <v>91.59508004740368</v>
                </pt>
                <pt idx="75">
                  <v>90.65794611540689</v>
                </pt>
                <pt idx="76">
                  <v>92.47364310865069</v>
                </pt>
                <pt idx="77">
                  <v>91.74150722427819</v>
                </pt>
                <pt idx="78">
                  <v>90.11128465442464</v>
                </pt>
                <pt idx="79">
                  <v>92.07340882551912</v>
                </pt>
                <pt idx="80">
                  <v>92.2100741902766</v>
                </pt>
                <pt idx="81">
                  <v>91.26317844616275</v>
                </pt>
                <pt idx="82">
                  <v>92.385786802526</v>
                </pt>
                <pt idx="83">
                  <v>92.5614994147754</v>
                </pt>
                <pt idx="84">
                  <v>91.76103084753606</v>
                </pt>
                <pt idx="85">
                  <v>92.49316673190856</v>
                </pt>
                <pt idx="86">
                  <v>92.83483014526652</v>
                </pt>
                <pt idx="87">
                  <v>96.1050370951383</v>
                </pt>
                <pt idx="88">
                  <v>94.32838734938642</v>
                </pt>
                <pt idx="89">
                  <v>95.02147598626701</v>
                </pt>
                <pt idx="90">
                  <v>95.20695041063343</v>
                </pt>
                <pt idx="91">
                  <v>98.8578680203789</v>
                </pt>
                <pt idx="92">
                  <v>96.55408043787882</v>
                </pt>
                <pt idx="93">
                  <v>98.92620070324574</v>
                </pt>
                <pt idx="94">
                  <v>96.68098399149545</v>
                </pt>
                <pt idx="95">
                  <v>98.5942991020048</v>
                </pt>
                <pt idx="96">
                  <v>98.60406091412183</v>
                </pt>
                <pt idx="97">
                  <v>99.28738773986156</v>
                </pt>
                <pt idx="98">
                  <v>98.11597032486556</v>
                </pt>
                <pt idx="99">
                  <v>99.39476766924413</v>
                </pt>
                <pt idx="100">
                  <v>100.6442795782478</v>
                </pt>
                <pt idx="101">
                  <v>99.99023818885917</v>
                </pt>
                <pt idx="102">
                  <v>100.585708707498</v>
                </pt>
                <pt idx="103">
                  <v>98.01835220662383</v>
                </pt>
                <pt idx="104">
                  <v>99.81452557660977</v>
                </pt>
                <pt idx="105">
                  <v>99.86333463524254</v>
                </pt>
                <pt idx="106">
                  <v>100.4685669659984</v>
                </pt>
                <pt idx="107">
                  <v>99.72666927048506</v>
                </pt>
                <pt idx="108">
                  <v>100</v>
                </pt>
                <pt idx="109">
                  <v>99.69738383511017</v>
                </pt>
                <pt idx="110">
                  <v>99.62905115224333</v>
                </pt>
                <pt idx="111">
                  <v>100.4295197194827</v>
                </pt>
                <pt idx="112">
                  <v>100.8199921914734</v>
                </pt>
                <pt idx="113">
                  <v>102.1964076540937</v>
                </pt>
                <pt idx="114">
                  <v>102.4502147603508</v>
                </pt>
                <pt idx="115">
                  <v>100.5368996488652</v>
                </pt>
                <pt idx="116">
                  <v>103.2897305741058</v>
                </pt>
                <pt idx="117">
                  <v>104.5978133548355</v>
                </pt>
                <pt idx="118">
                  <v>104.6759078488432</v>
                </pt>
                <pt idx="119">
                  <v>103.7778211643383</v>
                </pt>
                <pt idx="120">
                  <v>104.5197188598517</v>
                </pt>
                <pt idx="121">
                  <v>104.8320968378347</v>
                </pt>
                <pt idx="122">
                  <v>105.5251854747153</v>
                </pt>
                <pt idx="123">
                  <v>106.1401796175882</v>
                </pt>
                <pt idx="124">
                  <v>107.4580242094587</v>
                </pt>
                <pt idx="125">
                  <v>106.0620851235805</v>
                </pt>
                <pt idx="126">
                  <v>107.3115970325842</v>
                </pt>
                <pt idx="127">
                  <v>106.3451776652125</v>
                </pt>
                <pt idx="128">
                  <v>106.6380320189615</v>
                </pt>
                <pt idx="129">
                  <v>107.8094494339575</v>
                </pt>
                <pt idx="130">
                  <v>107.6142131984502</v>
                </pt>
                <pt idx="131">
                  <v>108.561108942564</v>
                </pt>
                <pt idx="132">
                  <v>108.1218274119405</v>
                </pt>
                <pt idx="133">
                  <v>108.8149160488211</v>
                </pt>
                <pt idx="134">
                  <v>109.2737212027025</v>
                </pt>
                <pt idx="135">
                  <v>107.4873096448336</v>
                </pt>
                <pt idx="136">
                  <v>108.3073018353308</v>
                </pt>
                <pt idx="137">
                  <v>108.3365872707057</v>
                </pt>
                <pt idx="138">
                  <v>106.8235064433279</v>
                </pt>
                <pt idx="139">
                  <v>109.4689574391859</v>
                </pt>
                <pt idx="140">
                  <v>107.8484966814494</v>
                </pt>
                <pt idx="141">
                  <v>107.1065989849599</v>
                </pt>
                <pt idx="142">
                  <v>105.905896134589</v>
                </pt>
                <pt idx="143">
                  <v>106.5794611482117</v>
                </pt>
                <pt idx="144">
                  <v>106.5696993370708</v>
                </pt>
                <pt idx="145">
                  <v>106.9699336202024</v>
                </pt>
                <pt idx="146">
                  <v>107.4775478336927</v>
                </pt>
                <pt idx="147">
                  <v>108.1413510351984</v>
                </pt>
                <pt idx="148">
                  <v>107.2042171032016</v>
                </pt>
                <pt idx="149">
                  <v>107.0382663030692</v>
                </pt>
                <pt idx="150">
                  <v>105.9351815699639</v>
                </pt>
                <pt idx="151">
                  <v>107.9265911754571</v>
                </pt>
                <pt idx="152">
                  <v>106.5696993370708</v>
                </pt>
                <pt idx="153">
                  <v>105.7204217111987</v>
                </pt>
                <pt idx="154">
                  <v>106.7454119493202</v>
                </pt>
                <pt idx="155">
                  <v>104.2268645061026</v>
                </pt>
                <pt idx="156">
                  <v>106.3744631005874</v>
                </pt>
                <pt idx="157">
                  <v>107.3408824679591</v>
                </pt>
                <pt idx="158">
                  <v>106.491604842087</v>
                </pt>
                <pt idx="159">
                  <v>106.5306520895789</v>
                </pt>
                <pt idx="160">
                  <v>104.0023428352205</v>
                </pt>
                <pt idx="161">
                  <v>103.7387739168464</v>
                </pt>
                <pt idx="162">
                  <v>105.5837563454651</v>
                </pt>
                <pt idx="163">
                  <v>105.1249511915837</v>
                </pt>
                <pt idx="164">
                  <v>104.74424053171</v>
                </pt>
                <pt idx="165">
                  <v>107.2823115972093</v>
                </pt>
                <pt idx="166">
                  <v>105.1932838734743</v>
                </pt>
                <pt idx="167">
                  <v>105.8278016405813</v>
                </pt>
                <pt idx="168">
                  <v>106.491604842087</v>
                </pt>
                <pt idx="169">
                  <v>107.5654041398174</v>
                </pt>
                <pt idx="170">
                  <v>107.2335025385765</v>
                </pt>
                <pt idx="171">
                  <v>107.2432643506935</v>
                </pt>
                <pt idx="172">
                  <v>106.6575556431955</v>
                </pt>
                <pt idx="173">
                  <v>107.682545881317</v>
                </pt>
                <pt idx="174">
                  <v>108.1315892230814</v>
                </pt>
                <pt idx="175">
                  <v>104.3537680597193</v>
                </pt>
                <pt idx="176">
                  <v>107.955876610832</v>
                </pt>
                <pt idx="177">
                  <v>108.7758688013292</v>
                </pt>
                <pt idx="178">
                  <v>106.9699336202024</v>
                </pt>
                <pt idx="179">
                  <v>107.1944552910846</v>
                </pt>
                <pt idx="180">
                  <v>108.9418196024377</v>
                </pt>
                <pt idx="181">
                  <v>107.7020695045749</v>
                </pt>
                <pt idx="182">
                  <v>105.3689964857238</v>
                </pt>
                <pt idx="183">
                  <v>108.0827801644486</v>
                </pt>
                <pt idx="184">
                  <v>106.9113627494526</v>
                </pt>
                <pt idx="185">
                  <v>106.8430300665858</v>
                </pt>
                <pt idx="186">
                  <v>106.511128466321</v>
                </pt>
                <pt idx="187">
                  <v>105.8961343234481</v>
                </pt>
                <pt idx="188">
                  <v>108.5903943779389</v>
                </pt>
                <pt idx="189">
                  <v>105.3982819210986</v>
                </pt>
                <pt idx="190">
                  <v>109.6349082393183</v>
                </pt>
                <pt idx="191">
                  <v>108.3073018353308</v>
                </pt>
                <pt idx="192">
                  <v>107.5946895751923</v>
                </pt>
                <pt idx="193">
                  <v>106.9016009373356</v>
                </pt>
                <pt idx="194">
                  <v>108.834439672079</v>
                </pt>
                <pt idx="195">
                  <v>108.3073018353308</v>
                </pt>
                <pt idx="196">
                  <v>110.0351425224499</v>
                </pt>
                <pt idx="197">
                  <v>109.8301444748256</v>
                </pt>
                <pt idx="198">
                  <v>108.3658727060806</v>
                </pt>
                <pt idx="199">
                  <v>107.6044513863332</v>
                </pt>
                <pt idx="200">
                  <v>109.2737212027025</v>
                </pt>
                <pt idx="201">
                  <v>108.3658727060806</v>
                </pt>
                <pt idx="202">
                  <v>107.7411167520668</v>
                </pt>
                <pt idx="203">
                  <v>109.5470519331936</v>
                </pt>
                <pt idx="204">
                  <v>108.3268254595648</v>
                </pt>
                <pt idx="205">
                  <v>109.3225302623114</v>
                </pt>
                <pt idx="206">
                  <v>110.1522842649257</v>
                </pt>
                <pt idx="207">
                  <v>108.3268254595648</v>
                </pt>
                <pt idx="208">
                  <v>110.9332292079309</v>
                </pt>
                <pt idx="209">
                  <v>110.5134713005653</v>
                </pt>
                <pt idx="210">
                  <v>110.6598984774398</v>
                </pt>
                <pt idx="211">
                  <v>111.3334634910625</v>
                </pt>
                <pt idx="212">
                  <v>108.7563451780713</v>
                </pt>
                <pt idx="213">
                  <v>111.2260835616799</v>
                </pt>
                <pt idx="214">
                  <v>109.2737212027025</v>
                </pt>
                <pt idx="215">
                  <v>109.4494338149519</v>
                </pt>
                <pt idx="216">
                  <v>110.4451386186747</v>
                </pt>
                <pt idx="217">
                  <v>111.4310816093043</v>
                </pt>
                <pt idx="218">
                  <v>110.1913315114414</v>
                </pt>
                <pt idx="219">
                  <v>112.5048809060585</v>
                </pt>
                <pt idx="220">
                  <v>107.2432643506935</v>
                </pt>
                <pt idx="221">
                  <v>106.9211245615696</v>
                </pt>
                <pt idx="222">
                  <v>107.7215931278328</v>
                </pt>
                <pt idx="223">
                  <v>106.2670831712048</v>
                </pt>
                <pt idx="224">
                  <v>105.7985162052064</v>
                </pt>
                <pt idx="225">
                  <v>103.8461538462289</v>
                </pt>
                <pt idx="226">
                  <v>98.6528699727546</v>
                </pt>
                <pt idx="227">
                  <v>97.28621632225133</v>
                </pt>
                <pt idx="228">
                  <v>93.71339320651352</v>
                </pt>
                <pt idx="229">
                  <v>92.40531042578387</v>
                </pt>
                <pt idx="230">
                  <v>90.69699336192262</v>
                </pt>
                <pt idx="231">
                  <v>90.66770792654772</v>
                </pt>
                <pt idx="232">
                  <v>91.76103084753606</v>
                </pt>
                <pt idx="233">
                  <v>92.93244826253206</v>
                </pt>
                <pt idx="234">
                  <v>92.59078485015029</v>
                </pt>
                <pt idx="235">
                  <v>94.11362748964508</v>
                </pt>
                <pt idx="236">
                  <v>94.58219445564349</v>
                </pt>
                <pt idx="237">
                  <v>93.95743850065357</v>
                </pt>
                <pt idx="238">
                  <v>94.8750488093925</v>
                </pt>
                <pt idx="239">
                  <v>94.59195626776052</v>
                </pt>
                <pt idx="240">
                  <v>95.58766107050712</v>
                </pt>
                <pt idx="241">
                  <v>94.97266692763424</v>
                </pt>
                <pt idx="242">
                  <v>96.84693479162783</v>
                </pt>
                <pt idx="243">
                  <v>96.45646231963711</v>
                </pt>
                <pt idx="244">
                  <v>97.2178836393845</v>
                </pt>
                <pt idx="245">
                  <v>96.8371729795108</v>
                </pt>
                <pt idx="246">
                  <v>97.54002342850841</v>
                </pt>
                <pt idx="247">
                  <v>96.41741507312136</v>
                </pt>
                <pt idx="248">
                  <v>97.6864506053829</v>
                </pt>
                <pt idx="249">
                  <v>97.5107379931335</v>
                </pt>
                <pt idx="250">
                  <v>98.79929714962911</v>
                </pt>
                <pt idx="251">
                  <v>100.0878563061247</v>
                </pt>
                <pt idx="252">
                  <v>101.2397500978628</v>
                </pt>
                <pt idx="253">
                  <v>101.5911753223617</v>
                </pt>
                <pt idx="254">
                  <v>100.3123779779831</v>
                </pt>
                <pt idx="255">
                  <v>98.61382272623887</v>
                </pt>
                <pt idx="256">
                  <v>101.8352206174779</v>
                </pt>
                <pt idx="257">
                  <v>99.10191331549512</v>
                </pt>
                <pt idx="258">
                  <v>100.1659508011086</v>
                </pt>
                <pt idx="259">
                  <v>99.33619679849433</v>
                </pt>
                <pt idx="260">
                  <v>98.6235845373797</v>
                </pt>
                <pt idx="261">
                  <v>98.81882077386317</v>
                </pt>
                <pt idx="262">
                  <v>100.8102303793564</v>
                </pt>
                <pt idx="263">
                  <v>98.81882077386317</v>
                </pt>
                <pt idx="264">
                  <v>98.42834830187243</v>
                </pt>
                <pt idx="265">
                  <v>99.40452948136117</v>
                </pt>
                <pt idx="266">
                  <v>98.15501757138129</v>
                </pt>
                <pt idx="267">
                  <v>98.56501366662991</v>
                </pt>
                <pt idx="268">
                  <v>97.25693088687643</v>
                </pt>
                <pt idx="269">
                  <v>96.41741507312136</v>
                </pt>
                <pt idx="270">
                  <v>97.17883639286876</v>
                </pt>
                <pt idx="271">
                  <v>99.26786411562752</v>
                </pt>
                <pt idx="272">
                  <v>97.09098008674407</v>
                </pt>
                <pt idx="273">
                  <v>95.6657555645148</v>
                </pt>
                <pt idx="274">
                  <v>95.56813744627306</v>
                </pt>
                <pt idx="275">
                  <v>96.50527137924605</v>
                </pt>
                <pt idx="276">
                  <v>96.30027333162175</v>
                </pt>
                <pt idx="277">
                  <v>97.2471690747594</v>
                </pt>
                <pt idx="278">
                  <v>97.4814525577586</v>
                </pt>
                <pt idx="279">
                  <v>98.98477157399554</v>
                </pt>
                <pt idx="280">
                  <v>98.6528699727546</v>
                </pt>
                <pt idx="281">
                  <v>97.50097618199266</v>
                </pt>
                <pt idx="282">
                  <v>96.80788754413589</v>
                </pt>
                <pt idx="283">
                  <v>96.00741897689657</v>
                </pt>
                <pt idx="284">
                  <v>96.72003123801119</v>
                </pt>
                <pt idx="285">
                  <v>96.57360406113671</v>
                </pt>
                <pt idx="286">
                  <v>98.29168293711497</v>
                </pt>
                <pt idx="287">
                  <v>97.11050371000194</v>
                </pt>
                <pt idx="288">
                  <v>95.58766107050712</v>
                </pt>
                <pt idx="289">
                  <v>96.97383834524446</v>
                </pt>
                <pt idx="290">
                  <v>96.49550956712902</v>
                </pt>
                <pt idx="291">
                  <v>96.72979305012822</v>
                </pt>
                <pt idx="292">
                  <v>94.8750488093925</v>
                </pt>
                <pt idx="293">
                  <v>96.76884029762016</v>
                </pt>
                <pt idx="294">
                  <v>97.74502147613271</v>
                </pt>
                <pt idx="295">
                  <v>95.98789535363871</v>
                </pt>
                <pt idx="296">
                  <v>96.80788754413589</v>
                </pt>
                <pt idx="297">
                  <v>95.23623584600833</v>
                </pt>
                <pt idx="298">
                  <v>94.46505271414389</v>
                </pt>
                <pt idx="299">
                  <v>97.3057399455092</v>
                </pt>
                <pt idx="300">
                  <v>97.07145646251</v>
                </pt>
                <pt idx="301">
                  <v>97.63764154675013</v>
                </pt>
                <pt idx="302">
                  <v>97.58883248811736</v>
                </pt>
                <pt idx="303">
                  <v>96.88598203911977</v>
                </pt>
                <pt idx="304">
                  <v>97.95001952375699</v>
                </pt>
                <pt idx="305">
                  <v>97.84263959437443</v>
                </pt>
                <pt idx="306">
                  <v>96.77860210876099</v>
                </pt>
                <pt idx="307">
                  <v>97.73525966499186</v>
                </pt>
                <pt idx="308">
                  <v>98.77001171425421</v>
                </pt>
                <pt idx="309">
                  <v>98.84810620923805</v>
                </pt>
                <pt idx="310">
                  <v>96.98360015638529</v>
                </pt>
                <pt idx="311">
                  <v>97.3350253808841</v>
                </pt>
                <pt idx="312">
                  <v>99.02381882148745</v>
                </pt>
                <pt idx="313">
                  <v>98.39906286649753</v>
                </pt>
                <pt idx="314">
                  <v>97.64740335886715</v>
                </pt>
                <pt idx="315">
                  <v>98.6821554081295</v>
                </pt>
                <pt idx="316">
                  <v>97.23740726361856</v>
                </pt>
                <pt idx="317">
                  <v>96.94455290986956</v>
                </pt>
                <pt idx="318">
                  <v>96.74931667338609</v>
                </pt>
                <pt idx="319">
                  <v>98.66263178487164</v>
                </pt>
                <pt idx="320">
                  <v>97.44240531124285</v>
                </pt>
                <pt idx="321">
                  <v>97.23740726361856</v>
                </pt>
                <pt idx="322">
                  <v>99.83404919986764</v>
                </pt>
                <pt idx="323">
                  <v>98.2721593128809</v>
                </pt>
                <pt idx="324">
                  <v>98.70167903236357</v>
                </pt>
                <pt idx="325">
                  <v>97.66692698212503</v>
                </pt>
                <pt idx="326">
                  <v>98.91643889112871</v>
                </pt>
                <pt idx="327">
                  <v>98.63334634949673</v>
                </pt>
                <pt idx="328">
                  <v>100.8102303793564</v>
                </pt>
                <pt idx="329">
                  <v>99.53143303400159</v>
                </pt>
                <pt idx="330">
                  <v>100.1561889889915</v>
                </pt>
                <pt idx="331">
                  <v>100.3807106598737</v>
                </pt>
                <pt idx="332">
                  <v>101.0445138623556</v>
                </pt>
                <pt idx="333">
                  <v>101.6399843819706</v>
                </pt>
                <pt idx="334">
                  <v>101.8645060528528</v>
                </pt>
                <pt idx="335">
                  <v>103.0652089032237</v>
                </pt>
                <pt idx="336">
                  <v>99.3557204217522</v>
                </pt>
                <pt idx="337">
                  <v>100.7907067560985</v>
                </pt>
                <pt idx="338">
                  <v>101.7278406880953</v>
                </pt>
                <pt idx="339">
                  <v>100.8004685672393</v>
                </pt>
                <pt idx="340">
                  <v>99.70714564625101</v>
                </pt>
                <pt idx="341">
                  <v>101.4154627101122</v>
                </pt>
                <pt idx="342">
                  <v>101.2104646624879</v>
                </pt>
                <pt idx="343">
                  <v>101.474033580862</v>
                </pt>
                <pt idx="344">
                  <v>100.4295197194827</v>
                </pt>
                <pt idx="345">
                  <v>101.5033190162369</v>
                </pt>
                <pt idx="346">
                  <v>100.2538071072333</v>
                </pt>
                <pt idx="347">
                  <v>101.766887934611</v>
                </pt>
                <pt idx="348">
                  <v>102.108551347969</v>
                </pt>
                <pt idx="349">
                  <v>102.1866458419767</v>
                </pt>
                <pt idx="350">
                  <v>101.9523623589775</v>
                </pt>
                <pt idx="351">
                  <v>102.3428348309682</v>
                </pt>
                <pt idx="352">
                  <v>103.6606794228387</v>
                </pt>
                <pt idx="353">
                  <v>101.220226474605</v>
                </pt>
                <pt idx="354">
                  <v>101.6497461931114</v>
                </pt>
                <pt idx="355">
                  <v>100.4588051548576</v>
                </pt>
                <pt idx="356">
                  <v>101.4057008989714</v>
                </pt>
                <pt idx="357">
                  <v>101.229988286722</v>
                </pt>
                <pt idx="358">
                  <v>100.585708707498</v>
                </pt>
                <pt idx="359">
                  <v>98.77001171425421</v>
                </pt>
                <pt idx="360">
                  <v>98.95548613862064</v>
                </pt>
                <pt idx="361">
                  <v>101.0347520502385</v>
                </pt>
                <pt idx="362">
                  <v>83.60015618907977</v>
                </pt>
                <pt idx="363">
                  <v>66.48770011704492</v>
                </pt>
                <pt idx="364">
                  <v>79.451386177961</v>
                </pt>
                <pt idx="365">
                  <v>89.23272159317762</v>
                </pt>
                <pt idx="366">
                  <v>92.62983209764222</v>
                </pt>
                <pt idx="367">
                  <v>93.06911362826573</v>
                </pt>
                <pt idx="368">
                  <v>94.76766888000994</v>
                </pt>
                <pt idx="369">
                  <v>97.18859820400959</v>
                </pt>
                <pt idx="370">
                  <v>95.85122998888123</v>
                </pt>
                <pt idx="371">
                  <v>95.58766107050712</v>
                </pt>
                <pt idx="372">
                  <v>98.58453729086396</v>
                </pt>
                <pt idx="373">
                  <v>94.15267473713702</v>
                </pt>
                <pt idx="374">
                  <v>95.77313549389736</v>
                </pt>
                <pt idx="375">
                  <v>95.89027723539697</v>
                </pt>
                <pt idx="376">
                  <v>95.71456462314757</v>
                </pt>
                <pt idx="377">
                  <v>95.52909019975732</v>
                </pt>
                <pt idx="378">
                  <v>96.00741897689657</v>
                </pt>
                <pt idx="379">
                  <v>95.9586099182638</v>
                </pt>
                <pt idx="380">
                  <v>94.91409605688443</v>
                </pt>
                <pt idx="381">
                  <v>96.55408043787882</v>
                </pt>
                <pt idx="382">
                  <v>95.1093322923917</v>
                </pt>
                <pt idx="383">
                  <v>95.33385396327387</v>
                </pt>
                <pt idx="384">
                  <v>97.28621632225133</v>
                </pt>
                <pt idx="385">
                  <v>95.64623194125693</v>
                </pt>
                <pt idx="386">
                  <v>95.1679031631415</v>
                </pt>
                <pt idx="387">
                  <v>94.88481062150953</v>
                </pt>
                <pt idx="388">
                  <v>95.09957048027466</v>
                </pt>
                <pt idx="389">
                  <v>96.26122608412983</v>
                </pt>
                <pt idx="390">
                  <v>94.64076532639329</v>
                </pt>
                <pt idx="391">
                  <v>97.05193283925213</v>
                </pt>
                <pt idx="392">
                  <v>96.15384615474726</v>
                </pt>
                <pt idx="393">
                  <v>93.8207731358961</v>
                </pt>
                <pt idx="394">
                  <v>95.59742288164796</v>
                </pt>
                <pt idx="395">
                  <v>97.05193283925213</v>
                </pt>
                <pt idx="396">
                  <v>95.1679031631415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World'!$A$2:$A$410</f>
              <numCache>
                <formatCode>mmm\-yy</formatCode>
                <ptCount val="409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  <pt idx="395">
                  <v>44896</v>
                </pt>
                <pt idx="396">
                  <v>44927</v>
                </pt>
              </numCache>
            </numRef>
          </cat>
          <val>
            <numRef>
              <f>'IP World'!$J$2:$J$410</f>
              <numCache>
                <formatCode>0.00</formatCode>
                <ptCount val="409"/>
                <pt idx="0">
                  <v>94.38974614655902</v>
                </pt>
                <pt idx="1">
                  <v>93.97935594566742</v>
                </pt>
                <pt idx="2">
                  <v>94.88221438736296</v>
                </pt>
                <pt idx="3">
                  <v>93.2406535851263</v>
                </pt>
                <pt idx="4">
                  <v>95.62091674790409</v>
                </pt>
                <pt idx="5">
                  <v>95.62091674790409</v>
                </pt>
                <pt idx="6">
                  <v>96.52377518959963</v>
                </pt>
                <pt idx="7">
                  <v>97.09832147031598</v>
                </pt>
                <pt idx="8">
                  <v>98.00117991201154</v>
                </pt>
                <pt idx="9">
                  <v>98.1653359918363</v>
                </pt>
                <pt idx="10">
                  <v>98.1653359918363</v>
                </pt>
                <pt idx="11">
                  <v>98.5757261927279</v>
                </pt>
                <pt idx="12">
                  <v>101.5957446804055</v>
                </pt>
                <pt idx="13">
                  <v>100.3989361701014</v>
                </pt>
                <pt idx="14">
                  <v>99.73404255326575</v>
                </pt>
                <pt idx="15">
                  <v>98.93617021306301</v>
                </pt>
                <pt idx="16">
                  <v>97.34042553132787</v>
                </pt>
                <pt idx="17">
                  <v>101.5957446804055</v>
                </pt>
                <pt idx="18">
                  <v>98.67021276632876</v>
                </pt>
                <pt idx="19">
                  <v>97.0744680845936</v>
                </pt>
                <pt idx="20">
                  <v>96.80851063785936</v>
                </pt>
                <pt idx="21">
                  <v>98.27127659622739</v>
                </pt>
                <pt idx="22">
                  <v>99.33510638316439</v>
                </pt>
                <pt idx="23">
                  <v>99.4680851065315</v>
                </pt>
                <pt idx="24">
                  <v>100.6648936168356</v>
                </pt>
                <pt idx="25">
                  <v>102.3936170206082</v>
                </pt>
                <pt idx="26">
                  <v>99.4680851065315</v>
                </pt>
                <pt idx="27">
                  <v>99.33510638316439</v>
                </pt>
                <pt idx="28">
                  <v>98.67021276632876</v>
                </pt>
                <pt idx="29">
                  <v>97.0744680845936</v>
                </pt>
                <pt idx="30">
                  <v>95.345744680821</v>
                </pt>
                <pt idx="31">
                  <v>95.61170212755526</v>
                </pt>
                <pt idx="32">
                  <v>94.8138297873525</v>
                </pt>
                <pt idx="33">
                  <v>94.68085106398539</v>
                </pt>
                <pt idx="34">
                  <v>93.21808510694703</v>
                </pt>
                <pt idx="35">
                  <v>91.62234042521187</v>
                </pt>
                <pt idx="36">
                  <v>90.5585106382749</v>
                </pt>
                <pt idx="37">
                  <v>89.22872340460366</v>
                </pt>
                <pt idx="38">
                  <v>89.36170212797077</v>
                </pt>
                <pt idx="39">
                  <v>88.69680851113515</v>
                </pt>
                <pt idx="40">
                  <v>88.69680851113515</v>
                </pt>
                <pt idx="41">
                  <v>88.03191489296987</v>
                </pt>
                <pt idx="42">
                  <v>86.03723404246301</v>
                </pt>
                <pt idx="43">
                  <v>89.76063829807214</v>
                </pt>
                <pt idx="44">
                  <v>89.36170212797077</v>
                </pt>
                <pt idx="45">
                  <v>89.36170212797077</v>
                </pt>
                <pt idx="46">
                  <v>88.56382978776803</v>
                </pt>
                <pt idx="47">
                  <v>89.62765957470502</v>
                </pt>
                <pt idx="48">
                  <v>89.22872340460366</v>
                </pt>
                <pt idx="49">
                  <v>90.5585106382749</v>
                </pt>
                <pt idx="50">
                  <v>90.15957446817352</v>
                </pt>
                <pt idx="51">
                  <v>91.22340425511051</v>
                </pt>
                <pt idx="52">
                  <v>90.82446808500913</v>
                </pt>
                <pt idx="53">
                  <v>91.48936170184474</v>
                </pt>
                <pt idx="54">
                  <v>91.09042553174338</v>
                </pt>
                <pt idx="55">
                  <v>91.09042553174338</v>
                </pt>
                <pt idx="56">
                  <v>92.42021276541462</v>
                </pt>
                <pt idx="57">
                  <v>94.1489361705169</v>
                </pt>
                <pt idx="58">
                  <v>94.68085106398539</v>
                </pt>
                <pt idx="59">
                  <v>94.68085106398539</v>
                </pt>
                <pt idx="60">
                  <v>92.81914893551598</v>
                </pt>
                <pt idx="61">
                  <v>94.1489361705169</v>
                </pt>
                <pt idx="62">
                  <v>93.08510638225023</v>
                </pt>
                <pt idx="63">
                  <v>93.61702127704839</v>
                </pt>
                <pt idx="64">
                  <v>94.1489361705169</v>
                </pt>
                <pt idx="65">
                  <v>93.08510638225023</v>
                </pt>
                <pt idx="66">
                  <v>92.81914893551598</v>
                </pt>
                <pt idx="67">
                  <v>91.75531914857899</v>
                </pt>
                <pt idx="68">
                  <v>93.61702127704839</v>
                </pt>
                <pt idx="69">
                  <v>91.22340425511051</v>
                </pt>
                <pt idx="70">
                  <v>91.75531914857899</v>
                </pt>
                <pt idx="71">
                  <v>91.75531914857899</v>
                </pt>
                <pt idx="72">
                  <v>92.15425531868036</v>
                </pt>
                <pt idx="73">
                  <v>91.35638297847763</v>
                </pt>
                <pt idx="74">
                  <v>91.48936170184474</v>
                </pt>
                <pt idx="75">
                  <v>91.48936170184474</v>
                </pt>
                <pt idx="76">
                  <v>92.2872340420475</v>
                </pt>
                <pt idx="77">
                  <v>92.81914893551598</v>
                </pt>
                <pt idx="78">
                  <v>91.75531914857899</v>
                </pt>
                <pt idx="79">
                  <v>92.9521276588831</v>
                </pt>
                <pt idx="80">
                  <v>93.75000000041551</v>
                </pt>
                <pt idx="81">
                  <v>92.42021276541462</v>
                </pt>
                <pt idx="82">
                  <v>93.75000000041551</v>
                </pt>
                <pt idx="83">
                  <v>93.75000000041551</v>
                </pt>
                <pt idx="84">
                  <v>92.55319148878174</v>
                </pt>
                <pt idx="85">
                  <v>93.88297872378264</v>
                </pt>
                <pt idx="86">
                  <v>94.94680851071963</v>
                </pt>
                <pt idx="87">
                  <v>94.54787234061827</v>
                </pt>
                <pt idx="88">
                  <v>93.35106383031415</v>
                </pt>
                <pt idx="89">
                  <v>97.0744680845936</v>
                </pt>
                <pt idx="90">
                  <v>98.13829787286028</v>
                </pt>
                <pt idx="91">
                  <v>94.94680851071963</v>
                </pt>
                <pt idx="92">
                  <v>95.74468085092236</v>
                </pt>
                <pt idx="93">
                  <v>97.0744680845936</v>
                </pt>
                <pt idx="94">
                  <v>97.6063829780621</v>
                </pt>
                <pt idx="95">
                  <v>98.53723404296164</v>
                </pt>
                <pt idx="96">
                  <v>99.60106382989864</v>
                </pt>
                <pt idx="97">
                  <v>99.33510638316439</v>
                </pt>
                <pt idx="98">
                  <v>100.6648936168356</v>
                </pt>
                <pt idx="99">
                  <v>99.73404255326575</v>
                </pt>
                <pt idx="100">
                  <v>100.2659574467342</v>
                </pt>
                <pt idx="101">
                  <v>99.4680851065315</v>
                </pt>
                <pt idx="102">
                  <v>101.5957446804055</v>
                </pt>
                <pt idx="103">
                  <v>99.33510638316439</v>
                </pt>
                <pt idx="104">
                  <v>98.67021276632876</v>
                </pt>
                <pt idx="105">
                  <v>99.33510638316439</v>
                </pt>
                <pt idx="106">
                  <v>98.00531914949315</v>
                </pt>
                <pt idx="107">
                  <v>98.40425531959451</v>
                </pt>
                <pt idx="108">
                  <v>100</v>
                </pt>
                <pt idx="109">
                  <v>98.13829787286028</v>
                </pt>
                <pt idx="110">
                  <v>98.80319148969588</v>
                </pt>
                <pt idx="111">
                  <v>99.4680851065315</v>
                </pt>
                <pt idx="112">
                  <v>100.1329787233671</v>
                </pt>
                <pt idx="113">
                  <v>100.1329787233671</v>
                </pt>
                <pt idx="114">
                  <v>100.9308510635699</v>
                </pt>
                <pt idx="115">
                  <v>101.8617021271397</v>
                </pt>
                <pt idx="116">
                  <v>101.4627659570384</v>
                </pt>
                <pt idx="117">
                  <v>102.5265957439753</v>
                </pt>
                <pt idx="118">
                  <v>102.3936170206082</v>
                </pt>
                <pt idx="119">
                  <v>102.5265957439753</v>
                </pt>
                <pt idx="120">
                  <v>101.7287234037726</v>
                </pt>
                <pt idx="121">
                  <v>104.2553191490776</v>
                </pt>
                <pt idx="122">
                  <v>104.3882978724447</v>
                </pt>
                <pt idx="123">
                  <v>105.718085106116</v>
                </pt>
                <pt idx="124">
                  <v>108.244680851421</v>
                </pt>
                <pt idx="125">
                  <v>105.8510638294831</v>
                </pt>
                <pt idx="126">
                  <v>107.5797872345854</v>
                </pt>
                <pt idx="127">
                  <v>108.6436170215224</v>
                </pt>
                <pt idx="128">
                  <v>108.7765957448895</v>
                </pt>
                <pt idx="129">
                  <v>108.3776595747881</v>
                </pt>
                <pt idx="130">
                  <v>109.308510638358</v>
                </pt>
                <pt idx="131">
                  <v>109.9734042551936</v>
                </pt>
                <pt idx="132">
                  <v>109.7074468084594</v>
                </pt>
                <pt idx="133">
                  <v>110.9042553187635</v>
                </pt>
                <pt idx="134">
                  <v>109.0425531916237</v>
                </pt>
                <pt idx="135">
                  <v>107.1808510631543</v>
                </pt>
                <pt idx="136">
                  <v>108.3776595747881</v>
                </pt>
                <pt idx="137">
                  <v>108.9095744682566</v>
                </pt>
                <pt idx="138">
                  <v>105.5851063827488</v>
                </pt>
                <pt idx="139">
                  <v>108.5106382981552</v>
                </pt>
                <pt idx="140">
                  <v>107.0478723397872</v>
                </pt>
                <pt idx="141">
                  <v>105.1861702126475</v>
                </pt>
                <pt idx="142">
                  <v>103.8563829789763</v>
                </pt>
                <pt idx="143">
                  <v>104.5212765958119</v>
                </pt>
                <pt idx="144">
                  <v>105.0531914892804</v>
                </pt>
                <pt idx="145">
                  <v>105.3191489360146</v>
                </pt>
                <pt idx="146">
                  <v>105.5851063827488</v>
                </pt>
                <pt idx="147">
                  <v>105.718085106116</v>
                </pt>
                <pt idx="148">
                  <v>104.654255319179</v>
                </pt>
                <pt idx="149">
                  <v>107.5797872345854</v>
                </pt>
                <pt idx="150">
                  <v>105.5851063827488</v>
                </pt>
                <pt idx="151">
                  <v>108.1117021280539</v>
                </pt>
                <pt idx="152">
                  <v>106.6489361696858</v>
                </pt>
                <pt idx="153">
                  <v>105.8510638294831</v>
                </pt>
                <pt idx="154">
                  <v>107.7127659579525</v>
                </pt>
                <pt idx="155">
                  <v>105.8510638294831</v>
                </pt>
                <pt idx="156">
                  <v>106.6489361696858</v>
                </pt>
                <pt idx="157">
                  <v>106.6489361696858</v>
                </pt>
                <pt idx="158">
                  <v>106.3829787229516</v>
                </pt>
                <pt idx="159">
                  <v>106.1170212762174</v>
                </pt>
                <pt idx="160">
                  <v>105.1861702126475</v>
                </pt>
                <pt idx="161">
                  <v>104.654255319179</v>
                </pt>
                <pt idx="162">
                  <v>107.1808510631543</v>
                </pt>
                <pt idx="163">
                  <v>104.5212765958119</v>
                </pt>
                <pt idx="164">
                  <v>104.2553191490776</v>
                </pt>
                <pt idx="165">
                  <v>107.4468085098886</v>
                </pt>
                <pt idx="166">
                  <v>108.5106382981552</v>
                </pt>
                <pt idx="167">
                  <v>109.0425531916237</v>
                </pt>
                <pt idx="168">
                  <v>108.1117021280539</v>
                </pt>
                <pt idx="169">
                  <v>108.6436170215224</v>
                </pt>
                <pt idx="170">
                  <v>107.9787234046868</v>
                </pt>
                <pt idx="171">
                  <v>109.5744680850922</v>
                </pt>
                <pt idx="172">
                  <v>110.7712765953963</v>
                </pt>
                <pt idx="173">
                  <v>109.9734042551936</v>
                </pt>
                <pt idx="174">
                  <v>111.3031914888648</v>
                </pt>
                <pt idx="175">
                  <v>110.2393617019278</v>
                </pt>
                <pt idx="176">
                  <v>109.9734042551936</v>
                </pt>
                <pt idx="177">
                  <v>111.3031914888648</v>
                </pt>
                <pt idx="178">
                  <v>109.4414893617251</v>
                </pt>
                <pt idx="179">
                  <v>108.9095744682566</v>
                </pt>
                <pt idx="180">
                  <v>112.2340425524347</v>
                </pt>
                <pt idx="181">
                  <v>110.5053191486621</v>
                </pt>
                <pt idx="182">
                  <v>111.9680851057005</v>
                </pt>
                <pt idx="183">
                  <v>112.7659574472329</v>
                </pt>
                <pt idx="184">
                  <v>111.3031914888648</v>
                </pt>
                <pt idx="185">
                  <v>113.6968085108027</v>
                </pt>
                <pt idx="186">
                  <v>115.4255319145753</v>
                </pt>
                <pt idx="187">
                  <v>112.1010638290676</v>
                </pt>
                <pt idx="188">
                  <v>115.2925531912082</v>
                </pt>
                <pt idx="189">
                  <v>117.553191489779</v>
                </pt>
                <pt idx="190">
                  <v>116.2234042547781</v>
                </pt>
                <pt idx="191">
                  <v>115.9574468080438</v>
                </pt>
                <pt idx="192">
                  <v>116.6223404248794</v>
                </pt>
                <pt idx="193">
                  <v>117.2872340430447</v>
                </pt>
                <pt idx="194">
                  <v>116.2234042547781</v>
                </pt>
                <pt idx="195">
                  <v>118.8829787234502</v>
                </pt>
                <pt idx="196">
                  <v>120.6117021272228</v>
                </pt>
                <pt idx="197">
                  <v>119.9468085103872</v>
                </pt>
                <pt idx="198">
                  <v>122.0744680855909</v>
                </pt>
                <pt idx="199">
                  <v>122.8723404257936</v>
                </pt>
                <pt idx="200">
                  <v>122.7393617024265</v>
                </pt>
                <pt idx="201">
                  <v>122.4734042556922</v>
                </pt>
                <pt idx="202">
                  <v>124.6010638295662</v>
                </pt>
                <pt idx="203">
                  <v>125.7978723398703</v>
                </pt>
                <pt idx="204">
                  <v>126.4627659567059</v>
                </pt>
                <pt idx="205">
                  <v>126.9946808515041</v>
                </pt>
                <pt idx="206">
                  <v>127.6595744683397</v>
                </pt>
                <pt idx="207">
                  <v>126.4627659567059</v>
                </pt>
                <pt idx="208">
                  <v>128.7234042552767</v>
                </pt>
                <pt idx="209">
                  <v>128.5904255319096</v>
                </pt>
                <pt idx="210">
                  <v>129.5212765954794</v>
                </pt>
                <pt idx="211">
                  <v>129.9202127655808</v>
                </pt>
                <pt idx="212">
                  <v>131.2499999992521</v>
                </pt>
                <pt idx="213">
                  <v>131.3829787239489</v>
                </pt>
                <pt idx="214">
                  <v>131.1170212758849</v>
                </pt>
                <pt idx="215">
                  <v>132.4468085108858</v>
                </pt>
                <pt idx="216">
                  <v>134.4414893613927</v>
                </pt>
                <pt idx="217">
                  <v>134.0425531912913</v>
                </pt>
                <pt idx="218">
                  <v>133.1117021277215</v>
                </pt>
                <pt idx="219">
                  <v>133.3776595744557</v>
                </pt>
                <pt idx="220">
                  <v>130.7180851057836</v>
                </pt>
                <pt idx="221">
                  <v>132.1808510641516</v>
                </pt>
                <pt idx="222">
                  <v>129.9202127655808</v>
                </pt>
                <pt idx="223">
                  <v>132.579787234253</v>
                </pt>
                <pt idx="224">
                  <v>129.5212765954794</v>
                </pt>
                <pt idx="225">
                  <v>126.7287234047699</v>
                </pt>
                <pt idx="226">
                  <v>121.1436170206913</v>
                </pt>
                <pt idx="227">
                  <v>116.6223404248794</v>
                </pt>
                <pt idx="228">
                  <v>107.3138297865215</v>
                </pt>
                <pt idx="229">
                  <v>103.9893617023434</v>
                </pt>
                <pt idx="230">
                  <v>104.3882978724447</v>
                </pt>
                <pt idx="231">
                  <v>101.3297872336712</v>
                </pt>
                <pt idx="232">
                  <v>105.9840425528502</v>
                </pt>
                <pt idx="233">
                  <v>106.781914893053</v>
                </pt>
                <pt idx="234">
                  <v>105.718085106116</v>
                </pt>
                <pt idx="235">
                  <v>107.0478723397872</v>
                </pt>
                <pt idx="236">
                  <v>111.8351063823333</v>
                </pt>
                <pt idx="237">
                  <v>109.4414893617251</v>
                </pt>
                <pt idx="238">
                  <v>110.7712765953963</v>
                </pt>
                <pt idx="239">
                  <v>110.7712765953963</v>
                </pt>
                <pt idx="240">
                  <v>111.8351063823333</v>
                </pt>
                <pt idx="241">
                  <v>110.7712765953963</v>
                </pt>
                <pt idx="242">
                  <v>114.4946808510055</v>
                </pt>
                <pt idx="243">
                  <v>116.6223404248794</v>
                </pt>
                <pt idx="244">
                  <v>120.2127659571215</v>
                </pt>
                <pt idx="245">
                  <v>119.8138297870201</v>
                </pt>
                <pt idx="246">
                  <v>119.0159574468174</v>
                </pt>
                <pt idx="247">
                  <v>121.0106382973242</v>
                </pt>
                <pt idx="248">
                  <v>122.8723404257936</v>
                </pt>
                <pt idx="249">
                  <v>125.5319148931361</v>
                </pt>
                <pt idx="250">
                  <v>124.8670212763004</v>
                </pt>
                <pt idx="251">
                  <v>126.861702128137</v>
                </pt>
                <pt idx="252">
                  <v>126.5957446800731</v>
                </pt>
                <pt idx="253">
                  <v>128.0585106384411</v>
                </pt>
                <pt idx="254">
                  <v>128.8563829786438</v>
                </pt>
                <pt idx="255">
                  <v>129.6542553188466</v>
                </pt>
                <pt idx="256">
                  <v>131.2499999992521</v>
                </pt>
                <pt idx="257">
                  <v>129.1223404253781</v>
                </pt>
                <pt idx="258">
                  <v>133.1117021277215</v>
                </pt>
                <pt idx="259">
                  <v>132.0478723407845</v>
                </pt>
                <pt idx="260">
                  <v>130.0531914889479</v>
                </pt>
                <pt idx="261">
                  <v>131.515957447316</v>
                </pt>
                <pt idx="262">
                  <v>130.5851063824164</v>
                </pt>
                <pt idx="263">
                  <v>128.7234042552767</v>
                </pt>
                <pt idx="264">
                  <v>129.3882978721123</v>
                </pt>
                <pt idx="265">
                  <v>129.2553191487452</v>
                </pt>
                <pt idx="266">
                  <v>130.8510638291507</v>
                </pt>
                <pt idx="267">
                  <v>128.4574468085425</v>
                </pt>
                <pt idx="268">
                  <v>130.9840425525178</v>
                </pt>
                <pt idx="269">
                  <v>129.3882978721123</v>
                </pt>
                <pt idx="270">
                  <v>130.8510638291507</v>
                </pt>
                <pt idx="271">
                  <v>130.8510638291507</v>
                </pt>
                <pt idx="272">
                  <v>129.1223404253781</v>
                </pt>
                <pt idx="273">
                  <v>127.3936170216055</v>
                </pt>
                <pt idx="274">
                  <v>126.4627659567059</v>
                </pt>
                <pt idx="275">
                  <v>127.5265957449726</v>
                </pt>
                <pt idx="276">
                  <v>125.9308510632374</v>
                </pt>
                <pt idx="277">
                  <v>126.9946808515041</v>
                </pt>
                <pt idx="278">
                  <v>128.7234042552767</v>
                </pt>
                <pt idx="279">
                  <v>129.1223404253781</v>
                </pt>
                <pt idx="280">
                  <v>128.3244680851753</v>
                </pt>
                <pt idx="281">
                  <v>130.5851063824164</v>
                </pt>
                <pt idx="282">
                  <v>128.3244680851753</v>
                </pt>
                <pt idx="283">
                  <v>131.2499999992521</v>
                </pt>
                <pt idx="284">
                  <v>130.5851063824164</v>
                </pt>
                <pt idx="285">
                  <v>129.6542553188466</v>
                </pt>
                <pt idx="286">
                  <v>132.579787234253</v>
                </pt>
                <pt idx="287">
                  <v>132.7127659576201</v>
                </pt>
                <pt idx="288">
                  <v>132.0478723407845</v>
                </pt>
                <pt idx="289">
                  <v>132.1808510641516</v>
                </pt>
                <pt idx="290">
                  <v>132.7127659576201</v>
                </pt>
                <pt idx="291">
                  <v>132.1808510641516</v>
                </pt>
                <pt idx="292">
                  <v>131.2499999992521</v>
                </pt>
                <pt idx="293">
                  <v>131.3829787239489</v>
                </pt>
                <pt idx="294">
                  <v>134.1755319146584</v>
                </pt>
                <pt idx="295">
                  <v>128.5904255319096</v>
                </pt>
                <pt idx="296">
                  <v>131.7819148940502</v>
                </pt>
                <pt idx="297">
                  <v>132.0478723407845</v>
                </pt>
                <pt idx="298">
                  <v>132.1808510641516</v>
                </pt>
                <pt idx="299">
                  <v>134.4414893613927</v>
                </pt>
                <pt idx="300">
                  <v>130.8510638291507</v>
                </pt>
                <pt idx="301">
                  <v>132.0478723407845</v>
                </pt>
                <pt idx="302">
                  <v>131.9148936174173</v>
                </pt>
                <pt idx="303">
                  <v>133.1117021277215</v>
                </pt>
                <pt idx="304">
                  <v>133.6436170211899</v>
                </pt>
                <pt idx="305">
                  <v>133.2446808510886</v>
                </pt>
                <pt idx="306">
                  <v>135.1063829782283</v>
                </pt>
                <pt idx="307">
                  <v>131.6489361706831</v>
                </pt>
                <pt idx="308">
                  <v>131.9148936174173</v>
                </pt>
                <pt idx="309">
                  <v>133.3776595744557</v>
                </pt>
                <pt idx="310">
                  <v>131.6489361706831</v>
                </pt>
                <pt idx="311">
                  <v>132.8457446809872</v>
                </pt>
                <pt idx="312">
                  <v>134.5744680847598</v>
                </pt>
                <pt idx="313">
                  <v>134.5744680847598</v>
                </pt>
                <pt idx="314">
                  <v>133.2446808510886</v>
                </pt>
                <pt idx="315">
                  <v>134.3085106380256</v>
                </pt>
                <pt idx="316">
                  <v>131.6489361706831</v>
                </pt>
                <pt idx="317">
                  <v>134.5744680847598</v>
                </pt>
                <pt idx="318">
                  <v>132.4468085108858</v>
                </pt>
                <pt idx="319">
                  <v>134.7074468081269</v>
                </pt>
                <pt idx="320">
                  <v>134.3085106380256</v>
                </pt>
                <pt idx="321">
                  <v>135.3723404249625</v>
                </pt>
                <pt idx="322">
                  <v>134.8404255314941</v>
                </pt>
                <pt idx="323">
                  <v>132.3138297875187</v>
                </pt>
                <pt idx="324">
                  <v>134.1755319146584</v>
                </pt>
                <pt idx="325">
                  <v>135.7712765950639</v>
                </pt>
                <pt idx="326">
                  <v>135.1063829782283</v>
                </pt>
                <pt idx="327">
                  <v>137.2340425534319</v>
                </pt>
                <pt idx="328">
                  <v>137.5000000001662</v>
                </pt>
                <pt idx="329">
                  <v>137.6329787235333</v>
                </pt>
                <pt idx="330">
                  <v>138.5638297871032</v>
                </pt>
                <pt idx="331">
                  <v>141.4893617025096</v>
                </pt>
                <pt idx="332">
                  <v>140.1595744675087</v>
                </pt>
                <pt idx="333">
                  <v>138.0319148936347</v>
                </pt>
                <pt idx="334">
                  <v>143.0851063829151</v>
                </pt>
                <pt idx="335">
                  <v>142.2872340427123</v>
                </pt>
                <pt idx="336">
                  <v>141.6223404258767</v>
                </pt>
                <pt idx="337">
                  <v>139.0957446805717</v>
                </pt>
                <pt idx="338">
                  <v>140.8244680843443</v>
                </pt>
                <pt idx="339">
                  <v>140.1595744675087</v>
                </pt>
                <pt idx="340">
                  <v>142.4202127660795</v>
                </pt>
                <pt idx="341">
                  <v>142.2872340427123</v>
                </pt>
                <pt idx="342">
                  <v>139.2287234039388</v>
                </pt>
                <pt idx="343">
                  <v>140.5585106376101</v>
                </pt>
                <pt idx="344">
                  <v>139.6276595740402</v>
                </pt>
                <pt idx="345">
                  <v>139.6276595740402</v>
                </pt>
                <pt idx="346">
                  <v>136.9680851066977</v>
                </pt>
                <pt idx="347">
                  <v>138.1648936170018</v>
                </pt>
                <pt idx="348">
                  <v>137.7659574469005</v>
                </pt>
                <pt idx="349">
                  <v>137.7659574469005</v>
                </pt>
                <pt idx="350">
                  <v>138.8297872338374</v>
                </pt>
                <pt idx="351">
                  <v>136.7021276599635</v>
                </pt>
                <pt idx="352">
                  <v>137.6329787235333</v>
                </pt>
                <pt idx="353">
                  <v>136.4361702132292</v>
                </pt>
                <pt idx="354">
                  <v>135.6382978716968</v>
                </pt>
                <pt idx="355">
                  <v>135.9042553184311</v>
                </pt>
                <pt idx="356">
                  <v>134.8404255314941</v>
                </pt>
                <pt idx="357">
                  <v>133.9095744679242</v>
                </pt>
                <pt idx="358">
                  <v>134.0425531912913</v>
                </pt>
                <pt idx="359">
                  <v>130.9840425525178</v>
                </pt>
                <pt idx="360">
                  <v>134.9734042548612</v>
                </pt>
                <pt idx="361">
                  <v>136.7021276599635</v>
                </pt>
                <pt idx="362">
                  <v>121.6755319141598</v>
                </pt>
                <pt idx="363">
                  <v>94.54787234061827</v>
                </pt>
                <pt idx="364">
                  <v>106.1170212762174</v>
                </pt>
                <pt idx="365">
                  <v>119.0159574468174</v>
                </pt>
                <pt idx="366">
                  <v>121.808510637527</v>
                </pt>
                <pt idx="367">
                  <v>120.6117021272228</v>
                </pt>
                <pt idx="368">
                  <v>124.4680851061991</v>
                </pt>
                <pt idx="369">
                  <v>129.2553191487452</v>
                </pt>
                <pt idx="370">
                  <v>131.1170212758849</v>
                </pt>
                <pt idx="371">
                  <v>131.2499999992521</v>
                </pt>
                <pt idx="372">
                  <v>130.5851063824164</v>
                </pt>
                <pt idx="373">
                  <v>128.9893617020109</v>
                </pt>
                <pt idx="374">
                  <v>130.9840425525178</v>
                </pt>
                <pt idx="375">
                  <v>130.3191489356822</v>
                </pt>
                <pt idx="376">
                  <v>128.9893617020109</v>
                </pt>
                <pt idx="377">
                  <v>128.0585106384411</v>
                </pt>
                <pt idx="378">
                  <v>129.6542553188466</v>
                </pt>
                <pt idx="379">
                  <v>123.5372340426292</v>
                </pt>
                <pt idx="380">
                  <v>123.271276595895</v>
                </pt>
                <pt idx="381">
                  <v>127.5265957449726</v>
                </pt>
                <pt idx="382">
                  <v>128.4574468085425</v>
                </pt>
                <pt idx="383">
                  <v>130.0531914889479</v>
                </pt>
                <pt idx="384">
                  <v>130.4521276590493</v>
                </pt>
                <pt idx="385">
                  <v>130.5851063824164</v>
                </pt>
                <pt idx="386">
                  <v>124.335106382832</v>
                </pt>
                <pt idx="387">
                  <v>126.1968085099717</v>
                </pt>
                <pt idx="388">
                  <v>126.9946808515041</v>
                </pt>
                <pt idx="389">
                  <v>128.7234042552767</v>
                </pt>
                <pt idx="390">
                  <v>127.6595744683397</v>
                </pt>
                <pt idx="391">
                  <v>127.1276595748712</v>
                </pt>
                <pt idx="392">
                  <v>128.8563829786438</v>
                </pt>
                <pt idx="393">
                  <v>128.1914893618082</v>
                </pt>
                <pt idx="394">
                  <v>129.1223404253781</v>
                </pt>
                <pt idx="395">
                  <v>126.4627659567059</v>
                </pt>
                <pt idx="396">
                  <v>#N/A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World'!$A$2:$A$410</f>
              <numCache>
                <formatCode>mmm\-yy</formatCode>
                <ptCount val="409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  <pt idx="395">
                  <v>44896</v>
                </pt>
                <pt idx="396">
                  <v>44927</v>
                </pt>
              </numCache>
            </numRef>
          </cat>
          <val>
            <numRef>
              <f>'IP World'!$K$2:$K$399</f>
              <numCache>
                <formatCode>0.00</formatCode>
                <ptCount val="398"/>
                <pt idx="0">
                  <v>85.35423646739338</v>
                </pt>
                <pt idx="1">
                  <v>83.21918682338915</v>
                </pt>
                <pt idx="2">
                  <v>84.08662357146622</v>
                </pt>
                <pt idx="3">
                  <v>85.23012879240915</v>
                </pt>
                <pt idx="4">
                  <v>84.33108206298064</v>
                </pt>
                <pt idx="5">
                  <v>86.53483992099596</v>
                </pt>
                <pt idx="6">
                  <v>83.95594711534014</v>
                </pt>
                <pt idx="7">
                  <v>82.86362347049329</v>
                </pt>
                <pt idx="8">
                  <v>85.74437088093048</v>
                </pt>
                <pt idx="9">
                  <v>82.31548321681269</v>
                </pt>
                <pt idx="10">
                  <v>84.98381602520369</v>
                </pt>
                <pt idx="11">
                  <v>84.5691158441104</v>
                </pt>
                <pt idx="12">
                  <v>84.65614562727812</v>
                </pt>
                <pt idx="13">
                  <v>83.31141756173716</v>
                </pt>
                <pt idx="14">
                  <v>80.41153670090357</v>
                </pt>
                <pt idx="15">
                  <v>86.41026104958981</v>
                </pt>
                <pt idx="16">
                  <v>82.15608497447843</v>
                </pt>
                <pt idx="17">
                  <v>84.73137685828148</v>
                </pt>
                <pt idx="18">
                  <v>82.65716661948667</v>
                </pt>
                <pt idx="19">
                  <v>82.46538210786653</v>
                </pt>
                <pt idx="20">
                  <v>84.52808363185659</v>
                </pt>
                <pt idx="21">
                  <v>85.03539167734363</v>
                </pt>
                <pt idx="22">
                  <v>84.78711446199544</v>
                </pt>
                <pt idx="23">
                  <v>85.63867291255701</v>
                </pt>
                <pt idx="24">
                  <v>84.30961458854206</v>
                </pt>
                <pt idx="25">
                  <v>84.57252999050992</v>
                </pt>
                <pt idx="26">
                  <v>83.5022698648839</v>
                </pt>
                <pt idx="27">
                  <v>83.46084589463584</v>
                </pt>
                <pt idx="28">
                  <v>82.63152110492472</v>
                </pt>
                <pt idx="29">
                  <v>81.66017127569154</v>
                </pt>
                <pt idx="30">
                  <v>80.80125793604478</v>
                </pt>
                <pt idx="31">
                  <v>80.44365917411375</v>
                </pt>
                <pt idx="32">
                  <v>79.96094311415257</v>
                </pt>
                <pt idx="33">
                  <v>79.36832672561744</v>
                </pt>
                <pt idx="34">
                  <v>78.0055626472425</v>
                </pt>
                <pt idx="35">
                  <v>76.73156422036529</v>
                </pt>
                <pt idx="36">
                  <v>77.8626922204345</v>
                </pt>
                <pt idx="37">
                  <v>76.69605796027342</v>
                </pt>
                <pt idx="38">
                  <v>76.89218777764191</v>
                </pt>
                <pt idx="39">
                  <v>76.48302039972228</v>
                </pt>
                <pt idx="40">
                  <v>77.09508069245253</v>
                </pt>
                <pt idx="41">
                  <v>76.50584585221577</v>
                </pt>
                <pt idx="42">
                  <v>77.24133266840428</v>
                </pt>
                <pt idx="43">
                  <v>76.06370837521672</v>
                </pt>
                <pt idx="44">
                  <v>78.22029098236554</v>
                </pt>
                <pt idx="45">
                  <v>78.78839114383528</v>
                </pt>
                <pt idx="46">
                  <v>79.15359839049441</v>
                </pt>
                <pt idx="47">
                  <v>79.37086288662988</v>
                </pt>
                <pt idx="48">
                  <v>79.13499987358523</v>
                </pt>
                <pt idx="49">
                  <v>81.3439964831632</v>
                </pt>
                <pt idx="50">
                  <v>81.33047028912429</v>
                </pt>
                <pt idx="51">
                  <v>82.60193255498906</v>
                </pt>
                <pt idx="52">
                  <v>82.02368774777878</v>
                </pt>
                <pt idx="53">
                  <v>83.33826475846351</v>
                </pt>
                <pt idx="54">
                  <v>84.40683410951766</v>
                </pt>
                <pt idx="55">
                  <v>84.49898130846839</v>
                </pt>
                <pt idx="56">
                  <v>84.55562224732725</v>
                </pt>
                <pt idx="57">
                  <v>85.39678245650539</v>
                </pt>
                <pt idx="58">
                  <v>86.74179340441171</v>
                </pt>
                <pt idx="59">
                  <v>89.02180253501879</v>
                </pt>
                <pt idx="60">
                  <v>88.61601670539754</v>
                </pt>
                <pt idx="61">
                  <v>87.71990633108703</v>
                </pt>
                <pt idx="62">
                  <v>87.58548977544768</v>
                </pt>
                <pt idx="63">
                  <v>87.97267708731437</v>
                </pt>
                <pt idx="64">
                  <v>88.67772996628129</v>
                </pt>
                <pt idx="65">
                  <v>88.06482428626509</v>
                </pt>
                <pt idx="66">
                  <v>87.66833771509843</v>
                </pt>
                <pt idx="67">
                  <v>87.26339727276313</v>
                </pt>
                <pt idx="68">
                  <v>87.70553474976218</v>
                </pt>
                <pt idx="69">
                  <v>87.0757213265633</v>
                </pt>
                <pt idx="70">
                  <v>87.52293112643262</v>
                </pt>
                <pt idx="71">
                  <v>88.26856258836165</v>
                </pt>
                <pt idx="72">
                  <v>85.42975255558483</v>
                </pt>
                <pt idx="73">
                  <v>85.50330123678097</v>
                </pt>
                <pt idx="74">
                  <v>85.72901960493049</v>
                </pt>
                <pt idx="75">
                  <v>85.12794934438132</v>
                </pt>
                <pt idx="76">
                  <v>86.20412718016357</v>
                </pt>
                <pt idx="77">
                  <v>87.30651201758307</v>
                </pt>
                <pt idx="78">
                  <v>86.30641902485482</v>
                </pt>
                <pt idx="79">
                  <v>86.88381844477915</v>
                </pt>
                <pt idx="80">
                  <v>87.21943714150262</v>
                </pt>
                <pt idx="81">
                  <v>87.30651201758307</v>
                </pt>
                <pt idx="82">
                  <v>88.52302411916088</v>
                </pt>
                <pt idx="83">
                  <v>87.22450946437289</v>
                </pt>
                <pt idx="84">
                  <v>89.56707724314964</v>
                </pt>
                <pt idx="85">
                  <v>88.84680739557193</v>
                </pt>
                <pt idx="86">
                  <v>92.40588727592649</v>
                </pt>
                <pt idx="87">
                  <v>91.89189189230316</v>
                </pt>
                <pt idx="88">
                  <v>91.33055482743018</v>
                </pt>
                <pt idx="89">
                  <v>92.22159287887042</v>
                </pt>
                <pt idx="90">
                  <v>93.16504493273982</v>
                </pt>
                <pt idx="91">
                  <v>94.80594138084805</v>
                </pt>
                <pt idx="92">
                  <v>94.47201345869647</v>
                </pt>
                <pt idx="93">
                  <v>95.25315118071737</v>
                </pt>
                <pt idx="94">
                  <v>94.35535003268035</v>
                </pt>
                <pt idx="95">
                  <v>94.53119055856776</v>
                </pt>
                <pt idx="96">
                  <v>95.86352069972112</v>
                </pt>
                <pt idx="97">
                  <v>97.93049226893164</v>
                </pt>
                <pt idx="98">
                  <v>96.92279079232068</v>
                </pt>
                <pt idx="99">
                  <v>97.52132489101203</v>
                </pt>
                <pt idx="100">
                  <v>97.88315058937276</v>
                </pt>
                <pt idx="101">
                  <v>97.72844474140696</v>
                </pt>
                <pt idx="102">
                  <v>97.56951195785685</v>
                </pt>
                <pt idx="103">
                  <v>97.61516286368925</v>
                </pt>
                <pt idx="104">
                  <v>97.81382884291554</v>
                </pt>
                <pt idx="105">
                  <v>98.91536829304911</v>
                </pt>
                <pt idx="106">
                  <v>98.47914852620627</v>
                </pt>
                <pt idx="107">
                  <v>99.2129445678229</v>
                </pt>
                <pt idx="108">
                  <v>100</v>
                </pt>
                <pt idx="109">
                  <v>98.40729061873661</v>
                </pt>
                <pt idx="110">
                  <v>97.3336489448122</v>
                </pt>
                <pt idx="111">
                  <v>98.97116384462204</v>
                </pt>
                <pt idx="112">
                  <v>98.91536829304911</v>
                </pt>
                <pt idx="113">
                  <v>99.89009967142604</v>
                </pt>
                <pt idx="114">
                  <v>101.2537091362416</v>
                </pt>
                <pt idx="115">
                  <v>100.228254529162</v>
                </pt>
                <pt idx="116">
                  <v>101.3653002393874</v>
                </pt>
                <pt idx="117">
                  <v>101.795602296074</v>
                </pt>
                <pt idx="118">
                  <v>102.4338695904415</v>
                </pt>
                <pt idx="119">
                  <v>103.1439947922787</v>
                </pt>
                <pt idx="120">
                  <v>103.5472444608875</v>
                </pt>
                <pt idx="121">
                  <v>103.9606387743915</v>
                </pt>
                <pt idx="122">
                  <v>104.9083177646906</v>
                </pt>
                <pt idx="123">
                  <v>104.5600182603688</v>
                </pt>
                <pt idx="124">
                  <v>105.4890987329133</v>
                </pt>
                <pt idx="125">
                  <v>104.544801291758</v>
                </pt>
                <pt idx="126">
                  <v>105.3690537585988</v>
                </pt>
                <pt idx="127">
                  <v>104.4196839945732</v>
                </pt>
                <pt idx="128">
                  <v>104.5507190019142</v>
                </pt>
                <pt idx="129">
                  <v>103.4162094535466</v>
                </pt>
                <pt idx="130">
                  <v>105.9811140513291</v>
                </pt>
                <pt idx="131">
                  <v>106.8704613281974</v>
                </pt>
                <pt idx="132">
                  <v>104.3664246040127</v>
                </pt>
                <pt idx="133">
                  <v>104.1491601078773</v>
                </pt>
                <pt idx="134">
                  <v>103.6191023683572</v>
                </pt>
                <pt idx="135">
                  <v>102.6680418297597</v>
                </pt>
                <pt idx="136">
                  <v>104.0536313606281</v>
                </pt>
                <pt idx="137">
                  <v>104.3723423141689</v>
                </pt>
                <pt idx="138">
                  <v>102.824438451452</v>
                </pt>
                <pt idx="139">
                  <v>105.9346177582107</v>
                </pt>
                <pt idx="140">
                  <v>103.8718731245845</v>
                </pt>
                <pt idx="141">
                  <v>103.0636830136404</v>
                </pt>
                <pt idx="142">
                  <v>101.3137316233988</v>
                </pt>
                <pt idx="143">
                  <v>101.3128862361129</v>
                </pt>
                <pt idx="144">
                  <v>102.3544031990892</v>
                </pt>
                <pt idx="145">
                  <v>102.9174310376887</v>
                </pt>
                <pt idx="146">
                  <v>102.6545156357208</v>
                </pt>
                <pt idx="147">
                  <v>103.5404813634454</v>
                </pt>
                <pt idx="148">
                  <v>102.6536702484348</v>
                </pt>
                <pt idx="149">
                  <v>102.6494433128505</v>
                </pt>
                <pt idx="150">
                  <v>103.1330047600976</v>
                </pt>
                <pt idx="151">
                  <v>103.8482022848051</v>
                </pt>
                <pt idx="152">
                  <v>104.1009730410324</v>
                </pt>
                <pt idx="153">
                  <v>104.7248687540751</v>
                </pt>
                <pt idx="154">
                  <v>104.35881612013</v>
                </pt>
                <pt idx="155">
                  <v>103.7078680181641</v>
                </pt>
                <pt idx="156">
                  <v>104.5033773215099</v>
                </pt>
                <pt idx="157">
                  <v>104.8508314385458</v>
                </pt>
                <pt idx="158">
                  <v>104.523666612991</v>
                </pt>
                <pt idx="159">
                  <v>104.793345112401</v>
                </pt>
                <pt idx="160">
                  <v>103.9124517075467</v>
                </pt>
                <pt idx="161">
                  <v>104.2692050830371</v>
                </pt>
                <pt idx="162">
                  <v>104.5769260035514</v>
                </pt>
                <pt idx="163">
                  <v>104.7417764964124</v>
                </pt>
                <pt idx="164">
                  <v>104.1466239468648</v>
                </pt>
                <pt idx="165">
                  <v>105.8822037557816</v>
                </pt>
                <pt idx="166">
                  <v>105.105292969345</v>
                </pt>
                <pt idx="167">
                  <v>104.5617090349406</v>
                </pt>
                <pt idx="168">
                  <v>104.620886134812</v>
                </pt>
                <pt idx="169">
                  <v>105.3343928857929</v>
                </pt>
                <pt idx="170">
                  <v>106.5170895010053</v>
                </pt>
                <pt idx="171">
                  <v>106.1907700635819</v>
                </pt>
                <pt idx="172">
                  <v>106.8079026791824</v>
                </pt>
                <pt idx="173">
                  <v>106.9566908169919</v>
                </pt>
                <pt idx="174">
                  <v>107.1519752470745</v>
                </pt>
                <pt idx="175">
                  <v>105.7427148764266</v>
                </pt>
                <pt idx="176">
                  <v>107.4174268109002</v>
                </pt>
                <pt idx="177">
                  <v>106.479892467187</v>
                </pt>
                <pt idx="178">
                  <v>107.2559578663376</v>
                </pt>
                <pt idx="179">
                  <v>105.0571059016548</v>
                </pt>
                <pt idx="180">
                  <v>105.4612009575496</v>
                </pt>
                <pt idx="181">
                  <v>105.9354631454967</v>
                </pt>
                <pt idx="182">
                  <v>106.6996931243349</v>
                </pt>
                <pt idx="183">
                  <v>107.7259931187004</v>
                </pt>
                <pt idx="184">
                  <v>106.8696159409115</v>
                </pt>
                <pt idx="185">
                  <v>107.3929105838348</v>
                </pt>
                <pt idx="186">
                  <v>107.5222548166039</v>
                </pt>
                <pt idx="187">
                  <v>108.3101556360669</v>
                </pt>
                <pt idx="188">
                  <v>107.886616675977</v>
                </pt>
                <pt idx="189">
                  <v>107.3624766466132</v>
                </pt>
                <pt idx="190">
                  <v>108.7345399825973</v>
                </pt>
                <pt idx="191">
                  <v>109.5917625476722</v>
                </pt>
                <pt idx="192">
                  <v>110.3348578485888</v>
                </pt>
                <pt idx="193">
                  <v>110.1463365151031</v>
                </pt>
                <pt idx="194">
                  <v>110.7288082578977</v>
                </pt>
                <pt idx="195">
                  <v>110.0330546373853</v>
                </pt>
                <pt idx="196">
                  <v>111.4101902970851</v>
                </pt>
                <pt idx="197">
                  <v>111.7796244793286</v>
                </pt>
                <pt idx="198">
                  <v>111.521781400231</v>
                </pt>
                <pt idx="199">
                  <v>111.2563298364053</v>
                </pt>
                <pt idx="200">
                  <v>112.0712830439461</v>
                </pt>
                <pt idx="201">
                  <v>111.8844524850323</v>
                </pt>
                <pt idx="202">
                  <v>113.329219115772</v>
                </pt>
                <pt idx="203">
                  <v>114.7114270983421</v>
                </pt>
                <pt idx="204">
                  <v>113.9412794093477</v>
                </pt>
                <pt idx="205">
                  <v>113.3275283420455</v>
                </pt>
                <pt idx="206">
                  <v>114.713117872914</v>
                </pt>
                <pt idx="207">
                  <v>112.5818968801165</v>
                </pt>
                <pt idx="208">
                  <v>115.2178139980827</v>
                </pt>
                <pt idx="209">
                  <v>115.0969236364823</v>
                </pt>
                <pt idx="210">
                  <v>113.0434782613106</v>
                </pt>
                <pt idx="211">
                  <v>113.1618324610533</v>
                </pt>
                <pt idx="212">
                  <v>113.5904437440134</v>
                </pt>
                <pt idx="213">
                  <v>113.814471337591</v>
                </pt>
                <pt idx="214">
                  <v>112.9682388055426</v>
                </pt>
                <pt idx="215">
                  <v>112.7577374060039</v>
                </pt>
                <pt idx="216">
                  <v>113.1060369094803</v>
                </pt>
                <pt idx="217">
                  <v>113.0147350978155</v>
                </pt>
                <pt idx="218">
                  <v>110.9460727540331</v>
                </pt>
                <pt idx="219">
                  <v>111.6257640186487</v>
                </pt>
                <pt idx="220">
                  <v>108.7692008554032</v>
                </pt>
                <pt idx="221">
                  <v>105.3420013696756</v>
                </pt>
                <pt idx="222">
                  <v>106.9127306848861</v>
                </pt>
                <pt idx="223">
                  <v>104.0908283952919</v>
                </pt>
                <pt idx="224">
                  <v>103.5827507209794</v>
                </pt>
                <pt idx="225">
                  <v>97.40719762600835</v>
                </pt>
                <pt idx="226">
                  <v>95.06801139637535</v>
                </pt>
                <pt idx="227">
                  <v>90.11742427499615</v>
                </pt>
                <pt idx="228">
                  <v>89.28302716241477</v>
                </pt>
                <pt idx="229">
                  <v>89.03110179347338</v>
                </pt>
                <pt idx="230">
                  <v>86.70544175703391</v>
                </pt>
                <pt idx="231">
                  <v>87.45276399353483</v>
                </pt>
                <pt idx="232">
                  <v>86.88719999307753</v>
                </pt>
                <pt idx="233">
                  <v>87.70891629806056</v>
                </pt>
                <pt idx="234">
                  <v>88.54923112079814</v>
                </pt>
                <pt idx="235">
                  <v>88.93303688436644</v>
                </pt>
                <pt idx="236">
                  <v>89.82830187139102</v>
                </pt>
                <pt idx="237">
                  <v>89.60089272866962</v>
                </pt>
                <pt idx="238">
                  <v>89.22892238541374</v>
                </pt>
                <pt idx="239">
                  <v>88.73437090514015</v>
                </pt>
                <pt idx="240">
                  <v>87.96168705513328</v>
                </pt>
                <pt idx="241">
                  <v>87.97014092630192</v>
                </pt>
                <pt idx="242">
                  <v>89.89508745514503</v>
                </pt>
                <pt idx="243">
                  <v>90.20618992480311</v>
                </pt>
                <pt idx="244">
                  <v>89.80040409518186</v>
                </pt>
                <pt idx="245">
                  <v>89.87733432552179</v>
                </pt>
                <pt idx="246">
                  <v>88.86878746162488</v>
                </pt>
                <pt idx="247">
                  <v>88.10962980481155</v>
                </pt>
                <pt idx="248">
                  <v>88.6472960290597</v>
                </pt>
                <pt idx="249">
                  <v>89.18665302787973</v>
                </pt>
                <pt idx="250">
                  <v>91.32041018168965</v>
                </pt>
                <pt idx="251">
                  <v>89.08182502217603</v>
                </pt>
                <pt idx="252">
                  <v>89.4859200772254</v>
                </pt>
                <pt idx="253">
                  <v>89.84098267814399</v>
                </pt>
                <pt idx="254">
                  <v>89.11479512041007</v>
                </pt>
                <pt idx="255">
                  <v>88.69210154845152</v>
                </pt>
                <pt idx="256">
                  <v>87.96506860343167</v>
                </pt>
                <pt idx="257">
                  <v>88.30575962302539</v>
                </pt>
                <pt idx="258">
                  <v>88.48836324635496</v>
                </pt>
                <pt idx="259">
                  <v>88.41735072617125</v>
                </pt>
                <pt idx="260">
                  <v>87.20675633390427</v>
                </pt>
                <pt idx="261">
                  <v>85.93783022989732</v>
                </pt>
                <pt idx="262">
                  <v>85.47963039700153</v>
                </pt>
                <pt idx="263">
                  <v>86.48395032531411</v>
                </pt>
                <pt idx="264">
                  <v>85.12118624778455</v>
                </pt>
                <pt idx="265">
                  <v>84.08727776869094</v>
                </pt>
                <pt idx="266">
                  <v>82.77354614529214</v>
                </pt>
                <pt idx="267">
                  <v>82.10907184928736</v>
                </pt>
                <pt idx="268">
                  <v>82.52500232464914</v>
                </pt>
                <pt idx="269">
                  <v>82.58840636095015</v>
                </pt>
                <pt idx="270">
                  <v>81.96789219620587</v>
                </pt>
                <pt idx="271">
                  <v>83.59526245027516</v>
                </pt>
                <pt idx="272">
                  <v>80.95342762215274</v>
                </pt>
                <pt idx="273">
                  <v>81.359213451774</v>
                </pt>
                <pt idx="274">
                  <v>79.43680308394335</v>
                </pt>
                <pt idx="275">
                  <v>79.77073100609492</v>
                </pt>
                <pt idx="276">
                  <v>80.42844220550296</v>
                </pt>
                <pt idx="277">
                  <v>79.97869624377581</v>
                </pt>
                <pt idx="278">
                  <v>80.64739747621032</v>
                </pt>
                <pt idx="279">
                  <v>79.78594797470572</v>
                </pt>
                <pt idx="280">
                  <v>80.26274632451069</v>
                </pt>
                <pt idx="281">
                  <v>81.00837778643972</v>
                </pt>
                <pt idx="282">
                  <v>81.02274936860996</v>
                </pt>
                <pt idx="283">
                  <v>81.71427605269258</v>
                </pt>
                <pt idx="284">
                  <v>81.43698906939986</v>
                </pt>
                <pt idx="285">
                  <v>80.8190110665134</v>
                </pt>
                <pt idx="286">
                  <v>81.51053775059603</v>
                </pt>
                <pt idx="287">
                  <v>81.72272992470661</v>
                </pt>
                <pt idx="288">
                  <v>81.62128346730131</v>
                </pt>
                <pt idx="289">
                  <v>82.09808181710628</v>
                </pt>
                <pt idx="290">
                  <v>81.56464252844243</v>
                </pt>
                <pt idx="291">
                  <v>82.43877283585462</v>
                </pt>
                <pt idx="292">
                  <v>82.11076262385924</v>
                </pt>
                <pt idx="293">
                  <v>81.70328601966611</v>
                </pt>
                <pt idx="294">
                  <v>81.62466501559967</v>
                </pt>
                <pt idx="295">
                  <v>82.0203061994804</v>
                </pt>
                <pt idx="296">
                  <v>82.22319911429102</v>
                </pt>
                <pt idx="297">
                  <v>81.84362028630704</v>
                </pt>
                <pt idx="298">
                  <v>81.50800158958357</v>
                </pt>
                <pt idx="299">
                  <v>81.70244063322556</v>
                </pt>
                <pt idx="300">
                  <v>81.87659038454109</v>
                </pt>
                <pt idx="301">
                  <v>82.94093280001091</v>
                </pt>
                <pt idx="302">
                  <v>83.55637464188493</v>
                </pt>
                <pt idx="303">
                  <v>84.33751236390583</v>
                </pt>
                <pt idx="304">
                  <v>85.32746071089356</v>
                </pt>
                <pt idx="305">
                  <v>85.48808426817018</v>
                </pt>
                <pt idx="306">
                  <v>86.28782050794564</v>
                </pt>
                <pt idx="307">
                  <v>84.36287397825716</v>
                </pt>
                <pt idx="308">
                  <v>85.53880749687283</v>
                </pt>
                <pt idx="309">
                  <v>85.00705898278088</v>
                </pt>
                <pt idx="310">
                  <v>84.95041804392203</v>
                </pt>
                <pt idx="311">
                  <v>84.79063987393135</v>
                </pt>
                <pt idx="312">
                  <v>86.09338146430366</v>
                </pt>
                <pt idx="313">
                  <v>85.76706202603479</v>
                </pt>
                <pt idx="314">
                  <v>86.53382816673083</v>
                </pt>
                <pt idx="315">
                  <v>86.69529711129339</v>
                </pt>
                <pt idx="316">
                  <v>84.83544539247781</v>
                </pt>
                <pt idx="317">
                  <v>85.09497924614729</v>
                </pt>
                <pt idx="318">
                  <v>85.20910651030557</v>
                </pt>
                <pt idx="319">
                  <v>86.34192528494668</v>
                </pt>
                <pt idx="320">
                  <v>86.1457954675782</v>
                </pt>
                <pt idx="321">
                  <v>86.3765861577526</v>
                </pt>
                <pt idx="322">
                  <v>87.27016037020528</v>
                </pt>
                <pt idx="323">
                  <v>87.29298582269878</v>
                </pt>
                <pt idx="324">
                  <v>88.12146522512396</v>
                </pt>
                <pt idx="325">
                  <v>87.48657947905483</v>
                </pt>
                <pt idx="326">
                  <v>87.32849208279063</v>
                </pt>
                <pt idx="327">
                  <v>87.32426514720632</v>
                </pt>
                <pt idx="328">
                  <v>88.32351275264864</v>
                </pt>
                <pt idx="329">
                  <v>88.32520352722052</v>
                </pt>
                <pt idx="330">
                  <v>88.10455748194127</v>
                </pt>
                <pt idx="331">
                  <v>88.45370237354905</v>
                </pt>
                <pt idx="332">
                  <v>89.0294110189015</v>
                </pt>
                <pt idx="333">
                  <v>89.96187303974442</v>
                </pt>
                <pt idx="334">
                  <v>90.99409074426616</v>
                </pt>
                <pt idx="335">
                  <v>92.47774518339615</v>
                </pt>
                <pt idx="336">
                  <v>89.09027889334469</v>
                </pt>
                <pt idx="337">
                  <v>90.08699033777457</v>
                </pt>
                <pt idx="338">
                  <v>91.05918555429368</v>
                </pt>
                <pt idx="339">
                  <v>89.02095714773284</v>
                </pt>
                <pt idx="340">
                  <v>89.32445113266283</v>
                </pt>
                <pt idx="341">
                  <v>88.35986440002644</v>
                </pt>
                <pt idx="342">
                  <v>88.43425846850855</v>
                </pt>
                <pt idx="343">
                  <v>89.10803202381331</v>
                </pt>
                <pt idx="344">
                  <v>89.00827634013449</v>
                </pt>
                <pt idx="345">
                  <v>89.81900261209104</v>
                </pt>
                <pt idx="346">
                  <v>88.45623853456149</v>
                </pt>
                <pt idx="347">
                  <v>88.15697148521582</v>
                </pt>
                <pt idx="348">
                  <v>90.75569156936368</v>
                </pt>
                <pt idx="349">
                  <v>90.14701282493181</v>
                </pt>
                <pt idx="350">
                  <v>89.88071587382017</v>
                </pt>
                <pt idx="351">
                  <v>90.0320401726422</v>
                </pt>
                <pt idx="352">
                  <v>90.2594493153636</v>
                </pt>
                <pt idx="353">
                  <v>89.65753366752848</v>
                </pt>
                <pt idx="354">
                  <v>88.99475014609558</v>
                </pt>
                <pt idx="355">
                  <v>89.63639898876148</v>
                </pt>
                <pt idx="356">
                  <v>89.19341612532187</v>
                </pt>
                <pt idx="357">
                  <v>88.96008927328965</v>
                </pt>
                <pt idx="358">
                  <v>89.81815722565048</v>
                </pt>
                <pt idx="359">
                  <v>88.76480484236174</v>
                </pt>
                <pt idx="360">
                  <v>89.31853342250663</v>
                </pt>
                <pt idx="361">
                  <v>89.10380508738359</v>
                </pt>
                <pt idx="362">
                  <v>77.32671676991286</v>
                </pt>
                <pt idx="363">
                  <v>59.3191251931841</v>
                </pt>
                <pt idx="364">
                  <v>68.55075281706746</v>
                </pt>
                <pt idx="365">
                  <v>76.22264115876685</v>
                </pt>
                <pt idx="366">
                  <v>82.22150833971915</v>
                </pt>
                <pt idx="367">
                  <v>84.65706870473257</v>
                </pt>
                <pt idx="368">
                  <v>86.14241391843444</v>
                </pt>
                <pt idx="369">
                  <v>87.37245221489654</v>
                </pt>
                <pt idx="370">
                  <v>86.53636432858866</v>
                </pt>
                <pt idx="371">
                  <v>87.44346473508024</v>
                </pt>
                <pt idx="372">
                  <v>87.26593343462096</v>
                </pt>
                <pt idx="373">
                  <v>87.14588845946108</v>
                </pt>
                <pt idx="374">
                  <v>88.03946267191375</v>
                </pt>
                <pt idx="375">
                  <v>87.73681407426972</v>
                </pt>
                <pt idx="376">
                  <v>86.13565082183767</v>
                </pt>
                <pt idx="377">
                  <v>84.98423353028738</v>
                </pt>
                <pt idx="378">
                  <v>85.28857290250332</v>
                </pt>
                <pt idx="379">
                  <v>85.64025395427814</v>
                </pt>
                <pt idx="380">
                  <v>86.75362882472413</v>
                </pt>
                <pt idx="381">
                  <v>87.30989356588145</v>
                </pt>
                <pt idx="382">
                  <v>89.53241637034373</v>
                </pt>
                <pt idx="383">
                  <v>89.09873276451333</v>
                </pt>
                <pt idx="384">
                  <v>88.86709668705299</v>
                </pt>
                <pt idx="385">
                  <v>89.80547641805212</v>
                </pt>
                <pt idx="386">
                  <v>87.93970698908034</v>
                </pt>
                <pt idx="387">
                  <v>89.93904758725091</v>
                </pt>
                <pt idx="388">
                  <v>89.85112732388451</v>
                </pt>
                <pt idx="389">
                  <v>90.80641479806633</v>
                </pt>
                <pt idx="390">
                  <v>89.79279561129916</v>
                </pt>
                <pt idx="391">
                  <v>89.99737929983627</v>
                </pt>
                <pt idx="392">
                  <v>89.7496808664792</v>
                </pt>
                <pt idx="393">
                  <v>89.45041381713354</v>
                </pt>
                <pt idx="394">
                  <v>88.92120146405404</v>
                </pt>
                <pt idx="395">
                  <v>89.60004734222906</v>
                </pt>
                <pt idx="396">
                  <v>#N/A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World'!$A$2:$A$410</f>
              <numCache>
                <formatCode>mmm\-yy</formatCode>
                <ptCount val="409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  <pt idx="395">
                  <v>44896</v>
                </pt>
                <pt idx="396">
                  <v>44927</v>
                </pt>
              </numCache>
            </numRef>
          </cat>
          <val>
            <numRef>
              <f>'IP World'!$L$2:$L$410</f>
              <numCache>
                <formatCode>0.00</formatCode>
                <ptCount val="409"/>
                <pt idx="0">
                  <v>88.1400560966931</v>
                </pt>
                <pt idx="1">
                  <v>89.17249003406701</v>
                </pt>
                <pt idx="2">
                  <v>88.91704246250924</v>
                </pt>
                <pt idx="3">
                  <v>89.27892652314725</v>
                </pt>
                <pt idx="4">
                  <v>89.2576392253312</v>
                </pt>
                <pt idx="5">
                  <v>88.68288218765012</v>
                </pt>
                <pt idx="6">
                  <v>89.02347895047208</v>
                </pt>
                <pt idx="7">
                  <v>89.61952328596921</v>
                </pt>
                <pt idx="8">
                  <v>90.06655653787142</v>
                </pt>
                <pt idx="9">
                  <v>90.24749856819042</v>
                </pt>
                <pt idx="10">
                  <v>89.39600666001812</v>
                </pt>
                <pt idx="11">
                  <v>90.3326477583372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86.81564245875478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84.91620111700631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91.39664804445678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107.1508379887182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105.139664804915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108.9385474861771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109.9441340780787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118.5474860336219</v>
                </pt>
                <pt idx="204">
                  <v>117.9888268155264</v>
                </pt>
                <pt idx="205">
                  <v>118.7709497210837</v>
                </pt>
                <pt idx="206">
                  <v>119.3296089391792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121.1173184355207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118.4357541904498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108.4916201123711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111.3966480449037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110.0558659223683</v>
                </pt>
                <pt idx="272">
                  <v>107.8212290499859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108.3798882680815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112.0670391061715</v>
                </pt>
                <pt idx="302">
                  <v>112.1787709493436</v>
                </pt>
                <pt idx="303">
                  <v>111.0614525142699</v>
                </pt>
                <pt idx="304">
                  <v>111.8435754187097</v>
                </pt>
                <pt idx="305">
                  <v>112.1787709493436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112.6256983242671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112.4022346368053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114.9720670398215</v>
                </pt>
                <pt idx="322">
                  <v>114.7486033523598</v>
                </pt>
                <pt idx="323">
                  <v>114.5251396648981</v>
                </pt>
                <pt idx="324">
                  <v>113.9664804468025</v>
                </pt>
                <pt idx="325">
                  <v>114.7486033523598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116.8715083804526</v>
                </pt>
                <pt idx="331">
                  <v>117.8770949723542</v>
                </pt>
                <pt idx="332">
                  <v>117.2067039110865</v>
                </pt>
                <pt idx="333">
                  <v>118.3240223461602</v>
                </pt>
                <pt idx="334">
                  <v>120.446927374253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117.0949720667969</v>
                </pt>
                <pt idx="340">
                  <v>118.7709497210837</v>
                </pt>
                <pt idx="341">
                  <v>118.5474860336219</v>
                </pt>
                <pt idx="342">
                  <v>116.759776536163</v>
                </pt>
                <pt idx="343">
                  <v>118.6592178767941</v>
                </pt>
                <pt idx="344">
                  <v>117.6536312848925</v>
                </pt>
                <pt idx="345">
                  <v>118.7709497210837</v>
                </pt>
                <pt idx="346">
                  <v>116.5363128498187</v>
                </pt>
                <pt idx="347">
                  <v>116.8715083804526</v>
                </pt>
                <pt idx="348">
                  <v>118.1005586598159</v>
                </pt>
                <pt idx="349">
                  <v>117.8770949723542</v>
                </pt>
                <pt idx="350">
                  <v>117.8770949723542</v>
                </pt>
                <pt idx="351">
                  <v>117.2067039110865</v>
                </pt>
                <pt idx="352">
                  <v>117.765363129182</v>
                </pt>
                <pt idx="353">
                  <v>116.759776536163</v>
                </pt>
                <pt idx="354">
                  <v>116.0893854748953</v>
                </pt>
                <pt idx="355">
                  <v>116.6480446929909</v>
                </pt>
                <pt idx="356">
                  <v>116.759776536163</v>
                </pt>
                <pt idx="357">
                  <v>117.4301675974308</v>
                </pt>
                <pt idx="358">
                  <v>115.8659217874336</v>
                </pt>
                <pt idx="359">
                  <v>113.8547486036304</v>
                </pt>
                <pt idx="360">
                  <v>116.5363128498187</v>
                </pt>
                <pt idx="361">
                  <v>116.2011173180674</v>
                </pt>
                <pt idx="362">
                  <v>103.5754189949178</v>
                </pt>
                <pt idx="363">
                  <v>83.57541899447084</v>
                </pt>
                <pt idx="364">
                  <v>95.4189944131806</v>
                </pt>
                <pt idx="365">
                  <v>104.9162011174533</v>
                </pt>
                <pt idx="366">
                  <v>109.3854748599831</v>
                </pt>
                <pt idx="367">
                  <v>109.7206703917344</v>
                </pt>
                <pt idx="368">
                  <v>110.3910614530021</v>
                </pt>
                <pt idx="369">
                  <v>113.4078212287069</v>
                </pt>
                <pt idx="370">
                  <v>117.0949720667969</v>
                </pt>
                <pt idx="371">
                  <v>117.2067039110865</v>
                </pt>
                <pt idx="372">
                  <v>118.3240223461602</v>
                </pt>
                <pt idx="373">
                  <v>116.5363128498187</v>
                </pt>
                <pt idx="374">
                  <v>117.5418994417203</v>
                </pt>
                <pt idx="375">
                  <v>118.2122905029881</v>
                </pt>
                <pt idx="376">
                  <v>116.312849162357</v>
                </pt>
                <pt idx="377">
                  <v>116.5363128498187</v>
                </pt>
                <pt idx="378">
                  <v>118.6592178767941</v>
                </pt>
                <pt idx="379">
                  <v>115.0837988829937</v>
                </pt>
                <pt idx="380">
                  <v>114.413407821726</v>
                </pt>
                <pt idx="381">
                  <v>113.8547486036304</v>
                </pt>
                <pt idx="382">
                  <v>115.8659217874336</v>
                </pt>
                <pt idx="383">
                  <v>119.5530726255235</v>
                </pt>
                <pt idx="384">
                  <v>117.5418994417203</v>
                </pt>
                <pt idx="385">
                  <v>117.9888268155264</v>
                </pt>
                <pt idx="386">
                  <v>116.4245810055292</v>
                </pt>
                <pt idx="387">
                  <v>115.8659217874336</v>
                </pt>
                <pt idx="388">
                  <v>117.765363129182</v>
                </pt>
                <pt idx="389">
                  <v>119.2178770948897</v>
                </pt>
                <pt idx="390">
                  <v>115.8659217874336</v>
                </pt>
                <pt idx="391">
                  <v>118.3240223461602</v>
                </pt>
                <pt idx="392">
                  <v>119.2178770948897</v>
                </pt>
                <pt idx="393">
                  <v>116.8715083804526</v>
                </pt>
                <pt idx="394">
                  <v>118.5474860336219</v>
                </pt>
                <pt idx="395">
                  <v>117.2067039110865</v>
                </pt>
                <pt idx="396">
                  <v>#N/A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World'!$A$2:$A$410</f>
              <numCache>
                <formatCode>mmm\-yy</formatCode>
                <ptCount val="409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  <pt idx="395">
                  <v>44896</v>
                </pt>
                <pt idx="396">
                  <v>44927</v>
                </pt>
              </numCache>
            </numRef>
          </cat>
          <val>
            <numRef>
              <f>'IP World'!$M$2:$M$399</f>
              <numCache>
                <formatCode>0.00</formatCode>
                <ptCount val="398"/>
                <pt idx="0">
                  <v>84.86187845305477</v>
                </pt>
                <pt idx="1">
                  <v>84.30939226506565</v>
                </pt>
                <pt idx="2">
                  <v>85.52486187822522</v>
                </pt>
                <pt idx="3">
                  <v>86.07734806621434</v>
                </pt>
                <pt idx="4">
                  <v>85.52486187822522</v>
                </pt>
                <pt idx="5">
                  <v>86.85082872960737</v>
                </pt>
                <pt idx="6">
                  <v>84.75138121587345</v>
                </pt>
                <pt idx="7">
                  <v>84.86187845305477</v>
                </pt>
                <pt idx="8">
                  <v>84.41988950328822</v>
                </pt>
                <pt idx="9">
                  <v>84.30939226506565</v>
                </pt>
                <pt idx="10">
                  <v>83.8674033152991</v>
                </pt>
                <pt idx="11">
                  <v>83.4254143644913</v>
                </pt>
                <pt idx="12">
                  <v>83.2044198890874</v>
                </pt>
                <pt idx="13">
                  <v>83.2044198890874</v>
                </pt>
                <pt idx="14">
                  <v>82.32044198851305</v>
                </pt>
                <pt idx="15">
                  <v>81.21546961357606</v>
                </pt>
                <pt idx="16">
                  <v>82.20994475133173</v>
                </pt>
                <pt idx="17">
                  <v>82.43093922673563</v>
                </pt>
                <pt idx="18">
                  <v>81.76795580156519</v>
                </pt>
                <pt idx="19">
                  <v>80.88397790099084</v>
                </pt>
                <pt idx="20">
                  <v>80.99447513817216</v>
                </pt>
                <pt idx="21">
                  <v>81.98895027592785</v>
                </pt>
                <pt idx="22">
                  <v>82.20994475133173</v>
                </pt>
                <pt idx="23">
                  <v>81.87845303874651</v>
                </pt>
                <pt idx="24">
                  <v>81.87845303874651</v>
                </pt>
                <pt idx="25">
                  <v>82.32044198851305</v>
                </pt>
                <pt idx="26">
                  <v>81.98895027592785</v>
                </pt>
                <pt idx="27">
                  <v>82.54143646391697</v>
                </pt>
                <pt idx="28">
                  <v>80.88397790099084</v>
                </pt>
                <pt idx="29">
                  <v>81.65745856334262</v>
                </pt>
                <pt idx="30">
                  <v>82.43093922673563</v>
                </pt>
                <pt idx="31">
                  <v>82.32044198851305</v>
                </pt>
                <pt idx="32">
                  <v>82.87292817650219</v>
                </pt>
                <pt idx="33">
                  <v>83.75690607707652</v>
                </pt>
                <pt idx="34">
                  <v>82.65193370213953</v>
                </pt>
                <pt idx="35">
                  <v>82.54143646391697</v>
                </pt>
                <pt idx="36">
                  <v>82.65193370213953</v>
                </pt>
                <pt idx="37">
                  <v>83.8674033152991</v>
                </pt>
                <pt idx="38">
                  <v>83.09392265190608</v>
                </pt>
                <pt idx="39">
                  <v>83.2044198890874</v>
                </pt>
                <pt idx="40">
                  <v>83.8674033152991</v>
                </pt>
                <pt idx="41">
                  <v>83.31491712730997</v>
                </pt>
                <pt idx="42">
                  <v>84.08839778966176</v>
                </pt>
                <pt idx="43">
                  <v>84.30939226506565</v>
                </pt>
                <pt idx="44">
                  <v>84.64088397765089</v>
                </pt>
                <pt idx="45">
                  <v>84.86187845305477</v>
                </pt>
                <pt idx="46">
                  <v>85.6353591164478</v>
                </pt>
                <pt idx="47">
                  <v>85.85635359081046</v>
                </pt>
                <pt idx="48">
                  <v>86.40883977879957</v>
                </pt>
                <pt idx="49">
                  <v>86.62983425420347</v>
                </pt>
                <pt idx="50">
                  <v>87.07182320501126</v>
                </pt>
                <pt idx="51">
                  <v>88.17679557994826</v>
                </pt>
                <pt idx="52">
                  <v>89.28176795592651</v>
                </pt>
                <pt idx="53">
                  <v>88.28729281817084</v>
                </pt>
                <pt idx="54">
                  <v>88.72928176793738</v>
                </pt>
                <pt idx="55">
                  <v>89.06077348052261</v>
                </pt>
                <pt idx="56">
                  <v>89.83425414391563</v>
                </pt>
                <pt idx="57">
                  <v>90.05524861931953</v>
                </pt>
                <pt idx="58">
                  <v>89.94475138109695</v>
                </pt>
                <pt idx="59">
                  <v>90.82872928167131</v>
                </pt>
                <pt idx="60">
                  <v>89.28176795592651</v>
                </pt>
                <pt idx="61">
                  <v>89.39226519310783</v>
                </pt>
                <pt idx="62">
                  <v>89.61325966851174</v>
                </pt>
                <pt idx="63">
                  <v>90.38674033190476</v>
                </pt>
                <pt idx="64">
                  <v>90.27624309368218</v>
                </pt>
                <pt idx="65">
                  <v>89.72375690569307</v>
                </pt>
                <pt idx="66">
                  <v>90.27624309368218</v>
                </pt>
                <pt idx="67">
                  <v>90.38674033190476</v>
                </pt>
                <pt idx="68">
                  <v>90.71823204448998</v>
                </pt>
                <pt idx="69">
                  <v>90.38674033190476</v>
                </pt>
                <pt idx="70">
                  <v>90.82872928167131</v>
                </pt>
                <pt idx="71">
                  <v>91.38121546966042</v>
                </pt>
                <pt idx="72">
                  <v>90.93922651989388</v>
                </pt>
                <pt idx="73">
                  <v>91.60220994506433</v>
                </pt>
                <pt idx="74">
                  <v>91.71270718224565</v>
                </pt>
                <pt idx="75">
                  <v>90.6077348062674</v>
                </pt>
                <pt idx="76">
                  <v>91.2707182324791</v>
                </pt>
                <pt idx="77">
                  <v>90.71823204448998</v>
                </pt>
                <pt idx="78">
                  <v>90.6077348062674</v>
                </pt>
                <pt idx="79">
                  <v>91.2707182324791</v>
                </pt>
                <pt idx="80">
                  <v>91.82320442046823</v>
                </pt>
                <pt idx="81">
                  <v>91.71270718224565</v>
                </pt>
                <pt idx="82">
                  <v>92.26519337023478</v>
                </pt>
                <pt idx="83">
                  <v>92.70718232104257</v>
                </pt>
                <pt idx="84">
                  <v>92.70718232104257</v>
                </pt>
                <pt idx="85">
                  <v>93.25966850799044</v>
                </pt>
                <pt idx="86">
                  <v>92.48618784563867</v>
                </pt>
                <pt idx="87">
                  <v>92.59668508281999</v>
                </pt>
                <pt idx="88">
                  <v>92.59668508281999</v>
                </pt>
                <pt idx="89">
                  <v>92.8176795582239</v>
                </pt>
                <pt idx="90">
                  <v>94.47513812115001</v>
                </pt>
                <pt idx="91">
                  <v>93.48066298339435</v>
                </pt>
                <pt idx="92">
                  <v>94.25414364678737</v>
                </pt>
                <pt idx="93">
                  <v>95.35911602172436</v>
                </pt>
                <pt idx="94">
                  <v>96.24309392229871</v>
                </pt>
                <pt idx="95">
                  <v>97.01657458569173</v>
                </pt>
                <pt idx="96">
                  <v>97.90055248626608</v>
                </pt>
                <pt idx="97">
                  <v>98.6740331496591</v>
                </pt>
                <pt idx="98">
                  <v>99.00552486224431</v>
                </pt>
                <pt idx="99">
                  <v>98.78453038684042</v>
                </pt>
                <pt idx="100">
                  <v>97.23756906109564</v>
                </pt>
                <pt idx="101">
                  <v>96.79558011028783</v>
                </pt>
                <pt idx="102">
                  <v>96.02209944793607</v>
                </pt>
                <pt idx="103">
                  <v>95.80110497253216</v>
                </pt>
                <pt idx="104">
                  <v>95.02762430913913</v>
                </pt>
                <pt idx="105">
                  <v>95.13812154736171</v>
                </pt>
                <pt idx="106">
                  <v>95.69060773535084</v>
                </pt>
                <pt idx="107">
                  <v>97.34806629827696</v>
                </pt>
                <pt idx="108">
                  <v>100</v>
                </pt>
                <pt idx="109">
                  <v>99.44751381201087</v>
                </pt>
                <pt idx="110">
                  <v>100.3314917125852</v>
                </pt>
                <pt idx="111">
                  <v>100</v>
                </pt>
                <pt idx="112">
                  <v>100.773480663393</v>
                </pt>
                <pt idx="113">
                  <v>100.2209944754039</v>
                </pt>
                <pt idx="114">
                  <v>101.7679558011487</v>
                </pt>
                <pt idx="115">
                  <v>102.5414364645417</v>
                </pt>
                <pt idx="116">
                  <v>103.2044198897122</v>
                </pt>
                <pt idx="117">
                  <v>103.0939226525308</v>
                </pt>
                <pt idx="118">
                  <v>104.0883977902865</v>
                </pt>
                <pt idx="119">
                  <v>102.651933701723</v>
                </pt>
                <pt idx="120">
                  <v>103.0939226525308</v>
                </pt>
                <pt idx="121">
                  <v>103.3149171268935</v>
                </pt>
                <pt idx="122">
                  <v>102.9834254143083</v>
                </pt>
                <pt idx="123">
                  <v>102.9834254143083</v>
                </pt>
                <pt idx="124">
                  <v>102.3204419891378</v>
                </pt>
                <pt idx="125">
                  <v>102.9834254143083</v>
                </pt>
                <pt idx="126">
                  <v>102.3204419891378</v>
                </pt>
                <pt idx="127">
                  <v>103.6464088394787</v>
                </pt>
                <pt idx="128">
                  <v>103.2044198897122</v>
                </pt>
                <pt idx="129">
                  <v>103.6464088394787</v>
                </pt>
                <pt idx="130">
                  <v>104.6408839782756</v>
                </pt>
                <pt idx="131">
                  <v>107.2928176799987</v>
                </pt>
                <pt idx="132">
                  <v>108.0662983423504</v>
                </pt>
                <pt idx="133">
                  <v>108.0662983423504</v>
                </pt>
                <pt idx="134">
                  <v>108.0662983423504</v>
                </pt>
                <pt idx="135">
                  <v>107.5138121543613</v>
                </pt>
                <pt idx="136">
                  <v>106.5193370166056</v>
                </pt>
                <pt idx="137">
                  <v>106.629834253787</v>
                </pt>
                <pt idx="138">
                  <v>105.8563535914352</v>
                </pt>
                <pt idx="139">
                  <v>107.2928176799987</v>
                </pt>
                <pt idx="140">
                  <v>105.7458563532126</v>
                </pt>
                <pt idx="141">
                  <v>105.0828729280422</v>
                </pt>
                <pt idx="142">
                  <v>104.8618784526383</v>
                </pt>
                <pt idx="143">
                  <v>105.1933701662647</v>
                </pt>
                <pt idx="144">
                  <v>105.6353591160313</v>
                </pt>
                <pt idx="145">
                  <v>106.8508287291909</v>
                </pt>
                <pt idx="146">
                  <v>110.1657458560844</v>
                </pt>
                <pt idx="147">
                  <v>107.0718232045948</v>
                </pt>
                <pt idx="148">
                  <v>110.1657458560844</v>
                </pt>
                <pt idx="149">
                  <v>104.8618784526383</v>
                </pt>
                <pt idx="150">
                  <v>108.6187845303396</v>
                </pt>
                <pt idx="151">
                  <v>107.1823204417761</v>
                </pt>
                <pt idx="152">
                  <v>108.7292817685621</v>
                </pt>
                <pt idx="153">
                  <v>106.8508287291909</v>
                </pt>
                <pt idx="154">
                  <v>107.7348066297652</v>
                </pt>
                <pt idx="155">
                  <v>108.7292817685621</v>
                </pt>
                <pt idx="156">
                  <v>108.8397790057435</v>
                </pt>
                <pt idx="157">
                  <v>110.9392265194774</v>
                </pt>
                <pt idx="158">
                  <v>111.1602209948813</v>
                </pt>
                <pt idx="159">
                  <v>110.3867403314883</v>
                </pt>
                <pt idx="160">
                  <v>109.6132596691365</v>
                </pt>
                <pt idx="161">
                  <v>110.8287292822961</v>
                </pt>
                <pt idx="162">
                  <v>111.1602209948813</v>
                </pt>
                <pt idx="163">
                  <v>111.0497237566587</v>
                </pt>
                <pt idx="164">
                  <v>110.6077348068922</v>
                </pt>
                <pt idx="165">
                  <v>111.8232044200517</v>
                </pt>
                <pt idx="166">
                  <v>110.6077348068922</v>
                </pt>
                <pt idx="167">
                  <v>110.6077348068922</v>
                </pt>
                <pt idx="168">
                  <v>111.6022099446478</v>
                </pt>
                <pt idx="169">
                  <v>111.3812154692439</v>
                </pt>
                <pt idx="170">
                  <v>112.7071823206261</v>
                </pt>
                <pt idx="171">
                  <v>112.3756906080409</v>
                </pt>
                <pt idx="172">
                  <v>110.7182320440735</v>
                </pt>
                <pt idx="173">
                  <v>110.3867403314883</v>
                </pt>
                <pt idx="174">
                  <v>109.28176795551</v>
                </pt>
                <pt idx="175">
                  <v>107.9558011051691</v>
                </pt>
                <pt idx="176">
                  <v>107.7348066297652</v>
                </pt>
                <pt idx="177">
                  <v>108.6187845303396</v>
                </pt>
                <pt idx="178">
                  <v>109.1712707183287</v>
                </pt>
                <pt idx="179">
                  <v>108.5082872931582</v>
                </pt>
                <pt idx="180">
                  <v>108.5082872931582</v>
                </pt>
                <pt idx="181">
                  <v>108.3977900549357</v>
                </pt>
                <pt idx="182">
                  <v>105.9668508286165</v>
                </pt>
                <pt idx="183">
                  <v>109.5027624309139</v>
                </pt>
                <pt idx="184">
                  <v>108.8397790057435</v>
                </pt>
                <pt idx="185">
                  <v>110.2762430943069</v>
                </pt>
                <pt idx="186">
                  <v>109.5027624309139</v>
                </pt>
                <pt idx="187">
                  <v>108.6187845303396</v>
                </pt>
                <pt idx="188">
                  <v>108.9502762429248</v>
                </pt>
                <pt idx="189">
                  <v>108.176795580573</v>
                </pt>
                <pt idx="190">
                  <v>108.7292817685621</v>
                </pt>
                <pt idx="191">
                  <v>112.2651933698183</v>
                </pt>
                <pt idx="192">
                  <v>110.6077348068922</v>
                </pt>
                <pt idx="193">
                  <v>111.1602209948813</v>
                </pt>
                <pt idx="194">
                  <v>112.1546961326369</v>
                </pt>
                <pt idx="195">
                  <v>112.0441988954556</v>
                </pt>
                <pt idx="196">
                  <v>112.3756906080409</v>
                </pt>
                <pt idx="197">
                  <v>113.1491712703926</v>
                </pt>
                <pt idx="198">
                  <v>112.3756906080409</v>
                </pt>
                <pt idx="199">
                  <v>113.4806629840191</v>
                </pt>
                <pt idx="200">
                  <v>114.1436464091895</v>
                </pt>
                <pt idx="201">
                  <v>113.4806629840191</v>
                </pt>
                <pt idx="202">
                  <v>113.8121546966043</v>
                </pt>
                <pt idx="203">
                  <v>113.2596685086152</v>
                </pt>
                <pt idx="204">
                  <v>113.3701657457965</v>
                </pt>
                <pt idx="205">
                  <v>112.7071823206261</v>
                </pt>
                <pt idx="206">
                  <v>112.2651933698183</v>
                </pt>
                <pt idx="207">
                  <v>111.1602209948813</v>
                </pt>
                <pt idx="208">
                  <v>112.92817679603</v>
                </pt>
                <pt idx="209">
                  <v>110.8287292822961</v>
                </pt>
                <pt idx="210">
                  <v>109.3922651937326</v>
                </pt>
                <pt idx="211">
                  <v>110.9392265194774</v>
                </pt>
                <pt idx="212">
                  <v>109.6132596691365</v>
                </pt>
                <pt idx="213">
                  <v>109.3922651937326</v>
                </pt>
                <pt idx="214">
                  <v>109.3922651937326</v>
                </pt>
                <pt idx="215">
                  <v>109.6132596691365</v>
                </pt>
                <pt idx="216">
                  <v>109.9447513817217</v>
                </pt>
                <pt idx="217">
                  <v>110.4972375686696</v>
                </pt>
                <pt idx="218">
                  <v>108.7292817685621</v>
                </pt>
                <pt idx="219">
                  <v>111.2707182320626</v>
                </pt>
                <pt idx="220">
                  <v>110.2762430943069</v>
                </pt>
                <pt idx="221">
                  <v>110.1657458560844</v>
                </pt>
                <pt idx="222">
                  <v>110.4972375686696</v>
                </pt>
                <pt idx="223">
                  <v>110.8287292822961</v>
                </pt>
                <pt idx="224">
                  <v>110.4972375686696</v>
                </pt>
                <pt idx="225">
                  <v>109.28176795551</v>
                </pt>
                <pt idx="226">
                  <v>105.8563535914352</v>
                </pt>
                <pt idx="227">
                  <v>105.8563535914352</v>
                </pt>
                <pt idx="228">
                  <v>102.3204419891378</v>
                </pt>
                <pt idx="229">
                  <v>102.8729281771269</v>
                </pt>
                <pt idx="230">
                  <v>102.4309392263191</v>
                </pt>
                <pt idx="231">
                  <v>103.3149171268935</v>
                </pt>
                <pt idx="232">
                  <v>101.3259668513821</v>
                </pt>
                <pt idx="233">
                  <v>102.4309392263191</v>
                </pt>
                <pt idx="234">
                  <v>102.651933701723</v>
                </pt>
                <pt idx="235">
                  <v>100</v>
                </pt>
                <pt idx="236">
                  <v>101.7679558011487</v>
                </pt>
                <pt idx="237">
                  <v>101.7679558011487</v>
                </pt>
                <pt idx="238">
                  <v>101.6574585639674</v>
                </pt>
                <pt idx="239">
                  <v>101.4364640885635</v>
                </pt>
                <pt idx="240">
                  <v>100.5524861879891</v>
                </pt>
                <pt idx="241">
                  <v>102.5414364645417</v>
                </pt>
                <pt idx="242">
                  <v>103.7569060777013</v>
                </pt>
                <pt idx="243">
                  <v>102.3204419891378</v>
                </pt>
                <pt idx="244">
                  <v>102.3204419891378</v>
                </pt>
                <pt idx="245">
                  <v>100.6629834251704</v>
                </pt>
                <pt idx="246">
                  <v>99.55801105023345</v>
                </pt>
                <pt idx="247">
                  <v>100</v>
                </pt>
                <pt idx="248">
                  <v>99.7790055245961</v>
                </pt>
                <pt idx="249">
                  <v>100.8839779005743</v>
                </pt>
                <pt idx="250">
                  <v>98.6740331496591</v>
                </pt>
                <pt idx="251">
                  <v>97.01657458569173</v>
                </pt>
                <pt idx="252">
                  <v>96.90607734851041</v>
                </pt>
                <pt idx="253">
                  <v>95.35911602172436</v>
                </pt>
                <pt idx="254">
                  <v>95.13812154736171</v>
                </pt>
                <pt idx="255">
                  <v>94.25414364678737</v>
                </pt>
                <pt idx="256">
                  <v>95.58011049712826</v>
                </pt>
                <pt idx="257">
                  <v>96.02209944793607</v>
                </pt>
                <pt idx="258">
                  <v>95.69060773535084</v>
                </pt>
                <pt idx="259">
                  <v>95.13812154736171</v>
                </pt>
                <pt idx="260">
                  <v>95.02762430913913</v>
                </pt>
                <pt idx="261">
                  <v>94.69613259655392</v>
                </pt>
                <pt idx="262">
                  <v>94.25414364678737</v>
                </pt>
                <pt idx="263">
                  <v>94.80662983477649</v>
                </pt>
                <pt idx="264">
                  <v>94.14364640856479</v>
                </pt>
                <pt idx="265">
                  <v>94.25414364678737</v>
                </pt>
                <pt idx="266">
                  <v>94.80662983477649</v>
                </pt>
                <pt idx="267">
                  <v>95.24861878454303</v>
                </pt>
                <pt idx="268">
                  <v>95.80110497253216</v>
                </pt>
                <pt idx="269">
                  <v>94.47513812115001</v>
                </pt>
                <pt idx="270">
                  <v>97.67955801086217</v>
                </pt>
                <pt idx="271">
                  <v>96.79558011028783</v>
                </pt>
                <pt idx="272">
                  <v>94.47513812115001</v>
                </pt>
                <pt idx="273">
                  <v>94.58563535937259</v>
                </pt>
                <pt idx="274">
                  <v>94.91712707195781</v>
                </pt>
                <pt idx="275">
                  <v>96.02209944793607</v>
                </pt>
                <pt idx="276">
                  <v>94.58563535937259</v>
                </pt>
                <pt idx="277">
                  <v>95.35911602172436</v>
                </pt>
                <pt idx="278">
                  <v>96.79558011028783</v>
                </pt>
                <pt idx="279">
                  <v>96.24309392229871</v>
                </pt>
                <pt idx="280">
                  <v>96.68508287310651</v>
                </pt>
                <pt idx="281">
                  <v>97.79005524908474</v>
                </pt>
                <pt idx="282">
                  <v>98.0110497234474</v>
                </pt>
                <pt idx="283">
                  <v>97.12707182287306</v>
                </pt>
                <pt idx="284">
                  <v>98.78453038684042</v>
                </pt>
                <pt idx="285">
                  <v>98.56353591143653</v>
                </pt>
                <pt idx="286">
                  <v>99.22651933660697</v>
                </pt>
                <pt idx="287">
                  <v>99.11602209942565</v>
                </pt>
                <pt idx="288">
                  <v>100</v>
                </pt>
                <pt idx="289">
                  <v>99.88950276281868</v>
                </pt>
                <pt idx="290">
                  <v>98.6740331496591</v>
                </pt>
                <pt idx="291">
                  <v>98.89502762402174</v>
                </pt>
                <pt idx="292">
                  <v>98.34254143707388</v>
                </pt>
                <pt idx="293">
                  <v>98.2320441988513</v>
                </pt>
                <pt idx="294">
                  <v>99.33701657482955</v>
                </pt>
                <pt idx="295">
                  <v>98.2320441988513</v>
                </pt>
                <pt idx="296">
                  <v>98.89502762402174</v>
                </pt>
                <pt idx="297">
                  <v>98.78453038684042</v>
                </pt>
                <pt idx="298">
                  <v>99.7790055245961</v>
                </pt>
                <pt idx="299">
                  <v>101.7679558011487</v>
                </pt>
                <pt idx="300">
                  <v>103.4254143651161</v>
                </pt>
                <pt idx="301">
                  <v>104.530386740053</v>
                </pt>
                <pt idx="302">
                  <v>105.0828729280422</v>
                </pt>
                <pt idx="303">
                  <v>104.9723756908609</v>
                </pt>
                <pt idx="304">
                  <v>104.4198895028717</v>
                </pt>
                <pt idx="305">
                  <v>104.6408839782756</v>
                </pt>
                <pt idx="306">
                  <v>104.0883977902865</v>
                </pt>
                <pt idx="307">
                  <v>104.4198895028717</v>
                </pt>
                <pt idx="308">
                  <v>104.1988950274678</v>
                </pt>
                <pt idx="309">
                  <v>104.1988950274678</v>
                </pt>
                <pt idx="310">
                  <v>102.8729281771269</v>
                </pt>
                <pt idx="311">
                  <v>102.651933701723</v>
                </pt>
                <pt idx="312">
                  <v>104.1988950274678</v>
                </pt>
                <pt idx="313">
                  <v>103.5359116022974</v>
                </pt>
                <pt idx="314">
                  <v>104.4198895028717</v>
                </pt>
                <pt idx="315">
                  <v>107.7348066297652</v>
                </pt>
                <pt idx="316">
                  <v>105.9668508286165</v>
                </pt>
                <pt idx="317">
                  <v>104.7513812154569</v>
                </pt>
                <pt idx="318">
                  <v>104.7513812154569</v>
                </pt>
                <pt idx="319">
                  <v>104.530386740053</v>
                </pt>
                <pt idx="320">
                  <v>104.3093922656904</v>
                </pt>
                <pt idx="321">
                  <v>102.7624309389043</v>
                </pt>
                <pt idx="322">
                  <v>103.6464088394787</v>
                </pt>
                <pt idx="323">
                  <v>105.1933701662647</v>
                </pt>
                <pt idx="324">
                  <v>103.8674033148826</v>
                </pt>
                <pt idx="325">
                  <v>103.3149171268935</v>
                </pt>
                <pt idx="326">
                  <v>102.0994475137339</v>
                </pt>
                <pt idx="327">
                  <v>102.9834254143083</v>
                </pt>
                <pt idx="328">
                  <v>103.2044198897122</v>
                </pt>
                <pt idx="329">
                  <v>103.0939226525308</v>
                </pt>
                <pt idx="330">
                  <v>104.0883977902865</v>
                </pt>
                <pt idx="331">
                  <v>104.1988950274678</v>
                </pt>
                <pt idx="332">
                  <v>106.0773480668391</v>
                </pt>
                <pt idx="333">
                  <v>106.2983425412017</v>
                </pt>
                <pt idx="334">
                  <v>107.0718232045948</v>
                </pt>
                <pt idx="335">
                  <v>107.40331491718</v>
                </pt>
                <pt idx="336">
                  <v>107.2928176799987</v>
                </pt>
                <pt idx="337">
                  <v>107.6243093925839</v>
                </pt>
                <pt idx="338">
                  <v>107.40331491718</v>
                </pt>
                <pt idx="339">
                  <v>107.2928176799987</v>
                </pt>
                <pt idx="340">
                  <v>107.0718232045948</v>
                </pt>
                <pt idx="341">
                  <v>108.9502762429248</v>
                </pt>
                <pt idx="342">
                  <v>108.0662983423504</v>
                </pt>
                <pt idx="343">
                  <v>108.8397790057435</v>
                </pt>
                <pt idx="344">
                  <v>109.0607734811474</v>
                </pt>
                <pt idx="345">
                  <v>107.9558011051691</v>
                </pt>
                <pt idx="346">
                  <v>107.8453038679878</v>
                </pt>
                <pt idx="347">
                  <v>108.0662983423504</v>
                </pt>
                <pt idx="348">
                  <v>109.1712707183287</v>
                </pt>
                <pt idx="349">
                  <v>109.8342541434991</v>
                </pt>
                <pt idx="350">
                  <v>110.8287292822961</v>
                </pt>
                <pt idx="351">
                  <v>108.2872928177543</v>
                </pt>
                <pt idx="352">
                  <v>109.6132596691365</v>
                </pt>
                <pt idx="353">
                  <v>109.9447513817217</v>
                </pt>
                <pt idx="354">
                  <v>110.3867403314883</v>
                </pt>
                <pt idx="355">
                  <v>109.7237569063178</v>
                </pt>
                <pt idx="356">
                  <v>111.3812154692439</v>
                </pt>
                <pt idx="357">
                  <v>112.3756906080409</v>
                </pt>
                <pt idx="358">
                  <v>112.0441988954556</v>
                </pt>
                <pt idx="359">
                  <v>112.1546961326369</v>
                </pt>
                <pt idx="360">
                  <v>114.5856353589561</v>
                </pt>
                <pt idx="361">
                  <v>115.580110497753</v>
                </pt>
                <pt idx="362">
                  <v>109.7237569063178</v>
                </pt>
                <pt idx="363">
                  <v>89.72375690569307</v>
                </pt>
                <pt idx="364">
                  <v>96.4640883977026</v>
                </pt>
                <pt idx="365">
                  <v>107.7348066297652</v>
                </pt>
                <pt idx="366">
                  <v>113.7016574583817</v>
                </pt>
                <pt idx="367">
                  <v>115.9116022103382</v>
                </pt>
                <pt idx="368">
                  <v>117.6795580114869</v>
                </pt>
                <pt idx="369">
                  <v>118.8950276246465</v>
                </pt>
                <pt idx="370">
                  <v>120.7734806629765</v>
                </pt>
                <pt idx="371">
                  <v>121.6574585635509</v>
                </pt>
                <pt idx="372">
                  <v>119.8895027624022</v>
                </pt>
                <pt idx="373">
                  <v>120.2209944749874</v>
                </pt>
                <pt idx="374">
                  <v>121.2154696137843</v>
                </pt>
                <pt idx="375">
                  <v>120.2209944749874</v>
                </pt>
                <pt idx="376">
                  <v>121.9889502761361</v>
                </pt>
                <pt idx="377">
                  <v>120.0000000006247</v>
                </pt>
                <pt idx="378">
                  <v>120.2209944749874</v>
                </pt>
                <pt idx="379">
                  <v>120.8839779001578</v>
                </pt>
                <pt idx="380">
                  <v>119.6685082869983</v>
                </pt>
                <pt idx="381">
                  <v>118.4530386738387</v>
                </pt>
                <pt idx="382">
                  <v>118.7845303864239</v>
                </pt>
                <pt idx="383">
                  <v>118.7845303864239</v>
                </pt>
                <pt idx="384">
                  <v>118.6740331492426</v>
                </pt>
                <pt idx="385">
                  <v>118.2320441994761</v>
                </pt>
                <pt idx="386">
                  <v>118.1215469612535</v>
                </pt>
                <pt idx="387">
                  <v>117.458563536083</v>
                </pt>
                <pt idx="388">
                  <v>117.458563536083</v>
                </pt>
                <pt idx="389">
                  <v>115.9116022103382</v>
                </pt>
                <pt idx="390">
                  <v>115.1381215469452</v>
                </pt>
                <pt idx="391">
                  <v>113.3701657457965</v>
                </pt>
                <pt idx="392">
                  <v>113.2596685086152</v>
                </pt>
                <pt idx="393">
                  <v>113.4806629840191</v>
                </pt>
                <pt idx="394">
                  <v>113.5911602212004</v>
                </pt>
                <pt idx="395">
                  <v>113.9226519337856</v>
                </pt>
                <pt idx="396">
                  <v>#N/A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World'!$A$2:$A$410</f>
              <numCache>
                <formatCode>mmm\-yy</formatCode>
                <ptCount val="409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  <pt idx="395">
                  <v>44896</v>
                </pt>
                <pt idx="396">
                  <v>44927</v>
                </pt>
              </numCache>
            </numRef>
          </cat>
          <val>
            <numRef>
              <f>'IP World'!$O$2:$O$410</f>
              <numCache>
                <formatCode>0.00</formatCode>
                <ptCount val="409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118.4689311549867</v>
                </pt>
                <pt idx="387">
                  <v>119.268700558852</v>
                </pt>
                <pt idx="388">
                  <v>119.1471109023007</v>
                </pt>
                <pt idx="389">
                  <v>118.8975261142233</v>
                </pt>
                <pt idx="390">
                  <v>119.5106216523994</v>
                </pt>
                <pt idx="391">
                  <v>119.3817114525254</v>
                </pt>
                <pt idx="392">
                  <v>119.6153969344021</v>
                </pt>
                <pt idx="393">
                  <v>119.6367866483833</v>
                </pt>
                <pt idx="394">
                  <v>118.94122060938</v>
                </pt>
                <pt idx="395">
                  <v>117.7298993890673</v>
                </pt>
                <pt idx="396">
                  <v>117.7606685490005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World'!$A$2:$A$410</f>
              <numCache>
                <formatCode>mmm\-yy</formatCode>
                <ptCount val="409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  <pt idx="395">
                  <v>44896</v>
                </pt>
                <pt idx="396">
                  <v>44927</v>
                </pt>
              </numCache>
            </numRef>
          </cat>
          <val>
            <numRef>
              <f>'IP World'!$Q$2:$Q$399</f>
              <numCache>
                <formatCode>0.00</formatCode>
                <ptCount val="398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96.57477825403342</v>
                </pt>
                <pt idx="373">
                  <v>96.4743886720109</v>
                </pt>
                <pt idx="374">
                  <v>97.67906366029692</v>
                </pt>
                <pt idx="375">
                  <v>98.88373864958692</v>
                </pt>
                <pt idx="376">
                  <v>92.96075328817142</v>
                </pt>
                <pt idx="377">
                  <v>99.08451781363193</v>
                </pt>
                <pt idx="378">
                  <v>98.58256990251542</v>
                </pt>
                <pt idx="379">
                  <v>96.17321992493942</v>
                </pt>
                <pt idx="380">
                  <v>90.4510137285729</v>
                </pt>
                <pt idx="381">
                  <v>92.55919495907739</v>
                </pt>
                <pt idx="382">
                  <v>97.47828449625192</v>
                </pt>
                <pt idx="383">
                  <v>97.37789491322542</v>
                </pt>
                <pt idx="384">
                  <v>95.2697136837249</v>
                </pt>
                <pt idx="385">
                  <v>97.47828449625192</v>
                </pt>
                <pt idx="386">
                  <v>97.07672616615392</v>
                </pt>
                <pt idx="387">
                  <v>95.77166159484142</v>
                </pt>
                <pt idx="388">
                  <v>89.04555957523789</v>
                </pt>
                <pt idx="389">
                  <v>96.87594700110493</v>
                </pt>
                <pt idx="390">
                  <v>97.57867407827442</v>
                </pt>
                <pt idx="391">
                  <v>100.0884136378729</v>
                </pt>
                <pt idx="392">
                  <v>98.78334906656043</v>
                </pt>
                <pt idx="393">
                  <v>95.67127201281892</v>
                </pt>
                <pt idx="394">
                  <v>96.3739990899884</v>
                </pt>
                <pt idx="395">
                  <v>96.3739990899884</v>
                </pt>
                <pt idx="396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World'!$A$2:$A$405</f>
              <numCache>
                <formatCode>mmm\-yy</formatCode>
                <ptCount val="40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  <pt idx="395">
                  <v>44896</v>
                </pt>
                <pt idx="396">
                  <v>44927</v>
                </pt>
              </numCache>
            </numRef>
          </cat>
          <val>
            <numRef>
              <f>'IP World'!$L$2:$L$405</f>
              <numCache>
                <formatCode>0.00</formatCode>
                <ptCount val="404"/>
                <pt idx="0">
                  <v>88.1400560966931</v>
                </pt>
                <pt idx="1">
                  <v>89.17249003406701</v>
                </pt>
                <pt idx="2">
                  <v>88.91704246250924</v>
                </pt>
                <pt idx="3">
                  <v>89.27892652314725</v>
                </pt>
                <pt idx="4">
                  <v>89.2576392253312</v>
                </pt>
                <pt idx="5">
                  <v>88.68288218765012</v>
                </pt>
                <pt idx="6">
                  <v>89.02347895047208</v>
                </pt>
                <pt idx="7">
                  <v>89.61952328596921</v>
                </pt>
                <pt idx="8">
                  <v>90.06655653787142</v>
                </pt>
                <pt idx="9">
                  <v>90.24749856819042</v>
                </pt>
                <pt idx="10">
                  <v>89.39600666001812</v>
                </pt>
                <pt idx="11">
                  <v>90.3326477583372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86.81564245875478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84.91620111700631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91.39664804445678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107.1508379887182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105.139664804915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108.9385474861771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109.9441340780787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118.5474860336219</v>
                </pt>
                <pt idx="204">
                  <v>117.9888268155264</v>
                </pt>
                <pt idx="205">
                  <v>118.7709497210837</v>
                </pt>
                <pt idx="206">
                  <v>119.3296089391792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121.1173184355207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118.4357541904498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108.4916201123711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111.3966480449037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110.0558659223683</v>
                </pt>
                <pt idx="272">
                  <v>107.8212290499859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108.3798882680815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112.0670391061715</v>
                </pt>
                <pt idx="302">
                  <v>112.1787709493436</v>
                </pt>
                <pt idx="303">
                  <v>111.0614525142699</v>
                </pt>
                <pt idx="304">
                  <v>111.8435754187097</v>
                </pt>
                <pt idx="305">
                  <v>112.1787709493436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112.6256983242671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112.4022346368053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114.9720670398215</v>
                </pt>
                <pt idx="322">
                  <v>114.7486033523598</v>
                </pt>
                <pt idx="323">
                  <v>114.5251396648981</v>
                </pt>
                <pt idx="324">
                  <v>113.9664804468025</v>
                </pt>
                <pt idx="325">
                  <v>114.7486033523598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116.8715083804526</v>
                </pt>
                <pt idx="331">
                  <v>117.8770949723542</v>
                </pt>
                <pt idx="332">
                  <v>117.2067039110865</v>
                </pt>
                <pt idx="333">
                  <v>118.3240223461602</v>
                </pt>
                <pt idx="334">
                  <v>120.446927374253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117.0949720667969</v>
                </pt>
                <pt idx="340">
                  <v>118.7709497210837</v>
                </pt>
                <pt idx="341">
                  <v>118.5474860336219</v>
                </pt>
                <pt idx="342">
                  <v>116.759776536163</v>
                </pt>
                <pt idx="343">
                  <v>118.6592178767941</v>
                </pt>
                <pt idx="344">
                  <v>117.6536312848925</v>
                </pt>
                <pt idx="345">
                  <v>118.7709497210837</v>
                </pt>
                <pt idx="346">
                  <v>116.5363128498187</v>
                </pt>
                <pt idx="347">
                  <v>116.8715083804526</v>
                </pt>
                <pt idx="348">
                  <v>118.1005586598159</v>
                </pt>
                <pt idx="349">
                  <v>117.8770949723542</v>
                </pt>
                <pt idx="350">
                  <v>117.8770949723542</v>
                </pt>
                <pt idx="351">
                  <v>117.2067039110865</v>
                </pt>
                <pt idx="352">
                  <v>117.765363129182</v>
                </pt>
                <pt idx="353">
                  <v>116.759776536163</v>
                </pt>
                <pt idx="354">
                  <v>116.0893854748953</v>
                </pt>
                <pt idx="355">
                  <v>116.6480446929909</v>
                </pt>
                <pt idx="356">
                  <v>116.759776536163</v>
                </pt>
                <pt idx="357">
                  <v>117.4301675974308</v>
                </pt>
                <pt idx="358">
                  <v>115.8659217874336</v>
                </pt>
                <pt idx="359">
                  <v>113.8547486036304</v>
                </pt>
                <pt idx="360">
                  <v>116.5363128498187</v>
                </pt>
                <pt idx="361">
                  <v>116.2011173180674</v>
                </pt>
                <pt idx="362">
                  <v>103.5754189949178</v>
                </pt>
                <pt idx="363">
                  <v>83.57541899447084</v>
                </pt>
                <pt idx="364">
                  <v>95.4189944131806</v>
                </pt>
                <pt idx="365">
                  <v>104.9162011174533</v>
                </pt>
                <pt idx="366">
                  <v>109.3854748599831</v>
                </pt>
                <pt idx="367">
                  <v>109.7206703917344</v>
                </pt>
                <pt idx="368">
                  <v>110.3910614530021</v>
                </pt>
                <pt idx="369">
                  <v>113.4078212287069</v>
                </pt>
                <pt idx="370">
                  <v>117.0949720667969</v>
                </pt>
                <pt idx="371">
                  <v>117.2067039110865</v>
                </pt>
                <pt idx="372">
                  <v>118.3240223461602</v>
                </pt>
                <pt idx="373">
                  <v>116.5363128498187</v>
                </pt>
                <pt idx="374">
                  <v>117.5418994417203</v>
                </pt>
                <pt idx="375">
                  <v>118.2122905029881</v>
                </pt>
                <pt idx="376">
                  <v>116.312849162357</v>
                </pt>
                <pt idx="377">
                  <v>116.5363128498187</v>
                </pt>
                <pt idx="378">
                  <v>118.6592178767941</v>
                </pt>
                <pt idx="379">
                  <v>115.0837988829937</v>
                </pt>
                <pt idx="380">
                  <v>114.413407821726</v>
                </pt>
                <pt idx="381">
                  <v>113.8547486036304</v>
                </pt>
                <pt idx="382">
                  <v>115.8659217874336</v>
                </pt>
                <pt idx="383">
                  <v>119.5530726255235</v>
                </pt>
                <pt idx="384">
                  <v>117.5418994417203</v>
                </pt>
                <pt idx="385">
                  <v>117.9888268155264</v>
                </pt>
                <pt idx="386">
                  <v>116.4245810055292</v>
                </pt>
                <pt idx="387">
                  <v>115.8659217874336</v>
                </pt>
                <pt idx="388">
                  <v>117.765363129182</v>
                </pt>
                <pt idx="389">
                  <v>119.2178770948897</v>
                </pt>
                <pt idx="390">
                  <v>115.8659217874336</v>
                </pt>
                <pt idx="391">
                  <v>118.3240223461602</v>
                </pt>
                <pt idx="392">
                  <v>119.2178770948897</v>
                </pt>
                <pt idx="393">
                  <v>116.8715083804526</v>
                </pt>
                <pt idx="394">
                  <v>118.5474860336219</v>
                </pt>
                <pt idx="395">
                  <v>117.2067039110865</v>
                </pt>
                <pt idx="396">
                  <v>#N/A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World'!$A$2:$A$405</f>
              <numCache>
                <formatCode>mmm\-yy</formatCode>
                <ptCount val="40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  <pt idx="395">
                  <v>44896</v>
                </pt>
                <pt idx="396">
                  <v>44927</v>
                </pt>
              </numCache>
            </numRef>
          </cat>
          <val>
            <numRef>
              <f>'IP World'!$O$2:$O$405</f>
              <numCache>
                <formatCode>0.00</formatCode>
                <ptCount val="404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118.4689311549867</v>
                </pt>
                <pt idx="387">
                  <v>119.268700558852</v>
                </pt>
                <pt idx="388">
                  <v>119.1471109023007</v>
                </pt>
                <pt idx="389">
                  <v>118.8975261142233</v>
                </pt>
                <pt idx="390">
                  <v>119.5106216523994</v>
                </pt>
                <pt idx="391">
                  <v>119.3817114525254</v>
                </pt>
                <pt idx="392">
                  <v>119.6153969344021</v>
                </pt>
                <pt idx="393">
                  <v>119.6367866483833</v>
                </pt>
                <pt idx="394">
                  <v>118.94122060938</v>
                </pt>
                <pt idx="395">
                  <v>117.7298993890673</v>
                </pt>
                <pt idx="396">
                  <v>117.7606685490005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World'!$A$2:$A$399</f>
              <numCache>
                <formatCode>mmm\-yy</formatCode>
                <ptCount val="398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  <pt idx="395">
                  <v>44896</v>
                </pt>
                <pt idx="396">
                  <v>44927</v>
                </pt>
              </numCache>
            </numRef>
          </cat>
          <val>
            <numRef>
              <f>'IP World'!$J$2:$J$399</f>
              <numCache>
                <formatCode>0.00</formatCode>
                <ptCount val="398"/>
                <pt idx="0">
                  <v>94.38974614655902</v>
                </pt>
                <pt idx="1">
                  <v>93.97935594566742</v>
                </pt>
                <pt idx="2">
                  <v>94.88221438736296</v>
                </pt>
                <pt idx="3">
                  <v>93.2406535851263</v>
                </pt>
                <pt idx="4">
                  <v>95.62091674790409</v>
                </pt>
                <pt idx="5">
                  <v>95.62091674790409</v>
                </pt>
                <pt idx="6">
                  <v>96.52377518959963</v>
                </pt>
                <pt idx="7">
                  <v>97.09832147031598</v>
                </pt>
                <pt idx="8">
                  <v>98.00117991201154</v>
                </pt>
                <pt idx="9">
                  <v>98.1653359918363</v>
                </pt>
                <pt idx="10">
                  <v>98.1653359918363</v>
                </pt>
                <pt idx="11">
                  <v>98.5757261927279</v>
                </pt>
                <pt idx="12">
                  <v>101.5957446804055</v>
                </pt>
                <pt idx="13">
                  <v>100.3989361701014</v>
                </pt>
                <pt idx="14">
                  <v>99.73404255326575</v>
                </pt>
                <pt idx="15">
                  <v>98.93617021306301</v>
                </pt>
                <pt idx="16">
                  <v>97.34042553132787</v>
                </pt>
                <pt idx="17">
                  <v>101.5957446804055</v>
                </pt>
                <pt idx="18">
                  <v>98.67021276632876</v>
                </pt>
                <pt idx="19">
                  <v>97.0744680845936</v>
                </pt>
                <pt idx="20">
                  <v>96.80851063785936</v>
                </pt>
                <pt idx="21">
                  <v>98.27127659622739</v>
                </pt>
                <pt idx="22">
                  <v>99.33510638316439</v>
                </pt>
                <pt idx="23">
                  <v>99.4680851065315</v>
                </pt>
                <pt idx="24">
                  <v>100.6648936168356</v>
                </pt>
                <pt idx="25">
                  <v>102.3936170206082</v>
                </pt>
                <pt idx="26">
                  <v>99.4680851065315</v>
                </pt>
                <pt idx="27">
                  <v>99.33510638316439</v>
                </pt>
                <pt idx="28">
                  <v>98.67021276632876</v>
                </pt>
                <pt idx="29">
                  <v>97.0744680845936</v>
                </pt>
                <pt idx="30">
                  <v>95.345744680821</v>
                </pt>
                <pt idx="31">
                  <v>95.61170212755526</v>
                </pt>
                <pt idx="32">
                  <v>94.8138297873525</v>
                </pt>
                <pt idx="33">
                  <v>94.68085106398539</v>
                </pt>
                <pt idx="34">
                  <v>93.21808510694703</v>
                </pt>
                <pt idx="35">
                  <v>91.62234042521187</v>
                </pt>
                <pt idx="36">
                  <v>90.5585106382749</v>
                </pt>
                <pt idx="37">
                  <v>89.22872340460366</v>
                </pt>
                <pt idx="38">
                  <v>89.36170212797077</v>
                </pt>
                <pt idx="39">
                  <v>88.69680851113515</v>
                </pt>
                <pt idx="40">
                  <v>88.69680851113515</v>
                </pt>
                <pt idx="41">
                  <v>88.03191489296987</v>
                </pt>
                <pt idx="42">
                  <v>86.03723404246301</v>
                </pt>
                <pt idx="43">
                  <v>89.76063829807214</v>
                </pt>
                <pt idx="44">
                  <v>89.36170212797077</v>
                </pt>
                <pt idx="45">
                  <v>89.36170212797077</v>
                </pt>
                <pt idx="46">
                  <v>88.56382978776803</v>
                </pt>
                <pt idx="47">
                  <v>89.62765957470502</v>
                </pt>
                <pt idx="48">
                  <v>89.22872340460366</v>
                </pt>
                <pt idx="49">
                  <v>90.5585106382749</v>
                </pt>
                <pt idx="50">
                  <v>90.15957446817352</v>
                </pt>
                <pt idx="51">
                  <v>91.22340425511051</v>
                </pt>
                <pt idx="52">
                  <v>90.82446808500913</v>
                </pt>
                <pt idx="53">
                  <v>91.48936170184474</v>
                </pt>
                <pt idx="54">
                  <v>91.09042553174338</v>
                </pt>
                <pt idx="55">
                  <v>91.09042553174338</v>
                </pt>
                <pt idx="56">
                  <v>92.42021276541462</v>
                </pt>
                <pt idx="57">
                  <v>94.1489361705169</v>
                </pt>
                <pt idx="58">
                  <v>94.68085106398539</v>
                </pt>
                <pt idx="59">
                  <v>94.68085106398539</v>
                </pt>
                <pt idx="60">
                  <v>92.81914893551598</v>
                </pt>
                <pt idx="61">
                  <v>94.1489361705169</v>
                </pt>
                <pt idx="62">
                  <v>93.08510638225023</v>
                </pt>
                <pt idx="63">
                  <v>93.61702127704839</v>
                </pt>
                <pt idx="64">
                  <v>94.1489361705169</v>
                </pt>
                <pt idx="65">
                  <v>93.08510638225023</v>
                </pt>
                <pt idx="66">
                  <v>92.81914893551598</v>
                </pt>
                <pt idx="67">
                  <v>91.75531914857899</v>
                </pt>
                <pt idx="68">
                  <v>93.61702127704839</v>
                </pt>
                <pt idx="69">
                  <v>91.22340425511051</v>
                </pt>
                <pt idx="70">
                  <v>91.75531914857899</v>
                </pt>
                <pt idx="71">
                  <v>91.75531914857899</v>
                </pt>
                <pt idx="72">
                  <v>92.15425531868036</v>
                </pt>
                <pt idx="73">
                  <v>91.35638297847763</v>
                </pt>
                <pt idx="74">
                  <v>91.48936170184474</v>
                </pt>
                <pt idx="75">
                  <v>91.48936170184474</v>
                </pt>
                <pt idx="76">
                  <v>92.2872340420475</v>
                </pt>
                <pt idx="77">
                  <v>92.81914893551598</v>
                </pt>
                <pt idx="78">
                  <v>91.75531914857899</v>
                </pt>
                <pt idx="79">
                  <v>92.9521276588831</v>
                </pt>
                <pt idx="80">
                  <v>93.75000000041551</v>
                </pt>
                <pt idx="81">
                  <v>92.42021276541462</v>
                </pt>
                <pt idx="82">
                  <v>93.75000000041551</v>
                </pt>
                <pt idx="83">
                  <v>93.75000000041551</v>
                </pt>
                <pt idx="84">
                  <v>92.55319148878174</v>
                </pt>
                <pt idx="85">
                  <v>93.88297872378264</v>
                </pt>
                <pt idx="86">
                  <v>94.94680851071963</v>
                </pt>
                <pt idx="87">
                  <v>94.54787234061827</v>
                </pt>
                <pt idx="88">
                  <v>93.35106383031415</v>
                </pt>
                <pt idx="89">
                  <v>97.0744680845936</v>
                </pt>
                <pt idx="90">
                  <v>98.13829787286028</v>
                </pt>
                <pt idx="91">
                  <v>94.94680851071963</v>
                </pt>
                <pt idx="92">
                  <v>95.74468085092236</v>
                </pt>
                <pt idx="93">
                  <v>97.0744680845936</v>
                </pt>
                <pt idx="94">
                  <v>97.6063829780621</v>
                </pt>
                <pt idx="95">
                  <v>98.53723404296164</v>
                </pt>
                <pt idx="96">
                  <v>99.60106382989864</v>
                </pt>
                <pt idx="97">
                  <v>99.33510638316439</v>
                </pt>
                <pt idx="98">
                  <v>100.6648936168356</v>
                </pt>
                <pt idx="99">
                  <v>99.73404255326575</v>
                </pt>
                <pt idx="100">
                  <v>100.2659574467342</v>
                </pt>
                <pt idx="101">
                  <v>99.4680851065315</v>
                </pt>
                <pt idx="102">
                  <v>101.5957446804055</v>
                </pt>
                <pt idx="103">
                  <v>99.33510638316439</v>
                </pt>
                <pt idx="104">
                  <v>98.67021276632876</v>
                </pt>
                <pt idx="105">
                  <v>99.33510638316439</v>
                </pt>
                <pt idx="106">
                  <v>98.00531914949315</v>
                </pt>
                <pt idx="107">
                  <v>98.40425531959451</v>
                </pt>
                <pt idx="108">
                  <v>100</v>
                </pt>
                <pt idx="109">
                  <v>98.13829787286028</v>
                </pt>
                <pt idx="110">
                  <v>98.80319148969588</v>
                </pt>
                <pt idx="111">
                  <v>99.4680851065315</v>
                </pt>
                <pt idx="112">
                  <v>100.1329787233671</v>
                </pt>
                <pt idx="113">
                  <v>100.1329787233671</v>
                </pt>
                <pt idx="114">
                  <v>100.9308510635699</v>
                </pt>
                <pt idx="115">
                  <v>101.8617021271397</v>
                </pt>
                <pt idx="116">
                  <v>101.4627659570384</v>
                </pt>
                <pt idx="117">
                  <v>102.5265957439753</v>
                </pt>
                <pt idx="118">
                  <v>102.3936170206082</v>
                </pt>
                <pt idx="119">
                  <v>102.5265957439753</v>
                </pt>
                <pt idx="120">
                  <v>101.7287234037726</v>
                </pt>
                <pt idx="121">
                  <v>104.2553191490776</v>
                </pt>
                <pt idx="122">
                  <v>104.3882978724447</v>
                </pt>
                <pt idx="123">
                  <v>105.718085106116</v>
                </pt>
                <pt idx="124">
                  <v>108.244680851421</v>
                </pt>
                <pt idx="125">
                  <v>105.8510638294831</v>
                </pt>
                <pt idx="126">
                  <v>107.5797872345854</v>
                </pt>
                <pt idx="127">
                  <v>108.6436170215224</v>
                </pt>
                <pt idx="128">
                  <v>108.7765957448895</v>
                </pt>
                <pt idx="129">
                  <v>108.3776595747881</v>
                </pt>
                <pt idx="130">
                  <v>109.308510638358</v>
                </pt>
                <pt idx="131">
                  <v>109.9734042551936</v>
                </pt>
                <pt idx="132">
                  <v>109.7074468084594</v>
                </pt>
                <pt idx="133">
                  <v>110.9042553187635</v>
                </pt>
                <pt idx="134">
                  <v>109.0425531916237</v>
                </pt>
                <pt idx="135">
                  <v>107.1808510631543</v>
                </pt>
                <pt idx="136">
                  <v>108.3776595747881</v>
                </pt>
                <pt idx="137">
                  <v>108.9095744682566</v>
                </pt>
                <pt idx="138">
                  <v>105.5851063827488</v>
                </pt>
                <pt idx="139">
                  <v>108.5106382981552</v>
                </pt>
                <pt idx="140">
                  <v>107.0478723397872</v>
                </pt>
                <pt idx="141">
                  <v>105.1861702126475</v>
                </pt>
                <pt idx="142">
                  <v>103.8563829789763</v>
                </pt>
                <pt idx="143">
                  <v>104.5212765958119</v>
                </pt>
                <pt idx="144">
                  <v>105.0531914892804</v>
                </pt>
                <pt idx="145">
                  <v>105.3191489360146</v>
                </pt>
                <pt idx="146">
                  <v>105.5851063827488</v>
                </pt>
                <pt idx="147">
                  <v>105.718085106116</v>
                </pt>
                <pt idx="148">
                  <v>104.654255319179</v>
                </pt>
                <pt idx="149">
                  <v>107.5797872345854</v>
                </pt>
                <pt idx="150">
                  <v>105.5851063827488</v>
                </pt>
                <pt idx="151">
                  <v>108.1117021280539</v>
                </pt>
                <pt idx="152">
                  <v>106.6489361696858</v>
                </pt>
                <pt idx="153">
                  <v>105.8510638294831</v>
                </pt>
                <pt idx="154">
                  <v>107.7127659579525</v>
                </pt>
                <pt idx="155">
                  <v>105.8510638294831</v>
                </pt>
                <pt idx="156">
                  <v>106.6489361696858</v>
                </pt>
                <pt idx="157">
                  <v>106.6489361696858</v>
                </pt>
                <pt idx="158">
                  <v>106.3829787229516</v>
                </pt>
                <pt idx="159">
                  <v>106.1170212762174</v>
                </pt>
                <pt idx="160">
                  <v>105.1861702126475</v>
                </pt>
                <pt idx="161">
                  <v>104.654255319179</v>
                </pt>
                <pt idx="162">
                  <v>107.1808510631543</v>
                </pt>
                <pt idx="163">
                  <v>104.5212765958119</v>
                </pt>
                <pt idx="164">
                  <v>104.2553191490776</v>
                </pt>
                <pt idx="165">
                  <v>107.4468085098886</v>
                </pt>
                <pt idx="166">
                  <v>108.5106382981552</v>
                </pt>
                <pt idx="167">
                  <v>109.0425531916237</v>
                </pt>
                <pt idx="168">
                  <v>108.1117021280539</v>
                </pt>
                <pt idx="169">
                  <v>108.6436170215224</v>
                </pt>
                <pt idx="170">
                  <v>107.9787234046868</v>
                </pt>
                <pt idx="171">
                  <v>109.5744680850922</v>
                </pt>
                <pt idx="172">
                  <v>110.7712765953963</v>
                </pt>
                <pt idx="173">
                  <v>109.9734042551936</v>
                </pt>
                <pt idx="174">
                  <v>111.3031914888648</v>
                </pt>
                <pt idx="175">
                  <v>110.2393617019278</v>
                </pt>
                <pt idx="176">
                  <v>109.9734042551936</v>
                </pt>
                <pt idx="177">
                  <v>111.3031914888648</v>
                </pt>
                <pt idx="178">
                  <v>109.4414893617251</v>
                </pt>
                <pt idx="179">
                  <v>108.9095744682566</v>
                </pt>
                <pt idx="180">
                  <v>112.2340425524347</v>
                </pt>
                <pt idx="181">
                  <v>110.5053191486621</v>
                </pt>
                <pt idx="182">
                  <v>111.9680851057005</v>
                </pt>
                <pt idx="183">
                  <v>112.7659574472329</v>
                </pt>
                <pt idx="184">
                  <v>111.3031914888648</v>
                </pt>
                <pt idx="185">
                  <v>113.6968085108027</v>
                </pt>
                <pt idx="186">
                  <v>115.4255319145753</v>
                </pt>
                <pt idx="187">
                  <v>112.1010638290676</v>
                </pt>
                <pt idx="188">
                  <v>115.2925531912082</v>
                </pt>
                <pt idx="189">
                  <v>117.553191489779</v>
                </pt>
                <pt idx="190">
                  <v>116.2234042547781</v>
                </pt>
                <pt idx="191">
                  <v>115.9574468080438</v>
                </pt>
                <pt idx="192">
                  <v>116.6223404248794</v>
                </pt>
                <pt idx="193">
                  <v>117.2872340430447</v>
                </pt>
                <pt idx="194">
                  <v>116.2234042547781</v>
                </pt>
                <pt idx="195">
                  <v>118.8829787234502</v>
                </pt>
                <pt idx="196">
                  <v>120.6117021272228</v>
                </pt>
                <pt idx="197">
                  <v>119.9468085103872</v>
                </pt>
                <pt idx="198">
                  <v>122.0744680855909</v>
                </pt>
                <pt idx="199">
                  <v>122.8723404257936</v>
                </pt>
                <pt idx="200">
                  <v>122.7393617024265</v>
                </pt>
                <pt idx="201">
                  <v>122.4734042556922</v>
                </pt>
                <pt idx="202">
                  <v>124.6010638295662</v>
                </pt>
                <pt idx="203">
                  <v>125.7978723398703</v>
                </pt>
                <pt idx="204">
                  <v>126.4627659567059</v>
                </pt>
                <pt idx="205">
                  <v>126.9946808515041</v>
                </pt>
                <pt idx="206">
                  <v>127.6595744683397</v>
                </pt>
                <pt idx="207">
                  <v>126.4627659567059</v>
                </pt>
                <pt idx="208">
                  <v>128.7234042552767</v>
                </pt>
                <pt idx="209">
                  <v>128.5904255319096</v>
                </pt>
                <pt idx="210">
                  <v>129.5212765954794</v>
                </pt>
                <pt idx="211">
                  <v>129.9202127655808</v>
                </pt>
                <pt idx="212">
                  <v>131.2499999992521</v>
                </pt>
                <pt idx="213">
                  <v>131.3829787239489</v>
                </pt>
                <pt idx="214">
                  <v>131.1170212758849</v>
                </pt>
                <pt idx="215">
                  <v>132.4468085108858</v>
                </pt>
                <pt idx="216">
                  <v>134.4414893613927</v>
                </pt>
                <pt idx="217">
                  <v>134.0425531912913</v>
                </pt>
                <pt idx="218">
                  <v>133.1117021277215</v>
                </pt>
                <pt idx="219">
                  <v>133.3776595744557</v>
                </pt>
                <pt idx="220">
                  <v>130.7180851057836</v>
                </pt>
                <pt idx="221">
                  <v>132.1808510641516</v>
                </pt>
                <pt idx="222">
                  <v>129.9202127655808</v>
                </pt>
                <pt idx="223">
                  <v>132.579787234253</v>
                </pt>
                <pt idx="224">
                  <v>129.5212765954794</v>
                </pt>
                <pt idx="225">
                  <v>126.7287234047699</v>
                </pt>
                <pt idx="226">
                  <v>121.1436170206913</v>
                </pt>
                <pt idx="227">
                  <v>116.6223404248794</v>
                </pt>
                <pt idx="228">
                  <v>107.3138297865215</v>
                </pt>
                <pt idx="229">
                  <v>103.9893617023434</v>
                </pt>
                <pt idx="230">
                  <v>104.3882978724447</v>
                </pt>
                <pt idx="231">
                  <v>101.3297872336712</v>
                </pt>
                <pt idx="232">
                  <v>105.9840425528502</v>
                </pt>
                <pt idx="233">
                  <v>106.781914893053</v>
                </pt>
                <pt idx="234">
                  <v>105.718085106116</v>
                </pt>
                <pt idx="235">
                  <v>107.0478723397872</v>
                </pt>
                <pt idx="236">
                  <v>111.8351063823333</v>
                </pt>
                <pt idx="237">
                  <v>109.4414893617251</v>
                </pt>
                <pt idx="238">
                  <v>110.7712765953963</v>
                </pt>
                <pt idx="239">
                  <v>110.7712765953963</v>
                </pt>
                <pt idx="240">
                  <v>111.8351063823333</v>
                </pt>
                <pt idx="241">
                  <v>110.7712765953963</v>
                </pt>
                <pt idx="242">
                  <v>114.4946808510055</v>
                </pt>
                <pt idx="243">
                  <v>116.6223404248794</v>
                </pt>
                <pt idx="244">
                  <v>120.2127659571215</v>
                </pt>
                <pt idx="245">
                  <v>119.8138297870201</v>
                </pt>
                <pt idx="246">
                  <v>119.0159574468174</v>
                </pt>
                <pt idx="247">
                  <v>121.0106382973242</v>
                </pt>
                <pt idx="248">
                  <v>122.8723404257936</v>
                </pt>
                <pt idx="249">
                  <v>125.5319148931361</v>
                </pt>
                <pt idx="250">
                  <v>124.8670212763004</v>
                </pt>
                <pt idx="251">
                  <v>126.861702128137</v>
                </pt>
                <pt idx="252">
                  <v>126.5957446800731</v>
                </pt>
                <pt idx="253">
                  <v>128.0585106384411</v>
                </pt>
                <pt idx="254">
                  <v>128.8563829786438</v>
                </pt>
                <pt idx="255">
                  <v>129.6542553188466</v>
                </pt>
                <pt idx="256">
                  <v>131.2499999992521</v>
                </pt>
                <pt idx="257">
                  <v>129.1223404253781</v>
                </pt>
                <pt idx="258">
                  <v>133.1117021277215</v>
                </pt>
                <pt idx="259">
                  <v>132.0478723407845</v>
                </pt>
                <pt idx="260">
                  <v>130.0531914889479</v>
                </pt>
                <pt idx="261">
                  <v>131.515957447316</v>
                </pt>
                <pt idx="262">
                  <v>130.5851063824164</v>
                </pt>
                <pt idx="263">
                  <v>128.7234042552767</v>
                </pt>
                <pt idx="264">
                  <v>129.3882978721123</v>
                </pt>
                <pt idx="265">
                  <v>129.2553191487452</v>
                </pt>
                <pt idx="266">
                  <v>130.8510638291507</v>
                </pt>
                <pt idx="267">
                  <v>128.4574468085425</v>
                </pt>
                <pt idx="268">
                  <v>130.9840425525178</v>
                </pt>
                <pt idx="269">
                  <v>129.3882978721123</v>
                </pt>
                <pt idx="270">
                  <v>130.8510638291507</v>
                </pt>
                <pt idx="271">
                  <v>130.8510638291507</v>
                </pt>
                <pt idx="272">
                  <v>129.1223404253781</v>
                </pt>
                <pt idx="273">
                  <v>127.3936170216055</v>
                </pt>
                <pt idx="274">
                  <v>126.4627659567059</v>
                </pt>
                <pt idx="275">
                  <v>127.5265957449726</v>
                </pt>
                <pt idx="276">
                  <v>125.9308510632374</v>
                </pt>
                <pt idx="277">
                  <v>126.9946808515041</v>
                </pt>
                <pt idx="278">
                  <v>128.7234042552767</v>
                </pt>
                <pt idx="279">
                  <v>129.1223404253781</v>
                </pt>
                <pt idx="280">
                  <v>128.3244680851753</v>
                </pt>
                <pt idx="281">
                  <v>130.5851063824164</v>
                </pt>
                <pt idx="282">
                  <v>128.3244680851753</v>
                </pt>
                <pt idx="283">
                  <v>131.2499999992521</v>
                </pt>
                <pt idx="284">
                  <v>130.5851063824164</v>
                </pt>
                <pt idx="285">
                  <v>129.6542553188466</v>
                </pt>
                <pt idx="286">
                  <v>132.579787234253</v>
                </pt>
                <pt idx="287">
                  <v>132.7127659576201</v>
                </pt>
                <pt idx="288">
                  <v>132.0478723407845</v>
                </pt>
                <pt idx="289">
                  <v>132.1808510641516</v>
                </pt>
                <pt idx="290">
                  <v>132.7127659576201</v>
                </pt>
                <pt idx="291">
                  <v>132.1808510641516</v>
                </pt>
                <pt idx="292">
                  <v>131.2499999992521</v>
                </pt>
                <pt idx="293">
                  <v>131.3829787239489</v>
                </pt>
                <pt idx="294">
                  <v>134.1755319146584</v>
                </pt>
                <pt idx="295">
                  <v>128.5904255319096</v>
                </pt>
                <pt idx="296">
                  <v>131.7819148940502</v>
                </pt>
                <pt idx="297">
                  <v>132.0478723407845</v>
                </pt>
                <pt idx="298">
                  <v>132.1808510641516</v>
                </pt>
                <pt idx="299">
                  <v>134.4414893613927</v>
                </pt>
                <pt idx="300">
                  <v>130.8510638291507</v>
                </pt>
                <pt idx="301">
                  <v>132.0478723407845</v>
                </pt>
                <pt idx="302">
                  <v>131.9148936174173</v>
                </pt>
                <pt idx="303">
                  <v>133.1117021277215</v>
                </pt>
                <pt idx="304">
                  <v>133.6436170211899</v>
                </pt>
                <pt idx="305">
                  <v>133.2446808510886</v>
                </pt>
                <pt idx="306">
                  <v>135.1063829782283</v>
                </pt>
                <pt idx="307">
                  <v>131.6489361706831</v>
                </pt>
                <pt idx="308">
                  <v>131.9148936174173</v>
                </pt>
                <pt idx="309">
                  <v>133.3776595744557</v>
                </pt>
                <pt idx="310">
                  <v>131.6489361706831</v>
                </pt>
                <pt idx="311">
                  <v>132.8457446809872</v>
                </pt>
                <pt idx="312">
                  <v>134.5744680847598</v>
                </pt>
                <pt idx="313">
                  <v>134.5744680847598</v>
                </pt>
                <pt idx="314">
                  <v>133.2446808510886</v>
                </pt>
                <pt idx="315">
                  <v>134.3085106380256</v>
                </pt>
                <pt idx="316">
                  <v>131.6489361706831</v>
                </pt>
                <pt idx="317">
                  <v>134.5744680847598</v>
                </pt>
                <pt idx="318">
                  <v>132.4468085108858</v>
                </pt>
                <pt idx="319">
                  <v>134.7074468081269</v>
                </pt>
                <pt idx="320">
                  <v>134.3085106380256</v>
                </pt>
                <pt idx="321">
                  <v>135.3723404249625</v>
                </pt>
                <pt idx="322">
                  <v>134.8404255314941</v>
                </pt>
                <pt idx="323">
                  <v>132.3138297875187</v>
                </pt>
                <pt idx="324">
                  <v>134.1755319146584</v>
                </pt>
                <pt idx="325">
                  <v>135.7712765950639</v>
                </pt>
                <pt idx="326">
                  <v>135.1063829782283</v>
                </pt>
                <pt idx="327">
                  <v>137.2340425534319</v>
                </pt>
                <pt idx="328">
                  <v>137.5000000001662</v>
                </pt>
                <pt idx="329">
                  <v>137.6329787235333</v>
                </pt>
                <pt idx="330">
                  <v>138.5638297871032</v>
                </pt>
                <pt idx="331">
                  <v>141.4893617025096</v>
                </pt>
                <pt idx="332">
                  <v>140.1595744675087</v>
                </pt>
                <pt idx="333">
                  <v>138.0319148936347</v>
                </pt>
                <pt idx="334">
                  <v>143.0851063829151</v>
                </pt>
                <pt idx="335">
                  <v>142.2872340427123</v>
                </pt>
                <pt idx="336">
                  <v>141.6223404258767</v>
                </pt>
                <pt idx="337">
                  <v>139.0957446805717</v>
                </pt>
                <pt idx="338">
                  <v>140.8244680843443</v>
                </pt>
                <pt idx="339">
                  <v>140.1595744675087</v>
                </pt>
                <pt idx="340">
                  <v>142.4202127660795</v>
                </pt>
                <pt idx="341">
                  <v>142.2872340427123</v>
                </pt>
                <pt idx="342">
                  <v>139.2287234039388</v>
                </pt>
                <pt idx="343">
                  <v>140.5585106376101</v>
                </pt>
                <pt idx="344">
                  <v>139.6276595740402</v>
                </pt>
                <pt idx="345">
                  <v>139.6276595740402</v>
                </pt>
                <pt idx="346">
                  <v>136.9680851066977</v>
                </pt>
                <pt idx="347">
                  <v>138.1648936170018</v>
                </pt>
                <pt idx="348">
                  <v>137.7659574469005</v>
                </pt>
                <pt idx="349">
                  <v>137.7659574469005</v>
                </pt>
                <pt idx="350">
                  <v>138.8297872338374</v>
                </pt>
                <pt idx="351">
                  <v>136.7021276599635</v>
                </pt>
                <pt idx="352">
                  <v>137.6329787235333</v>
                </pt>
                <pt idx="353">
                  <v>136.4361702132292</v>
                </pt>
                <pt idx="354">
                  <v>135.6382978716968</v>
                </pt>
                <pt idx="355">
                  <v>135.9042553184311</v>
                </pt>
                <pt idx="356">
                  <v>134.8404255314941</v>
                </pt>
                <pt idx="357">
                  <v>133.9095744679242</v>
                </pt>
                <pt idx="358">
                  <v>134.0425531912913</v>
                </pt>
                <pt idx="359">
                  <v>130.9840425525178</v>
                </pt>
                <pt idx="360">
                  <v>134.9734042548612</v>
                </pt>
                <pt idx="361">
                  <v>136.7021276599635</v>
                </pt>
                <pt idx="362">
                  <v>121.6755319141598</v>
                </pt>
                <pt idx="363">
                  <v>94.54787234061827</v>
                </pt>
                <pt idx="364">
                  <v>106.1170212762174</v>
                </pt>
                <pt idx="365">
                  <v>119.0159574468174</v>
                </pt>
                <pt idx="366">
                  <v>121.808510637527</v>
                </pt>
                <pt idx="367">
                  <v>120.6117021272228</v>
                </pt>
                <pt idx="368">
                  <v>124.4680851061991</v>
                </pt>
                <pt idx="369">
                  <v>129.2553191487452</v>
                </pt>
                <pt idx="370">
                  <v>131.1170212758849</v>
                </pt>
                <pt idx="371">
                  <v>131.2499999992521</v>
                </pt>
                <pt idx="372">
                  <v>130.5851063824164</v>
                </pt>
                <pt idx="373">
                  <v>128.9893617020109</v>
                </pt>
                <pt idx="374">
                  <v>130.9840425525178</v>
                </pt>
                <pt idx="375">
                  <v>130.3191489356822</v>
                </pt>
                <pt idx="376">
                  <v>128.9893617020109</v>
                </pt>
                <pt idx="377">
                  <v>128.0585106384411</v>
                </pt>
                <pt idx="378">
                  <v>129.6542553188466</v>
                </pt>
                <pt idx="379">
                  <v>123.5372340426292</v>
                </pt>
                <pt idx="380">
                  <v>123.271276595895</v>
                </pt>
                <pt idx="381">
                  <v>127.5265957449726</v>
                </pt>
                <pt idx="382">
                  <v>128.4574468085425</v>
                </pt>
                <pt idx="383">
                  <v>130.0531914889479</v>
                </pt>
                <pt idx="384">
                  <v>130.4521276590493</v>
                </pt>
                <pt idx="385">
                  <v>130.5851063824164</v>
                </pt>
                <pt idx="386">
                  <v>124.335106382832</v>
                </pt>
                <pt idx="387">
                  <v>126.1968085099717</v>
                </pt>
                <pt idx="388">
                  <v>126.9946808515041</v>
                </pt>
                <pt idx="389">
                  <v>128.7234042552767</v>
                </pt>
                <pt idx="390">
                  <v>127.6595744683397</v>
                </pt>
                <pt idx="391">
                  <v>127.1276595748712</v>
                </pt>
                <pt idx="392">
                  <v>128.8563829786438</v>
                </pt>
                <pt idx="393">
                  <v>128.1914893618082</v>
                </pt>
                <pt idx="394">
                  <v>129.1223404253781</v>
                </pt>
                <pt idx="395">
                  <v>126.4627659567059</v>
                </pt>
                <pt idx="396">
                  <v>#N/A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World'!$A$2:$A$399</f>
              <numCache>
                <formatCode>mmm\-yy</formatCode>
                <ptCount val="398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  <pt idx="395">
                  <v>44896</v>
                </pt>
                <pt idx="396">
                  <v>44927</v>
                </pt>
              </numCache>
            </numRef>
          </cat>
          <val>
            <numRef>
              <f>'IP World'!$L$2:$L$399</f>
              <numCache>
                <formatCode>0.00</formatCode>
                <ptCount val="398"/>
                <pt idx="0">
                  <v>88.1400560966931</v>
                </pt>
                <pt idx="1">
                  <v>89.17249003406701</v>
                </pt>
                <pt idx="2">
                  <v>88.91704246250924</v>
                </pt>
                <pt idx="3">
                  <v>89.27892652314725</v>
                </pt>
                <pt idx="4">
                  <v>89.2576392253312</v>
                </pt>
                <pt idx="5">
                  <v>88.68288218765012</v>
                </pt>
                <pt idx="6">
                  <v>89.02347895047208</v>
                </pt>
                <pt idx="7">
                  <v>89.61952328596921</v>
                </pt>
                <pt idx="8">
                  <v>90.06655653787142</v>
                </pt>
                <pt idx="9">
                  <v>90.24749856819042</v>
                </pt>
                <pt idx="10">
                  <v>89.39600666001812</v>
                </pt>
                <pt idx="11">
                  <v>90.3326477583372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86.81564245875478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84.91620111700631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91.39664804445678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107.1508379887182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105.139664804915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108.9385474861771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109.9441340780787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118.5474860336219</v>
                </pt>
                <pt idx="204">
                  <v>117.9888268155264</v>
                </pt>
                <pt idx="205">
                  <v>118.7709497210837</v>
                </pt>
                <pt idx="206">
                  <v>119.3296089391792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121.1173184355207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118.4357541904498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108.4916201123711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111.3966480449037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110.0558659223683</v>
                </pt>
                <pt idx="272">
                  <v>107.8212290499859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108.3798882680815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112.0670391061715</v>
                </pt>
                <pt idx="302">
                  <v>112.1787709493436</v>
                </pt>
                <pt idx="303">
                  <v>111.0614525142699</v>
                </pt>
                <pt idx="304">
                  <v>111.8435754187097</v>
                </pt>
                <pt idx="305">
                  <v>112.1787709493436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112.6256983242671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112.4022346368053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114.9720670398215</v>
                </pt>
                <pt idx="322">
                  <v>114.7486033523598</v>
                </pt>
                <pt idx="323">
                  <v>114.5251396648981</v>
                </pt>
                <pt idx="324">
                  <v>113.9664804468025</v>
                </pt>
                <pt idx="325">
                  <v>114.7486033523598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116.8715083804526</v>
                </pt>
                <pt idx="331">
                  <v>117.8770949723542</v>
                </pt>
                <pt idx="332">
                  <v>117.2067039110865</v>
                </pt>
                <pt idx="333">
                  <v>118.3240223461602</v>
                </pt>
                <pt idx="334">
                  <v>120.446927374253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117.0949720667969</v>
                </pt>
                <pt idx="340">
                  <v>118.7709497210837</v>
                </pt>
                <pt idx="341">
                  <v>118.5474860336219</v>
                </pt>
                <pt idx="342">
                  <v>116.759776536163</v>
                </pt>
                <pt idx="343">
                  <v>118.6592178767941</v>
                </pt>
                <pt idx="344">
                  <v>117.6536312848925</v>
                </pt>
                <pt idx="345">
                  <v>118.7709497210837</v>
                </pt>
                <pt idx="346">
                  <v>116.5363128498187</v>
                </pt>
                <pt idx="347">
                  <v>116.8715083804526</v>
                </pt>
                <pt idx="348">
                  <v>118.1005586598159</v>
                </pt>
                <pt idx="349">
                  <v>117.8770949723542</v>
                </pt>
                <pt idx="350">
                  <v>117.8770949723542</v>
                </pt>
                <pt idx="351">
                  <v>117.2067039110865</v>
                </pt>
                <pt idx="352">
                  <v>117.765363129182</v>
                </pt>
                <pt idx="353">
                  <v>116.759776536163</v>
                </pt>
                <pt idx="354">
                  <v>116.0893854748953</v>
                </pt>
                <pt idx="355">
                  <v>116.6480446929909</v>
                </pt>
                <pt idx="356">
                  <v>116.759776536163</v>
                </pt>
                <pt idx="357">
                  <v>117.4301675974308</v>
                </pt>
                <pt idx="358">
                  <v>115.8659217874336</v>
                </pt>
                <pt idx="359">
                  <v>113.8547486036304</v>
                </pt>
                <pt idx="360">
                  <v>116.5363128498187</v>
                </pt>
                <pt idx="361">
                  <v>116.2011173180674</v>
                </pt>
                <pt idx="362">
                  <v>103.5754189949178</v>
                </pt>
                <pt idx="363">
                  <v>83.57541899447084</v>
                </pt>
                <pt idx="364">
                  <v>95.4189944131806</v>
                </pt>
                <pt idx="365">
                  <v>104.9162011174533</v>
                </pt>
                <pt idx="366">
                  <v>109.3854748599831</v>
                </pt>
                <pt idx="367">
                  <v>109.7206703917344</v>
                </pt>
                <pt idx="368">
                  <v>110.3910614530021</v>
                </pt>
                <pt idx="369">
                  <v>113.4078212287069</v>
                </pt>
                <pt idx="370">
                  <v>117.0949720667969</v>
                </pt>
                <pt idx="371">
                  <v>117.2067039110865</v>
                </pt>
                <pt idx="372">
                  <v>118.3240223461602</v>
                </pt>
                <pt idx="373">
                  <v>116.5363128498187</v>
                </pt>
                <pt idx="374">
                  <v>117.5418994417203</v>
                </pt>
                <pt idx="375">
                  <v>118.2122905029881</v>
                </pt>
                <pt idx="376">
                  <v>116.312849162357</v>
                </pt>
                <pt idx="377">
                  <v>116.5363128498187</v>
                </pt>
                <pt idx="378">
                  <v>118.6592178767941</v>
                </pt>
                <pt idx="379">
                  <v>115.0837988829937</v>
                </pt>
                <pt idx="380">
                  <v>114.413407821726</v>
                </pt>
                <pt idx="381">
                  <v>113.8547486036304</v>
                </pt>
                <pt idx="382">
                  <v>115.8659217874336</v>
                </pt>
                <pt idx="383">
                  <v>119.5530726255235</v>
                </pt>
                <pt idx="384">
                  <v>117.5418994417203</v>
                </pt>
                <pt idx="385">
                  <v>117.9888268155264</v>
                </pt>
                <pt idx="386">
                  <v>116.4245810055292</v>
                </pt>
                <pt idx="387">
                  <v>115.8659217874336</v>
                </pt>
                <pt idx="388">
                  <v>117.765363129182</v>
                </pt>
                <pt idx="389">
                  <v>119.2178770948897</v>
                </pt>
                <pt idx="390">
                  <v>115.8659217874336</v>
                </pt>
                <pt idx="391">
                  <v>118.3240223461602</v>
                </pt>
                <pt idx="392">
                  <v>119.2178770948897</v>
                </pt>
                <pt idx="393">
                  <v>116.8715083804526</v>
                </pt>
                <pt idx="394">
                  <v>118.5474860336219</v>
                </pt>
                <pt idx="395">
                  <v>117.2067039110865</v>
                </pt>
                <pt idx="396">
                  <v>#N/A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World'!$M$2:$M$399</f>
              <numCache>
                <formatCode>0.00</formatCode>
                <ptCount val="398"/>
                <pt idx="0">
                  <v>84.86187845305477</v>
                </pt>
                <pt idx="1">
                  <v>84.30939226506565</v>
                </pt>
                <pt idx="2">
                  <v>85.52486187822522</v>
                </pt>
                <pt idx="3">
                  <v>86.07734806621434</v>
                </pt>
                <pt idx="4">
                  <v>85.52486187822522</v>
                </pt>
                <pt idx="5">
                  <v>86.85082872960737</v>
                </pt>
                <pt idx="6">
                  <v>84.75138121587345</v>
                </pt>
                <pt idx="7">
                  <v>84.86187845305477</v>
                </pt>
                <pt idx="8">
                  <v>84.41988950328822</v>
                </pt>
                <pt idx="9">
                  <v>84.30939226506565</v>
                </pt>
                <pt idx="10">
                  <v>83.8674033152991</v>
                </pt>
                <pt idx="11">
                  <v>83.4254143644913</v>
                </pt>
                <pt idx="12">
                  <v>83.2044198890874</v>
                </pt>
                <pt idx="13">
                  <v>83.2044198890874</v>
                </pt>
                <pt idx="14">
                  <v>82.32044198851305</v>
                </pt>
                <pt idx="15">
                  <v>81.21546961357606</v>
                </pt>
                <pt idx="16">
                  <v>82.20994475133173</v>
                </pt>
                <pt idx="17">
                  <v>82.43093922673563</v>
                </pt>
                <pt idx="18">
                  <v>81.76795580156519</v>
                </pt>
                <pt idx="19">
                  <v>80.88397790099084</v>
                </pt>
                <pt idx="20">
                  <v>80.99447513817216</v>
                </pt>
                <pt idx="21">
                  <v>81.98895027592785</v>
                </pt>
                <pt idx="22">
                  <v>82.20994475133173</v>
                </pt>
                <pt idx="23">
                  <v>81.87845303874651</v>
                </pt>
                <pt idx="24">
                  <v>81.87845303874651</v>
                </pt>
                <pt idx="25">
                  <v>82.32044198851305</v>
                </pt>
                <pt idx="26">
                  <v>81.98895027592785</v>
                </pt>
                <pt idx="27">
                  <v>82.54143646391697</v>
                </pt>
                <pt idx="28">
                  <v>80.88397790099084</v>
                </pt>
                <pt idx="29">
                  <v>81.65745856334262</v>
                </pt>
                <pt idx="30">
                  <v>82.43093922673563</v>
                </pt>
                <pt idx="31">
                  <v>82.32044198851305</v>
                </pt>
                <pt idx="32">
                  <v>82.87292817650219</v>
                </pt>
                <pt idx="33">
                  <v>83.75690607707652</v>
                </pt>
                <pt idx="34">
                  <v>82.65193370213953</v>
                </pt>
                <pt idx="35">
                  <v>82.54143646391697</v>
                </pt>
                <pt idx="36">
                  <v>82.65193370213953</v>
                </pt>
                <pt idx="37">
                  <v>83.8674033152991</v>
                </pt>
                <pt idx="38">
                  <v>83.09392265190608</v>
                </pt>
                <pt idx="39">
                  <v>83.2044198890874</v>
                </pt>
                <pt idx="40">
                  <v>83.8674033152991</v>
                </pt>
                <pt idx="41">
                  <v>83.31491712730997</v>
                </pt>
                <pt idx="42">
                  <v>84.08839778966176</v>
                </pt>
                <pt idx="43">
                  <v>84.30939226506565</v>
                </pt>
                <pt idx="44">
                  <v>84.64088397765089</v>
                </pt>
                <pt idx="45">
                  <v>84.86187845305477</v>
                </pt>
                <pt idx="46">
                  <v>85.6353591164478</v>
                </pt>
                <pt idx="47">
                  <v>85.85635359081046</v>
                </pt>
                <pt idx="48">
                  <v>86.40883977879957</v>
                </pt>
                <pt idx="49">
                  <v>86.62983425420347</v>
                </pt>
                <pt idx="50">
                  <v>87.07182320501126</v>
                </pt>
                <pt idx="51">
                  <v>88.17679557994826</v>
                </pt>
                <pt idx="52">
                  <v>89.28176795592651</v>
                </pt>
                <pt idx="53">
                  <v>88.28729281817084</v>
                </pt>
                <pt idx="54">
                  <v>88.72928176793738</v>
                </pt>
                <pt idx="55">
                  <v>89.06077348052261</v>
                </pt>
                <pt idx="56">
                  <v>89.83425414391563</v>
                </pt>
                <pt idx="57">
                  <v>90.05524861931953</v>
                </pt>
                <pt idx="58">
                  <v>89.94475138109695</v>
                </pt>
                <pt idx="59">
                  <v>90.82872928167131</v>
                </pt>
                <pt idx="60">
                  <v>89.28176795592651</v>
                </pt>
                <pt idx="61">
                  <v>89.39226519310783</v>
                </pt>
                <pt idx="62">
                  <v>89.61325966851174</v>
                </pt>
                <pt idx="63">
                  <v>90.38674033190476</v>
                </pt>
                <pt idx="64">
                  <v>90.27624309368218</v>
                </pt>
                <pt idx="65">
                  <v>89.72375690569307</v>
                </pt>
                <pt idx="66">
                  <v>90.27624309368218</v>
                </pt>
                <pt idx="67">
                  <v>90.38674033190476</v>
                </pt>
                <pt idx="68">
                  <v>90.71823204448998</v>
                </pt>
                <pt idx="69">
                  <v>90.38674033190476</v>
                </pt>
                <pt idx="70">
                  <v>90.82872928167131</v>
                </pt>
                <pt idx="71">
                  <v>91.38121546966042</v>
                </pt>
                <pt idx="72">
                  <v>90.93922651989388</v>
                </pt>
                <pt idx="73">
                  <v>91.60220994506433</v>
                </pt>
                <pt idx="74">
                  <v>91.71270718224565</v>
                </pt>
                <pt idx="75">
                  <v>90.6077348062674</v>
                </pt>
                <pt idx="76">
                  <v>91.2707182324791</v>
                </pt>
                <pt idx="77">
                  <v>90.71823204448998</v>
                </pt>
                <pt idx="78">
                  <v>90.6077348062674</v>
                </pt>
                <pt idx="79">
                  <v>91.2707182324791</v>
                </pt>
                <pt idx="80">
                  <v>91.82320442046823</v>
                </pt>
                <pt idx="81">
                  <v>91.71270718224565</v>
                </pt>
                <pt idx="82">
                  <v>92.26519337023478</v>
                </pt>
                <pt idx="83">
                  <v>92.70718232104257</v>
                </pt>
                <pt idx="84">
                  <v>92.70718232104257</v>
                </pt>
                <pt idx="85">
                  <v>93.25966850799044</v>
                </pt>
                <pt idx="86">
                  <v>92.48618784563867</v>
                </pt>
                <pt idx="87">
                  <v>92.59668508281999</v>
                </pt>
                <pt idx="88">
                  <v>92.59668508281999</v>
                </pt>
                <pt idx="89">
                  <v>92.8176795582239</v>
                </pt>
                <pt idx="90">
                  <v>94.47513812115001</v>
                </pt>
                <pt idx="91">
                  <v>93.48066298339435</v>
                </pt>
                <pt idx="92">
                  <v>94.25414364678737</v>
                </pt>
                <pt idx="93">
                  <v>95.35911602172436</v>
                </pt>
                <pt idx="94">
                  <v>96.24309392229871</v>
                </pt>
                <pt idx="95">
                  <v>97.01657458569173</v>
                </pt>
                <pt idx="96">
                  <v>97.90055248626608</v>
                </pt>
                <pt idx="97">
                  <v>98.6740331496591</v>
                </pt>
                <pt idx="98">
                  <v>99.00552486224431</v>
                </pt>
                <pt idx="99">
                  <v>98.78453038684042</v>
                </pt>
                <pt idx="100">
                  <v>97.23756906109564</v>
                </pt>
                <pt idx="101">
                  <v>96.79558011028783</v>
                </pt>
                <pt idx="102">
                  <v>96.02209944793607</v>
                </pt>
                <pt idx="103">
                  <v>95.80110497253216</v>
                </pt>
                <pt idx="104">
                  <v>95.02762430913913</v>
                </pt>
                <pt idx="105">
                  <v>95.13812154736171</v>
                </pt>
                <pt idx="106">
                  <v>95.69060773535084</v>
                </pt>
                <pt idx="107">
                  <v>97.34806629827696</v>
                </pt>
                <pt idx="108">
                  <v>100</v>
                </pt>
                <pt idx="109">
                  <v>99.44751381201087</v>
                </pt>
                <pt idx="110">
                  <v>100.3314917125852</v>
                </pt>
                <pt idx="111">
                  <v>100</v>
                </pt>
                <pt idx="112">
                  <v>100.773480663393</v>
                </pt>
                <pt idx="113">
                  <v>100.2209944754039</v>
                </pt>
                <pt idx="114">
                  <v>101.7679558011487</v>
                </pt>
                <pt idx="115">
                  <v>102.5414364645417</v>
                </pt>
                <pt idx="116">
                  <v>103.2044198897122</v>
                </pt>
                <pt idx="117">
                  <v>103.0939226525308</v>
                </pt>
                <pt idx="118">
                  <v>104.0883977902865</v>
                </pt>
                <pt idx="119">
                  <v>102.651933701723</v>
                </pt>
                <pt idx="120">
                  <v>103.0939226525308</v>
                </pt>
                <pt idx="121">
                  <v>103.3149171268935</v>
                </pt>
                <pt idx="122">
                  <v>102.9834254143083</v>
                </pt>
                <pt idx="123">
                  <v>102.9834254143083</v>
                </pt>
                <pt idx="124">
                  <v>102.3204419891378</v>
                </pt>
                <pt idx="125">
                  <v>102.9834254143083</v>
                </pt>
                <pt idx="126">
                  <v>102.3204419891378</v>
                </pt>
                <pt idx="127">
                  <v>103.6464088394787</v>
                </pt>
                <pt idx="128">
                  <v>103.2044198897122</v>
                </pt>
                <pt idx="129">
                  <v>103.6464088394787</v>
                </pt>
                <pt idx="130">
                  <v>104.6408839782756</v>
                </pt>
                <pt idx="131">
                  <v>107.2928176799987</v>
                </pt>
                <pt idx="132">
                  <v>108.0662983423504</v>
                </pt>
                <pt idx="133">
                  <v>108.0662983423504</v>
                </pt>
                <pt idx="134">
                  <v>108.0662983423504</v>
                </pt>
                <pt idx="135">
                  <v>107.5138121543613</v>
                </pt>
                <pt idx="136">
                  <v>106.5193370166056</v>
                </pt>
                <pt idx="137">
                  <v>106.629834253787</v>
                </pt>
                <pt idx="138">
                  <v>105.8563535914352</v>
                </pt>
                <pt idx="139">
                  <v>107.2928176799987</v>
                </pt>
                <pt idx="140">
                  <v>105.7458563532126</v>
                </pt>
                <pt idx="141">
                  <v>105.0828729280422</v>
                </pt>
                <pt idx="142">
                  <v>104.8618784526383</v>
                </pt>
                <pt idx="143">
                  <v>105.1933701662647</v>
                </pt>
                <pt idx="144">
                  <v>105.6353591160313</v>
                </pt>
                <pt idx="145">
                  <v>106.8508287291909</v>
                </pt>
                <pt idx="146">
                  <v>110.1657458560844</v>
                </pt>
                <pt idx="147">
                  <v>107.0718232045948</v>
                </pt>
                <pt idx="148">
                  <v>110.1657458560844</v>
                </pt>
                <pt idx="149">
                  <v>104.8618784526383</v>
                </pt>
                <pt idx="150">
                  <v>108.6187845303396</v>
                </pt>
                <pt idx="151">
                  <v>107.1823204417761</v>
                </pt>
                <pt idx="152">
                  <v>108.7292817685621</v>
                </pt>
                <pt idx="153">
                  <v>106.8508287291909</v>
                </pt>
                <pt idx="154">
                  <v>107.7348066297652</v>
                </pt>
                <pt idx="155">
                  <v>108.7292817685621</v>
                </pt>
                <pt idx="156">
                  <v>108.8397790057435</v>
                </pt>
                <pt idx="157">
                  <v>110.9392265194774</v>
                </pt>
                <pt idx="158">
                  <v>111.1602209948813</v>
                </pt>
                <pt idx="159">
                  <v>110.3867403314883</v>
                </pt>
                <pt idx="160">
                  <v>109.6132596691365</v>
                </pt>
                <pt idx="161">
                  <v>110.8287292822961</v>
                </pt>
                <pt idx="162">
                  <v>111.1602209948813</v>
                </pt>
                <pt idx="163">
                  <v>111.0497237566587</v>
                </pt>
                <pt idx="164">
                  <v>110.6077348068922</v>
                </pt>
                <pt idx="165">
                  <v>111.8232044200517</v>
                </pt>
                <pt idx="166">
                  <v>110.6077348068922</v>
                </pt>
                <pt idx="167">
                  <v>110.6077348068922</v>
                </pt>
                <pt idx="168">
                  <v>111.6022099446478</v>
                </pt>
                <pt idx="169">
                  <v>111.3812154692439</v>
                </pt>
                <pt idx="170">
                  <v>112.7071823206261</v>
                </pt>
                <pt idx="171">
                  <v>112.3756906080409</v>
                </pt>
                <pt idx="172">
                  <v>110.7182320440735</v>
                </pt>
                <pt idx="173">
                  <v>110.3867403314883</v>
                </pt>
                <pt idx="174">
                  <v>109.28176795551</v>
                </pt>
                <pt idx="175">
                  <v>107.9558011051691</v>
                </pt>
                <pt idx="176">
                  <v>107.7348066297652</v>
                </pt>
                <pt idx="177">
                  <v>108.6187845303396</v>
                </pt>
                <pt idx="178">
                  <v>109.1712707183287</v>
                </pt>
                <pt idx="179">
                  <v>108.5082872931582</v>
                </pt>
                <pt idx="180">
                  <v>108.5082872931582</v>
                </pt>
                <pt idx="181">
                  <v>108.3977900549357</v>
                </pt>
                <pt idx="182">
                  <v>105.9668508286165</v>
                </pt>
                <pt idx="183">
                  <v>109.5027624309139</v>
                </pt>
                <pt idx="184">
                  <v>108.8397790057435</v>
                </pt>
                <pt idx="185">
                  <v>110.2762430943069</v>
                </pt>
                <pt idx="186">
                  <v>109.5027624309139</v>
                </pt>
                <pt idx="187">
                  <v>108.6187845303396</v>
                </pt>
                <pt idx="188">
                  <v>108.9502762429248</v>
                </pt>
                <pt idx="189">
                  <v>108.176795580573</v>
                </pt>
                <pt idx="190">
                  <v>108.7292817685621</v>
                </pt>
                <pt idx="191">
                  <v>112.2651933698183</v>
                </pt>
                <pt idx="192">
                  <v>110.6077348068922</v>
                </pt>
                <pt idx="193">
                  <v>111.1602209948813</v>
                </pt>
                <pt idx="194">
                  <v>112.1546961326369</v>
                </pt>
                <pt idx="195">
                  <v>112.0441988954556</v>
                </pt>
                <pt idx="196">
                  <v>112.3756906080409</v>
                </pt>
                <pt idx="197">
                  <v>113.1491712703926</v>
                </pt>
                <pt idx="198">
                  <v>112.3756906080409</v>
                </pt>
                <pt idx="199">
                  <v>113.4806629840191</v>
                </pt>
                <pt idx="200">
                  <v>114.1436464091895</v>
                </pt>
                <pt idx="201">
                  <v>113.4806629840191</v>
                </pt>
                <pt idx="202">
                  <v>113.8121546966043</v>
                </pt>
                <pt idx="203">
                  <v>113.2596685086152</v>
                </pt>
                <pt idx="204">
                  <v>113.3701657457965</v>
                </pt>
                <pt idx="205">
                  <v>112.7071823206261</v>
                </pt>
                <pt idx="206">
                  <v>112.2651933698183</v>
                </pt>
                <pt idx="207">
                  <v>111.1602209948813</v>
                </pt>
                <pt idx="208">
                  <v>112.92817679603</v>
                </pt>
                <pt idx="209">
                  <v>110.8287292822961</v>
                </pt>
                <pt idx="210">
                  <v>109.3922651937326</v>
                </pt>
                <pt idx="211">
                  <v>110.9392265194774</v>
                </pt>
                <pt idx="212">
                  <v>109.6132596691365</v>
                </pt>
                <pt idx="213">
                  <v>109.3922651937326</v>
                </pt>
                <pt idx="214">
                  <v>109.3922651937326</v>
                </pt>
                <pt idx="215">
                  <v>109.6132596691365</v>
                </pt>
                <pt idx="216">
                  <v>109.9447513817217</v>
                </pt>
                <pt idx="217">
                  <v>110.4972375686696</v>
                </pt>
                <pt idx="218">
                  <v>108.7292817685621</v>
                </pt>
                <pt idx="219">
                  <v>111.2707182320626</v>
                </pt>
                <pt idx="220">
                  <v>110.2762430943069</v>
                </pt>
                <pt idx="221">
                  <v>110.1657458560844</v>
                </pt>
                <pt idx="222">
                  <v>110.4972375686696</v>
                </pt>
                <pt idx="223">
                  <v>110.8287292822961</v>
                </pt>
                <pt idx="224">
                  <v>110.4972375686696</v>
                </pt>
                <pt idx="225">
                  <v>109.28176795551</v>
                </pt>
                <pt idx="226">
                  <v>105.8563535914352</v>
                </pt>
                <pt idx="227">
                  <v>105.8563535914352</v>
                </pt>
                <pt idx="228">
                  <v>102.3204419891378</v>
                </pt>
                <pt idx="229">
                  <v>102.8729281771269</v>
                </pt>
                <pt idx="230">
                  <v>102.4309392263191</v>
                </pt>
                <pt idx="231">
                  <v>103.3149171268935</v>
                </pt>
                <pt idx="232">
                  <v>101.3259668513821</v>
                </pt>
                <pt idx="233">
                  <v>102.4309392263191</v>
                </pt>
                <pt idx="234">
                  <v>102.651933701723</v>
                </pt>
                <pt idx="235">
                  <v>100</v>
                </pt>
                <pt idx="236">
                  <v>101.7679558011487</v>
                </pt>
                <pt idx="237">
                  <v>101.7679558011487</v>
                </pt>
                <pt idx="238">
                  <v>101.6574585639674</v>
                </pt>
                <pt idx="239">
                  <v>101.4364640885635</v>
                </pt>
                <pt idx="240">
                  <v>100.5524861879891</v>
                </pt>
                <pt idx="241">
                  <v>102.5414364645417</v>
                </pt>
                <pt idx="242">
                  <v>103.7569060777013</v>
                </pt>
                <pt idx="243">
                  <v>102.3204419891378</v>
                </pt>
                <pt idx="244">
                  <v>102.3204419891378</v>
                </pt>
                <pt idx="245">
                  <v>100.6629834251704</v>
                </pt>
                <pt idx="246">
                  <v>99.55801105023345</v>
                </pt>
                <pt idx="247">
                  <v>100</v>
                </pt>
                <pt idx="248">
                  <v>99.7790055245961</v>
                </pt>
                <pt idx="249">
                  <v>100.8839779005743</v>
                </pt>
                <pt idx="250">
                  <v>98.6740331496591</v>
                </pt>
                <pt idx="251">
                  <v>97.01657458569173</v>
                </pt>
                <pt idx="252">
                  <v>96.90607734851041</v>
                </pt>
                <pt idx="253">
                  <v>95.35911602172436</v>
                </pt>
                <pt idx="254">
                  <v>95.13812154736171</v>
                </pt>
                <pt idx="255">
                  <v>94.25414364678737</v>
                </pt>
                <pt idx="256">
                  <v>95.58011049712826</v>
                </pt>
                <pt idx="257">
                  <v>96.02209944793607</v>
                </pt>
                <pt idx="258">
                  <v>95.69060773535084</v>
                </pt>
                <pt idx="259">
                  <v>95.13812154736171</v>
                </pt>
                <pt idx="260">
                  <v>95.02762430913913</v>
                </pt>
                <pt idx="261">
                  <v>94.69613259655392</v>
                </pt>
                <pt idx="262">
                  <v>94.25414364678737</v>
                </pt>
                <pt idx="263">
                  <v>94.80662983477649</v>
                </pt>
                <pt idx="264">
                  <v>94.14364640856479</v>
                </pt>
                <pt idx="265">
                  <v>94.25414364678737</v>
                </pt>
                <pt idx="266">
                  <v>94.80662983477649</v>
                </pt>
                <pt idx="267">
                  <v>95.24861878454303</v>
                </pt>
                <pt idx="268">
                  <v>95.80110497253216</v>
                </pt>
                <pt idx="269">
                  <v>94.47513812115001</v>
                </pt>
                <pt idx="270">
                  <v>97.67955801086217</v>
                </pt>
                <pt idx="271">
                  <v>96.79558011028783</v>
                </pt>
                <pt idx="272">
                  <v>94.47513812115001</v>
                </pt>
                <pt idx="273">
                  <v>94.58563535937259</v>
                </pt>
                <pt idx="274">
                  <v>94.91712707195781</v>
                </pt>
                <pt idx="275">
                  <v>96.02209944793607</v>
                </pt>
                <pt idx="276">
                  <v>94.58563535937259</v>
                </pt>
                <pt idx="277">
                  <v>95.35911602172436</v>
                </pt>
                <pt idx="278">
                  <v>96.79558011028783</v>
                </pt>
                <pt idx="279">
                  <v>96.24309392229871</v>
                </pt>
                <pt idx="280">
                  <v>96.68508287310651</v>
                </pt>
                <pt idx="281">
                  <v>97.79005524908474</v>
                </pt>
                <pt idx="282">
                  <v>98.0110497234474</v>
                </pt>
                <pt idx="283">
                  <v>97.12707182287306</v>
                </pt>
                <pt idx="284">
                  <v>98.78453038684042</v>
                </pt>
                <pt idx="285">
                  <v>98.56353591143653</v>
                </pt>
                <pt idx="286">
                  <v>99.22651933660697</v>
                </pt>
                <pt idx="287">
                  <v>99.11602209942565</v>
                </pt>
                <pt idx="288">
                  <v>100</v>
                </pt>
                <pt idx="289">
                  <v>99.88950276281868</v>
                </pt>
                <pt idx="290">
                  <v>98.6740331496591</v>
                </pt>
                <pt idx="291">
                  <v>98.89502762402174</v>
                </pt>
                <pt idx="292">
                  <v>98.34254143707388</v>
                </pt>
                <pt idx="293">
                  <v>98.2320441988513</v>
                </pt>
                <pt idx="294">
                  <v>99.33701657482955</v>
                </pt>
                <pt idx="295">
                  <v>98.2320441988513</v>
                </pt>
                <pt idx="296">
                  <v>98.89502762402174</v>
                </pt>
                <pt idx="297">
                  <v>98.78453038684042</v>
                </pt>
                <pt idx="298">
                  <v>99.7790055245961</v>
                </pt>
                <pt idx="299">
                  <v>101.7679558011487</v>
                </pt>
                <pt idx="300">
                  <v>103.4254143651161</v>
                </pt>
                <pt idx="301">
                  <v>104.530386740053</v>
                </pt>
                <pt idx="302">
                  <v>105.0828729280422</v>
                </pt>
                <pt idx="303">
                  <v>104.9723756908609</v>
                </pt>
                <pt idx="304">
                  <v>104.4198895028717</v>
                </pt>
                <pt idx="305">
                  <v>104.6408839782756</v>
                </pt>
                <pt idx="306">
                  <v>104.0883977902865</v>
                </pt>
                <pt idx="307">
                  <v>104.4198895028717</v>
                </pt>
                <pt idx="308">
                  <v>104.1988950274678</v>
                </pt>
                <pt idx="309">
                  <v>104.1988950274678</v>
                </pt>
                <pt idx="310">
                  <v>102.8729281771269</v>
                </pt>
                <pt idx="311">
                  <v>102.651933701723</v>
                </pt>
                <pt idx="312">
                  <v>104.1988950274678</v>
                </pt>
                <pt idx="313">
                  <v>103.5359116022974</v>
                </pt>
                <pt idx="314">
                  <v>104.4198895028717</v>
                </pt>
                <pt idx="315">
                  <v>107.7348066297652</v>
                </pt>
                <pt idx="316">
                  <v>105.9668508286165</v>
                </pt>
                <pt idx="317">
                  <v>104.7513812154569</v>
                </pt>
                <pt idx="318">
                  <v>104.7513812154569</v>
                </pt>
                <pt idx="319">
                  <v>104.530386740053</v>
                </pt>
                <pt idx="320">
                  <v>104.3093922656904</v>
                </pt>
                <pt idx="321">
                  <v>102.7624309389043</v>
                </pt>
                <pt idx="322">
                  <v>103.6464088394787</v>
                </pt>
                <pt idx="323">
                  <v>105.1933701662647</v>
                </pt>
                <pt idx="324">
                  <v>103.8674033148826</v>
                </pt>
                <pt idx="325">
                  <v>103.3149171268935</v>
                </pt>
                <pt idx="326">
                  <v>102.0994475137339</v>
                </pt>
                <pt idx="327">
                  <v>102.9834254143083</v>
                </pt>
                <pt idx="328">
                  <v>103.2044198897122</v>
                </pt>
                <pt idx="329">
                  <v>103.0939226525308</v>
                </pt>
                <pt idx="330">
                  <v>104.0883977902865</v>
                </pt>
                <pt idx="331">
                  <v>104.1988950274678</v>
                </pt>
                <pt idx="332">
                  <v>106.0773480668391</v>
                </pt>
                <pt idx="333">
                  <v>106.2983425412017</v>
                </pt>
                <pt idx="334">
                  <v>107.0718232045948</v>
                </pt>
                <pt idx="335">
                  <v>107.40331491718</v>
                </pt>
                <pt idx="336">
                  <v>107.2928176799987</v>
                </pt>
                <pt idx="337">
                  <v>107.6243093925839</v>
                </pt>
                <pt idx="338">
                  <v>107.40331491718</v>
                </pt>
                <pt idx="339">
                  <v>107.2928176799987</v>
                </pt>
                <pt idx="340">
                  <v>107.0718232045948</v>
                </pt>
                <pt idx="341">
                  <v>108.9502762429248</v>
                </pt>
                <pt idx="342">
                  <v>108.0662983423504</v>
                </pt>
                <pt idx="343">
                  <v>108.8397790057435</v>
                </pt>
                <pt idx="344">
                  <v>109.0607734811474</v>
                </pt>
                <pt idx="345">
                  <v>107.9558011051691</v>
                </pt>
                <pt idx="346">
                  <v>107.8453038679878</v>
                </pt>
                <pt idx="347">
                  <v>108.0662983423504</v>
                </pt>
                <pt idx="348">
                  <v>109.1712707183287</v>
                </pt>
                <pt idx="349">
                  <v>109.8342541434991</v>
                </pt>
                <pt idx="350">
                  <v>110.8287292822961</v>
                </pt>
                <pt idx="351">
                  <v>108.2872928177543</v>
                </pt>
                <pt idx="352">
                  <v>109.6132596691365</v>
                </pt>
                <pt idx="353">
                  <v>109.9447513817217</v>
                </pt>
                <pt idx="354">
                  <v>110.3867403314883</v>
                </pt>
                <pt idx="355">
                  <v>109.7237569063178</v>
                </pt>
                <pt idx="356">
                  <v>111.3812154692439</v>
                </pt>
                <pt idx="357">
                  <v>112.3756906080409</v>
                </pt>
                <pt idx="358">
                  <v>112.0441988954556</v>
                </pt>
                <pt idx="359">
                  <v>112.1546961326369</v>
                </pt>
                <pt idx="360">
                  <v>114.5856353589561</v>
                </pt>
                <pt idx="361">
                  <v>115.580110497753</v>
                </pt>
                <pt idx="362">
                  <v>109.7237569063178</v>
                </pt>
                <pt idx="363">
                  <v>89.72375690569307</v>
                </pt>
                <pt idx="364">
                  <v>96.4640883977026</v>
                </pt>
                <pt idx="365">
                  <v>107.7348066297652</v>
                </pt>
                <pt idx="366">
                  <v>113.7016574583817</v>
                </pt>
                <pt idx="367">
                  <v>115.9116022103382</v>
                </pt>
                <pt idx="368">
                  <v>117.6795580114869</v>
                </pt>
                <pt idx="369">
                  <v>118.8950276246465</v>
                </pt>
                <pt idx="370">
                  <v>120.7734806629765</v>
                </pt>
                <pt idx="371">
                  <v>121.6574585635509</v>
                </pt>
                <pt idx="372">
                  <v>119.8895027624022</v>
                </pt>
                <pt idx="373">
                  <v>120.2209944749874</v>
                </pt>
                <pt idx="374">
                  <v>121.2154696137843</v>
                </pt>
                <pt idx="375">
                  <v>120.2209944749874</v>
                </pt>
                <pt idx="376">
                  <v>121.9889502761361</v>
                </pt>
                <pt idx="377">
                  <v>120.0000000006247</v>
                </pt>
                <pt idx="378">
                  <v>120.2209944749874</v>
                </pt>
                <pt idx="379">
                  <v>120.8839779001578</v>
                </pt>
                <pt idx="380">
                  <v>119.6685082869983</v>
                </pt>
                <pt idx="381">
                  <v>118.4530386738387</v>
                </pt>
                <pt idx="382">
                  <v>118.7845303864239</v>
                </pt>
                <pt idx="383">
                  <v>118.7845303864239</v>
                </pt>
                <pt idx="384">
                  <v>118.6740331492426</v>
                </pt>
                <pt idx="385">
                  <v>118.2320441994761</v>
                </pt>
                <pt idx="386">
                  <v>118.1215469612535</v>
                </pt>
                <pt idx="387">
                  <v>117.458563536083</v>
                </pt>
                <pt idx="388">
                  <v>117.458563536083</v>
                </pt>
                <pt idx="389">
                  <v>115.9116022103382</v>
                </pt>
                <pt idx="390">
                  <v>115.1381215469452</v>
                </pt>
                <pt idx="391">
                  <v>113.3701657457965</v>
                </pt>
                <pt idx="392">
                  <v>113.2596685086152</v>
                </pt>
                <pt idx="393">
                  <v>113.4806629840191</v>
                </pt>
                <pt idx="394">
                  <v>113.5911602212004</v>
                </pt>
                <pt idx="395">
                  <v>113.9226519337856</v>
                </pt>
                <pt idx="396">
                  <v>#N/A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World'!$O$2:$O$399</f>
              <numCache>
                <formatCode>0.00</formatCode>
                <ptCount val="398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118.4689311549867</v>
                </pt>
                <pt idx="387">
                  <v>119.268700558852</v>
                </pt>
                <pt idx="388">
                  <v>119.1471109023007</v>
                </pt>
                <pt idx="389">
                  <v>118.8975261142233</v>
                </pt>
                <pt idx="390">
                  <v>119.5106216523994</v>
                </pt>
                <pt idx="391">
                  <v>119.3817114525254</v>
                </pt>
                <pt idx="392">
                  <v>119.6153969344021</v>
                </pt>
                <pt idx="393">
                  <v>119.6367866483833</v>
                </pt>
                <pt idx="394">
                  <v>118.94122060938</v>
                </pt>
                <pt idx="395">
                  <v>117.7298993890673</v>
                </pt>
                <pt idx="396">
                  <v>117.7606685490005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World'!$Q$2:$Q$399</f>
              <numCache>
                <formatCode>0.00</formatCode>
                <ptCount val="398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96.57477825403342</v>
                </pt>
                <pt idx="373">
                  <v>96.4743886720109</v>
                </pt>
                <pt idx="374">
                  <v>97.67906366029692</v>
                </pt>
                <pt idx="375">
                  <v>98.88373864958692</v>
                </pt>
                <pt idx="376">
                  <v>92.96075328817142</v>
                </pt>
                <pt idx="377">
                  <v>99.08451781363193</v>
                </pt>
                <pt idx="378">
                  <v>98.58256990251542</v>
                </pt>
                <pt idx="379">
                  <v>96.17321992493942</v>
                </pt>
                <pt idx="380">
                  <v>90.4510137285729</v>
                </pt>
                <pt idx="381">
                  <v>92.55919495907739</v>
                </pt>
                <pt idx="382">
                  <v>97.47828449625192</v>
                </pt>
                <pt idx="383">
                  <v>97.37789491322542</v>
                </pt>
                <pt idx="384">
                  <v>95.2697136837249</v>
                </pt>
                <pt idx="385">
                  <v>97.47828449625192</v>
                </pt>
                <pt idx="386">
                  <v>97.07672616615392</v>
                </pt>
                <pt idx="387">
                  <v>95.77166159484142</v>
                </pt>
                <pt idx="388">
                  <v>89.04555957523789</v>
                </pt>
                <pt idx="389">
                  <v>96.87594700110493</v>
                </pt>
                <pt idx="390">
                  <v>97.57867407827442</v>
                </pt>
                <pt idx="391">
                  <v>100.0884136378729</v>
                </pt>
                <pt idx="392">
                  <v>98.78334906656043</v>
                </pt>
                <pt idx="393">
                  <v>95.67127201281892</v>
                </pt>
                <pt idx="394">
                  <v>96.3739990899884</v>
                </pt>
                <pt idx="395">
                  <v>96.3739990899884</v>
                </pt>
                <pt idx="396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country'!$A$5:$A$393</f>
              <numCache>
                <formatCode>mmm\-yy</formatCode>
                <ptCount val="389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  <pt idx="380">
                  <v>44774</v>
                </pt>
                <pt idx="381">
                  <v>44805</v>
                </pt>
                <pt idx="382">
                  <v>44835</v>
                </pt>
                <pt idx="383">
                  <v>44866</v>
                </pt>
                <pt idx="384">
                  <v>44896</v>
                </pt>
                <pt idx="385">
                  <v>44927</v>
                </pt>
              </numCache>
            </numRef>
          </cat>
          <val>
            <numRef>
              <f>'Per country'!$C$5:$C$393</f>
              <numCache>
                <formatCode>0.0%</formatCode>
                <ptCount val="389"/>
                <pt idx="1">
                  <v>-0.003424785746154394</v>
                </pt>
                <pt idx="2">
                  <v>-0.007270012942270154</v>
                </pt>
                <pt idx="3">
                  <v>-0.005615426389081178</v>
                </pt>
                <pt idx="4">
                  <v>0.002655627196359025</v>
                </pt>
                <pt idx="5">
                  <v>0.009998646838075189</v>
                </pt>
                <pt idx="6">
                  <v>0.007976589798418835</v>
                </pt>
                <pt idx="7">
                  <v>0.002668080133177539</v>
                </pt>
                <pt idx="8">
                  <v>0.0001810630604476653</v>
                </pt>
                <pt idx="9">
                  <v>0.00836295281024115</v>
                </pt>
                <pt idx="10">
                  <v>-0.001003438312883951</v>
                </pt>
                <pt idx="11">
                  <v>-0.001286846393953435</v>
                </pt>
                <pt idx="12">
                  <v>-0.004373203611896553</v>
                </pt>
                <pt idx="13">
                  <v>-0.005218612075115392</v>
                </pt>
                <pt idx="14">
                  <v>0.007012495301206573</v>
                </pt>
                <pt idx="15">
                  <v>0.008313546856503552</v>
                </pt>
                <pt idx="16">
                  <v>0.0076219536483695</v>
                </pt>
                <pt idx="17">
                  <v>0.00322644065055526</v>
                </pt>
                <pt idx="18">
                  <v>0.000538908048754925</v>
                </pt>
                <pt idx="19">
                  <v>0.008951164261279549</v>
                </pt>
                <pt idx="20">
                  <v>-0.005554433599237713</v>
                </pt>
                <pt idx="21">
                  <v>0.003142213488769195</v>
                </pt>
                <pt idx="22">
                  <v>0.006809297315743129</v>
                </pt>
                <pt idx="23">
                  <v>0.004033942476025466</v>
                </pt>
                <pt idx="24">
                  <v>0.001578839506544786</v>
                </pt>
                <pt idx="25">
                  <v>0.003994351796887145</v>
                </pt>
                <pt idx="26">
                  <v>0.004734939129844416</v>
                </pt>
                <pt idx="27">
                  <v>-0.0009664953324160816</v>
                </pt>
                <pt idx="28">
                  <v>0.002868454073094484</v>
                </pt>
                <pt idx="29">
                  <v>-0.003999748478102473</v>
                </pt>
                <pt idx="30">
                  <v>0.002388237117171498</v>
                </pt>
                <pt idx="31">
                  <v>0.002411733619566284</v>
                </pt>
                <pt idx="32">
                  <v>-0.0009317236599475092</v>
                </pt>
                <pt idx="33">
                  <v>0.005116988229514952</v>
                </pt>
                <pt idx="34">
                  <v>0.00743191479672071</v>
                </pt>
                <pt idx="35">
                  <v>0.004756480336795715</v>
                </pt>
                <pt idx="36">
                  <v>0.005647588087194381</v>
                </pt>
                <pt idx="37">
                  <v>0.003187224713268287</v>
                </pt>
                <pt idx="38">
                  <v>0.0007143241379594943</v>
                </pt>
                <pt idx="39">
                  <v>0.00999489279359384</v>
                </pt>
                <pt idx="40">
                  <v>0.005912750348823498</v>
                </pt>
                <pt idx="41">
                  <v>0.004699162463893554</v>
                </pt>
                <pt idx="42">
                  <v>0.006541034718407533</v>
                </pt>
                <pt idx="43">
                  <v>0.001251449851461894</v>
                </pt>
                <pt idx="44">
                  <v>0.006603635257296577</v>
                </pt>
                <pt idx="45">
                  <v>0.003117915471921865</v>
                </pt>
                <pt idx="46">
                  <v>0.008073907305504521</v>
                </pt>
                <pt idx="47">
                  <v>0.006777050447386588</v>
                </pt>
                <pt idx="48">
                  <v>0.00973451076570603</v>
                </pt>
                <pt idx="49">
                  <v>0.00208890397795434</v>
                </pt>
                <pt idx="50">
                  <v>-0.001343967471183994</v>
                </pt>
                <pt idx="51">
                  <v>0.00155324997612056</v>
                </pt>
                <pt idx="52">
                  <v>-0.001626423645634899</v>
                </pt>
                <pt idx="53">
                  <v>0.004641877265434522</v>
                </pt>
                <pt idx="54">
                  <v>0.003303097966657139</v>
                </pt>
                <pt idx="55">
                  <v>-0.004232461298174961</v>
                </pt>
                <pt idx="56">
                  <v>0.0131508372462193</v>
                </pt>
                <pt idx="57">
                  <v>0.004009159856806863</v>
                </pt>
                <pt idx="58">
                  <v>-0.001533820264982065</v>
                </pt>
                <pt idx="59">
                  <v>0.002412223405266378</v>
                </pt>
                <pt idx="60">
                  <v>0.003491639268212604</v>
                </pt>
                <pt idx="61">
                  <v>-0.005411324947638291</v>
                </pt>
                <pt idx="62">
                  <v>0.01429610252016815</v>
                </pt>
                <pt idx="63">
                  <v>-0.001520590988769656</v>
                </pt>
                <pt idx="64">
                  <v>0.01004955554567731</v>
                </pt>
                <pt idx="65">
                  <v>0.007478300825187721</v>
                </pt>
                <pt idx="66">
                  <v>0.00746814135193677</v>
                </pt>
                <pt idx="67">
                  <v>7.943687881762146e-06</v>
                </pt>
                <pt idx="68">
                  <v>0.00503890388930942</v>
                </pt>
                <pt idx="69">
                  <v>0.006458717820759605</v>
                </pt>
                <pt idx="70">
                  <v>-0.0001321934116603749</v>
                </pt>
                <pt idx="71">
                  <v>0.008824095369659085</v>
                </pt>
                <pt idx="72">
                  <v>0.006320457986386685</v>
                </pt>
                <pt idx="73">
                  <v>0.001807765654763508</v>
                </pt>
                <pt idx="74">
                  <v>0.01180907270833608</v>
                </pt>
                <pt idx="75">
                  <v>0.006234417137014268</v>
                </pt>
                <pt idx="76">
                  <v>0.0008368930831445896</v>
                </pt>
                <pt idx="77">
                  <v>0.005559043206934209</v>
                </pt>
                <pt idx="78">
                  <v>0.00467036141406479</v>
                </pt>
                <pt idx="79">
                  <v>0.0083645702359507</v>
                </pt>
                <pt idx="80">
                  <v>0.009988939751539824</v>
                </pt>
                <pt idx="81">
                  <v>0.009295953090751898</v>
                </pt>
                <pt idx="82">
                  <v>0.008744465534243755</v>
                </pt>
                <pt idx="83">
                  <v>0.007970491096486683</v>
                </pt>
                <pt idx="84">
                  <v>0.004518380363785715</v>
                </pt>
                <pt idx="85">
                  <v>0.004490910999839956</v>
                </pt>
                <pt idx="86">
                  <v>0.001657444805219521</v>
                </pt>
                <pt idx="87">
                  <v>0.00041071650303952</v>
                </pt>
                <pt idx="88">
                  <v>0.003623942869258707</v>
                </pt>
                <pt idx="89">
                  <v>0.006272729955821447</v>
                </pt>
                <pt idx="90">
                  <v>-0.006009868836445312</v>
                </pt>
                <pt idx="91">
                  <v>-0.004013124864985469</v>
                </pt>
                <pt idx="92">
                  <v>0.0205937796141952</v>
                </pt>
                <pt idx="93">
                  <v>-0.000877717791954727</v>
                </pt>
                <pt idx="94">
                  <v>0.006921146055360413</v>
                </pt>
                <pt idx="95">
                  <v>-0.0008551628399565864</v>
                </pt>
                <pt idx="96">
                  <v>0.004272552873545866</v>
                </pt>
                <pt idx="97">
                  <v>0.004156745724226006</v>
                </pt>
                <pt idx="98">
                  <v>0.005728325481706115</v>
                </pt>
                <pt idx="99">
                  <v>0.002093806150076697</v>
                </pt>
                <pt idx="100">
                  <v>0.002275562056272882</v>
                </pt>
                <pt idx="101">
                  <v>0.006093266264739924</v>
                </pt>
                <pt idx="102">
                  <v>-0.0005728840211784118</v>
                </pt>
                <pt idx="103">
                  <v>0.005789557859513318</v>
                </pt>
                <pt idx="104">
                  <v>0.004467489772732731</v>
                </pt>
                <pt idx="105">
                  <v>-0.0042113054275227</v>
                </pt>
                <pt idx="106">
                  <v>0.0129772726954277</v>
                </pt>
                <pt idx="107">
                  <v>0.005222538028018617</v>
                </pt>
                <pt idx="108">
                  <v>0.007864563299675241</v>
                </pt>
                <pt idx="109">
                  <v>-0.0005922749130711621</v>
                </pt>
                <pt idx="110">
                  <v>0.003672534359998702</v>
                </pt>
                <pt idx="111">
                  <v>0.003797195819445091</v>
                </pt>
                <pt idx="112">
                  <v>0.006233222618427063</v>
                </pt>
                <pt idx="113">
                  <v>0.00295842699018436</v>
                </pt>
                <pt idx="114">
                  <v>0.0005882226728166082</v>
                </pt>
                <pt idx="115">
                  <v>-0.001896653822492079</v>
                </pt>
                <pt idx="116">
                  <v>-0.002687016340103418</v>
                </pt>
                <pt idx="117">
                  <v>0.003930380430742833</v>
                </pt>
                <pt idx="118">
                  <v>-0.003420117284670607</v>
                </pt>
                <pt idx="119">
                  <v>3.662367763788301e-05</v>
                </pt>
                <pt idx="120">
                  <v>-0.003297087984724156</v>
                </pt>
                <pt idx="121">
                  <v>-0.005435875044048499</v>
                </pt>
                <pt idx="122">
                  <v>-0.006764069260452197</v>
                </pt>
                <pt idx="123">
                  <v>-0.002546825823325776</v>
                </pt>
                <pt idx="124">
                  <v>-0.003272823394524932</v>
                </pt>
                <pt idx="125">
                  <v>-0.005520667011050856</v>
                </pt>
                <pt idx="126">
                  <v>-0.005669709540045357</v>
                </pt>
                <pt idx="127">
                  <v>-0.005940179791455696</v>
                </pt>
                <pt idx="128">
                  <v>-0.001216852800106906</v>
                </pt>
                <pt idx="129">
                  <v>-0.00529365019337664</v>
                </pt>
                <pt idx="130">
                  <v>-0.003068245071924035</v>
                </pt>
                <pt idx="131">
                  <v>-0.005791433783170624</v>
                </pt>
                <pt idx="132">
                  <v>-0.0003433257863847192</v>
                </pt>
                <pt idx="133">
                  <v>0.00696326403953311</v>
                </pt>
                <pt idx="134">
                  <v>-0.0001016429994591785</v>
                </pt>
                <pt idx="135">
                  <v>0.007607057900988656</v>
                </pt>
                <pt idx="136">
                  <v>0.00481113600097492</v>
                </pt>
                <pt idx="137">
                  <v>0.004330709104866176</v>
                </pt>
                <pt idx="138">
                  <v>0.008190866968232459</v>
                </pt>
                <pt idx="139">
                  <v>-0.0002291644815940673</v>
                </pt>
                <pt idx="140">
                  <v>-0.001288243699480953</v>
                </pt>
                <pt idx="141">
                  <v>0.001073633844450986</v>
                </pt>
                <pt idx="142">
                  <v>-0.002603497853126624</v>
                </pt>
                <pt idx="143">
                  <v>0.005463713924634158</v>
                </pt>
                <pt idx="144">
                  <v>-0.005390059380730759</v>
                </pt>
                <pt idx="145">
                  <v>0.008261512907246735</v>
                </pt>
                <pt idx="146">
                  <v>0.001083960350081955</v>
                </pt>
                <pt idx="147">
                  <v>-0.00294947141944535</v>
                </pt>
                <pt idx="148">
                  <v>-0.006343541711937651</v>
                </pt>
                <pt idx="149">
                  <v>-0.0002386969788578197</v>
                </pt>
                <pt idx="150">
                  <v>0.001328621634242969</v>
                </pt>
                <pt idx="151">
                  <v>0.005204774475742065</v>
                </pt>
                <pt idx="152">
                  <v>-0.002374222220528654</v>
                </pt>
                <pt idx="153">
                  <v>0.00660574250932949</v>
                </pt>
                <pt idx="154">
                  <v>0.001248834004378564</v>
                </pt>
                <pt idx="155">
                  <v>0.006736602971988729</v>
                </pt>
                <pt idx="156">
                  <v>0.0008342708513115073</v>
                </pt>
                <pt idx="157">
                  <v>0.001663898920728928</v>
                </pt>
                <pt idx="158">
                  <v>0.006081810087121746</v>
                </pt>
                <pt idx="159">
                  <v>-0.003965850870420682</v>
                </pt>
                <pt idx="160">
                  <v>0.004061555074230374</v>
                </pt>
                <pt idx="161">
                  <v>0.007190019797232538</v>
                </pt>
                <pt idx="162">
                  <v>-0.007627775649555127</v>
                </pt>
                <pt idx="163">
                  <v>0.00732376846057637</v>
                </pt>
                <pt idx="164">
                  <v>0.0009069456609245556</v>
                </pt>
                <pt idx="165">
                  <v>0.001067283702311772</v>
                </pt>
                <pt idx="166">
                  <v>0.008814893625990238</v>
                </pt>
                <pt idx="167">
                  <v>0.002393719894333167</v>
                </pt>
                <pt idx="168">
                  <v>0.007749151016125655</v>
                </pt>
                <pt idx="169">
                  <v>0.003603109725192621</v>
                </pt>
                <pt idx="170">
                  <v>0.007299186376026899</v>
                </pt>
                <pt idx="171">
                  <v>-0.00142814712410507</v>
                </pt>
                <pt idx="172">
                  <v>0.001971174419631547</v>
                </pt>
                <pt idx="173">
                  <v>0.00115431279710764</v>
                </pt>
                <pt idx="174">
                  <v>0.004106723141929238</v>
                </pt>
                <pt idx="175">
                  <v>-0.003003395401632089</v>
                </pt>
                <pt idx="176">
                  <v>0.003345782837153631</v>
                </pt>
                <pt idx="177">
                  <v>-0.01929598456335321</v>
                </pt>
                <pt idx="178">
                  <v>0.01208017510727354</v>
                </pt>
                <pt idx="179">
                  <v>0.01105203107724972</v>
                </pt>
                <pt idx="180">
                  <v>0.0046902257585703</v>
                </pt>
                <pt idx="181">
                  <v>0.001858762599333641</v>
                </pt>
                <pt idx="182">
                  <v>0.0003665823514174297</v>
                </pt>
                <pt idx="183">
                  <v>0.002379876309488372</v>
                </pt>
                <pt idx="184">
                  <v>0.003069839606536721</v>
                </pt>
                <pt idx="185">
                  <v>0.0001204740036321904</v>
                </pt>
                <pt idx="186">
                  <v>0.003224062745030115</v>
                </pt>
                <pt idx="187">
                  <v>-0.0007184161790752899</v>
                </pt>
                <pt idx="188">
                  <v>0.004267148115207274</v>
                </pt>
                <pt idx="189">
                  <v>-0.002050105418386539</v>
                </pt>
                <pt idx="190">
                  <v>-0.001037737375431865</v>
                </pt>
                <pt idx="191">
                  <v>-0.0005446216625425079</v>
                </pt>
                <pt idx="192">
                  <v>0.01023538458669149</v>
                </pt>
                <pt idx="193">
                  <v>-0.003886658604822993</v>
                </pt>
                <pt idx="194">
                  <v>0.009719963177279389</v>
                </pt>
                <pt idx="195">
                  <v>0.001924683118150148</v>
                </pt>
                <pt idx="196">
                  <v>0.006859247642452389</v>
                </pt>
                <pt idx="197">
                  <v>0.0006930655063549665</v>
                </pt>
                <pt idx="198">
                  <v>0.0002557844144561563</v>
                </pt>
                <pt idx="199">
                  <v>-0.00109565759640593</v>
                </pt>
                <pt idx="200">
                  <v>0.002091318966066855</v>
                </pt>
                <pt idx="201">
                  <v>0.002483908140914425</v>
                </pt>
                <pt idx="202">
                  <v>-0.002930570946976267</v>
                </pt>
                <pt idx="203">
                  <v>0.005795796470555148</v>
                </pt>
                <pt idx="204">
                  <v>-0.0001084847812119774</v>
                </pt>
                <pt idx="205">
                  <v>-0.001356695599111293</v>
                </pt>
                <pt idx="206">
                  <v>-0.003927821270800387</v>
                </pt>
                <pt idx="207">
                  <v>-0.00362297122766579</v>
                </pt>
                <pt idx="208">
                  <v>-0.00665492422748302</v>
                </pt>
                <pt idx="209">
                  <v>-0.005797041024333869</v>
                </pt>
                <pt idx="210">
                  <v>-0.002254845463975929</v>
                </pt>
                <pt idx="211">
                  <v>-0.004201609186604817</v>
                </pt>
                <pt idx="212">
                  <v>-0.01565516819040177</v>
                </pt>
                <pt idx="213">
                  <v>-0.04368331789251841</v>
                </pt>
                <pt idx="214">
                  <v>0.009886983023946356</v>
                </pt>
                <pt idx="215">
                  <v>-0.01309939789145549</v>
                </pt>
                <pt idx="216">
                  <v>-0.02814490253264018</v>
                </pt>
                <pt idx="217">
                  <v>-0.02480205207244087</v>
                </pt>
                <pt idx="218">
                  <v>-0.006016844456263913</v>
                </pt>
                <pt idx="219">
                  <v>-0.01575805130974828</v>
                </pt>
                <pt idx="220">
                  <v>-0.007978019715287929</v>
                </pt>
                <pt idx="221">
                  <v>-0.0100244817723668</v>
                </pt>
                <pt idx="222">
                  <v>-0.003192974985899227</v>
                </pt>
                <pt idx="223">
                  <v>0.01158298880353092</v>
                </pt>
                <pt idx="224">
                  <v>0.01078298570172504</v>
                </pt>
                <pt idx="225">
                  <v>0.008405543824802351</v>
                </pt>
                <pt idx="226">
                  <v>0.002143965017517947</v>
                </pt>
                <pt idx="227">
                  <v>0.004175956724027258</v>
                </pt>
                <pt idx="228">
                  <v>0.003610330049778674</v>
                </pt>
                <pt idx="229">
                  <v>0.0109008316768915</v>
                </pt>
                <pt idx="230">
                  <v>0.003535006993280669</v>
                </pt>
                <pt idx="231">
                  <v>0.00710543867421383</v>
                </pt>
                <pt idx="232">
                  <v>0.003650788901698956</v>
                </pt>
                <pt idx="233">
                  <v>0.01369564737278795</v>
                </pt>
                <pt idx="234">
                  <v>0.002350809198039777</v>
                </pt>
                <pt idx="235">
                  <v>0.003752908509903069</v>
                </pt>
                <pt idx="236">
                  <v>0.003698778736466066</v>
                </pt>
                <pt idx="237">
                  <v>0.002718782055026201</v>
                </pt>
                <pt idx="238">
                  <v>-0.002724332048887868</v>
                </pt>
                <pt idx="239">
                  <v>0.0006845632097344997</v>
                </pt>
                <pt idx="240">
                  <v>0.009677676926249996</v>
                </pt>
                <pt idx="241">
                  <v>-0.002081772632386144</v>
                </pt>
                <pt idx="242">
                  <v>-0.004007312108664614</v>
                </pt>
                <pt idx="243">
                  <v>0.01046071666416169</v>
                </pt>
                <pt idx="244">
                  <v>-0.003463576581467228</v>
                </pt>
                <pt idx="245">
                  <v>0.001444702494857234</v>
                </pt>
                <pt idx="246">
                  <v>0.002665591903034453</v>
                </pt>
                <pt idx="247">
                  <v>0.005070301516793625</v>
                </pt>
                <pt idx="248">
                  <v>0.006472015955202683</v>
                </pt>
                <pt idx="249">
                  <v>-0.0005582052432650481</v>
                </pt>
                <pt idx="250">
                  <v>0.006898894740719545</v>
                </pt>
                <pt idx="251">
                  <v>0.0001713167760053918</v>
                </pt>
                <pt idx="252">
                  <v>0.004900491405184497</v>
                </pt>
                <pt idx="253">
                  <v>0.00613627647237901</v>
                </pt>
                <pt idx="254">
                  <v>0.003080416219756981</v>
                </pt>
                <pt idx="255">
                  <v>-0.005210945457466717</v>
                </pt>
                <pt idx="256">
                  <v>0.007280741801782647</v>
                </pt>
                <pt idx="257">
                  <v>0.002096595491402001</v>
                </pt>
                <pt idx="258">
                  <v>-0.0001466597412092791</v>
                </pt>
                <pt idx="259">
                  <v>0.002391007103243099</v>
                </pt>
                <pt idx="260">
                  <v>-0.004199608277472408</v>
                </pt>
                <pt idx="261">
                  <v>-0.000745018655832896</v>
                </pt>
                <pt idx="262">
                  <v>0.003295951788666567</v>
                </pt>
                <pt idx="263">
                  <v>0.004078473979171008</v>
                </pt>
                <pt idx="264">
                  <v>0.002523507308944239</v>
                </pt>
                <pt idx="265">
                  <v>-7.229692889125614e-05</v>
                </pt>
                <pt idx="266">
                  <v>0.004933858793408069</v>
                </pt>
                <pt idx="267">
                  <v>0.004214483680867406</v>
                </pt>
                <pt idx="268">
                  <v>-0.001105960281095373</v>
                </pt>
                <pt idx="269">
                  <v>0.000893021296295566</v>
                </pt>
                <pt idx="270">
                  <v>0.001371643819221528</v>
                </pt>
                <pt idx="271">
                  <v>-0.003032835048714863</v>
                </pt>
                <pt idx="272">
                  <v>0.005822276495055443</v>
                </pt>
                <pt idx="273">
                  <v>0.005308119177566948</v>
                </pt>
                <pt idx="274">
                  <v>-0.001133804984018081</v>
                </pt>
                <pt idx="275">
                  <v>0.002443350506660613</v>
                </pt>
                <pt idx="276">
                  <v>0.002093903118619795</v>
                </pt>
                <pt idx="277">
                  <v>-0.003734644908178427</v>
                </pt>
                <pt idx="278">
                  <v>0.007658317228816718</v>
                </pt>
                <pt idx="279">
                  <v>0.009832404455068245</v>
                </pt>
                <pt idx="280">
                  <v>0.0006211967581947773</v>
                </pt>
                <pt idx="281">
                  <v>0.004020537852276589</v>
                </pt>
                <pt idx="282">
                  <v>0.003444814482508835</v>
                </pt>
                <pt idx="283">
                  <v>0.002718310671128407</v>
                </pt>
                <pt idx="284">
                  <v>-0.001872766614698334</v>
                </pt>
                <pt idx="285">
                  <v>0.003066734600355125</v>
                </pt>
                <pt idx="286">
                  <v>5.535877687782676e-05</v>
                </pt>
                <pt idx="287">
                  <v>0.006130888102897494</v>
                </pt>
                <pt idx="288">
                  <v>-9.362780246978529e-05</v>
                </pt>
                <pt idx="289">
                  <v>-0.007664684531797783</v>
                </pt>
                <pt idx="290">
                  <v>-0.006251094383893354</v>
                </pt>
                <pt idx="291">
                  <v>-0.003403637988250794</v>
                </pt>
                <pt idx="292">
                  <v>-0.0056891570998757</v>
                </pt>
                <pt idx="293">
                  <v>-0.004691366568668666</v>
                </pt>
                <pt idx="294">
                  <v>-0.002984508739388758</v>
                </pt>
                <pt idx="295">
                  <v>0.006541374116262043</v>
                </pt>
                <pt idx="296">
                  <v>-0.002272772227627689</v>
                </pt>
                <pt idx="297">
                  <v>-0.002698250007990725</v>
                </pt>
                <pt idx="298">
                  <v>-0.004542382313512585</v>
                </pt>
                <pt idx="299">
                  <v>-0.007681401087564486</v>
                </pt>
                <pt idx="300">
                  <v>-0.005277631587902521</v>
                </pt>
                <pt idx="301">
                  <v>0.005577742438520047</v>
                </pt>
                <pt idx="302">
                  <v>-0.005170578806544451</v>
                </pt>
                <pt idx="303">
                  <v>-0.00764551350492309</v>
                </pt>
                <pt idx="304">
                  <v>0.003035505938713089</v>
                </pt>
                <pt idx="305">
                  <v>-0.002304025743477548</v>
                </pt>
                <pt idx="306">
                  <v>0.004755135953405095</v>
                </pt>
                <pt idx="307">
                  <v>0.001626525435668664</v>
                </pt>
                <pt idx="308">
                  <v>-0.001081577663252594</v>
                </pt>
                <pt idx="309">
                  <v>-0.001028054226847028</v>
                </pt>
                <pt idx="310">
                  <v>0.0008506651629155587</v>
                </pt>
                <pt idx="311">
                  <v>-0.004175758710494909</v>
                </pt>
                <pt idx="312">
                  <v>0.006163759250304581</v>
                </pt>
                <pt idx="313">
                  <v>-0.001732953308411263</v>
                </pt>
                <pt idx="314">
                  <v>-0.003211630340487961</v>
                </pt>
                <pt idx="315">
                  <v>0.006653268011676735</v>
                </pt>
                <pt idx="316">
                  <v>0.009910913816181343</v>
                </pt>
                <pt idx="317">
                  <v>0.0008445397198887966</v>
                </pt>
                <pt idx="318">
                  <v>0.001755559768165776</v>
                </pt>
                <pt idx="319">
                  <v>-0.001724571045019516</v>
                </pt>
                <pt idx="320">
                  <v>-0.004533571391313352</v>
                </pt>
                <pt idx="321">
                  <v>0.0009539783181681947</v>
                </pt>
                <pt idx="322">
                  <v>0.01259935318948984</v>
                </pt>
                <pt idx="323">
                  <v>0.001839863581914975</v>
                </pt>
                <pt idx="324">
                  <v>0.001598403570647086</v>
                </pt>
                <pt idx="325">
                  <v>-0.0004221415168207399</v>
                </pt>
                <pt idx="326">
                  <v>0.003569983713686508</v>
                </pt>
                <pt idx="327">
                  <v>0.005621059758949326</v>
                </pt>
                <pt idx="328">
                  <v>0.01129758453498365</v>
                </pt>
                <pt idx="329">
                  <v>-0.009286114820151705</v>
                </pt>
                <pt idx="330">
                  <v>0.007585375737418736</v>
                </pt>
                <pt idx="331">
                  <v>0.002014512235531503</v>
                </pt>
                <pt idx="332">
                  <v>0.006972823964957025</v>
                </pt>
                <pt idx="333">
                  <v>-0.0001315029166877164</v>
                </pt>
                <pt idx="334">
                  <v>-0.001141441832311734</v>
                </pt>
                <pt idx="335">
                  <v>-0.0008390390509959934</v>
                </pt>
                <pt idx="336">
                  <v>-0.0008782198610438662</v>
                </pt>
                <pt idx="337">
                  <v>-0.005782283454395565</v>
                </pt>
                <pt idx="338">
                  <v>-0.004383722411877321</v>
                </pt>
                <pt idx="339">
                  <v>0.0008199136836157538</v>
                </pt>
                <pt idx="340">
                  <v>-0.005028182699232015</v>
                </pt>
                <pt idx="341">
                  <v>0.001885085939712534</v>
                </pt>
                <pt idx="342">
                  <v>0.0001676812039776222</v>
                </pt>
                <pt idx="343">
                  <v>-0.003817031992296068</v>
                </pt>
                <pt idx="344">
                  <v>0.006921640844213213</v>
                </pt>
                <pt idx="345">
                  <v>-0.003202842135322294</v>
                </pt>
                <pt idx="346">
                  <v>-0.007813490086829319</v>
                </pt>
                <pt idx="347">
                  <v>0.003148043520019803</v>
                </pt>
                <pt idx="348">
                  <v>-0.003278226092525063</v>
                </pt>
                <pt idx="349">
                  <v>-0.004522263452028857</v>
                </pt>
                <pt idx="350">
                  <v>0.003956447495002275</v>
                </pt>
                <pt idx="351">
                  <v>-0.03765051059963553</v>
                </pt>
                <pt idx="352">
                  <v>-0.1319606925668617</v>
                </pt>
                <pt idx="353">
                  <v>0.01619016232259012</v>
                </pt>
                <pt idx="354">
                  <v>0.06275359212359162</v>
                </pt>
                <pt idx="355">
                  <v>0.03805463187826271</v>
                </pt>
                <pt idx="356">
                  <v>0.009170141078017688</v>
                </pt>
                <pt idx="357">
                  <v>-0.0004806626911818286</v>
                </pt>
                <pt idx="358">
                  <v>0.007847313083284761</v>
                </pt>
                <pt idx="359">
                  <v>0.003029176356062724</v>
                </pt>
                <pt idx="360">
                  <v>0.01049956599071739</v>
                </pt>
                <pt idx="361">
                  <v>0.01147873402638446</v>
                </pt>
                <pt idx="362">
                  <v>-0.03063935244198988</v>
                </pt>
                <pt idx="363">
                  <v>0.02742584681067292</v>
                </pt>
                <pt idx="364">
                  <v>0.001643703700708943</v>
                </pt>
                <pt idx="365">
                  <v>0.007613259745220676</v>
                </pt>
                <pt idx="366">
                  <v>0.004147186016513071</v>
                </pt>
                <pt idx="367">
                  <v>0.006787946772943052</v>
                </pt>
                <pt idx="368">
                  <v>-0.0003509384095299261</v>
                </pt>
                <pt idx="369">
                  <v>-0.009790057219401561</v>
                </pt>
                <pt idx="370">
                  <v>0.01512672033371139</v>
                </pt>
                <pt idx="371">
                  <v>0.00592737582597686</v>
                </pt>
                <pt idx="372">
                  <v>-0.001984091957479314</v>
                </pt>
                <pt idx="373">
                  <v>0.003806062778998345</v>
                </pt>
                <pt idx="374">
                  <v>0.007368864179337306</v>
                </pt>
                <pt idx="375">
                  <v>0.006540413037496676</v>
                </pt>
                <pt idx="376">
                  <v>0.006750878868139363</v>
                </pt>
                <pt idx="377">
                  <v>-0.001019459891669443</v>
                </pt>
                <pt idx="378">
                  <v>-0.002094761561462396</v>
                </pt>
                <pt idx="379">
                  <v>0.005156503740768721</v>
                </pt>
                <pt idx="380">
                  <v>-0.001078650567553702</v>
                </pt>
                <pt idx="381">
                  <v>0.0019574646655125</v>
                </pt>
                <pt idx="382">
                  <v>0.0001788207415546202</v>
                </pt>
                <pt idx="383">
                  <v>-0.005813981288611264</v>
                </pt>
                <pt idx="384">
                  <v>-0.01018420034792502</v>
                </pt>
                <pt idx="385">
                  <v>0.000261353828491094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United States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country'!$A$5:$A$400</f>
              <numCache>
                <formatCode>mmm\-yy</formatCode>
                <ptCount val="396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  <pt idx="380">
                  <v>44774</v>
                </pt>
                <pt idx="381">
                  <v>44805</v>
                </pt>
                <pt idx="382">
                  <v>44835</v>
                </pt>
                <pt idx="383">
                  <v>44866</v>
                </pt>
                <pt idx="384">
                  <v>44896</v>
                </pt>
                <pt idx="385">
                  <v>44927</v>
                </pt>
              </numCache>
            </numRef>
          </cat>
          <val>
            <numRef>
              <f>'Per country'!$D$5:$D$400</f>
              <numCache>
                <formatCode>0.0%</formatCode>
                <ptCount val="396"/>
                <pt idx="12">
                  <v>0.008724739363744528</v>
                </pt>
                <pt idx="13">
                  <v>0.006909043999998405</v>
                </pt>
                <pt idx="14">
                  <v>0.02139554779141147</v>
                </pt>
                <pt idx="15">
                  <v>0.0357028808252329</v>
                </pt>
                <pt idx="16">
                  <v>0.04083289603080106</v>
                </pt>
                <pt idx="17">
                  <v>0.03385394115720691</v>
                </pt>
                <pt idx="18">
                  <v>0.0262253149889138</v>
                </pt>
                <pt idx="19">
                  <v>0.03265601734817003</v>
                </pt>
                <pt idx="20">
                  <v>0.02673429441534293</v>
                </pt>
                <pt idx="21">
                  <v>0.02141843856342066</v>
                </pt>
                <pt idx="22">
                  <v>0.02940652634344689</v>
                </pt>
                <pt idx="23">
                  <v>0.03489083859894806</v>
                </pt>
                <pt idx="24">
                  <v>0.04107760950202824</v>
                </pt>
                <pt idx="25">
                  <v>0.05071933633841452</v>
                </pt>
                <pt idx="26">
                  <v>0.04834292857782232</v>
                </pt>
                <pt idx="27">
                  <v>0.03869447484437042</v>
                </pt>
                <pt idx="28">
                  <v>0.03379438932406601</v>
                </pt>
                <pt idx="29">
                  <v>0.02634802081272907</v>
                </pt>
                <pt idx="30">
                  <v>0.02824505371562975</v>
                </pt>
                <pt idx="31">
                  <v>0.02158057138027184</v>
                </pt>
                <pt idx="32">
                  <v>0.02632941920127181</v>
                </pt>
                <pt idx="33">
                  <v>0.02834984002044376</v>
                </pt>
                <pt idx="34">
                  <v>0.02898577831448241</v>
                </pt>
                <pt idx="35">
                  <v>0.02972627238701633</v>
                </pt>
                <pt idx="36">
                  <v>0.03390936526395494</v>
                </pt>
                <pt idx="37">
                  <v>0.0330781890235526</v>
                </pt>
                <pt idx="38">
                  <v>0.0289441537742413</v>
                </pt>
                <pt idx="39">
                  <v>0.04023372131808572</v>
                </pt>
                <pt idx="40">
                  <v>0.04339144318164088</v>
                </pt>
                <pt idx="41">
                  <v>0.05250426140433614</v>
                </pt>
                <pt idx="42">
                  <v>0.05686468485126423</v>
                </pt>
                <pt idx="43">
                  <v>0.05564137221655691</v>
                </pt>
                <pt idx="44">
                  <v>0.06360342727918439</v>
                </pt>
                <pt idx="45">
                  <v>0.06148803110017666</v>
                </pt>
                <pt idx="46">
                  <v>0.06216447121897864</v>
                </pt>
                <pt idx="47">
                  <v>0.06430048907512347</v>
                </pt>
                <pt idx="48">
                  <v>0.06862577544489998</v>
                </pt>
                <pt idx="49">
                  <v>0.06745581053850123</v>
                </pt>
                <pt idx="50">
                  <v>0.06526024354703688</v>
                </pt>
                <pt idx="51">
                  <v>0.05635668715497854</v>
                </pt>
                <pt idx="52">
                  <v>0.04843944297857326</v>
                </pt>
                <pt idx="53">
                  <v>0.04837966382894601</v>
                </pt>
                <pt idx="54">
                  <v>0.04500713660331815</v>
                </pt>
                <pt idx="55">
                  <v>0.039283573068185</v>
                </pt>
                <pt idx="56">
                  <v>0.04604333355216882</v>
                </pt>
                <pt idx="57">
                  <v>0.04697271606343238</v>
                </pt>
                <pt idx="58">
                  <v>0.03699425262263487</v>
                </pt>
                <pt idx="59">
                  <v>0.03249842054704362</v>
                </pt>
                <pt idx="60">
                  <v>0.02611480694157009</v>
                </pt>
                <pt idx="61">
                  <v>0.01843475387896141</v>
                </pt>
                <pt idx="62">
                  <v>0.03438458075975266</v>
                </pt>
                <pt idx="63">
                  <v>0.0312099780136022</v>
                </pt>
                <pt idx="64">
                  <v>0.0432699789294184</v>
                </pt>
                <pt idx="65">
                  <v>0.04621546190637058</v>
                </pt>
                <pt idx="66">
                  <v>0.05055864872401481</v>
                </pt>
                <pt idx="67">
                  <v>0.05503237774113261</v>
                </pt>
                <pt idx="68">
                  <v>0.04658511399422584</v>
                </pt>
                <pt idx="69">
                  <v>0.04913854777097004</v>
                </pt>
                <pt idx="70">
                  <v>0.05061130748106955</v>
                </pt>
                <pt idx="71">
                  <v>0.05733148210646254</v>
                </pt>
                <pt idx="72">
                  <v>0.06031207404251361</v>
                </pt>
                <pt idx="73">
                  <v>0.06800820926035177</v>
                </pt>
                <pt idx="74">
                  <v>0.0653894786459757</v>
                </pt>
                <pt idx="75">
                  <v>0.07366416512369287</v>
                </pt>
                <pt idx="76">
                  <v>0.06387127377782437</v>
                </pt>
                <pt idx="77">
                  <v>0.06184458690489941</v>
                </pt>
                <pt idx="78">
                  <v>0.05889580136971224</v>
                </pt>
                <pt idx="79">
                  <v>0.06774452784355585</v>
                </pt>
                <pt idx="80">
                  <v>0.07300340258370022</v>
                </pt>
                <pt idx="81">
                  <v>0.07602822918088449</v>
                </pt>
                <pt idx="82">
                  <v>0.0855810276045029</v>
                </pt>
                <pt idx="83">
                  <v>0.08466247638403612</v>
                </pt>
                <pt idx="84">
                  <v>0.08272010707090717</v>
                </pt>
                <pt idx="85">
                  <v>0.08561996023126799</v>
                </pt>
                <pt idx="86">
                  <v>0.07472777693529858</v>
                </pt>
                <pt idx="87">
                  <v>0.06850766288503934</v>
                </pt>
                <pt idx="88">
                  <v>0.07148315676809472</v>
                </pt>
                <pt idx="89">
                  <v>0.07224363258083512</v>
                </pt>
                <pt idx="90">
                  <v>0.06084505915771915</v>
                </pt>
                <pt idx="91">
                  <v>0.04782316501429807</v>
                </pt>
                <pt idx="92">
                  <v>0.05882526259379327</v>
                </pt>
                <pt idx="93">
                  <v>0.04815233785755778</v>
                </pt>
                <pt idx="94">
                  <v>0.04625778810809209</v>
                </pt>
                <pt idx="95">
                  <v>0.03709689575289445</v>
                </pt>
                <pt idx="96">
                  <v>0.03684309559154136</v>
                </pt>
                <pt idx="97">
                  <v>0.03649816767331671</v>
                </pt>
                <pt idx="98">
                  <v>0.04071064608485148</v>
                </pt>
                <pt idx="99">
                  <v>0.04246153627934037</v>
                </pt>
                <pt idx="100">
                  <v>0.04106097669346977</v>
                </pt>
                <pt idx="101">
                  <v>0.04087530869317869</v>
                </pt>
                <pt idx="102">
                  <v>0.04656874876921489</v>
                </pt>
                <pt idx="103">
                  <v>0.05686926743033638</v>
                </pt>
                <pt idx="104">
                  <v>0.04016979260347779</v>
                </pt>
                <pt idx="105">
                  <v>0.03669924928634634</v>
                </pt>
                <pt idx="106">
                  <v>0.04293447631076282</v>
                </pt>
                <pt idx="107">
                  <v>0.04927854529472721</v>
                </pt>
                <pt idx="108">
                  <v>0.05303152994399215</v>
                </pt>
                <pt idx="109">
                  <v>0.04805136276518993</v>
                </pt>
                <pt idx="110">
                  <v>0.04590905988669233</v>
                </pt>
                <pt idx="111">
                  <v>0.04768692806308038</v>
                </pt>
                <pt idx="112">
                  <v>0.05182390335575635</v>
                </pt>
                <pt idx="113">
                  <v>0.04854657411331182</v>
                </pt>
                <pt idx="114">
                  <v>0.04976474643093615</v>
                </pt>
                <pt idx="115">
                  <v>0.04174247776218355</v>
                </pt>
                <pt idx="116">
                  <v>0.03432247362960884</v>
                </pt>
                <pt idx="117">
                  <v>0.04277921621198157</v>
                </pt>
                <pt idx="118">
                  <v>0.02589941255570523</v>
                </pt>
                <pt idx="119">
                  <v>0.02060682680045876</v>
                </pt>
                <pt idx="120">
                  <v>0.009304060621311951</v>
                </pt>
                <pt idx="121">
                  <v>0.004412498191377634</v>
                </pt>
                <pt idx="122">
                  <v>-0.006031799880138917</v>
                </pt>
                <pt idx="123">
                  <v>-0.01231370204130079</v>
                </pt>
                <pt idx="124">
                  <v>-0.02164453229387932</v>
                </pt>
                <pt idx="125">
                  <v>-0.02991563083003413</v>
                </pt>
                <pt idx="126">
                  <v>-0.03598278421587573</v>
                </pt>
                <pt idx="127">
                  <v>-0.03988822012236739</v>
                </pt>
                <pt idx="128">
                  <v>-0.03847289578966161</v>
                </pt>
                <pt idx="129">
                  <v>-0.04730732856312914</v>
                </pt>
                <pt idx="130">
                  <v>-0.04697095203759406</v>
                </pt>
                <pt idx="131">
                  <v>-0.05252505667920063</v>
                </pt>
                <pt idx="132">
                  <v>-0.04971718320184102</v>
                </pt>
                <pt idx="133">
                  <v>-0.03787009509704947</v>
                </pt>
                <pt idx="134">
                  <v>-0.0314163217824461</v>
                </pt>
                <pt idx="135">
                  <v>-0.02155632403968707</v>
                </pt>
                <pt idx="136">
                  <v>-0.01362065304275026</v>
                </pt>
                <pt idx="137">
                  <v>-0.003849515908464067</v>
                </pt>
                <pt idx="138">
                  <v>0.01003643338925049</v>
                </pt>
                <pt idx="139">
                  <v>0.0158392366183297</v>
                </pt>
                <pt idx="140">
                  <v>0.01576662658588678</v>
                </pt>
                <pt idx="141">
                  <v>0.02226872102700067</v>
                </pt>
                <pt idx="142">
                  <v>0.02274527977097925</v>
                </pt>
                <pt idx="143">
                  <v>0.03432348336168539</v>
                </pt>
                <pt idx="144">
                  <v>0.02910173553010238</v>
                </pt>
                <pt idx="145">
                  <v>0.03042852689442133</v>
                </pt>
                <pt idx="146">
                  <v>0.03165033059516299</v>
                </pt>
                <pt idx="147">
                  <v>0.02084190395903929</v>
                </pt>
                <pt idx="148">
                  <v>0.009509264394734065</v>
                </pt>
                <pt idx="149">
                  <v>0.004916297424310196</v>
                </pt>
                <pt idx="150">
                  <v>-0.001923659570923382</v>
                </pt>
                <pt idx="151">
                  <v>0.003501069492953369</v>
                </pt>
                <pt idx="152">
                  <v>0.002409883171732353</v>
                </pt>
                <pt idx="153">
                  <v>0.007949376185006391</v>
                </pt>
                <pt idx="154">
                  <v>0.0118424673320798</v>
                </pt>
                <pt idx="155">
                  <v>0.01312343170352183</v>
                </pt>
                <pt idx="156">
                  <v>0.01946362050237533</v>
                </pt>
                <pt idx="157">
                  <v>0.01279270491622094</v>
                </pt>
                <pt idx="158">
                  <v>0.01784900983611121</v>
                </pt>
                <pt idx="159">
                  <v>0.01681142870241902</v>
                </pt>
                <pt idx="160">
                  <v>0.02745899330151439</v>
                </pt>
                <pt idx="161">
                  <v>0.03509351749965937</v>
                </pt>
                <pt idx="162">
                  <v>0.02583510965201343</v>
                </pt>
                <pt idx="163">
                  <v>0.02799759284148908</v>
                </pt>
                <pt idx="164">
                  <v>0.03137865291328319</v>
                </pt>
                <pt idx="165">
                  <v>0.02570389074735535</v>
                </pt>
                <pt idx="166">
                  <v>0.03345474800476277</v>
                </pt>
                <pt idx="167">
                  <v>0.02899660759009708</v>
                </pt>
                <pt idx="168">
                  <v>0.03610606460882351</v>
                </pt>
                <pt idx="169">
                  <v>0.03811195508488507</v>
                </pt>
                <pt idx="170">
                  <v>0.03936808839996794</v>
                </pt>
                <pt idx="171">
                  <v>0.04201619870224871</v>
                </pt>
                <pt idx="172">
                  <v>0.03984679933371622</v>
                </pt>
                <pt idx="173">
                  <v>0.03361539266523125</v>
                </pt>
                <pt idx="174">
                  <v>0.04583757933921719</v>
                </pt>
                <pt idx="175">
                  <v>0.03511556880669769</v>
                </pt>
                <pt idx="176">
                  <v>0.03763775964755783</v>
                </pt>
                <pt idx="177">
                  <v>0.01653059092245325</v>
                </pt>
                <pt idx="178">
                  <v>0.01982084618599979</v>
                </pt>
                <pt idx="179">
                  <v>0.02862968652673384</v>
                </pt>
                <pt idx="180">
                  <v>0.02550738041948957</v>
                </pt>
                <pt idx="181">
                  <v>0.02372496181770611</v>
                </pt>
                <pt idx="182">
                  <v>0.0166793095563121</v>
                </pt>
                <pt idx="183">
                  <v>0.02055638522601977</v>
                </pt>
                <pt idx="184">
                  <v>0.02167542916695057</v>
                </pt>
                <pt idx="185">
                  <v>0.02062039930840415</v>
                </pt>
                <pt idx="186">
                  <v>0.01972322255818976</v>
                </pt>
                <pt idx="187">
                  <v>0.02206028806629424</v>
                </pt>
                <pt idx="188">
                  <v>0.02299883874105661</v>
                </pt>
                <pt idx="189">
                  <v>0.04098848093754991</v>
                </pt>
                <pt idx="190">
                  <v>0.02749587815339219</v>
                </pt>
                <pt idx="191">
                  <v>0.01571061634266512</v>
                </pt>
                <pt idx="192">
                  <v>0.02131659970612066</v>
                </pt>
                <pt idx="193">
                  <v>0.01545959244405472</v>
                </pt>
                <pt idx="194">
                  <v>0.02495409220940902</v>
                </pt>
                <pt idx="195">
                  <v>0.02448864778535923</v>
                </pt>
                <pt idx="196">
                  <v>0.02835897202533941</v>
                </pt>
                <pt idx="197">
                  <v>0.02894773070435462</v>
                </pt>
                <pt idx="198">
                  <v>0.02590334274979734</v>
                </pt>
                <pt idx="199">
                  <v>0.02551605128227788</v>
                </pt>
                <pt idx="200">
                  <v>0.02329418459921539</v>
                </pt>
                <pt idx="201">
                  <v>0.0279433455774545</v>
                </pt>
                <pt idx="202">
                  <v>0.02599559865351897</v>
                </pt>
                <pt idx="203">
                  <v>0.03250438457751119</v>
                </pt>
                <pt idx="204">
                  <v>0.02193250139186452</v>
                </pt>
                <pt idx="205">
                  <v>0.02452804079025728</v>
                </pt>
                <pt idx="206">
                  <v>0.01068010436071482</v>
                </pt>
                <pt idx="207">
                  <v>0.005083971270414219</v>
                </pt>
                <pt idx="208">
                  <v>-0.008406372651310419</v>
                </pt>
                <pt idx="209">
                  <v>-0.01483746376053955</v>
                </pt>
                <pt idx="210">
                  <v>-0.01731020976924433</v>
                </pt>
                <pt idx="211">
                  <v>-0.02036574450572887</v>
                </pt>
                <pt idx="212">
                  <v>-0.03771452939601539</v>
                </pt>
                <pt idx="213">
                  <v>-0.08203050341743348</v>
                </pt>
                <pt idx="214">
                  <v>-0.0702297970440742</v>
                </pt>
                <pt idx="215">
                  <v>-0.08769675083181813</v>
                </pt>
                <pt idx="216">
                  <v>-0.1132772409353548</v>
                </pt>
                <pt idx="217">
                  <v>-0.1340950154977718</v>
                </pt>
                <pt idx="218">
                  <v>-0.1359110441226667</v>
                </pt>
                <pt idx="219">
                  <v>-0.1464349606470514</v>
                </pt>
                <pt idx="220">
                  <v>-0.1475718747765522</v>
                </pt>
                <pt idx="221">
                  <v>-0.1511964761306377</v>
                </pt>
                <pt idx="222">
                  <v>-0.1519945633380114</v>
                </pt>
                <pt idx="223">
                  <v>-0.1385526608056872</v>
                </pt>
                <pt idx="224">
                  <v>-0.1154153652283708</v>
                </pt>
                <pt idx="225">
                  <v>-0.06723362001783667</v>
                </pt>
                <pt idx="226">
                  <v>-0.07438533797974813</v>
                </pt>
                <pt idx="227">
                  <v>-0.0581827726053566</v>
                </pt>
                <pt idx="228">
                  <v>-0.02740902332525856</v>
                </pt>
                <pt idx="229">
                  <v>0.008198416835646451</v>
                </pt>
                <pt idx="230">
                  <v>0.01788687227432254</v>
                </pt>
                <pt idx="231">
                  <v>0.04153191843397826</v>
                </pt>
                <pt idx="232">
                  <v>0.05374109886410928</v>
                </pt>
                <pt idx="233">
                  <v>0.07898907165778261</v>
                </pt>
                <pt idx="234">
                  <v>0.08498991474976908</v>
                </pt>
                <pt idx="235">
                  <v>0.07659163379378403</v>
                </pt>
                <pt idx="236">
                  <v>0.06904619816739521</v>
                </pt>
                <pt idx="237">
                  <v>0.06301746192423241</v>
                </pt>
                <pt idx="238">
                  <v>0.05785344859673267</v>
                </pt>
                <pt idx="239">
                  <v>0.05417542519379046</v>
                </pt>
                <pt idx="240">
                  <v>0.06054846439216651</v>
                </pt>
                <pt idx="241">
                  <v>0.04692825493880608</v>
                </pt>
                <pt idx="242">
                  <v>0.03905980299585948</v>
                </pt>
                <pt idx="243">
                  <v>0.0425215403208223</v>
                </pt>
                <pt idx="244">
                  <v>0.03513164002489164</v>
                </pt>
                <pt idx="245">
                  <v>0.02262163201981298</v>
                </pt>
                <pt idx="246">
                  <v>0.02294278066413923</v>
                </pt>
                <pt idx="247">
                  <v>0.02428535975334625</v>
                </pt>
                <pt idx="248">
                  <v>0.02711547805422827</v>
                </pt>
                <pt idx="249">
                  <v>0.02375875986394574</v>
                </pt>
                <pt idx="250">
                  <v>0.03363753565345085</v>
                </pt>
                <pt idx="251">
                  <v>0.03310738779422831</v>
                </pt>
                <pt idx="252">
                  <v>0.02821934701897714</v>
                </pt>
                <pt idx="253">
                  <v>0.0366869316892777</v>
                </pt>
                <pt idx="254">
                  <v>0.04406425024067676</v>
                </pt>
                <pt idx="255">
                  <v>0.0278714167210721</v>
                </pt>
                <pt idx="256">
                  <v>0.0389535783950113</v>
                </pt>
                <pt idx="257">
                  <v>0.03962988789048672</v>
                </pt>
                <pt idx="258">
                  <v>0.03671395970342703</v>
                </pt>
                <pt idx="259">
                  <v>0.03395031031841252</v>
                </pt>
                <pt idx="260">
                  <v>0.02298733369108519</v>
                </pt>
                <pt idx="261">
                  <v>0.02279611919933279</v>
                </pt>
                <pt idx="262">
                  <v>0.01913629189362769</v>
                </pt>
                <pt idx="263">
                  <v>0.02311753554368075</v>
                </pt>
                <pt idx="264">
                  <v>0.02069746098767053</v>
                </pt>
                <pt idx="265">
                  <v>0.01439903476527986</v>
                </pt>
                <pt idx="266">
                  <v>0.01627339132463734</v>
                </pt>
                <pt idx="267">
                  <v>0.02590238029608297</v>
                </pt>
                <pt idx="268">
                  <v>0.01736063292357955</v>
                </pt>
                <pt idx="269">
                  <v>0.01613872576371785</v>
                </pt>
                <pt idx="270">
                  <v>0.01768175910980774</v>
                </pt>
                <pt idx="271">
                  <v>0.01217518015686031</v>
                </pt>
                <pt idx="272">
                  <v>0.0223618632606878</v>
                </pt>
                <pt idx="273">
                  <v>0.02855497451804061</v>
                </pt>
                <pt idx="274">
                  <v>0.02401369399525275</v>
                </pt>
                <pt idx="275">
                  <v>0.02234610638072288</v>
                </pt>
                <pt idx="276">
                  <v>0.02190800775454504</v>
                </pt>
                <pt idx="277">
                  <v>0.01816515443052719</v>
                </pt>
                <pt idx="278">
                  <v>0.02092548399784617</v>
                </pt>
                <pt idx="279">
                  <v>0.02663689184812892</v>
                </pt>
                <pt idx="280">
                  <v>0.02841201820192059</v>
                </pt>
                <pt idx="281">
                  <v>0.03162552408602668</v>
                </pt>
                <pt idx="282">
                  <v>0.03376133029267781</v>
                </pt>
                <pt idx="283">
                  <v>0.03972472834535363</v>
                </pt>
                <pt idx="284">
                  <v>0.03177031453501895</v>
                </pt>
                <pt idx="285">
                  <v>0.02946993117383045</v>
                </pt>
                <pt idx="286">
                  <v>0.03069552909794914</v>
                </pt>
                <pt idx="287">
                  <v>0.03448699373472983</v>
                </pt>
                <pt idx="288">
                  <v>0.03222874999208543</v>
                </pt>
                <pt idx="289">
                  <v>0.02815684297717766</v>
                </pt>
                <pt idx="290">
                  <v>0.01396447589512574</v>
                </pt>
                <pt idx="291">
                  <v>0.0006742736994377555</v>
                </pt>
                <pt idx="292">
                  <v>-0.005636414884982746</v>
                </pt>
                <pt idx="293">
                  <v>-0.0142645257518394</v>
                </pt>
                <pt idx="294">
                  <v>-0.02058038077820708</v>
                </pt>
                <pt idx="295">
                  <v>-0.01684614823867422</v>
                </pt>
                <pt idx="296">
                  <v>-0.01724015317704648</v>
                </pt>
                <pt idx="297">
                  <v>-0.0228884268114941</v>
                </pt>
                <pt idx="298">
                  <v>-0.02738068415556692</v>
                </pt>
                <pt idx="299">
                  <v>-0.04073292234000747</v>
                </pt>
                <pt idx="300">
                  <v>-0.04570623214190563</v>
                </pt>
                <pt idx="301">
                  <v>-0.03297145859096352</v>
                </pt>
                <pt idx="302">
                  <v>-0.03191999639882592</v>
                </pt>
                <pt idx="303">
                  <v>-0.03604049595309525</v>
                </pt>
                <pt idx="304">
                  <v>-0.02758215325703839</v>
                </pt>
                <pt idx="305">
                  <v>-0.02524971812415849</v>
                </pt>
                <pt idx="306">
                  <v>-0.01768291408545607</v>
                </pt>
                <pt idx="307">
                  <v>-0.02247947780134936</v>
                </pt>
                <pt idx="308">
                  <v>-0.02131240818533022</v>
                </pt>
                <pt idx="309">
                  <v>-0.0196733858062763</v>
                </pt>
                <pt idx="310">
                  <v>-0.01436231290993337</v>
                </pt>
                <pt idx="311">
                  <v>-0.01088027271831877</v>
                </pt>
                <pt idx="312">
                  <v>0.0004966760112810468</v>
                </pt>
                <pt idx="313">
                  <v>-0.006777079647229638</v>
                </pt>
                <pt idx="314">
                  <v>-0.004821294590186326</v>
                </pt>
                <pt idx="315">
                  <v>0.00951818094227823</v>
                </pt>
                <pt idx="316">
                  <v>0.01643802496834011</v>
                </pt>
                <pt idx="317">
                  <v>0.01964573728115412</v>
                </pt>
                <pt idx="318">
                  <v>0.01660170698811447</v>
                </pt>
                <pt idx="319">
                  <v>0.01320050872105812</v>
                </pt>
                <pt idx="320">
                  <v>0.009699159939051186</v>
                </pt>
                <pt idx="321">
                  <v>0.01170247605232288</v>
                </pt>
                <pt idx="322">
                  <v>0.0235785502565766</v>
                </pt>
                <pt idx="323">
                  <v>0.02976183209452692</v>
                </pt>
                <pt idx="324">
                  <v>0.02508940279499604</v>
                </pt>
                <pt idx="325">
                  <v>0.02643543468202606</v>
                </pt>
                <pt idx="326">
                  <v>0.03341875148368582</v>
                </pt>
                <pt idx="327">
                  <v>0.03235909827666684</v>
                </pt>
                <pt idx="328">
                  <v>0.03377659175384889</v>
                </pt>
                <pt idx="329">
                  <v>0.02331259549168234</v>
                </pt>
                <pt idx="330">
                  <v>0.02926786477126162</v>
                </pt>
                <pt idx="331">
                  <v>0.03312303154462735</v>
                </pt>
                <pt idx="332">
                  <v>0.04506469196730546</v>
                </pt>
                <pt idx="333">
                  <v>0.04393137501476482</v>
                </pt>
                <pt idx="334">
                  <v>0.02976540997071936</v>
                </pt>
                <pt idx="335">
                  <v>0.02701183490515136</v>
                </pt>
                <pt idx="336">
                  <v>0.02447237241611135</v>
                </pt>
                <pt idx="337">
                  <v>0.01897873599682608</v>
                </pt>
                <pt idx="338">
                  <v>0.0109029091528165</v>
                </pt>
                <pt idx="339">
                  <v>0.006076545894288749</v>
                </pt>
                <pt idx="340">
                  <v>-0.01016493609800376</v>
                </pt>
                <pt idx="341">
                  <v>0.0009963551520879891</v>
                </pt>
                <pt idx="342">
                  <v>-0.006372831986194904</v>
                </pt>
                <pt idx="343">
                  <v>-0.01215556337929228</v>
                </pt>
                <pt idx="344">
                  <v>-0.01220577422895213</v>
                </pt>
                <pt idx="345">
                  <v>-0.01524002438724931</v>
                </pt>
                <pt idx="346">
                  <v>-0.02181789872459147</v>
                </pt>
                <pt idx="347">
                  <v>-0.01791453083923046</v>
                </pt>
                <pt idx="348">
                  <v>-0.0202736138786425</v>
                </pt>
                <pt idx="349">
                  <v>-0.01903195943735119</v>
                </pt>
                <pt idx="350">
                  <v>-0.01081449622820121</v>
                </pt>
                <pt idx="351">
                  <v>-0.04883770650274488</v>
                </pt>
                <pt idx="352">
                  <v>-0.1701812612705493</v>
                </pt>
                <pt idx="353">
                  <v>-0.1583329758653085</v>
                </pt>
                <pt idx="354">
                  <v>-0.1056653098464868</v>
                </pt>
                <pt idx="355">
                  <v>-0.06807454315351655</v>
                </pt>
                <pt idx="356">
                  <v>-0.06599351269135384</v>
                </pt>
                <pt idx="357">
                  <v>-0.06344280993263811</v>
                </pt>
                <pt idx="358">
                  <v>-0.04866006730848808</v>
                </pt>
                <pt idx="359">
                  <v>-0.04877279551494637</v>
                </pt>
                <pt idx="360">
                  <v>-0.03562387974887461</v>
                </pt>
                <pt idx="361">
                  <v>-0.02012279991368869</v>
                </pt>
                <pt idx="362">
                  <v>-0.05388884191838911</v>
                </pt>
                <pt idx="363">
                  <v>0.01008944097295777</v>
                </pt>
                <pt idx="364">
                  <v>0.1655575042067588</v>
                </pt>
                <pt idx="365">
                  <v>0.1557199033988012</v>
                </pt>
                <pt idx="366">
                  <v>0.09198679489028921</v>
                </pt>
                <pt idx="367">
                  <v>0.05909564811776941</v>
                </pt>
                <pt idx="368">
                  <v>0.04910354327816984</v>
                </pt>
                <pt idx="369">
                  <v>0.03933232783412866</v>
                </pt>
                <pt idx="370">
                  <v>0.04683914278975215</v>
                </pt>
                <pt idx="371">
                  <v>0.0498639288281212</v>
                </pt>
                <pt idx="372">
                  <v>0.03689396563294593</v>
                </pt>
                <pt idx="373">
                  <v>0.02902850465085419</v>
                </pt>
                <pt idx="374">
                  <v>0.06937627244276827</v>
                </pt>
                <pt idx="375">
                  <v>0.04763807363646051</v>
                </pt>
                <pt idx="376">
                  <v>0.05297976463333168</v>
                </pt>
                <pt idx="377">
                  <v>0.04395836777944692</v>
                </pt>
                <pt idx="378">
                  <v>0.0374689472084262</v>
                </pt>
                <pt idx="379">
                  <v>0.03578778734706152</v>
                </pt>
                <pt idx="380">
                  <v>0.03503376736650379</v>
                </pt>
                <pt idx="381">
                  <v>0.04731306421906745</v>
                </pt>
                <pt idx="382">
                  <v>0.03189121568339477</v>
                </pt>
                <pt idx="383">
                  <v>0.01984680417029045</v>
                </pt>
                <pt idx="384">
                  <v>0.01146732417557905</v>
                </pt>
                <pt idx="385">
                  <v>0.007895561252345782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Table13456789101112131415161734[[#Headers],[USA]]</f>
          <strCache>
            <ptCount val="1"/>
            <pt idx="0">
              <v>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United States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country'!$A$5:$A$391</f>
              <numCache>
                <formatCode>mmm\-yy</formatCode>
                <ptCount val="38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  <pt idx="380">
                  <v>44774</v>
                </pt>
                <pt idx="381">
                  <v>44805</v>
                </pt>
                <pt idx="382">
                  <v>44835</v>
                </pt>
                <pt idx="383">
                  <v>44866</v>
                </pt>
                <pt idx="384">
                  <v>44896</v>
                </pt>
                <pt idx="385">
                  <v>44927</v>
                </pt>
              </numCache>
            </numRef>
          </cat>
          <val>
            <numRef>
              <f>'Per country'!$B$5:$B$391</f>
              <numCache>
                <formatCode>0.00</formatCode>
                <ptCount val="387"/>
                <pt idx="0">
                  <v>60.917503302</v>
                </pt>
                <pt idx="1">
                  <v>60.708873905</v>
                </pt>
                <pt idx="2">
                  <v>60.267519606</v>
                </pt>
                <pt idx="3">
                  <v>59.929091786</v>
                </pt>
                <pt idx="4">
                  <v>60.088241112</v>
                </pt>
                <pt idx="5">
                  <v>60.689042214</v>
                </pt>
                <pt idx="6">
                  <v>61.173133809</v>
                </pt>
                <pt idx="7">
                  <v>61.336348632</v>
                </pt>
                <pt idx="8">
                  <v>61.347454379</v>
                </pt>
                <pt idx="9">
                  <v>61.860500245</v>
                </pt>
                <pt idx="10">
                  <v>61.798427049</v>
                </pt>
                <pt idx="11">
                  <v>61.718901966</v>
                </pt>
                <pt idx="12">
                  <v>61.448992641</v>
                </pt>
                <pt idx="13">
                  <v>61.128314186</v>
                </pt>
                <pt idx="14">
                  <v>61.556976202</v>
                </pt>
                <pt idx="15">
                  <v>62.068733008</v>
                </pt>
                <pt idx="16">
                  <v>62.541818014</v>
                </pt>
                <pt idx="17">
                  <v>62.743605478</v>
                </pt>
                <pt idx="18">
                  <v>62.777418512</v>
                </pt>
                <pt idx="19">
                  <v>63.339349497</v>
                </pt>
                <pt idx="20">
                  <v>62.987535286</v>
                </pt>
                <pt idx="21">
                  <v>63.185455569</v>
                </pt>
                <pt idx="22">
                  <v>63.615704122</v>
                </pt>
                <pt idx="23">
                  <v>63.872326213</v>
                </pt>
                <pt idx="24">
                  <v>63.973170365</v>
                </pt>
                <pt idx="25">
                  <v>64.22870171300001</v>
                </pt>
                <pt idx="26">
                  <v>64.532820706</v>
                </pt>
                <pt idx="27">
                  <v>64.470450036</v>
                </pt>
                <pt idx="28">
                  <v>64.655380561</v>
                </pt>
                <pt idx="29">
                  <v>64.39677530100001</v>
                </pt>
                <pt idx="30">
                  <v>64.55057007000001</v>
                </pt>
                <pt idx="31">
                  <v>64.70624884999999</v>
                </pt>
                <pt idx="32">
                  <v>64.645960507</v>
                </pt>
                <pt idx="33">
                  <v>64.97675312600001</v>
                </pt>
                <pt idx="34">
                  <v>65.45965481899999</v>
                </pt>
                <pt idx="35">
                  <v>65.77101238</v>
                </pt>
                <pt idx="36">
                  <v>66.142459966</v>
                </pt>
                <pt idx="37">
                  <v>66.353270849</v>
                </pt>
                <pt idx="38">
                  <v>66.400668592</v>
                </pt>
                <pt idx="39">
                  <v>67.064336156</v>
                </pt>
                <pt idx="40">
                  <v>67.460870833</v>
                </pt>
                <pt idx="41">
                  <v>67.77788042500001</v>
                </pt>
                <pt idx="42">
                  <v>68.22121789400001</v>
                </pt>
                <pt idx="43">
                  <v>68.306593327</v>
                </pt>
                <pt idx="44">
                  <v>68.757665155</v>
                </pt>
                <pt idx="45">
                  <v>68.972045743</v>
                </pt>
                <pt idx="46">
                  <v>69.528919647</v>
                </pt>
                <pt idx="47">
                  <v>70.000120643</v>
                </pt>
                <pt idx="48">
                  <v>70.68153757100001</v>
                </pt>
                <pt idx="49">
                  <v>70.829184516</v>
                </pt>
                <pt idx="50">
                  <v>70.733992396</v>
                </pt>
                <pt idx="51">
                  <v>70.843859968</v>
                </pt>
                <pt idx="52">
                  <v>70.728637839</v>
                </pt>
                <pt idx="53">
                  <v>71.05695149500001</v>
                </pt>
                <pt idx="54">
                  <v>71.291659567</v>
                </pt>
                <pt idx="55">
                  <v>70.989920377</v>
                </pt>
                <pt idx="56">
                  <v>71.923497266</v>
                </pt>
                <pt idx="57">
                  <v>72.211850064</v>
                </pt>
                <pt idx="58">
                  <v>72.10109006499999</v>
                </pt>
                <pt idx="59">
                  <v>72.27501400200001</v>
                </pt>
                <pt idx="60">
                  <v>72.52737227900001</v>
                </pt>
                <pt idx="61">
                  <v>72.1349031</v>
                </pt>
                <pt idx="62">
                  <v>73.16615107</v>
                </pt>
                <pt idx="63">
                  <v>73.05489528</v>
                </pt>
                <pt idx="64">
                  <v>73.789064508</v>
                </pt>
                <pt idx="65">
                  <v>74.34088133</v>
                </pt>
                <pt idx="66">
                  <v>74.89606954</v>
                </pt>
                <pt idx="67">
                  <v>74.896664491</v>
                </pt>
                <pt idx="68">
                  <v>75.274061585</v>
                </pt>
                <pt idx="69">
                  <v>75.76023550799999</v>
                </pt>
                <pt idx="70">
                  <v>75.750220504</v>
                </pt>
                <pt idx="71">
                  <v>76.418647674</v>
                </pt>
                <pt idx="72">
                  <v>76.901648526</v>
                </pt>
                <pt idx="73">
                  <v>77.040668685</v>
                </pt>
                <pt idx="74">
                  <v>77.950447543</v>
                </pt>
                <pt idx="75">
                  <v>78.43642314900001</v>
                </pt>
                <pt idx="76">
                  <v>78.50206604900001</v>
                </pt>
                <pt idx="77">
                  <v>78.938462426</v>
                </pt>
                <pt idx="78">
                  <v>79.30713357499999</v>
                </pt>
                <pt idx="79">
                  <v>79.97050366400001</v>
                </pt>
                <pt idx="80">
                  <v>80.769324207</v>
                </pt>
                <pt idx="81">
                  <v>81.520152056</v>
                </pt>
                <pt idx="82">
                  <v>82.233002216</v>
                </pt>
                <pt idx="83">
                  <v>82.888439628</v>
                </pt>
                <pt idx="84">
                  <v>83.26296112599999</v>
                </pt>
                <pt idx="85">
                  <v>83.63688767399999</v>
                </pt>
                <pt idx="86">
                  <v>83.77551119899999</v>
                </pt>
                <pt idx="87">
                  <v>83.80991918399999</v>
                </pt>
                <pt idx="88">
                  <v>84.113641543</v>
                </pt>
                <pt idx="89">
                  <v>84.641263702</v>
                </pt>
                <pt idx="90">
                  <v>84.132580809</v>
                </pt>
                <pt idx="91">
                  <v>83.79494625700001</v>
                </pt>
                <pt idx="92">
                  <v>85.520600913</v>
                </pt>
                <pt idx="93">
                  <v>85.44553796</v>
                </pt>
                <pt idx="94">
                  <v>86.036919008</v>
                </pt>
                <pt idx="95">
                  <v>85.963343432</v>
                </pt>
                <pt idx="96">
                  <v>86.330626362</v>
                </pt>
                <pt idx="97">
                  <v>86.689480824</v>
                </pt>
                <pt idx="98">
                  <v>87.18606638599999</v>
                </pt>
                <pt idx="99">
                  <v>87.368617108</v>
                </pt>
                <pt idx="100">
                  <v>87.56742981799999</v>
                </pt>
                <pt idx="101">
                  <v>88.10100148399999</v>
                </pt>
                <pt idx="102">
                  <v>88.05052982799999</v>
                </pt>
                <pt idx="103">
                  <v>88.560303465</v>
                </pt>
                <pt idx="104">
                  <v>88.955945715</v>
                </pt>
                <pt idx="105">
                  <v>88.581325058</v>
                </pt>
                <pt idx="106">
                  <v>89.73086906899999</v>
                </pt>
                <pt idx="107">
                  <v>90.19949194500001</v>
                </pt>
                <pt idx="108">
                  <v>90.908871559</v>
                </pt>
                <pt idx="109">
                  <v>90.855028515</v>
                </pt>
                <pt idx="110">
                  <v>91.188696729</v>
                </pt>
                <pt idx="111">
                  <v>91.53495806700001</v>
                </pt>
                <pt idx="112">
                  <v>92.105515838</v>
                </pt>
                <pt idx="113">
                  <v>92.37800328199999</v>
                </pt>
                <pt idx="114">
                  <v>92.43234211799999</v>
                </pt>
                <pt idx="115">
                  <v>92.25702996299999</v>
                </pt>
                <pt idx="116">
                  <v>92.009133816</v>
                </pt>
                <pt idx="117">
                  <v>92.37076471500001</v>
                </pt>
                <pt idx="118">
                  <v>92.05484586599999</v>
                </pt>
                <pt idx="119">
                  <v>92.058217253</v>
                </pt>
                <pt idx="120">
                  <v>91.754693211</v>
                </pt>
                <pt idx="121">
                  <v>91.255926164</v>
                </pt>
                <pt idx="122">
                  <v>90.63866475899999</v>
                </pt>
                <pt idx="123">
                  <v>90.407823867</v>
                </pt>
                <pt idx="124">
                  <v>90.111935026</v>
                </pt>
                <pt idx="125">
                  <v>89.614457039</v>
                </pt>
                <pt idx="126">
                  <v>89.106369097</v>
                </pt>
                <pt idx="127">
                  <v>88.57706124400001</v>
                </pt>
                <pt idx="128">
                  <v>88.469275999</v>
                </pt>
                <pt idx="129">
                  <v>88.00095059900001</v>
                </pt>
                <pt idx="130">
                  <v>87.73094211599999</v>
                </pt>
                <pt idx="131">
                  <v>87.22285417400001</v>
                </pt>
                <pt idx="132">
                  <v>87.192908319</v>
                </pt>
                <pt idx="133">
                  <v>87.800055562</v>
                </pt>
                <pt idx="134">
                  <v>87.79113130099999</v>
                </pt>
                <pt idx="135">
                  <v>88.45896352</v>
                </pt>
                <pt idx="136">
                  <v>88.884551624</v>
                </pt>
                <pt idx="137">
                  <v>89.269484761</v>
                </pt>
                <pt idx="138">
                  <v>90.00067923500001</v>
                </pt>
                <pt idx="139">
                  <v>89.980054276</v>
                </pt>
                <pt idx="140">
                  <v>89.86413803799999</v>
                </pt>
                <pt idx="141">
                  <v>89.96061921800001</v>
                </pt>
                <pt idx="142">
                  <v>89.726406939</v>
                </pt>
                <pt idx="143">
                  <v>90.21664635800001</v>
                </pt>
                <pt idx="144">
                  <v>89.730373277</v>
                </pt>
                <pt idx="145">
                  <v>90.471681914</v>
                </pt>
                <pt idx="146">
                  <v>90.56974963</v>
                </pt>
                <pt idx="147">
                  <v>90.302616742</v>
                </pt>
                <pt idx="148">
                  <v>89.729778326</v>
                </pt>
                <pt idx="149">
                  <v>89.708360099</v>
                </pt>
                <pt idx="150">
                  <v>89.82754856699999</v>
                </pt>
                <pt idx="151">
                  <v>90.295080699</v>
                </pt>
                <pt idx="152">
                  <v>90.080700112</v>
                </pt>
                <pt idx="153">
                  <v>90.675750022</v>
                </pt>
                <pt idx="154">
                  <v>90.78898898200001</v>
                </pt>
                <pt idx="155">
                  <v>91.400598355</v>
                </pt>
                <pt idx="156">
                  <v>91.47685121000001</v>
                </pt>
                <pt idx="157">
                  <v>91.62905944400001</v>
                </pt>
                <pt idx="158">
                  <v>92.186329982</v>
                </pt>
                <pt idx="159">
                  <v>91.820732745</v>
                </pt>
                <pt idx="160">
                  <v>92.19366770800001</v>
                </pt>
                <pt idx="161">
                  <v>92.856542004</v>
                </pt>
                <pt idx="162">
                  <v>92.148253134</v>
                </pt>
                <pt idx="163">
                  <v>92.823125604</v>
                </pt>
                <pt idx="164">
                  <v>92.907311135</v>
                </pt>
                <pt idx="165">
                  <v>93.006469594</v>
                </pt>
                <pt idx="166">
                  <v>93.82631173</v>
                </pt>
                <pt idx="167">
                  <v>94.05090563900001</v>
                </pt>
                <pt idx="168">
                  <v>94.77972031</v>
                </pt>
                <pt idx="169">
                  <v>95.121222042</v>
                </pt>
                <pt idx="170">
                  <v>95.81552957</v>
                </pt>
                <pt idx="171">
                  <v>95.678690897</v>
                </pt>
                <pt idx="172">
                  <v>95.867290285</v>
                </pt>
                <pt idx="173">
                  <v>95.977951125</v>
                </pt>
                <pt idx="174">
                  <v>96.37210599799999</v>
                </pt>
                <pt idx="175">
                  <v>96.082662458</v>
                </pt>
                <pt idx="176">
                  <v>96.404134181</v>
                </pt>
                <pt idx="177">
                  <v>94.543921496</v>
                </pt>
                <pt idx="178">
                  <v>95.686028623</v>
                </pt>
                <pt idx="179">
                  <v>96.743553585</v>
                </pt>
                <pt idx="180">
                  <v>97.19730269199999</v>
                </pt>
                <pt idx="181">
                  <v>97.37796940299999</v>
                </pt>
                <pt idx="182">
                  <v>97.413666448</v>
                </pt>
                <pt idx="183">
                  <v>97.645498925</v>
                </pt>
                <pt idx="184">
                  <v>97.945254945</v>
                </pt>
                <pt idx="185">
                  <v>97.957054802</v>
                </pt>
                <pt idx="186">
                  <v>98.272874493</v>
                </pt>
                <pt idx="187">
                  <v>98.20227367</v>
                </pt>
                <pt idx="188">
                  <v>98.62131731700001</v>
                </pt>
                <pt idx="189">
                  <v>98.41913322000001</v>
                </pt>
                <pt idx="190">
                  <v>98.317000007</v>
                </pt>
                <pt idx="191">
                  <v>98.263454439</v>
                </pt>
                <pt idx="192">
                  <v>99.269218686</v>
                </pt>
                <pt idx="193">
                  <v>98.883393123</v>
                </pt>
                <pt idx="194">
                  <v>99.84453606300001</v>
                </pt>
                <pt idx="195">
                  <v>100.036705156</v>
                </pt>
                <pt idx="196">
                  <v>100.72288169</v>
                </pt>
                <pt idx="197">
                  <v>100.792689245</v>
                </pt>
                <pt idx="198">
                  <v>100.818470444</v>
                </pt>
                <pt idx="199">
                  <v>100.708007921</v>
                </pt>
                <pt idx="200">
                  <v>100.918620488</v>
                </pt>
                <pt idx="201">
                  <v>101.169293071</v>
                </pt>
                <pt idx="202">
                  <v>100.87280928</v>
                </pt>
                <pt idx="203">
                  <v>101.457447552</v>
                </pt>
                <pt idx="204">
                  <v>101.446440963</v>
                </pt>
                <pt idx="205">
                  <v>101.308809023</v>
                </pt>
                <pt idx="206">
                  <v>100.910886128</v>
                </pt>
                <pt idx="207">
                  <v>100.545288891</v>
                </pt>
                <pt idx="208">
                  <v>99.876167612</v>
                </pt>
                <pt idx="209">
                  <v>99.29718137099999</v>
                </pt>
                <pt idx="210">
                  <v>99.073281572</v>
                </pt>
                <pt idx="211">
                  <v>98.657014362</v>
                </pt>
                <pt idx="212">
                  <v>97.11252220900001</v>
                </pt>
                <pt idx="213">
                  <v>92.87032503</v>
                </pt>
                <pt idx="214">
                  <v>93.78853235699999</v>
                </pt>
                <pt idx="215">
                  <v>92.559959054</v>
                </pt>
                <pt idx="216">
                  <v>89.95486802800001</v>
                </pt>
                <pt idx="217">
                  <v>87.723802707</v>
                </pt>
                <pt idx="218">
                  <v>87.195982231</v>
                </pt>
                <pt idx="219">
                  <v>85.821943469</v>
                </pt>
                <pt idx="220">
                  <v>85.137254312</v>
                </pt>
                <pt idx="221">
                  <v>84.283797458</v>
                </pt>
                <pt idx="222">
                  <v>84.014681401</v>
                </pt>
                <pt idx="223">
                  <v>84.987822515</v>
                </pt>
                <pt idx="224">
                  <v>85.90424499</v>
                </pt>
                <pt idx="225">
                  <v>86.626316886</v>
                </pt>
                <pt idx="226">
                  <v>86.81204067900001</v>
                </pt>
                <pt idx="227">
                  <v>87.174564004</v>
                </pt>
                <pt idx="228">
                  <v>87.489292952</v>
                </pt>
                <pt idx="229">
                  <v>88.442999008</v>
                </pt>
                <pt idx="230">
                  <v>88.755645628</v>
                </pt>
                <pt idx="231">
                  <v>89.38629342500001</v>
                </pt>
                <pt idx="232">
                  <v>89.712623913</v>
                </pt>
                <pt idx="233">
                  <v>90.94129637499999</v>
                </pt>
                <pt idx="234">
                  <v>91.155082011</v>
                </pt>
                <pt idx="235">
                  <v>91.497178694</v>
                </pt>
                <pt idx="236">
                  <v>91.835606513</v>
                </pt>
                <pt idx="237">
                  <v>92.08528751199999</v>
                </pt>
                <pt idx="238">
                  <v>91.834416612</v>
                </pt>
                <pt idx="239">
                  <v>91.897283075</v>
                </pt>
                <pt idx="240">
                  <v>92.786635291</v>
                </pt>
                <pt idx="241">
                  <v>92.593474613</v>
                </pt>
                <pt idx="242">
                  <v>92.22242366099999</v>
                </pt>
                <pt idx="243">
                  <v>93.187136305</v>
                </pt>
                <pt idx="244">
                  <v>92.864375522</v>
                </pt>
                <pt idx="245">
                  <v>92.998536917</v>
                </pt>
                <pt idx="246">
                  <v>93.246433064</v>
                </pt>
                <pt idx="247">
                  <v>93.719220595</v>
                </pt>
                <pt idx="248">
                  <v>94.325772886</v>
                </pt>
                <pt idx="249">
                  <v>94.273119745</v>
                </pt>
                <pt idx="250">
                  <v>94.92350007500001</v>
                </pt>
                <pt idx="251">
                  <v>94.939762063</v>
                </pt>
                <pt idx="252">
                  <v>95.405013551</v>
                </pt>
                <pt idx="253">
                  <v>95.990445091</v>
                </pt>
                <pt idx="254">
                  <v>96.28613561500001</v>
                </pt>
                <pt idx="255">
                  <v>95.784393814</v>
                </pt>
                <pt idx="256">
                  <v>96.481775254</v>
                </pt>
                <pt idx="257">
                  <v>96.684058509</v>
                </pt>
                <pt idx="258">
                  <v>96.66987885</v>
                </pt>
                <pt idx="259">
                  <v>96.901017217</v>
                </pt>
                <pt idx="260">
                  <v>96.49407090299999</v>
                </pt>
                <pt idx="261">
                  <v>96.42218102</v>
                </pt>
                <pt idx="262">
                  <v>96.73998388</v>
                </pt>
                <pt idx="263">
                  <v>97.134535387</v>
                </pt>
                <pt idx="264">
                  <v>97.379655097</v>
                </pt>
                <pt idx="265">
                  <v>97.37261484699999</v>
                </pt>
                <pt idx="266">
                  <v>97.853037579</v>
                </pt>
                <pt idx="267">
                  <v>98.265437609</v>
                </pt>
                <pt idx="268">
                  <v>98.15675993799999</v>
                </pt>
                <pt idx="269">
                  <v>98.244416015</v>
                </pt>
                <pt idx="270">
                  <v>98.379172361</v>
                </pt>
                <pt idx="271">
                  <v>98.080804559</v>
                </pt>
                <pt idx="272">
                  <v>98.65185812199999</v>
                </pt>
                <pt idx="273">
                  <v>99.17551394199999</v>
                </pt>
                <pt idx="274">
                  <v>99.06306825</v>
                </pt>
                <pt idx="275">
                  <v>99.30511404799999</v>
                </pt>
                <pt idx="276">
                  <v>99.51304933599999</v>
                </pt>
                <pt idx="277">
                  <v>99.14140343299999</v>
                </pt>
                <pt idx="278">
                  <v>99.90065975100001</v>
                </pt>
                <pt idx="279">
                  <v>100.882923443</v>
                </pt>
                <pt idx="280">
                  <v>100.945591588</v>
                </pt>
                <pt idx="281">
                  <v>101.35144716</v>
                </pt>
                <pt idx="282">
                  <v>101.700584093</v>
                </pt>
                <pt idx="283">
                  <v>101.977037876</v>
                </pt>
                <pt idx="284">
                  <v>101.786058684</v>
                </pt>
                <pt idx="285">
                  <v>102.098209512</v>
                </pt>
                <pt idx="286">
                  <v>102.103861544</v>
                </pt>
                <pt idx="287">
                  <v>102.729848894</v>
                </pt>
                <pt idx="288">
                  <v>102.720230524</v>
                </pt>
                <pt idx="289">
                  <v>101.932912362</v>
                </pt>
                <pt idx="290">
                  <v>101.295720106</v>
                </pt>
                <pt idx="291">
                  <v>100.950946145</v>
                </pt>
                <pt idx="292">
                  <v>100.376620353</v>
                </pt>
                <pt idx="293">
                  <v>99.905716832</v>
                </pt>
                <pt idx="294">
                  <v>99.60754734699999</v>
                </pt>
                <pt idx="295">
                  <v>100.259117579</v>
                </pt>
                <pt idx="296">
                  <v>100.031251441</v>
                </pt>
                <pt idx="297">
                  <v>99.76134211599999</v>
                </pt>
                <pt idx="298">
                  <v>99.30818796</v>
                </pt>
                <pt idx="299">
                  <v>98.545361937</v>
                </pt>
                <pt idx="300">
                  <v>98.025275822</v>
                </pt>
                <pt idx="301">
                  <v>98.572035563</v>
                </pt>
                <pt idx="302">
                  <v>98.06236108500001</v>
                </pt>
                <pt idx="303">
                  <v>97.31262397899999</v>
                </pt>
                <pt idx="304">
                  <v>97.608017027</v>
                </pt>
                <pt idx="305">
                  <v>97.383125643</v>
                </pt>
                <pt idx="306">
                  <v>97.84619564499999</v>
                </pt>
                <pt idx="307">
                  <v>98.005344971</v>
                </pt>
                <pt idx="308">
                  <v>97.899344579</v>
                </pt>
                <pt idx="309">
                  <v>97.79869874400001</v>
                </pt>
                <pt idx="310">
                  <v>97.88189269</v>
                </pt>
                <pt idx="311">
                  <v>97.47316152400001</v>
                </pt>
                <pt idx="312">
                  <v>98.07396262499999</v>
                </pt>
                <pt idx="313">
                  <v>97.904005027</v>
                </pt>
                <pt idx="314">
                  <v>97.589573554</v>
                </pt>
                <pt idx="315">
                  <v>98.238863142</v>
                </pt>
                <pt idx="316">
                  <v>99.212500048</v>
                </pt>
                <pt idx="317">
                  <v>99.296288945</v>
                </pt>
                <pt idx="318">
                  <v>99.47060951500001</v>
                </pt>
                <pt idx="319">
                  <v>99.29906538199999</v>
                </pt>
                <pt idx="320">
                  <v>98.84888598000001</v>
                </pt>
                <pt idx="321">
                  <v>98.94318567400001</v>
                </pt>
                <pt idx="322">
                  <v>100.189805816</v>
                </pt>
                <pt idx="323">
                  <v>100.374141391</v>
                </pt>
                <pt idx="324">
                  <v>100.534579777</v>
                </pt>
                <pt idx="325">
                  <v>100.492139957</v>
                </pt>
                <pt idx="326">
                  <v>100.85089526</v>
                </pt>
                <pt idx="327">
                  <v>101.417784169</v>
                </pt>
                <pt idx="328">
                  <v>102.563560159</v>
                </pt>
                <pt idx="329">
                  <v>101.611143163</v>
                </pt>
                <pt idx="330">
                  <v>102.381901863</v>
                </pt>
                <pt idx="331">
                  <v>102.588151457</v>
                </pt>
                <pt idx="332">
                  <v>103.303480578</v>
                </pt>
                <pt idx="333">
                  <v>103.289895869</v>
                </pt>
                <pt idx="334">
                  <v>103.171996461</v>
                </pt>
                <pt idx="335">
                  <v>103.085431127</v>
                </pt>
                <pt idx="336">
                  <v>102.994899454</v>
                </pt>
                <pt idx="337">
                  <v>102.399353751</v>
                </pt>
                <pt idx="338">
                  <v>101.950463409</v>
                </pt>
                <pt idx="339">
                  <v>102.034053989</v>
                </pt>
                <pt idx="340">
                  <v>101.521008124</v>
                </pt>
                <pt idx="341">
                  <v>101.712383949</v>
                </pt>
                <pt idx="342">
                  <v>101.729439204</v>
                </pt>
                <pt idx="343">
                  <v>101.34113468</v>
                </pt>
                <pt idx="344">
                  <v>102.042581617</v>
                </pt>
                <pt idx="345">
                  <v>101.715755337</v>
                </pt>
                <pt idx="346">
                  <v>100.921000291</v>
                </pt>
                <pt idx="347">
                  <v>101.238703992</v>
                </pt>
                <pt idx="348">
                  <v>100.906820631</v>
                </pt>
                <pt idx="349">
                  <v>100.450493404</v>
                </pt>
                <pt idx="350">
                  <v>100.847920507</v>
                </pt>
                <pt idx="351">
                  <v>97.05094480699999</v>
                </pt>
                <pt idx="352">
                  <v>84.244034916</v>
                </pt>
                <pt idx="353">
                  <v>85.60795951599999</v>
                </pt>
                <pt idx="354">
                  <v>90.98016649</v>
                </pt>
                <pt idx="355">
                  <v>94.442383234</v>
                </pt>
                <pt idx="356">
                  <v>95.308433212</v>
                </pt>
                <pt idx="357">
                  <v>95.26262200399999</v>
                </pt>
                <pt idx="358">
                  <v>96.01017762399999</v>
                </pt>
                <pt idx="359">
                  <v>96.301009384</v>
                </pt>
                <pt idx="360">
                  <v>97.312128187</v>
                </pt>
                <pt idx="361">
                  <v>98.429148224</v>
                </pt>
                <pt idx="362">
                  <v>95.413342861</v>
                </pt>
                <pt idx="363">
                  <v>98.030134586</v>
                </pt>
                <pt idx="364">
                  <v>98.19126708100001</v>
                </pt>
                <pt idx="365">
                  <v>98.938822702</v>
                </pt>
                <pt idx="366">
                  <v>99.349140404</v>
                </pt>
                <pt idx="367">
                  <v>100.023517081</v>
                </pt>
                <pt idx="368">
                  <v>99.988414987</v>
                </pt>
                <pt idx="369">
                  <v>99.009522683</v>
                </pt>
                <pt idx="370">
                  <v>100.507212043</v>
                </pt>
                <pt idx="371">
                  <v>101.102956062</v>
                </pt>
                <pt idx="372">
                  <v>100.9023585</v>
                </pt>
                <pt idx="373">
                  <v>101.286399211</v>
                </pt>
                <pt idx="374">
                  <v>102.03276493</v>
                </pt>
                <pt idx="375">
                  <v>102.700101356</v>
                </pt>
                <pt idx="376">
                  <v>103.3934173</v>
                </pt>
                <pt idx="377">
                  <v>103.288011858</v>
                </pt>
                <pt idx="378">
                  <v>103.071648101</v>
                </pt>
                <pt idx="379">
                  <v>103.60313744</v>
                </pt>
                <pt idx="380">
                  <v>103.491385857</v>
                </pt>
                <pt idx="381">
                  <v>103.693966588</v>
                </pt>
                <pt idx="382">
                  <v>103.71250922</v>
                </pt>
                <pt idx="383">
                  <v>103.109526632</v>
                </pt>
                <pt idx="384">
                  <v>102.059438555</v>
                </pt>
                <pt idx="385">
                  <v>102.08611218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country'!$A$300:$A$395</f>
              <numCache>
                <formatCode>mmm\-yy</formatCode>
                <ptCount val="96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  <pt idx="48">
                  <v>43647</v>
                </pt>
                <pt idx="49">
                  <v>43678</v>
                </pt>
                <pt idx="50">
                  <v>43709</v>
                </pt>
                <pt idx="51">
                  <v>43739</v>
                </pt>
                <pt idx="52">
                  <v>43770</v>
                </pt>
                <pt idx="53">
                  <v>43800</v>
                </pt>
                <pt idx="54">
                  <v>43831</v>
                </pt>
                <pt idx="55">
                  <v>43862</v>
                </pt>
                <pt idx="56">
                  <v>43891</v>
                </pt>
                <pt idx="57">
                  <v>43922</v>
                </pt>
                <pt idx="58">
                  <v>43952</v>
                </pt>
                <pt idx="59">
                  <v>43983</v>
                </pt>
                <pt idx="60">
                  <v>44013</v>
                </pt>
                <pt idx="61">
                  <v>44044</v>
                </pt>
                <pt idx="62">
                  <v>44075</v>
                </pt>
                <pt idx="63">
                  <v>44105</v>
                </pt>
                <pt idx="64">
                  <v>44136</v>
                </pt>
                <pt idx="65">
                  <v>44166</v>
                </pt>
                <pt idx="66">
                  <v>44197</v>
                </pt>
                <pt idx="67">
                  <v>44228</v>
                </pt>
                <pt idx="68">
                  <v>44256</v>
                </pt>
                <pt idx="69">
                  <v>44287</v>
                </pt>
                <pt idx="70">
                  <v>44317</v>
                </pt>
                <pt idx="71">
                  <v>44348</v>
                </pt>
                <pt idx="72">
                  <v>44378</v>
                </pt>
                <pt idx="73">
                  <v>44409</v>
                </pt>
                <pt idx="74">
                  <v>44440</v>
                </pt>
                <pt idx="75">
                  <v>44470</v>
                </pt>
                <pt idx="76">
                  <v>44501</v>
                </pt>
                <pt idx="77">
                  <v>44531</v>
                </pt>
                <pt idx="78">
                  <v>44562</v>
                </pt>
                <pt idx="79">
                  <v>44593</v>
                </pt>
                <pt idx="80">
                  <v>44621</v>
                </pt>
                <pt idx="81">
                  <v>44652</v>
                </pt>
                <pt idx="82">
                  <v>44682</v>
                </pt>
                <pt idx="83">
                  <v>44713</v>
                </pt>
                <pt idx="84">
                  <v>44743</v>
                </pt>
                <pt idx="85">
                  <v>44774</v>
                </pt>
                <pt idx="86">
                  <v>44805</v>
                </pt>
                <pt idx="87">
                  <v>44835</v>
                </pt>
                <pt idx="88">
                  <v>44866</v>
                </pt>
                <pt idx="89">
                  <v>44896</v>
                </pt>
                <pt idx="90">
                  <v>44927</v>
                </pt>
              </numCache>
            </numRef>
          </cat>
          <val>
            <numRef>
              <f>'Per country'!$C$300:$C$395</f>
              <numCache>
                <formatCode>0.0%</formatCode>
                <ptCount val="96"/>
                <pt idx="0">
                  <v>0.006541374116262043</v>
                </pt>
                <pt idx="1">
                  <v>-0.002272772227627689</v>
                </pt>
                <pt idx="2">
                  <v>-0.002698250007990725</v>
                </pt>
                <pt idx="3">
                  <v>-0.004542382313512585</v>
                </pt>
                <pt idx="4">
                  <v>-0.007681401087564486</v>
                </pt>
                <pt idx="5">
                  <v>-0.005277631587902521</v>
                </pt>
                <pt idx="6">
                  <v>0.005577742438520047</v>
                </pt>
                <pt idx="7">
                  <v>-0.005170578806544451</v>
                </pt>
                <pt idx="8">
                  <v>-0.00764551350492309</v>
                </pt>
                <pt idx="9">
                  <v>0.003035505938713089</v>
                </pt>
                <pt idx="10">
                  <v>-0.002304025743477548</v>
                </pt>
                <pt idx="11">
                  <v>0.004755135953405095</v>
                </pt>
                <pt idx="12">
                  <v>0.001626525435668664</v>
                </pt>
                <pt idx="13">
                  <v>-0.001081577663252594</v>
                </pt>
                <pt idx="14">
                  <v>-0.001028054226847028</v>
                </pt>
                <pt idx="15">
                  <v>0.0008506651629155587</v>
                </pt>
                <pt idx="16">
                  <v>-0.004175758710494909</v>
                </pt>
                <pt idx="17">
                  <v>0.006163759250304581</v>
                </pt>
                <pt idx="18">
                  <v>-0.001732953308411263</v>
                </pt>
                <pt idx="19">
                  <v>-0.003211630340487961</v>
                </pt>
                <pt idx="20">
                  <v>0.006653268011676735</v>
                </pt>
                <pt idx="21">
                  <v>0.009910913816181343</v>
                </pt>
                <pt idx="22">
                  <v>0.0008445397198887966</v>
                </pt>
                <pt idx="23">
                  <v>0.001755559768165776</v>
                </pt>
                <pt idx="24">
                  <v>-0.001724571045019516</v>
                </pt>
                <pt idx="25">
                  <v>-0.004533571391313352</v>
                </pt>
                <pt idx="26">
                  <v>0.0009539783181681947</v>
                </pt>
                <pt idx="27">
                  <v>0.01259935318948984</v>
                </pt>
                <pt idx="28">
                  <v>0.001839863581914975</v>
                </pt>
                <pt idx="29">
                  <v>0.001598403570647086</v>
                </pt>
                <pt idx="30">
                  <v>-0.0004221415168207399</v>
                </pt>
                <pt idx="31">
                  <v>0.003569983713686508</v>
                </pt>
                <pt idx="32">
                  <v>0.005621059758949326</v>
                </pt>
                <pt idx="33">
                  <v>0.01129758453498365</v>
                </pt>
                <pt idx="34">
                  <v>-0.009286114820151705</v>
                </pt>
                <pt idx="35">
                  <v>0.007585375737418736</v>
                </pt>
                <pt idx="36">
                  <v>0.002014512235531503</v>
                </pt>
                <pt idx="37">
                  <v>0.006972823964957025</v>
                </pt>
                <pt idx="38">
                  <v>-0.0001315029166877164</v>
                </pt>
                <pt idx="39">
                  <v>-0.001141441832311734</v>
                </pt>
                <pt idx="40">
                  <v>-0.0008390390509959934</v>
                </pt>
                <pt idx="41">
                  <v>-0.0008782198610438662</v>
                </pt>
                <pt idx="42">
                  <v>-0.005782283454395565</v>
                </pt>
                <pt idx="43">
                  <v>-0.004383722411877321</v>
                </pt>
                <pt idx="44">
                  <v>0.0008199136836157538</v>
                </pt>
                <pt idx="45">
                  <v>-0.005028182699232015</v>
                </pt>
                <pt idx="46">
                  <v>0.001885085939712534</v>
                </pt>
                <pt idx="47">
                  <v>0.0001676812039776222</v>
                </pt>
                <pt idx="48">
                  <v>-0.003817031992296068</v>
                </pt>
                <pt idx="49">
                  <v>0.006921640844213213</v>
                </pt>
                <pt idx="50">
                  <v>-0.003202842135322294</v>
                </pt>
                <pt idx="51">
                  <v>-0.007813490086829319</v>
                </pt>
                <pt idx="52">
                  <v>0.003148043520019803</v>
                </pt>
                <pt idx="53">
                  <v>-0.003278226092525063</v>
                </pt>
                <pt idx="54">
                  <v>-0.004522263452028857</v>
                </pt>
                <pt idx="55">
                  <v>0.003956447495002275</v>
                </pt>
                <pt idx="56">
                  <v>-0.03765051059963553</v>
                </pt>
                <pt idx="57">
                  <v>-0.1319606925668617</v>
                </pt>
                <pt idx="58">
                  <v>0.01619016232259012</v>
                </pt>
                <pt idx="59">
                  <v>0.06275359212359162</v>
                </pt>
                <pt idx="60">
                  <v>0.03805463187826271</v>
                </pt>
                <pt idx="61">
                  <v>0.009170141078017688</v>
                </pt>
                <pt idx="62">
                  <v>-0.0004806626911818286</v>
                </pt>
                <pt idx="63">
                  <v>0.007847313083284761</v>
                </pt>
                <pt idx="64">
                  <v>0.003029176356062724</v>
                </pt>
                <pt idx="65">
                  <v>0.01049956599071739</v>
                </pt>
                <pt idx="66">
                  <v>0.01147873402638446</v>
                </pt>
                <pt idx="67">
                  <v>-0.03063935244198988</v>
                </pt>
                <pt idx="68">
                  <v>0.02742584681067292</v>
                </pt>
                <pt idx="69">
                  <v>0.001643703700708943</v>
                </pt>
                <pt idx="70">
                  <v>0.007613259745220676</v>
                </pt>
                <pt idx="71">
                  <v>0.004147186016513071</v>
                </pt>
                <pt idx="72">
                  <v>0.006787946772943052</v>
                </pt>
                <pt idx="73">
                  <v>-0.0003509384095299261</v>
                </pt>
                <pt idx="74">
                  <v>-0.009790057219401561</v>
                </pt>
                <pt idx="75">
                  <v>0.01512672033371139</v>
                </pt>
                <pt idx="76">
                  <v>0.00592737582597686</v>
                </pt>
                <pt idx="77">
                  <v>-0.001984091957479314</v>
                </pt>
                <pt idx="78">
                  <v>0.003806062778998345</v>
                </pt>
                <pt idx="79">
                  <v>0.007368864179337306</v>
                </pt>
                <pt idx="80">
                  <v>0.006540413037496676</v>
                </pt>
                <pt idx="81">
                  <v>0.006750878868139363</v>
                </pt>
                <pt idx="82">
                  <v>-0.001019459891669443</v>
                </pt>
                <pt idx="83">
                  <v>-0.002094761561462396</v>
                </pt>
                <pt idx="84">
                  <v>0.005156503740768721</v>
                </pt>
                <pt idx="85">
                  <v>-0.001078650567553702</v>
                </pt>
                <pt idx="86">
                  <v>0.0019574646655125</v>
                </pt>
                <pt idx="87">
                  <v>0.0001788207415546202</v>
                </pt>
                <pt idx="88">
                  <v>-0.005813981288611264</v>
                </pt>
                <pt idx="89">
                  <v>-0.01018420034792502</v>
                </pt>
                <pt idx="90">
                  <v>0.000261353828491094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China!$A$8:$A$390</f>
              <numCache>
                <formatCode>m/d/yyyy</formatCode>
                <ptCount val="383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  <pt idx="369">
                  <v>44620</v>
                </pt>
                <pt idx="370">
                  <v>44651</v>
                </pt>
                <pt idx="371">
                  <v>44681</v>
                </pt>
                <pt idx="372">
                  <v>44712</v>
                </pt>
                <pt idx="373">
                  <v>44742</v>
                </pt>
                <pt idx="374">
                  <v>44773</v>
                </pt>
                <pt idx="375">
                  <v>44804</v>
                </pt>
                <pt idx="376">
                  <v>44834</v>
                </pt>
                <pt idx="377">
                  <v>44865</v>
                </pt>
                <pt idx="378">
                  <v>44895</v>
                </pt>
                <pt idx="379">
                  <v>44926</v>
                </pt>
                <pt idx="380">
                  <v>44957</v>
                </pt>
                <pt idx="381">
                  <v>44985</v>
                </pt>
              </numCache>
            </numRef>
          </cat>
          <val>
            <numRef>
              <f>China!$B$8:$B$390</f>
              <numCache>
                <formatCode>0.0%</formatCode>
                <ptCount val="383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  <pt idx="368">
                  <v>#N/A</v>
                </pt>
                <pt idx="369">
                  <v>0.075</v>
                </pt>
                <pt idx="370">
                  <v>0.05</v>
                </pt>
                <pt idx="371">
                  <v>#N/A</v>
                </pt>
                <pt idx="372">
                  <v>0.006999999999999999</v>
                </pt>
                <pt idx="373">
                  <v>0.039</v>
                </pt>
                <pt idx="374">
                  <v>0.038</v>
                </pt>
                <pt idx="375">
                  <v>0.042</v>
                </pt>
                <pt idx="376">
                  <v>0.063</v>
                </pt>
                <pt idx="377">
                  <v>0.05</v>
                </pt>
                <pt idx="378">
                  <v>0.022</v>
                </pt>
                <pt idx="379">
                  <v>0.013</v>
                </pt>
                <pt idx="380">
                  <v>0.024</v>
                </pt>
                <pt idx="381">
                  <v>0.024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charts/chart9.xml><?xml version="1.0" encoding="utf-8"?>
<chartSpace xmlns="http://schemas.openxmlformats.org/drawingml/2006/chart">
  <chart>
    <title>
      <tx>
        <strRef>
          <f>Table3[[#Headers],[China Industrial Production YoY]]</f>
          <strCache>
            <ptCount val="1"/>
            <pt idx="0">
              <v>China Industrial Production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1"/>
          <order val="0"/>
          <tx>
            <strRef>
              <f>China!$C$7</f>
              <strCache>
                <ptCount val="1"/>
                <pt idx="0">
                  <v>HSBC China PMI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China!$A$8:$A$390</f>
              <numCache>
                <formatCode>m/d/yyyy</formatCode>
                <ptCount val="383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  <pt idx="369">
                  <v>44620</v>
                </pt>
                <pt idx="370">
                  <v>44651</v>
                </pt>
                <pt idx="371">
                  <v>44681</v>
                </pt>
                <pt idx="372">
                  <v>44712</v>
                </pt>
                <pt idx="373">
                  <v>44742</v>
                </pt>
                <pt idx="374">
                  <v>44773</v>
                </pt>
                <pt idx="375">
                  <v>44804</v>
                </pt>
                <pt idx="376">
                  <v>44834</v>
                </pt>
                <pt idx="377">
                  <v>44865</v>
                </pt>
                <pt idx="378">
                  <v>44895</v>
                </pt>
                <pt idx="379">
                  <v>44926</v>
                </pt>
                <pt idx="380">
                  <v>44957</v>
                </pt>
                <pt idx="381">
                  <v>44985</v>
                </pt>
              </numCache>
            </numRef>
          </cat>
          <val>
            <numRef>
              <f>China!$C$8:$C$390</f>
              <numCache>
                <formatCode>0.00</formatCode>
                <ptCount val="383"/>
                <pt idx="178">
                  <v>52.1</v>
                </pt>
                <pt idx="179">
                  <v>52.9</v>
                </pt>
                <pt idx="180">
                  <v>55.2</v>
                </pt>
                <pt idx="181">
                  <v>54.4</v>
                </pt>
                <pt idx="182">
                  <v>53.3</v>
                </pt>
                <pt idx="183">
                  <v>51</v>
                </pt>
                <pt idx="184">
                  <v>51.5</v>
                </pt>
                <pt idx="185">
                  <v>50.6</v>
                </pt>
                <pt idx="186">
                  <v>50.9</v>
                </pt>
                <pt idx="187">
                  <v>50.1</v>
                </pt>
                <pt idx="188">
                  <v>49.8</v>
                </pt>
                <pt idx="189">
                  <v>50.1</v>
                </pt>
                <pt idx="190">
                  <v>50.7</v>
                </pt>
                <pt idx="191">
                  <v>51</v>
                </pt>
                <pt idx="192">
                  <v>52.7</v>
                </pt>
                <pt idx="193">
                  <v>52.8</v>
                </pt>
                <pt idx="194">
                  <v>52.9</v>
                </pt>
                <pt idx="195">
                  <v>53</v>
                </pt>
                <pt idx="196">
                  <v>52.6</v>
                </pt>
                <pt idx="197">
                  <v>52.4</v>
                </pt>
                <pt idx="198">
                  <v>52.1</v>
                </pt>
                <pt idx="199">
                  <v>53</v>
                </pt>
                <pt idx="200">
                  <v>52.4</v>
                </pt>
                <pt idx="201">
                  <v>53</v>
                </pt>
                <pt idx="202">
                  <v>52.3</v>
                </pt>
                <pt idx="203">
                  <v>53.3</v>
                </pt>
                <pt idx="204">
                  <v>54.1</v>
                </pt>
                <pt idx="205">
                  <v>55</v>
                </pt>
                <pt idx="206">
                  <v>53.2</v>
                </pt>
                <pt idx="207">
                  <v>53.4</v>
                </pt>
                <pt idx="208">
                  <v>55</v>
                </pt>
                <pt idx="209">
                  <v>55.2</v>
                </pt>
                <pt idx="210">
                  <v>52.8</v>
                </pt>
                <pt idx="211">
                  <v>53.3</v>
                </pt>
                <pt idx="212">
                  <v>52.8</v>
                </pt>
                <pt idx="213">
                  <v>54.4</v>
                </pt>
                <pt idx="214">
                  <v>55.4</v>
                </pt>
                <pt idx="215">
                  <v>54.7</v>
                </pt>
                <pt idx="216">
                  <v>53.3</v>
                </pt>
                <pt idx="217">
                  <v>53.3</v>
                </pt>
                <pt idx="218">
                  <v>49.2</v>
                </pt>
                <pt idx="219">
                  <v>47.7</v>
                </pt>
                <pt idx="220">
                  <v>45.2</v>
                </pt>
                <pt idx="221">
                  <v>40.9</v>
                </pt>
                <pt idx="222">
                  <v>41.2</v>
                </pt>
                <pt idx="223">
                  <v>45.1</v>
                </pt>
                <pt idx="224">
                  <v>44.8</v>
                </pt>
                <pt idx="225">
                  <v>50.1</v>
                </pt>
                <pt idx="226">
                  <v>51.2</v>
                </pt>
                <pt idx="227">
                  <v>51.8</v>
                </pt>
                <pt idx="228">
                  <v>52.8</v>
                </pt>
                <pt idx="229">
                  <v>55.1</v>
                </pt>
                <pt idx="230">
                  <v>55</v>
                </pt>
                <pt idx="231">
                  <v>55.4</v>
                </pt>
                <pt idx="232">
                  <v>55.7</v>
                </pt>
                <pt idx="233">
                  <v>56.1</v>
                </pt>
                <pt idx="234">
                  <v>55.8</v>
                </pt>
                <pt idx="235">
                  <v>57</v>
                </pt>
                <pt idx="236">
                  <v>55.4</v>
                </pt>
                <pt idx="237">
                  <v>52.7</v>
                </pt>
                <pt idx="238">
                  <v>50.4</v>
                </pt>
                <pt idx="239">
                  <v>49.4</v>
                </pt>
                <pt idx="240">
                  <v>51.9</v>
                </pt>
                <pt idx="241">
                  <v>52.9</v>
                </pt>
                <pt idx="242">
                  <v>54.8</v>
                </pt>
                <pt idx="243">
                  <v>55.3</v>
                </pt>
                <pt idx="244">
                  <v>54.4</v>
                </pt>
                <pt idx="245">
                  <v>51.7</v>
                </pt>
                <pt idx="246">
                  <v>51.8</v>
                </pt>
                <pt idx="247">
                  <v>51.8</v>
                </pt>
                <pt idx="248">
                  <v>51.6</v>
                </pt>
                <pt idx="249">
                  <v>50.1</v>
                </pt>
                <pt idx="250">
                  <v>49.3</v>
                </pt>
                <pt idx="251">
                  <v>49.9</v>
                </pt>
                <pt idx="252">
                  <v>49.9</v>
                </pt>
                <pt idx="253">
                  <v>51</v>
                </pt>
                <pt idx="254">
                  <v>47.7</v>
                </pt>
                <pt idx="255">
                  <v>48.7</v>
                </pt>
                <pt idx="256">
                  <v>49.6</v>
                </pt>
                <pt idx="257">
                  <v>48.3</v>
                </pt>
                <pt idx="258">
                  <v>49.3</v>
                </pt>
                <pt idx="259">
                  <v>48.4</v>
                </pt>
                <pt idx="260">
                  <v>48.2</v>
                </pt>
                <pt idx="261">
                  <v>49.3</v>
                </pt>
                <pt idx="262">
                  <v>47.7</v>
                </pt>
                <pt idx="263">
                  <v>47.9</v>
                </pt>
                <pt idx="264">
                  <v>49.5</v>
                </pt>
                <pt idx="265">
                  <v>50.5</v>
                </pt>
                <pt idx="266">
                  <v>51.5</v>
                </pt>
                <pt idx="267">
                  <v>50.4</v>
                </pt>
                <pt idx="268">
                  <v>51.6</v>
                </pt>
                <pt idx="269">
                  <v>50.4</v>
                </pt>
                <pt idx="270">
                  <v>49.2</v>
                </pt>
                <pt idx="271">
                  <v>48.2</v>
                </pt>
                <pt idx="272">
                  <v>47.7</v>
                </pt>
                <pt idx="273">
                  <v>50.1</v>
                </pt>
                <pt idx="274">
                  <v>50.2</v>
                </pt>
                <pt idx="275">
                  <v>50.9</v>
                </pt>
                <pt idx="276">
                  <v>50.8</v>
                </pt>
                <pt idx="277">
                  <v>50.5</v>
                </pt>
                <pt idx="278">
                  <v>48.5</v>
                </pt>
                <pt idx="279">
                  <v>48</v>
                </pt>
                <pt idx="280">
                  <v>48.1</v>
                </pt>
                <pt idx="281">
                  <v>49.4</v>
                </pt>
                <pt idx="282">
                  <v>50.7</v>
                </pt>
                <pt idx="283">
                  <v>51.7</v>
                </pt>
                <pt idx="284">
                  <v>50.2</v>
                </pt>
                <pt idx="285">
                  <v>51.1</v>
                </pt>
                <pt idx="286">
                  <v>50.8</v>
                </pt>
                <pt idx="287">
                  <v>50.3</v>
                </pt>
                <pt idx="288">
                  <v>50.1</v>
                </pt>
                <pt idx="289">
                  <v>49.9</v>
                </pt>
                <pt idx="290">
                  <v>50.1</v>
                </pt>
                <pt idx="291">
                  <v>50.1</v>
                </pt>
                <pt idx="292">
                  <v>50.2</v>
                </pt>
                <pt idx="293">
                  <v>50.2</v>
                </pt>
                <pt idx="294">
                  <v>50</v>
                </pt>
                <pt idx="295">
                  <v>47.3</v>
                </pt>
                <pt idx="296">
                  <v>47.2</v>
                </pt>
                <pt idx="297">
                  <v>48.3</v>
                </pt>
                <pt idx="298">
                  <v>48.6</v>
                </pt>
                <pt idx="299">
                  <v>48.2</v>
                </pt>
                <pt idx="300">
                  <v>48.4</v>
                </pt>
                <pt idx="301">
                  <v>49.7</v>
                </pt>
                <pt idx="302">
                  <v>49.4</v>
                </pt>
                <pt idx="303">
                  <v>49.2</v>
                </pt>
                <pt idx="304">
                  <v>48.6</v>
                </pt>
                <pt idx="305">
                  <v>50.6</v>
                </pt>
                <pt idx="306">
                  <v>50</v>
                </pt>
                <pt idx="307">
                  <v>50.1</v>
                </pt>
                <pt idx="308">
                  <v>51.2</v>
                </pt>
                <pt idx="309">
                  <v>50.9</v>
                </pt>
                <pt idx="310">
                  <v>51.9</v>
                </pt>
                <pt idx="311">
                  <v>51</v>
                </pt>
                <pt idx="312">
                  <v>51.2</v>
                </pt>
                <pt idx="313">
                  <v>50.3</v>
                </pt>
                <pt idx="314">
                  <v>49.6</v>
                </pt>
                <pt idx="315">
                  <v>50.4</v>
                </pt>
                <pt idx="316">
                  <v>51.1</v>
                </pt>
                <pt idx="317">
                  <v>51.6</v>
                </pt>
                <pt idx="318">
                  <v>51</v>
                </pt>
                <pt idx="319">
                  <v>51</v>
                </pt>
                <pt idx="320">
                  <v>50.8</v>
                </pt>
                <pt idx="321">
                  <v>51.5</v>
                </pt>
                <pt idx="322">
                  <v>51.5</v>
                </pt>
                <pt idx="323">
                  <v>51</v>
                </pt>
                <pt idx="324">
                  <v>51.1</v>
                </pt>
                <pt idx="325">
                  <v>51.1</v>
                </pt>
                <pt idx="326">
                  <v>51</v>
                </pt>
                <pt idx="327">
                  <v>50.8</v>
                </pt>
                <pt idx="328">
                  <v>50.6</v>
                </pt>
                <pt idx="329">
                  <v>50</v>
                </pt>
                <pt idx="330">
                  <v>50.1</v>
                </pt>
                <pt idx="331">
                  <v>50.2</v>
                </pt>
                <pt idx="332">
                  <v>49.7</v>
                </pt>
                <pt idx="333">
                  <v>48.3</v>
                </pt>
                <pt idx="334">
                  <v>49.9</v>
                </pt>
                <pt idx="335">
                  <v>50.8</v>
                </pt>
                <pt idx="336">
                  <v>50.2</v>
                </pt>
                <pt idx="337">
                  <v>50.2</v>
                </pt>
                <pt idx="338">
                  <v>49.4</v>
                </pt>
                <pt idx="339">
                  <v>49.9</v>
                </pt>
                <pt idx="340">
                  <v>50.4</v>
                </pt>
                <pt idx="341">
                  <v>51.4</v>
                </pt>
                <pt idx="342">
                  <v>51.7</v>
                </pt>
                <pt idx="343">
                  <v>51.8</v>
                </pt>
                <pt idx="344">
                  <v>51.5</v>
                </pt>
                <pt idx="345">
                  <v>51.1</v>
                </pt>
                <pt idx="346">
                  <v>40.3</v>
                </pt>
                <pt idx="347">
                  <v>50.1</v>
                </pt>
                <pt idx="348">
                  <v>49.4</v>
                </pt>
                <pt idx="349">
                  <v>50.7</v>
                </pt>
                <pt idx="350">
                  <v>51.2</v>
                </pt>
                <pt idx="351">
                  <v>52.8</v>
                </pt>
                <pt idx="352">
                  <v>53.1</v>
                </pt>
                <pt idx="353">
                  <v>53</v>
                </pt>
                <pt idx="354">
                  <v>53.6</v>
                </pt>
                <pt idx="355">
                  <v>49.9</v>
                </pt>
                <pt idx="356">
                  <v>51.5</v>
                </pt>
                <pt idx="357">
                  <v>50.9</v>
                </pt>
                <pt idx="358">
                  <v>50.6</v>
                </pt>
                <pt idx="359">
                  <v>51.9</v>
                </pt>
                <pt idx="360">
                  <v>52</v>
                </pt>
                <pt idx="361">
                  <v>51.3</v>
                </pt>
                <pt idx="362">
                  <v>50.3</v>
                </pt>
                <pt idx="363">
                  <v>49.2</v>
                </pt>
                <pt idx="364">
                  <v>50</v>
                </pt>
                <pt idx="365">
                  <v>50.6</v>
                </pt>
                <pt idx="366">
                  <v>49.9</v>
                </pt>
                <pt idx="367">
                  <v>50.9</v>
                </pt>
                <pt idx="368">
                  <v>#N/A</v>
                </pt>
                <pt idx="369">
                  <v>50.4</v>
                </pt>
                <pt idx="370">
                  <v>48.1</v>
                </pt>
                <pt idx="371">
                  <v>#N/A</v>
                </pt>
                <pt idx="372">
                  <v>48.1</v>
                </pt>
                <pt idx="373">
                  <v>51.7</v>
                </pt>
                <pt idx="374">
                  <v>50.4</v>
                </pt>
                <pt idx="375">
                  <v>49.5</v>
                </pt>
                <pt idx="376">
                  <v>48.1</v>
                </pt>
                <pt idx="377">
                  <v>49.2</v>
                </pt>
                <pt idx="378">
                  <v>49.4</v>
                </pt>
                <pt idx="379">
                  <v>49</v>
                </pt>
                <pt idx="380">
                  <v>49.2</v>
                </pt>
                <pt idx="381">
                  <v>51.6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028813407"/>
        <axId val="1028810079"/>
      </lineChart>
      <lineChart>
        <grouping val="standard"/>
        <varyColors val="0"/>
        <ser>
          <idx val="2"/>
          <order val="1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China!$A$8:$A$390</f>
              <numCache>
                <formatCode>m/d/yyyy</formatCode>
                <ptCount val="383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  <pt idx="369">
                  <v>44620</v>
                </pt>
                <pt idx="370">
                  <v>44651</v>
                </pt>
                <pt idx="371">
                  <v>44681</v>
                </pt>
                <pt idx="372">
                  <v>44712</v>
                </pt>
                <pt idx="373">
                  <v>44742</v>
                </pt>
                <pt idx="374">
                  <v>44773</v>
                </pt>
                <pt idx="375">
                  <v>44804</v>
                </pt>
                <pt idx="376">
                  <v>44834</v>
                </pt>
                <pt idx="377">
                  <v>44865</v>
                </pt>
                <pt idx="378">
                  <v>44895</v>
                </pt>
                <pt idx="379">
                  <v>44926</v>
                </pt>
                <pt idx="380">
                  <v>44957</v>
                </pt>
                <pt idx="381">
                  <v>44985</v>
                </pt>
              </numCache>
            </numRef>
          </cat>
          <val>
            <numRef>
              <f>China!$B$8:$B$390</f>
              <numCache>
                <formatCode>0.0%</formatCode>
                <ptCount val="383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  <pt idx="368">
                  <v>#N/A</v>
                </pt>
                <pt idx="369">
                  <v>0.075</v>
                </pt>
                <pt idx="370">
                  <v>0.05</v>
                </pt>
                <pt idx="371">
                  <v>#N/A</v>
                </pt>
                <pt idx="372">
                  <v>0.006999999999999999</v>
                </pt>
                <pt idx="373">
                  <v>0.039</v>
                </pt>
                <pt idx="374">
                  <v>0.038</v>
                </pt>
                <pt idx="375">
                  <v>0.042</v>
                </pt>
                <pt idx="376">
                  <v>0.063</v>
                </pt>
                <pt idx="377">
                  <v>0.05</v>
                </pt>
                <pt idx="378">
                  <v>0.022</v>
                </pt>
                <pt idx="379">
                  <v>0.013</v>
                </pt>
                <pt idx="380">
                  <v>0.024</v>
                </pt>
                <pt idx="381">
                  <v>0.024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028808415"/>
        <axId val="1028817151"/>
      </lineChart>
      <dateAx>
        <axId val="1028813407"/>
        <scaling>
          <orientation val="minMax"/>
          <min val="38412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28810079"/>
        <crosses val="autoZero"/>
        <lblOffset val="100"/>
        <baseTimeUnit val="months"/>
      </dateAx>
      <valAx>
        <axId val="1028810079"/>
        <scaling>
          <orientation val="minMax"/>
          <min val="4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28813407"/>
        <crosses val="autoZero"/>
        <crossBetween val="between"/>
        <majorUnit val="1"/>
      </valAx>
      <dateAx>
        <axId val="1028808415"/>
        <scaling>
          <orientation val="minMax"/>
        </scaling>
        <delete val="1"/>
        <axPos val="b"/>
        <numFmt formatCode="m/d/yyyy" sourceLinked="1"/>
        <majorTickMark val="out"/>
        <minorTickMark val="none"/>
        <tickLblPos val="nextTo"/>
        <crossAx val="1028817151"/>
        <crosses val="autoZero"/>
        <lblOffset val="100"/>
        <baseTimeUnit val="months"/>
        <majorUnit val="1"/>
        <minorUnit val="1"/>
      </dateAx>
      <valAx>
        <axId val="1028817151"/>
        <scaling>
          <orientation val="minMax"/>
          <min val="-0.2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28808415"/>
        <crosses val="max"/>
        <crossBetween val="between"/>
        <majorUnit val="0.05000000000000001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span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/Relationships>
</file>

<file path=xl/drawings/drawing1.xml><?xml version="1.0" encoding="utf-8"?>
<wsDr xmlns="http://schemas.openxmlformats.org/drawingml/2006/spreadsheetDrawing">
  <twoCellAnchor>
    <from>
      <col>17</col>
      <colOff>165098</colOff>
      <row>335</row>
      <rowOff>21167</rowOff>
    </from>
    <to>
      <col>28</col>
      <colOff>508000</colOff>
      <row>364</row>
      <rowOff>64559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158748</colOff>
      <row>365</row>
      <rowOff>21167</rowOff>
    </from>
    <to>
      <col>28</col>
      <colOff>518582</colOff>
      <row>395</row>
      <rowOff>52917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29</col>
      <colOff>148166</colOff>
      <row>334</row>
      <rowOff>179916</rowOff>
    </from>
    <to>
      <col>45</col>
      <colOff>148166</colOff>
      <row>364</row>
      <rowOff>84667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258885</colOff>
      <row>349</row>
      <rowOff>170475</rowOff>
    </from>
    <to>
      <col>13</col>
      <colOff>554160</colOff>
      <row>369</row>
      <rowOff>151425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14</col>
      <colOff>54707</colOff>
      <row>370</row>
      <rowOff>66187</rowOff>
    </from>
    <to>
      <col>23</col>
      <colOff>359019</colOff>
      <row>388</row>
      <rowOff>47137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258884</colOff>
      <row>370</row>
      <rowOff>77910</rowOff>
    </from>
    <to>
      <col>13</col>
      <colOff>593481</colOff>
      <row>388</row>
      <rowOff>21980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14</col>
      <colOff>26378</colOff>
      <row>349</row>
      <rowOff>141410</rowOff>
    </from>
    <to>
      <col>23</col>
      <colOff>347053</colOff>
      <row>369</row>
      <rowOff>122360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592666</colOff>
      <row>323</row>
      <rowOff>11906</rowOff>
    </from>
    <to>
      <col>20</col>
      <colOff>130968</colOff>
      <row>362</row>
      <rowOff>29370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568721</colOff>
      <row>362</row>
      <rowOff>142883</rowOff>
    </from>
    <to>
      <col>20</col>
      <colOff>142875</colOff>
      <row>400</row>
      <rowOff>154781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98" headerRowCount="1" totalsRowShown="0" headerRowDxfId="31" dataDxfId="29" headerRowBorderDxfId="30">
  <autoFilter ref="A1:Q398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IF(VLOOKUP(A2,Database!$A:$AS,MATCH($B$1,Database!$A$1:$AS$1,0),FALSE)=0,#N/A,VLOOKUP(A2,Database!$A:$AS,MATCH($B$1,Database!$A$1:$AS$1,0),FALSE))</calculatedColumnFormula>
    </tableColumn>
    <tableColumn id="3" name="FRA" dataDxfId="26">
      <calculatedColumnFormula>IF(VLOOKUP(A2,Database!$A:$AS,MATCH($C$1,Database!$A$1:$AS$1,0),FALSE)=0,#N/A,VLOOKUP(A2,Database!$A:$AS,MATCH($C$1,Database!$A$1:$AS$1,0),FALSE))</calculatedColumnFormula>
    </tableColumn>
    <tableColumn id="4" name="DEU" dataDxfId="25">
      <calculatedColumnFormula>IF(VLOOKUP(A2,Database!$A:$AS,MATCH($D$1,Database!$A$1:$AS$1,0),FALSE)=0,#N/A,VLOOKUP(A2,Database!$A:$AS,MATCH($D$1,Database!$A$1:$AS$1,0),FALSE))</calculatedColumnFormula>
    </tableColumn>
    <tableColumn id="5" name="ESP" dataDxfId="24">
      <calculatedColumnFormula>IF(VLOOKUP(A2,Database!$A:$AS,MATCH($E$1,Database!$A$1:$AS$1,0),FALSE)=0,#N/A,VLOOKUP(A2,Database!$A:$AS,MATCH($E$1,Database!$A$1:$AS$1,0),FALSE))</calculatedColumnFormula>
    </tableColumn>
    <tableColumn id="6" name="EA19" dataDxfId="23">
      <calculatedColumnFormula>IF(VLOOKUP(A2,Database!$A:$AS,MATCH($F$1,Database!$A$1:$AS$1,0),FALSE)=0,#N/A,VLOOKUP(A2,Database!$A:$AS,MATCH($F$1,Database!$A$1:$AS$1,0),FALSE))</calculatedColumnFormula>
    </tableColumn>
    <tableColumn id="12" name="GBR" dataDxfId="22">
      <calculatedColumnFormula>IF(VLOOKUP(A2,Database!$A:$AS,MATCH($G$1,Database!$A$1:$AS$1,0),FALSE)=0,#N/A,VLOOKUP(A2,Database!$A:$AS,MATCH($G$1,Database!$A$1:$AS$1,0),FALSE))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IF(VLOOKUP(A2,Database!$A:$AU,MATCH($N$1,Database!$A$1:$AU$1,0),FALSE)=0,#N/A,VLOOKUP(A2,Database!$A:$AU,MATCH($N$1,Database!$A$1:$AU$1,0),FALSE))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IF(VLOOKUP(A2,Database!$A:$AS,MATCH($P$1,Database!$A$1:$AS$1,0),FALSE)=0,#N/A,VLOOKUP(A2,Database!$A:$AS,MATCH($P$1,Database!$A$1:$AS$1,0),FALSE))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90" headerRowCount="1" totalsRowShown="0" headerRowDxfId="11" dataDxfId="10">
  <autoFilter ref="A4:D390"/>
  <tableColumns count="4">
    <tableColumn id="1" name="Month" dataDxfId="9">
      <calculatedColumnFormula>IF(Database!#REF!="",#N/A,Database!#REF!)</calculatedColumnFormula>
    </tableColumn>
    <tableColumn id="2" name="USA" dataDxfId="8">
      <calculatedColumnFormula>VLOOKUP(A5,Database!$A:$AU,MATCH($B$4,Database!$A$1:$AU$1,0),FALSE)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89" headerRowCount="1" totalsRowShown="0" headerRowDxfId="5" dataDxfId="3" headerRowBorderDxfId="4">
  <autoFilter ref="A7:C389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data'!$A$1:$C$488,3,FALSE)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P246"/>
  <sheetViews>
    <sheetView tabSelected="1" zoomScale="70" zoomScaleNormal="70" workbookViewId="0">
      <selection activeCell="C32" sqref="C32"/>
    </sheetView>
  </sheetViews>
  <sheetFormatPr baseColWidth="8" defaultColWidth="9.1796875" defaultRowHeight="14.5"/>
  <cols>
    <col width="9.1796875" customWidth="1" style="86" min="1" max="1"/>
    <col width="12.81640625" customWidth="1" style="86" min="2" max="10"/>
    <col width="9.1796875" customWidth="1" style="86" min="11" max="14"/>
    <col width="19.1796875" customWidth="1" style="86" min="15" max="16"/>
    <col width="9.1796875" customWidth="1" style="86" min="17" max="77"/>
    <col width="9.1796875" customWidth="1" style="86" min="78" max="16384"/>
  </cols>
  <sheetData>
    <row r="1">
      <c r="B1" s="87" t="n"/>
    </row>
    <row r="2" ht="16" customHeight="1" thickBot="1">
      <c r="B2" s="88" t="n"/>
      <c r="C2" s="88" t="n"/>
      <c r="D2" s="88" t="n"/>
      <c r="E2" s="88" t="n"/>
      <c r="F2" s="88" t="n"/>
      <c r="G2" s="88" t="n"/>
      <c r="H2" s="88" t="n"/>
      <c r="I2" s="88" t="n"/>
      <c r="J2" s="88" t="n"/>
    </row>
    <row r="3" ht="16" customHeight="1" thickBot="1">
      <c r="B3" s="89" t="inlineStr">
        <is>
          <t>Global Industrial Production</t>
        </is>
      </c>
      <c r="C3" s="90" t="n"/>
      <c r="D3" s="90" t="n"/>
      <c r="E3" s="90" t="n"/>
      <c r="F3" s="90" t="n"/>
      <c r="G3" s="90" t="n"/>
      <c r="H3" s="90" t="n"/>
      <c r="I3" s="90" t="n"/>
      <c r="J3" s="91" t="n"/>
    </row>
    <row r="5">
      <c r="B5" s="92" t="inlineStr">
        <is>
          <t>Definition</t>
        </is>
      </c>
      <c r="C5" s="93" t="n"/>
      <c r="D5" s="93" t="n"/>
      <c r="E5" s="93" t="n"/>
      <c r="F5" s="93" t="n"/>
      <c r="G5" s="93" t="n"/>
      <c r="H5" s="93" t="n"/>
      <c r="I5" s="93" t="n"/>
      <c r="J5" s="94" t="n"/>
    </row>
    <row r="7" ht="63" customHeight="1">
      <c r="B7" s="95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>
      <c r="B8" s="96" t="inlineStr">
        <is>
          <t>https://data.oecd.org/industry/industrial-production.htm</t>
        </is>
      </c>
    </row>
    <row r="9">
      <c r="B9" s="61" t="n"/>
      <c r="C9" s="61" t="n"/>
      <c r="D9" s="61" t="n"/>
      <c r="E9" s="61" t="n"/>
    </row>
    <row r="10">
      <c r="B10" s="92" t="inlineStr">
        <is>
          <t>Process / TO DO LIST</t>
        </is>
      </c>
      <c r="C10" s="93" t="n"/>
      <c r="D10" s="93" t="n"/>
      <c r="E10" s="93" t="n"/>
      <c r="F10" s="93" t="n"/>
      <c r="G10" s="93" t="n"/>
      <c r="H10" s="93" t="n"/>
      <c r="I10" s="93" t="n"/>
      <c r="J10" s="94" t="n"/>
    </row>
    <row r="12">
      <c r="B12" s="92" t="inlineStr">
        <is>
          <t>TO DO LIST</t>
        </is>
      </c>
      <c r="C12" s="93" t="n"/>
      <c r="D12" s="93" t="n"/>
      <c r="E12" s="93" t="n"/>
      <c r="F12" s="94" t="n"/>
      <c r="G12" s="92" t="inlineStr">
        <is>
          <t>Comments</t>
        </is>
      </c>
      <c r="H12" s="93" t="n"/>
      <c r="I12" s="93" t="n"/>
      <c r="J12" s="94" t="n"/>
      <c r="O12" s="92" t="inlineStr">
        <is>
          <t xml:space="preserve">Ticker </t>
        </is>
      </c>
      <c r="P12" s="92" t="inlineStr">
        <is>
          <t>Country</t>
        </is>
      </c>
    </row>
    <row r="13">
      <c r="O13" s="62" t="inlineStr">
        <is>
          <t>ABW</t>
        </is>
      </c>
      <c r="P13" s="62" t="inlineStr">
        <is>
          <t>Aruba</t>
        </is>
      </c>
    </row>
    <row r="14">
      <c r="B14" s="86" t="inlineStr">
        <is>
          <t>https://data.oecd.org/industry/industrial-production.htm</t>
        </is>
      </c>
      <c r="G14" s="86" t="inlineStr">
        <is>
          <t>Industrial Production</t>
        </is>
      </c>
      <c r="O14" s="62" t="inlineStr">
        <is>
          <t>AFG</t>
        </is>
      </c>
      <c r="P14" s="62" t="inlineStr">
        <is>
          <t>Afghanistan</t>
        </is>
      </c>
    </row>
    <row r="15">
      <c r="B15" s="86" t="inlineStr">
        <is>
          <t>Total</t>
        </is>
      </c>
      <c r="G15" s="86" t="inlineStr">
        <is>
          <t>In Database</t>
        </is>
      </c>
      <c r="O15" s="62" t="inlineStr">
        <is>
          <t>AFRI</t>
        </is>
      </c>
      <c r="P15" s="62" t="inlineStr">
        <is>
          <t>Africa</t>
        </is>
      </c>
    </row>
    <row r="16" ht="15.75" customHeight="1">
      <c r="B16" s="86" t="inlineStr">
        <is>
          <t>Monthly</t>
        </is>
      </c>
      <c r="G16" s="85" t="inlineStr">
        <is>
          <t>Manually or create macro</t>
        </is>
      </c>
      <c r="O16" s="62" t="inlineStr">
        <is>
          <t>AGO</t>
        </is>
      </c>
      <c r="P16" s="62" t="inlineStr">
        <is>
          <t>Angola</t>
        </is>
      </c>
    </row>
    <row r="17" ht="15.75" customHeight="1">
      <c r="B17" s="86" t="inlineStr">
        <is>
          <t>Unclik latest data available</t>
        </is>
      </c>
      <c r="G17" s="85" t="n"/>
      <c r="O17" s="62" t="inlineStr">
        <is>
          <t>AIA</t>
        </is>
      </c>
      <c r="P17" s="62" t="inlineStr">
        <is>
          <t>Anguilla</t>
        </is>
      </c>
    </row>
    <row r="18" ht="15.75" customHeight="1">
      <c r="B18" s="86" t="inlineStr">
        <is>
          <t>Table</t>
        </is>
      </c>
      <c r="G18" s="98" t="n"/>
      <c r="O18" s="62" t="inlineStr">
        <is>
          <t>ALB</t>
        </is>
      </c>
      <c r="P18" s="62" t="inlineStr">
        <is>
          <t>Albania</t>
        </is>
      </c>
    </row>
    <row r="19" ht="15.75" customHeight="1">
      <c r="B19" s="86" t="inlineStr">
        <is>
          <t>Download</t>
        </is>
      </c>
      <c r="G19" s="85" t="n"/>
      <c r="O19" s="62" t="inlineStr">
        <is>
          <t>AND</t>
        </is>
      </c>
      <c r="P19" s="62" t="inlineStr">
        <is>
          <t>Andorra</t>
        </is>
      </c>
    </row>
    <row r="20" ht="15.75" customHeight="1">
      <c r="G20" s="85" t="n"/>
      <c r="O20" s="62" t="inlineStr">
        <is>
          <t>ANT</t>
        </is>
      </c>
      <c r="P20" s="62" t="inlineStr">
        <is>
          <t>Netherlands Antilles</t>
        </is>
      </c>
    </row>
    <row r="21" ht="31.5" customHeight="1">
      <c r="B21" s="99" t="inlineStr">
        <is>
          <t>https://www.investing.com/economic-calendar/chinese-industrial-production-462</t>
        </is>
      </c>
      <c r="G21" s="85" t="inlineStr">
        <is>
          <t>China Industrial Production</t>
        </is>
      </c>
      <c r="O21" s="62" t="inlineStr">
        <is>
          <t>ARE</t>
        </is>
      </c>
      <c r="P21" s="62" t="inlineStr">
        <is>
          <t>United Arab Emirates</t>
        </is>
      </c>
    </row>
    <row r="22" ht="15.75" customHeight="1">
      <c r="G22" s="85" t="n"/>
      <c r="O22" s="62" t="inlineStr">
        <is>
          <t>ARG</t>
        </is>
      </c>
      <c r="P22" s="62" t="inlineStr">
        <is>
          <t>Argentina</t>
        </is>
      </c>
    </row>
    <row r="23" ht="15.75" customHeight="1">
      <c r="B23" s="96" t="inlineStr">
        <is>
          <t>https://tradingeconomics.com/country-list/industrial-production</t>
        </is>
      </c>
      <c r="G23" s="85" t="inlineStr">
        <is>
          <t>World Production data</t>
        </is>
      </c>
      <c r="O23" s="62" t="inlineStr">
        <is>
          <t>ASIA</t>
        </is>
      </c>
      <c r="P23" s="62" t="inlineStr">
        <is>
          <t>Asia</t>
        </is>
      </c>
    </row>
    <row r="24" ht="15.75" customHeight="1">
      <c r="G24" s="85" t="n"/>
      <c r="O24" s="62" t="inlineStr">
        <is>
          <t>ASM</t>
        </is>
      </c>
      <c r="P24" s="62" t="inlineStr">
        <is>
          <t>American Samoa</t>
        </is>
      </c>
    </row>
    <row r="25" ht="15.75" customHeight="1">
      <c r="B25" s="10" t="inlineStr">
        <is>
          <t>https://www.theglobaleconomy.com/rankings/Capital_investment/</t>
        </is>
      </c>
      <c r="G25" s="85" t="n"/>
      <c r="O25" s="62" t="inlineStr">
        <is>
          <t>ATG</t>
        </is>
      </c>
      <c r="P25" s="62" t="inlineStr">
        <is>
          <t>Antigua and Barbuda</t>
        </is>
      </c>
    </row>
    <row r="26" ht="15.75" customHeight="1">
      <c r="G26" s="85" t="n"/>
      <c r="O26" s="62" t="inlineStr">
        <is>
          <t>AUS</t>
        </is>
      </c>
      <c r="P26" s="62" t="inlineStr">
        <is>
          <t>Australia</t>
        </is>
      </c>
    </row>
    <row r="27" ht="15.75" customHeight="1">
      <c r="B27" s="86" t="n"/>
      <c r="G27" s="85" t="n"/>
      <c r="O27" s="62" t="inlineStr">
        <is>
          <t>AUT</t>
        </is>
      </c>
      <c r="P27" s="62" t="inlineStr">
        <is>
          <t>Austria</t>
        </is>
      </c>
    </row>
    <row r="28">
      <c r="O28" s="62" t="inlineStr">
        <is>
          <t>BDI</t>
        </is>
      </c>
      <c r="P28" s="62" t="inlineStr">
        <is>
          <t>Burundi</t>
        </is>
      </c>
    </row>
    <row r="29">
      <c r="O29" s="62" t="inlineStr">
        <is>
          <t>BEL</t>
        </is>
      </c>
      <c r="P29" s="62" t="inlineStr">
        <is>
          <t>Belgium</t>
        </is>
      </c>
    </row>
    <row r="30">
      <c r="B30" s="63" t="n"/>
      <c r="O30" s="62" t="inlineStr">
        <is>
          <t>BEN</t>
        </is>
      </c>
      <c r="P30" s="62" t="inlineStr">
        <is>
          <t>Benin</t>
        </is>
      </c>
    </row>
    <row r="31" ht="33.75" customHeight="1">
      <c r="B31" s="97" t="n"/>
      <c r="O31" s="62" t="inlineStr">
        <is>
          <t>BFA</t>
        </is>
      </c>
      <c r="P31" s="62" t="inlineStr">
        <is>
          <t>Burkina Faso</t>
        </is>
      </c>
    </row>
    <row r="32">
      <c r="B32" s="64" t="n"/>
      <c r="O32" s="62" t="inlineStr">
        <is>
          <t>BGD</t>
        </is>
      </c>
      <c r="P32" s="62" t="inlineStr">
        <is>
          <t>Bangladesh</t>
        </is>
      </c>
    </row>
    <row r="33">
      <c r="O33" s="62" t="inlineStr">
        <is>
          <t>BGR</t>
        </is>
      </c>
      <c r="P33" s="62" t="inlineStr">
        <is>
          <t>Bulgaria</t>
        </is>
      </c>
    </row>
    <row r="34">
      <c r="O34" s="62" t="inlineStr">
        <is>
          <t>BHR</t>
        </is>
      </c>
      <c r="P34" s="62" t="inlineStr">
        <is>
          <t>Bahrain</t>
        </is>
      </c>
    </row>
    <row r="35">
      <c r="O35" s="62" t="inlineStr">
        <is>
          <t>BHS</t>
        </is>
      </c>
      <c r="P35" s="62" t="inlineStr">
        <is>
          <t>Bahamas</t>
        </is>
      </c>
    </row>
    <row r="36">
      <c r="O36" s="62" t="inlineStr">
        <is>
          <t>BLZ</t>
        </is>
      </c>
      <c r="P36" s="62" t="inlineStr">
        <is>
          <t>Belize</t>
        </is>
      </c>
    </row>
    <row r="37">
      <c r="O37" s="62" t="inlineStr">
        <is>
          <t>BMU</t>
        </is>
      </c>
      <c r="P37" s="62" t="inlineStr">
        <is>
          <t>Bermuda</t>
        </is>
      </c>
    </row>
    <row r="38">
      <c r="O38" s="62" t="inlineStr">
        <is>
          <t>BOL</t>
        </is>
      </c>
      <c r="P38" s="62" t="inlineStr">
        <is>
          <t>Bolivia</t>
        </is>
      </c>
    </row>
    <row r="39">
      <c r="O39" s="62" t="inlineStr">
        <is>
          <t>BRA</t>
        </is>
      </c>
      <c r="P39" s="62" t="inlineStr">
        <is>
          <t>Brazil</t>
        </is>
      </c>
    </row>
    <row r="40">
      <c r="O40" s="62" t="inlineStr">
        <is>
          <t>BRB</t>
        </is>
      </c>
      <c r="P40" s="62" t="inlineStr">
        <is>
          <t>Barbados</t>
        </is>
      </c>
    </row>
    <row r="41">
      <c r="O41" s="62" t="inlineStr">
        <is>
          <t>BRN</t>
        </is>
      </c>
      <c r="P41" s="62" t="inlineStr">
        <is>
          <t>Brunei Darussalam</t>
        </is>
      </c>
    </row>
    <row r="42">
      <c r="O42" s="62" t="inlineStr">
        <is>
          <t>BTN</t>
        </is>
      </c>
      <c r="P42" s="62" t="inlineStr">
        <is>
          <t>Bhutan</t>
        </is>
      </c>
    </row>
    <row r="43">
      <c r="O43" s="62" t="inlineStr">
        <is>
          <t>BWA</t>
        </is>
      </c>
      <c r="P43" s="62" t="inlineStr">
        <is>
          <t>Botswana</t>
        </is>
      </c>
    </row>
    <row r="44">
      <c r="O44" s="62" t="inlineStr">
        <is>
          <t>CAF</t>
        </is>
      </c>
      <c r="P44" s="62" t="inlineStr">
        <is>
          <t>Central African Republic</t>
        </is>
      </c>
    </row>
    <row r="45">
      <c r="O45" s="62" t="inlineStr">
        <is>
          <t>CAN</t>
        </is>
      </c>
      <c r="P45" s="62" t="inlineStr">
        <is>
          <t>Canada</t>
        </is>
      </c>
    </row>
    <row r="46">
      <c r="O46" s="62" t="inlineStr">
        <is>
          <t>CCK</t>
        </is>
      </c>
      <c r="P46" s="62" t="inlineStr">
        <is>
          <t>Cocos (Keeling) Islands</t>
        </is>
      </c>
    </row>
    <row r="47">
      <c r="O47" s="62" t="inlineStr">
        <is>
          <t>CHE</t>
        </is>
      </c>
      <c r="P47" s="62" t="inlineStr">
        <is>
          <t>Switzerland</t>
        </is>
      </c>
    </row>
    <row r="48">
      <c r="O48" s="62" t="inlineStr">
        <is>
          <t>CHL</t>
        </is>
      </c>
      <c r="P48" s="62" t="inlineStr">
        <is>
          <t>Chile</t>
        </is>
      </c>
    </row>
    <row r="49">
      <c r="O49" s="62" t="inlineStr">
        <is>
          <t>CHN</t>
        </is>
      </c>
      <c r="P49" s="62" t="inlineStr">
        <is>
          <t>China</t>
        </is>
      </c>
    </row>
    <row r="50">
      <c r="O50" s="62" t="inlineStr">
        <is>
          <t>CIV</t>
        </is>
      </c>
      <c r="P50" s="62" t="inlineStr">
        <is>
          <t>Côte d'Ivoire</t>
        </is>
      </c>
    </row>
    <row r="51">
      <c r="O51" s="62" t="inlineStr">
        <is>
          <t>CMR</t>
        </is>
      </c>
      <c r="P51" s="62" t="inlineStr">
        <is>
          <t>Cameroon</t>
        </is>
      </c>
    </row>
    <row r="52">
      <c r="O52" s="62" t="inlineStr">
        <is>
          <t>COD</t>
        </is>
      </c>
      <c r="P52" s="62" t="inlineStr">
        <is>
          <t>Congo, Dem. Rep. Of</t>
        </is>
      </c>
    </row>
    <row r="53">
      <c r="O53" s="62" t="inlineStr">
        <is>
          <t>COG</t>
        </is>
      </c>
      <c r="P53" s="62" t="inlineStr">
        <is>
          <t>Congo</t>
        </is>
      </c>
    </row>
    <row r="54">
      <c r="O54" s="62" t="inlineStr">
        <is>
          <t>COK</t>
        </is>
      </c>
      <c r="P54" s="62" t="inlineStr">
        <is>
          <t>Cook Islands</t>
        </is>
      </c>
    </row>
    <row r="55">
      <c r="O55" s="62" t="inlineStr">
        <is>
          <t>COL</t>
        </is>
      </c>
      <c r="P55" s="62" t="inlineStr">
        <is>
          <t>Colombia</t>
        </is>
      </c>
    </row>
    <row r="56">
      <c r="O56" s="62" t="inlineStr">
        <is>
          <t>COM</t>
        </is>
      </c>
      <c r="P56" s="62" t="inlineStr">
        <is>
          <t>Comoros</t>
        </is>
      </c>
    </row>
    <row r="57">
      <c r="O57" s="62" t="inlineStr">
        <is>
          <t>CPV</t>
        </is>
      </c>
      <c r="P57" s="62" t="inlineStr">
        <is>
          <t>Cape Verde</t>
        </is>
      </c>
    </row>
    <row r="58">
      <c r="O58" s="62" t="inlineStr">
        <is>
          <t>CRI</t>
        </is>
      </c>
      <c r="P58" s="62" t="inlineStr">
        <is>
          <t>Costa Rica</t>
        </is>
      </c>
    </row>
    <row r="59">
      <c r="O59" s="62" t="inlineStr">
        <is>
          <t>CSFR</t>
        </is>
      </c>
      <c r="P59" s="62" t="inlineStr">
        <is>
          <t>Former Czechoslovakia</t>
        </is>
      </c>
    </row>
    <row r="60">
      <c r="O60" s="62" t="inlineStr">
        <is>
          <t>CSFR-CZE</t>
        </is>
      </c>
      <c r="P60" s="62" t="inlineStr">
        <is>
          <t>Czech Republic</t>
        </is>
      </c>
    </row>
    <row r="61">
      <c r="O61" s="62" t="inlineStr">
        <is>
          <t>CSFR-SVK</t>
        </is>
      </c>
      <c r="P61" s="62" t="inlineStr">
        <is>
          <t>Slovak Republic</t>
        </is>
      </c>
    </row>
    <row r="62">
      <c r="O62" s="62" t="inlineStr">
        <is>
          <t>CUB</t>
        </is>
      </c>
      <c r="P62" s="62" t="inlineStr">
        <is>
          <t>Cuba</t>
        </is>
      </c>
    </row>
    <row r="63">
      <c r="O63" s="62" t="inlineStr">
        <is>
          <t>CYM</t>
        </is>
      </c>
      <c r="P63" s="62" t="inlineStr">
        <is>
          <t>Cayman Islands</t>
        </is>
      </c>
    </row>
    <row r="64">
      <c r="O64" s="62" t="inlineStr">
        <is>
          <t>CYP</t>
        </is>
      </c>
      <c r="P64" s="62" t="inlineStr">
        <is>
          <t>Cyprus</t>
        </is>
      </c>
    </row>
    <row r="65">
      <c r="O65" s="62" t="inlineStr">
        <is>
          <t>DEU</t>
        </is>
      </c>
      <c r="P65" s="62" t="inlineStr">
        <is>
          <t>Germany</t>
        </is>
      </c>
    </row>
    <row r="66">
      <c r="O66" s="62" t="inlineStr">
        <is>
          <t>DJI</t>
        </is>
      </c>
      <c r="P66" s="62" t="inlineStr">
        <is>
          <t>Djibouti</t>
        </is>
      </c>
    </row>
    <row r="67">
      <c r="O67" s="62" t="inlineStr">
        <is>
          <t>DMA</t>
        </is>
      </c>
      <c r="P67" s="62" t="inlineStr">
        <is>
          <t>Dominica</t>
        </is>
      </c>
    </row>
    <row r="68">
      <c r="O68" s="62" t="inlineStr">
        <is>
          <t>DNK</t>
        </is>
      </c>
      <c r="P68" s="62" t="inlineStr">
        <is>
          <t>Denmark</t>
        </is>
      </c>
    </row>
    <row r="69">
      <c r="O69" s="62" t="inlineStr">
        <is>
          <t>DOM</t>
        </is>
      </c>
      <c r="P69" s="62" t="inlineStr">
        <is>
          <t>Dominican Republic</t>
        </is>
      </c>
    </row>
    <row r="70">
      <c r="O70" s="62" t="inlineStr">
        <is>
          <t>DZA</t>
        </is>
      </c>
      <c r="P70" s="62" t="inlineStr">
        <is>
          <t>Algeria</t>
        </is>
      </c>
    </row>
    <row r="71">
      <c r="O71" s="62" t="inlineStr">
        <is>
          <t>ECU</t>
        </is>
      </c>
      <c r="P71" s="62" t="inlineStr">
        <is>
          <t>Ecuador</t>
        </is>
      </c>
    </row>
    <row r="72">
      <c r="O72" s="62" t="inlineStr">
        <is>
          <t>EGY</t>
        </is>
      </c>
      <c r="P72" s="62" t="inlineStr">
        <is>
          <t>Egypt</t>
        </is>
      </c>
    </row>
    <row r="73">
      <c r="O73" s="62" t="inlineStr">
        <is>
          <t>ERI</t>
        </is>
      </c>
      <c r="P73" s="62" t="inlineStr">
        <is>
          <t>Eritrea</t>
        </is>
      </c>
    </row>
    <row r="74">
      <c r="O74" s="62" t="inlineStr">
        <is>
          <t>ESH</t>
        </is>
      </c>
      <c r="P74" s="62" t="inlineStr">
        <is>
          <t>Western Sahara</t>
        </is>
      </c>
    </row>
    <row r="75">
      <c r="O75" s="62" t="inlineStr">
        <is>
          <t>ESP</t>
        </is>
      </c>
      <c r="P75" s="62" t="inlineStr">
        <is>
          <t>Spain</t>
        </is>
      </c>
    </row>
    <row r="76">
      <c r="O76" s="62" t="inlineStr">
        <is>
          <t>ETH</t>
        </is>
      </c>
      <c r="P76" s="62" t="inlineStr">
        <is>
          <t>Ethiopia</t>
        </is>
      </c>
    </row>
    <row r="77">
      <c r="O77" s="62" t="inlineStr">
        <is>
          <t>EURO</t>
        </is>
      </c>
      <c r="P77" s="62" t="inlineStr">
        <is>
          <t>Europe</t>
        </is>
      </c>
    </row>
    <row r="78">
      <c r="O78" s="62" t="inlineStr">
        <is>
          <t>FIN</t>
        </is>
      </c>
      <c r="P78" s="62" t="inlineStr">
        <is>
          <t>Finland</t>
        </is>
      </c>
    </row>
    <row r="79">
      <c r="O79" s="62" t="inlineStr">
        <is>
          <t>FJI</t>
        </is>
      </c>
      <c r="P79" s="62" t="inlineStr">
        <is>
          <t>Fiji</t>
        </is>
      </c>
    </row>
    <row r="80">
      <c r="O80" s="62" t="inlineStr">
        <is>
          <t>FLK</t>
        </is>
      </c>
      <c r="P80" s="62" t="inlineStr">
        <is>
          <t>Falkland Islands</t>
        </is>
      </c>
    </row>
    <row r="81">
      <c r="O81" s="62" t="inlineStr">
        <is>
          <t>FRA</t>
        </is>
      </c>
      <c r="P81" s="62" t="inlineStr">
        <is>
          <t>France</t>
        </is>
      </c>
    </row>
    <row r="82">
      <c r="O82" s="62" t="inlineStr">
        <is>
          <t>FSM</t>
        </is>
      </c>
      <c r="P82" s="62" t="inlineStr">
        <is>
          <t>Micronesia, Federated states of</t>
        </is>
      </c>
    </row>
    <row r="83">
      <c r="O83" s="62" t="inlineStr">
        <is>
          <t>FYUG</t>
        </is>
      </c>
      <c r="P83" s="62" t="inlineStr">
        <is>
          <t>Former Yugoslavia</t>
        </is>
      </c>
    </row>
    <row r="84">
      <c r="O84" s="62" t="inlineStr">
        <is>
          <t>FYUG-BIH</t>
        </is>
      </c>
      <c r="P84" s="62" t="inlineStr">
        <is>
          <t>Bosnia-Herzegovina</t>
        </is>
      </c>
    </row>
    <row r="85">
      <c r="O85" s="62" t="inlineStr">
        <is>
          <t>FYUG-HRV</t>
        </is>
      </c>
      <c r="P85" s="62" t="inlineStr">
        <is>
          <t>Croatia</t>
        </is>
      </c>
    </row>
    <row r="86">
      <c r="O86" s="62" t="inlineStr">
        <is>
          <t>FYUG-MKD</t>
        </is>
      </c>
      <c r="P86" s="62" t="inlineStr">
        <is>
          <t>Macedonia</t>
        </is>
      </c>
    </row>
    <row r="87">
      <c r="O87" s="62" t="inlineStr">
        <is>
          <t>FYUG-SVN</t>
        </is>
      </c>
      <c r="P87" s="62" t="inlineStr">
        <is>
          <t>Slovenia</t>
        </is>
      </c>
    </row>
    <row r="88">
      <c r="O88" s="62" t="inlineStr">
        <is>
          <t>FYUG-YUG</t>
        </is>
      </c>
      <c r="P88" s="62" t="inlineStr">
        <is>
          <t>Serbia and Montenegro</t>
        </is>
      </c>
    </row>
    <row r="89">
      <c r="O89" s="62" t="inlineStr">
        <is>
          <t>GAB</t>
        </is>
      </c>
      <c r="P89" s="62" t="inlineStr">
        <is>
          <t>Gabon</t>
        </is>
      </c>
    </row>
    <row r="90">
      <c r="O90" s="62" t="inlineStr">
        <is>
          <t>GBR</t>
        </is>
      </c>
      <c r="P90" s="62" t="inlineStr">
        <is>
          <t>United Kingdom</t>
        </is>
      </c>
    </row>
    <row r="91">
      <c r="O91" s="62" t="inlineStr">
        <is>
          <t>GHA</t>
        </is>
      </c>
      <c r="P91" s="62" t="inlineStr">
        <is>
          <t>Ghana</t>
        </is>
      </c>
    </row>
    <row r="92">
      <c r="O92" s="62" t="inlineStr">
        <is>
          <t>GIB</t>
        </is>
      </c>
      <c r="P92" s="62" t="inlineStr">
        <is>
          <t>Gibraltar</t>
        </is>
      </c>
    </row>
    <row r="93">
      <c r="O93" s="62" t="inlineStr">
        <is>
          <t>GIN</t>
        </is>
      </c>
      <c r="P93" s="62" t="inlineStr">
        <is>
          <t>Guinea</t>
        </is>
      </c>
    </row>
    <row r="94">
      <c r="O94" s="62" t="inlineStr">
        <is>
          <t>GMB</t>
        </is>
      </c>
      <c r="P94" s="62" t="inlineStr">
        <is>
          <t>Gambia</t>
        </is>
      </c>
    </row>
    <row r="95">
      <c r="O95" s="62" t="inlineStr">
        <is>
          <t>GNB</t>
        </is>
      </c>
      <c r="P95" s="62" t="inlineStr">
        <is>
          <t>Guinea-Bissau</t>
        </is>
      </c>
    </row>
    <row r="96">
      <c r="O96" s="62" t="inlineStr">
        <is>
          <t>GNQ</t>
        </is>
      </c>
      <c r="P96" s="62" t="inlineStr">
        <is>
          <t>Equatorial Guinea</t>
        </is>
      </c>
    </row>
    <row r="97">
      <c r="O97" s="62" t="inlineStr">
        <is>
          <t>GRC</t>
        </is>
      </c>
      <c r="P97" s="62" t="inlineStr">
        <is>
          <t>Greece</t>
        </is>
      </c>
    </row>
    <row r="98">
      <c r="O98" s="62" t="inlineStr">
        <is>
          <t>GRD</t>
        </is>
      </c>
      <c r="P98" s="62" t="inlineStr">
        <is>
          <t>Grenada</t>
        </is>
      </c>
    </row>
    <row r="99">
      <c r="O99" s="62" t="inlineStr">
        <is>
          <t>GTM</t>
        </is>
      </c>
      <c r="P99" s="62" t="inlineStr">
        <is>
          <t>Guatemala</t>
        </is>
      </c>
    </row>
    <row r="100">
      <c r="O100" s="62" t="inlineStr">
        <is>
          <t>GUM</t>
        </is>
      </c>
      <c r="P100" s="62" t="inlineStr">
        <is>
          <t>Guam</t>
        </is>
      </c>
    </row>
    <row r="101">
      <c r="O101" s="62" t="inlineStr">
        <is>
          <t>GUY</t>
        </is>
      </c>
      <c r="P101" s="62" t="inlineStr">
        <is>
          <t>Guyana</t>
        </is>
      </c>
    </row>
    <row r="102">
      <c r="O102" s="62" t="inlineStr">
        <is>
          <t>HKG</t>
        </is>
      </c>
      <c r="P102" s="62" t="inlineStr">
        <is>
          <t>Hong Kong</t>
        </is>
      </c>
    </row>
    <row r="103">
      <c r="O103" s="62" t="inlineStr">
        <is>
          <t>HND</t>
        </is>
      </c>
      <c r="P103" s="62" t="inlineStr">
        <is>
          <t>Honduras</t>
        </is>
      </c>
    </row>
    <row r="104">
      <c r="O104" s="62" t="inlineStr">
        <is>
          <t>HTI</t>
        </is>
      </c>
      <c r="P104" s="62" t="inlineStr">
        <is>
          <t>Haiti</t>
        </is>
      </c>
    </row>
    <row r="105">
      <c r="O105" s="62" t="inlineStr">
        <is>
          <t>HUN</t>
        </is>
      </c>
      <c r="P105" s="62" t="inlineStr">
        <is>
          <t>Hungary</t>
        </is>
      </c>
    </row>
    <row r="106">
      <c r="O106" s="62" t="inlineStr">
        <is>
          <t>IDN</t>
        </is>
      </c>
      <c r="P106" s="62" t="inlineStr">
        <is>
          <t>Indonesia</t>
        </is>
      </c>
    </row>
    <row r="107">
      <c r="O107" s="62" t="inlineStr">
        <is>
          <t>IND</t>
        </is>
      </c>
      <c r="P107" s="62" t="inlineStr">
        <is>
          <t>India</t>
        </is>
      </c>
    </row>
    <row r="108">
      <c r="O108" s="62" t="inlineStr">
        <is>
          <t>IOT</t>
        </is>
      </c>
      <c r="P108" s="62" t="inlineStr">
        <is>
          <t>British Indian Ocean Territory</t>
        </is>
      </c>
    </row>
    <row r="109">
      <c r="O109" s="62" t="inlineStr">
        <is>
          <t>IRL</t>
        </is>
      </c>
      <c r="P109" s="62" t="inlineStr">
        <is>
          <t>Ireland</t>
        </is>
      </c>
    </row>
    <row r="110">
      <c r="O110" s="62" t="inlineStr">
        <is>
          <t>IRN</t>
        </is>
      </c>
      <c r="P110" s="62" t="inlineStr">
        <is>
          <t>Iran</t>
        </is>
      </c>
    </row>
    <row r="111">
      <c r="O111" s="62" t="inlineStr">
        <is>
          <t>IRQ</t>
        </is>
      </c>
      <c r="P111" s="62" t="inlineStr">
        <is>
          <t>Iraq</t>
        </is>
      </c>
    </row>
    <row r="112">
      <c r="O112" s="62" t="inlineStr">
        <is>
          <t>ISL</t>
        </is>
      </c>
      <c r="P112" s="62" t="inlineStr">
        <is>
          <t>Iceland</t>
        </is>
      </c>
    </row>
    <row r="113">
      <c r="O113" s="62" t="inlineStr">
        <is>
          <t>ISR</t>
        </is>
      </c>
      <c r="P113" s="62" t="inlineStr">
        <is>
          <t>Israel</t>
        </is>
      </c>
    </row>
    <row r="114">
      <c r="O114" s="62" t="inlineStr">
        <is>
          <t>ITA</t>
        </is>
      </c>
      <c r="P114" s="62" t="inlineStr">
        <is>
          <t>Italy</t>
        </is>
      </c>
    </row>
    <row r="115">
      <c r="O115" s="62" t="inlineStr">
        <is>
          <t>JAM</t>
        </is>
      </c>
      <c r="P115" s="62" t="inlineStr">
        <is>
          <t>Jamaica</t>
        </is>
      </c>
    </row>
    <row r="116">
      <c r="O116" s="62" t="inlineStr">
        <is>
          <t>JOR</t>
        </is>
      </c>
      <c r="P116" s="62" t="inlineStr">
        <is>
          <t>Jordan</t>
        </is>
      </c>
    </row>
    <row r="117">
      <c r="O117" s="62" t="inlineStr">
        <is>
          <t>JPN</t>
        </is>
      </c>
      <c r="P117" s="62" t="inlineStr">
        <is>
          <t>Japan</t>
        </is>
      </c>
    </row>
    <row r="118">
      <c r="O118" s="62" t="inlineStr">
        <is>
          <t>KEN</t>
        </is>
      </c>
      <c r="P118" s="62" t="inlineStr">
        <is>
          <t>Kenya</t>
        </is>
      </c>
    </row>
    <row r="119">
      <c r="O119" s="62" t="inlineStr">
        <is>
          <t>KHM</t>
        </is>
      </c>
      <c r="P119" s="62" t="inlineStr">
        <is>
          <t>Cambodia</t>
        </is>
      </c>
    </row>
    <row r="120">
      <c r="O120" s="62" t="inlineStr">
        <is>
          <t>KIR</t>
        </is>
      </c>
      <c r="P120" s="62" t="inlineStr">
        <is>
          <t>Kiribati</t>
        </is>
      </c>
    </row>
    <row r="121">
      <c r="O121" s="62" t="inlineStr">
        <is>
          <t>KNA</t>
        </is>
      </c>
      <c r="P121" s="62" t="inlineStr">
        <is>
          <t>Saint Kitts and Nevis</t>
        </is>
      </c>
    </row>
    <row r="122">
      <c r="O122" s="62" t="inlineStr">
        <is>
          <t>KOREA-NO</t>
        </is>
      </c>
      <c r="P122" s="62" t="inlineStr">
        <is>
          <t>North Korea</t>
        </is>
      </c>
    </row>
    <row r="123">
      <c r="O123" s="62" t="inlineStr">
        <is>
          <t>KOREA-NS</t>
        </is>
      </c>
      <c r="P123" s="62" t="inlineStr">
        <is>
          <t>South Korea</t>
        </is>
      </c>
    </row>
    <row r="124">
      <c r="O124" s="62" t="inlineStr">
        <is>
          <t>KOREA-SO</t>
        </is>
      </c>
      <c r="P124" s="62" t="inlineStr">
        <is>
          <t>North and South Korea</t>
        </is>
      </c>
    </row>
    <row r="125">
      <c r="O125" s="62" t="inlineStr">
        <is>
          <t>KWT</t>
        </is>
      </c>
      <c r="P125" s="62" t="inlineStr">
        <is>
          <t>Kuwait</t>
        </is>
      </c>
    </row>
    <row r="126">
      <c r="O126" s="62" t="inlineStr">
        <is>
          <t>LAO</t>
        </is>
      </c>
      <c r="P126" s="62" t="inlineStr">
        <is>
          <t>Laos</t>
        </is>
      </c>
    </row>
    <row r="127">
      <c r="O127" s="62" t="inlineStr">
        <is>
          <t>LBN</t>
        </is>
      </c>
      <c r="P127" s="62" t="inlineStr">
        <is>
          <t>Lebanon</t>
        </is>
      </c>
    </row>
    <row r="128">
      <c r="O128" s="62" t="inlineStr">
        <is>
          <t>LBR</t>
        </is>
      </c>
      <c r="P128" s="62" t="inlineStr">
        <is>
          <t>Liberia</t>
        </is>
      </c>
    </row>
    <row r="129">
      <c r="O129" s="62" t="inlineStr">
        <is>
          <t>LBY</t>
        </is>
      </c>
      <c r="P129" s="62" t="inlineStr">
        <is>
          <t>Libya</t>
        </is>
      </c>
    </row>
    <row r="130">
      <c r="O130" s="62" t="inlineStr">
        <is>
          <t>LCA</t>
        </is>
      </c>
      <c r="P130" s="62" t="inlineStr">
        <is>
          <t>Saint Lucia</t>
        </is>
      </c>
    </row>
    <row r="131">
      <c r="O131" s="62" t="inlineStr">
        <is>
          <t>LIE</t>
        </is>
      </c>
      <c r="P131" s="62" t="inlineStr">
        <is>
          <t>Liechtenstein</t>
        </is>
      </c>
    </row>
    <row r="132">
      <c r="O132" s="62" t="inlineStr">
        <is>
          <t>LKA</t>
        </is>
      </c>
      <c r="P132" s="62" t="inlineStr">
        <is>
          <t>Sri Lanka</t>
        </is>
      </c>
    </row>
    <row r="133">
      <c r="O133" s="62" t="inlineStr">
        <is>
          <t>LSO</t>
        </is>
      </c>
      <c r="P133" s="62" t="inlineStr">
        <is>
          <t>Lesotho</t>
        </is>
      </c>
    </row>
    <row r="134">
      <c r="O134" s="62" t="inlineStr">
        <is>
          <t>LUX</t>
        </is>
      </c>
      <c r="P134" s="62" t="inlineStr">
        <is>
          <t>Luxembourg</t>
        </is>
      </c>
    </row>
    <row r="135">
      <c r="O135" s="62" t="inlineStr">
        <is>
          <t>MAC</t>
        </is>
      </c>
      <c r="P135" s="62" t="inlineStr">
        <is>
          <t>Macau</t>
        </is>
      </c>
    </row>
    <row r="136">
      <c r="O136" s="62" t="inlineStr">
        <is>
          <t>MAR</t>
        </is>
      </c>
      <c r="P136" s="62" t="inlineStr">
        <is>
          <t>Morocco</t>
        </is>
      </c>
    </row>
    <row r="137">
      <c r="O137" s="62" t="inlineStr">
        <is>
          <t>MCO</t>
        </is>
      </c>
      <c r="P137" s="62" t="inlineStr">
        <is>
          <t>Monaco</t>
        </is>
      </c>
    </row>
    <row r="138">
      <c r="O138" s="62" t="inlineStr">
        <is>
          <t>MDG</t>
        </is>
      </c>
      <c r="P138" s="62" t="inlineStr">
        <is>
          <t>Madagascar</t>
        </is>
      </c>
    </row>
    <row r="139">
      <c r="O139" s="62" t="inlineStr">
        <is>
          <t>MDV</t>
        </is>
      </c>
      <c r="P139" s="62" t="inlineStr">
        <is>
          <t>Maldives</t>
        </is>
      </c>
    </row>
    <row r="140">
      <c r="O140" s="62" t="inlineStr">
        <is>
          <t>MEX</t>
        </is>
      </c>
      <c r="P140" s="62" t="inlineStr">
        <is>
          <t>Mexico</t>
        </is>
      </c>
    </row>
    <row r="141">
      <c r="O141" s="62" t="inlineStr">
        <is>
          <t>MHL</t>
        </is>
      </c>
      <c r="P141" s="62" t="inlineStr">
        <is>
          <t>Marshall Islands</t>
        </is>
      </c>
    </row>
    <row r="142">
      <c r="O142" s="62" t="inlineStr">
        <is>
          <t>MLI</t>
        </is>
      </c>
      <c r="P142" s="62" t="inlineStr">
        <is>
          <t>Mali</t>
        </is>
      </c>
    </row>
    <row r="143">
      <c r="O143" s="62" t="inlineStr">
        <is>
          <t>MLT</t>
        </is>
      </c>
      <c r="P143" s="62" t="inlineStr">
        <is>
          <t>Malta</t>
        </is>
      </c>
    </row>
    <row r="144">
      <c r="O144" s="62" t="inlineStr">
        <is>
          <t>MMR</t>
        </is>
      </c>
      <c r="P144" s="62" t="inlineStr">
        <is>
          <t>Myanmar</t>
        </is>
      </c>
    </row>
    <row r="145">
      <c r="O145" s="62" t="inlineStr">
        <is>
          <t>MNG</t>
        </is>
      </c>
      <c r="P145" s="62" t="inlineStr">
        <is>
          <t>Mongolia</t>
        </is>
      </c>
    </row>
    <row r="146">
      <c r="O146" s="62" t="inlineStr">
        <is>
          <t>MNP</t>
        </is>
      </c>
      <c r="P146" s="62" t="inlineStr">
        <is>
          <t>Northern Mariana Islands</t>
        </is>
      </c>
    </row>
    <row r="147">
      <c r="O147" s="62" t="inlineStr">
        <is>
          <t>MOZ</t>
        </is>
      </c>
      <c r="P147" s="62" t="inlineStr">
        <is>
          <t>Mozambique</t>
        </is>
      </c>
    </row>
    <row r="148">
      <c r="O148" s="62" t="inlineStr">
        <is>
          <t>MRT</t>
        </is>
      </c>
      <c r="P148" s="62" t="inlineStr">
        <is>
          <t>Mauritania</t>
        </is>
      </c>
    </row>
    <row r="149">
      <c r="O149" s="62" t="inlineStr">
        <is>
          <t>MSR</t>
        </is>
      </c>
      <c r="P149" s="62" t="inlineStr">
        <is>
          <t>Montserrat</t>
        </is>
      </c>
    </row>
    <row r="150">
      <c r="O150" s="62" t="inlineStr">
        <is>
          <t>MUS</t>
        </is>
      </c>
      <c r="P150" s="62" t="inlineStr">
        <is>
          <t>Mauritius</t>
        </is>
      </c>
    </row>
    <row r="151">
      <c r="O151" s="62" t="inlineStr">
        <is>
          <t>MWI</t>
        </is>
      </c>
      <c r="P151" s="62" t="inlineStr">
        <is>
          <t>Malawi</t>
        </is>
      </c>
    </row>
    <row r="152">
      <c r="O152" s="62" t="inlineStr">
        <is>
          <t>MYS</t>
        </is>
      </c>
      <c r="P152" s="62" t="inlineStr">
        <is>
          <t>Malaysia</t>
        </is>
      </c>
    </row>
    <row r="153">
      <c r="O153" s="62" t="inlineStr">
        <is>
          <t>NAM</t>
        </is>
      </c>
      <c r="P153" s="62" t="inlineStr">
        <is>
          <t>Namibia</t>
        </is>
      </c>
    </row>
    <row r="154">
      <c r="O154" s="62" t="inlineStr">
        <is>
          <t>NER</t>
        </is>
      </c>
      <c r="P154" s="62" t="inlineStr">
        <is>
          <t>Niger</t>
        </is>
      </c>
    </row>
    <row r="155">
      <c r="O155" s="62" t="inlineStr">
        <is>
          <t>NFK</t>
        </is>
      </c>
      <c r="P155" s="62" t="inlineStr">
        <is>
          <t>Norfolk Islands</t>
        </is>
      </c>
    </row>
    <row r="156">
      <c r="O156" s="62" t="inlineStr">
        <is>
          <t>NGA</t>
        </is>
      </c>
      <c r="P156" s="62" t="inlineStr">
        <is>
          <t>Nigeria</t>
        </is>
      </c>
    </row>
    <row r="157">
      <c r="O157" s="62" t="inlineStr">
        <is>
          <t>NIC</t>
        </is>
      </c>
      <c r="P157" s="62" t="inlineStr">
        <is>
          <t>Nicaragua</t>
        </is>
      </c>
    </row>
    <row r="158">
      <c r="O158" s="62" t="inlineStr">
        <is>
          <t>NIU</t>
        </is>
      </c>
      <c r="P158" s="62" t="inlineStr">
        <is>
          <t>Niue</t>
        </is>
      </c>
    </row>
    <row r="159">
      <c r="O159" s="62" t="inlineStr">
        <is>
          <t>NLD</t>
        </is>
      </c>
      <c r="P159" s="62" t="inlineStr">
        <is>
          <t>Netherlands</t>
        </is>
      </c>
    </row>
    <row r="160">
      <c r="O160" s="62" t="inlineStr">
        <is>
          <t>NOAM</t>
        </is>
      </c>
      <c r="P160" s="62" t="inlineStr">
        <is>
          <t>North America</t>
        </is>
      </c>
    </row>
    <row r="161">
      <c r="O161" s="62" t="inlineStr">
        <is>
          <t>NOR</t>
        </is>
      </c>
      <c r="P161" s="62" t="inlineStr">
        <is>
          <t>Norway</t>
        </is>
      </c>
    </row>
    <row r="162">
      <c r="O162" s="62" t="inlineStr">
        <is>
          <t>NPL</t>
        </is>
      </c>
      <c r="P162" s="62" t="inlineStr">
        <is>
          <t>Nepal</t>
        </is>
      </c>
    </row>
    <row r="163">
      <c r="O163" s="62" t="inlineStr">
        <is>
          <t>NRU</t>
        </is>
      </c>
      <c r="P163" s="62" t="inlineStr">
        <is>
          <t>Nauru</t>
        </is>
      </c>
    </row>
    <row r="164">
      <c r="O164" s="62" t="inlineStr">
        <is>
          <t>NZL</t>
        </is>
      </c>
      <c r="P164" s="62" t="inlineStr">
        <is>
          <t>New Zealand</t>
        </is>
      </c>
    </row>
    <row r="165">
      <c r="O165" s="62" t="inlineStr">
        <is>
          <t>OCEA</t>
        </is>
      </c>
      <c r="P165" s="62" t="inlineStr">
        <is>
          <t>Oceania</t>
        </is>
      </c>
    </row>
    <row r="166">
      <c r="O166" s="62" t="inlineStr">
        <is>
          <t>OMN</t>
        </is>
      </c>
      <c r="P166" s="62" t="inlineStr">
        <is>
          <t>Oman</t>
        </is>
      </c>
    </row>
    <row r="167">
      <c r="O167" s="62" t="inlineStr">
        <is>
          <t>OTH</t>
        </is>
      </c>
      <c r="P167" s="62" t="inlineStr">
        <is>
          <t>Other</t>
        </is>
      </c>
    </row>
    <row r="168">
      <c r="O168" s="62" t="inlineStr">
        <is>
          <t>PAK</t>
        </is>
      </c>
      <c r="P168" s="62" t="inlineStr">
        <is>
          <t>Pakistan</t>
        </is>
      </c>
    </row>
    <row r="169">
      <c r="O169" s="62" t="inlineStr">
        <is>
          <t>PAN</t>
        </is>
      </c>
      <c r="P169" s="62" t="inlineStr">
        <is>
          <t>Panama</t>
        </is>
      </c>
    </row>
    <row r="170">
      <c r="O170" s="62" t="inlineStr">
        <is>
          <t>PCN</t>
        </is>
      </c>
      <c r="P170" s="62" t="inlineStr">
        <is>
          <t>Pitcairn</t>
        </is>
      </c>
    </row>
    <row r="171">
      <c r="O171" s="62" t="inlineStr">
        <is>
          <t>PER</t>
        </is>
      </c>
      <c r="P171" s="62" t="inlineStr">
        <is>
          <t>Peru</t>
        </is>
      </c>
    </row>
    <row r="172">
      <c r="O172" s="62" t="inlineStr">
        <is>
          <t>PHL</t>
        </is>
      </c>
      <c r="P172" s="62" t="inlineStr">
        <is>
          <t>Philippines</t>
        </is>
      </c>
    </row>
    <row r="173">
      <c r="O173" s="62" t="inlineStr">
        <is>
          <t>PLW</t>
        </is>
      </c>
      <c r="P173" s="62" t="inlineStr">
        <is>
          <t>Pacific Islands (Palau)</t>
        </is>
      </c>
    </row>
    <row r="174">
      <c r="O174" s="62" t="inlineStr">
        <is>
          <t>PNG</t>
        </is>
      </c>
      <c r="P174" s="62" t="inlineStr">
        <is>
          <t>Papua New Guinea</t>
        </is>
      </c>
    </row>
    <row r="175">
      <c r="O175" s="62" t="inlineStr">
        <is>
          <t>POL</t>
        </is>
      </c>
      <c r="P175" s="62" t="inlineStr">
        <is>
          <t>Poland</t>
        </is>
      </c>
    </row>
    <row r="176">
      <c r="O176" s="62" t="inlineStr">
        <is>
          <t>PRI</t>
        </is>
      </c>
      <c r="P176" s="62" t="inlineStr">
        <is>
          <t>Puerto Rico</t>
        </is>
      </c>
    </row>
    <row r="177">
      <c r="O177" s="62" t="inlineStr">
        <is>
          <t>PRT</t>
        </is>
      </c>
      <c r="P177" s="62" t="inlineStr">
        <is>
          <t>Portugal</t>
        </is>
      </c>
    </row>
    <row r="178">
      <c r="O178" s="62" t="inlineStr">
        <is>
          <t>PRY</t>
        </is>
      </c>
      <c r="P178" s="62" t="inlineStr">
        <is>
          <t>Paraguay</t>
        </is>
      </c>
    </row>
    <row r="179">
      <c r="O179" s="62" t="inlineStr">
        <is>
          <t>PSE</t>
        </is>
      </c>
      <c r="P179" s="62" t="inlineStr">
        <is>
          <t>Occupied Palestinian Territory</t>
        </is>
      </c>
    </row>
    <row r="180">
      <c r="O180" s="62" t="inlineStr">
        <is>
          <t>QAT</t>
        </is>
      </c>
      <c r="P180" s="62" t="inlineStr">
        <is>
          <t>Qatar</t>
        </is>
      </c>
    </row>
    <row r="181">
      <c r="O181" s="62" t="inlineStr">
        <is>
          <t>ROU</t>
        </is>
      </c>
      <c r="P181" s="62" t="inlineStr">
        <is>
          <t>Romania</t>
        </is>
      </c>
    </row>
    <row r="182">
      <c r="O182" s="62" t="inlineStr">
        <is>
          <t>RWA</t>
        </is>
      </c>
      <c r="P182" s="62" t="inlineStr">
        <is>
          <t>Rwanda</t>
        </is>
      </c>
    </row>
    <row r="183">
      <c r="O183" s="62" t="inlineStr">
        <is>
          <t>SAU</t>
        </is>
      </c>
      <c r="P183" s="62" t="inlineStr">
        <is>
          <t>Saudi Arabia</t>
        </is>
      </c>
    </row>
    <row r="184">
      <c r="O184" s="62" t="inlineStr">
        <is>
          <t>SCAC</t>
        </is>
      </c>
      <c r="P184" s="62" t="inlineStr">
        <is>
          <t>South and Central America</t>
        </is>
      </c>
    </row>
    <row r="185">
      <c r="O185" s="62" t="inlineStr">
        <is>
          <t>SDN</t>
        </is>
      </c>
      <c r="P185" s="62" t="inlineStr">
        <is>
          <t>Sudan</t>
        </is>
      </c>
    </row>
    <row r="186">
      <c r="O186" s="62" t="inlineStr">
        <is>
          <t>SEN</t>
        </is>
      </c>
      <c r="P186" s="62" t="inlineStr">
        <is>
          <t>Senegal</t>
        </is>
      </c>
    </row>
    <row r="187">
      <c r="O187" s="62" t="inlineStr">
        <is>
          <t>SGP</t>
        </is>
      </c>
      <c r="P187" s="62" t="inlineStr">
        <is>
          <t>Singapore</t>
        </is>
      </c>
    </row>
    <row r="188">
      <c r="O188" s="62" t="inlineStr">
        <is>
          <t>SHN</t>
        </is>
      </c>
      <c r="P188" s="62" t="inlineStr">
        <is>
          <t>Saint Helena</t>
        </is>
      </c>
    </row>
    <row r="189">
      <c r="O189" s="62" t="inlineStr">
        <is>
          <t>SJM</t>
        </is>
      </c>
      <c r="P189" s="62" t="inlineStr">
        <is>
          <t>Svalbard and Jan Mayen Islands</t>
        </is>
      </c>
    </row>
    <row r="190">
      <c r="O190" s="62" t="inlineStr">
        <is>
          <t>SLB</t>
        </is>
      </c>
      <c r="P190" s="62" t="inlineStr">
        <is>
          <t>Solomon Islands</t>
        </is>
      </c>
    </row>
    <row r="191">
      <c r="O191" s="62" t="inlineStr">
        <is>
          <t>SLE</t>
        </is>
      </c>
      <c r="P191" s="62" t="inlineStr">
        <is>
          <t>Sierra Leone</t>
        </is>
      </c>
    </row>
    <row r="192">
      <c r="O192" s="62" t="inlineStr">
        <is>
          <t>SLV</t>
        </is>
      </c>
      <c r="P192" s="62" t="inlineStr">
        <is>
          <t>El Salvador</t>
        </is>
      </c>
    </row>
    <row r="193">
      <c r="O193" s="62" t="inlineStr">
        <is>
          <t>SMR</t>
        </is>
      </c>
      <c r="P193" s="62" t="inlineStr">
        <is>
          <t>San Marino</t>
        </is>
      </c>
    </row>
    <row r="194">
      <c r="O194" s="62" t="inlineStr">
        <is>
          <t>SOM</t>
        </is>
      </c>
      <c r="P194" s="62" t="inlineStr">
        <is>
          <t>Somalia</t>
        </is>
      </c>
    </row>
    <row r="195">
      <c r="O195" s="62" t="inlineStr">
        <is>
          <t>STP</t>
        </is>
      </c>
      <c r="P195" s="62" t="inlineStr">
        <is>
          <t>Sao Tome and Principe</t>
        </is>
      </c>
    </row>
    <row r="196">
      <c r="O196" s="62" t="inlineStr">
        <is>
          <t>SUR</t>
        </is>
      </c>
      <c r="P196" s="62" t="inlineStr">
        <is>
          <t>Suriname</t>
        </is>
      </c>
    </row>
    <row r="197">
      <c r="O197" s="62" t="inlineStr">
        <is>
          <t>SWE</t>
        </is>
      </c>
      <c r="P197" s="62" t="inlineStr">
        <is>
          <t>Sweden</t>
        </is>
      </c>
    </row>
    <row r="198">
      <c r="O198" s="62" t="inlineStr">
        <is>
          <t>SWZ</t>
        </is>
      </c>
      <c r="P198" s="62" t="inlineStr">
        <is>
          <t>Swaziland</t>
        </is>
      </c>
    </row>
    <row r="199">
      <c r="O199" s="62" t="inlineStr">
        <is>
          <t>SYC</t>
        </is>
      </c>
      <c r="P199" s="62" t="inlineStr">
        <is>
          <t>Seychelles</t>
        </is>
      </c>
    </row>
    <row r="200">
      <c r="O200" s="62" t="inlineStr">
        <is>
          <t>SYR</t>
        </is>
      </c>
      <c r="P200" s="62" t="inlineStr">
        <is>
          <t>Syria</t>
        </is>
      </c>
    </row>
    <row r="201">
      <c r="O201" s="62" t="inlineStr">
        <is>
          <t>TCA</t>
        </is>
      </c>
      <c r="P201" s="62" t="inlineStr">
        <is>
          <t>Turks and Caicos Islands</t>
        </is>
      </c>
    </row>
    <row r="202">
      <c r="O202" s="62" t="inlineStr">
        <is>
          <t>TCD</t>
        </is>
      </c>
      <c r="P202" s="62" t="inlineStr">
        <is>
          <t>Chad</t>
        </is>
      </c>
    </row>
    <row r="203">
      <c r="O203" s="62" t="inlineStr">
        <is>
          <t>TGO</t>
        </is>
      </c>
      <c r="P203" s="62" t="inlineStr">
        <is>
          <t>Togo</t>
        </is>
      </c>
    </row>
    <row r="204">
      <c r="O204" s="62" t="inlineStr">
        <is>
          <t>THA</t>
        </is>
      </c>
      <c r="P204" s="62" t="inlineStr">
        <is>
          <t>Thailand</t>
        </is>
      </c>
    </row>
    <row r="205">
      <c r="O205" s="62" t="inlineStr">
        <is>
          <t>TKL</t>
        </is>
      </c>
      <c r="P205" s="62" t="inlineStr">
        <is>
          <t>Tokelau</t>
        </is>
      </c>
    </row>
    <row r="206">
      <c r="O206" s="62" t="inlineStr">
        <is>
          <t>TLS</t>
        </is>
      </c>
      <c r="P206" s="62" t="inlineStr">
        <is>
          <t>Timor-Leste</t>
        </is>
      </c>
    </row>
    <row r="207">
      <c r="O207" s="62" t="inlineStr">
        <is>
          <t>TMP</t>
        </is>
      </c>
      <c r="P207" s="62" t="inlineStr">
        <is>
          <t>East Timor</t>
        </is>
      </c>
    </row>
    <row r="208">
      <c r="O208" s="62" t="inlineStr">
        <is>
          <t>TON</t>
        </is>
      </c>
      <c r="P208" s="62" t="inlineStr">
        <is>
          <t>Tonga</t>
        </is>
      </c>
    </row>
    <row r="209">
      <c r="O209" s="62" t="inlineStr">
        <is>
          <t>TTO</t>
        </is>
      </c>
      <c r="P209" s="62" t="inlineStr">
        <is>
          <t>Trinidad and Tobago</t>
        </is>
      </c>
    </row>
    <row r="210">
      <c r="O210" s="62" t="inlineStr">
        <is>
          <t>TUN</t>
        </is>
      </c>
      <c r="P210" s="62" t="inlineStr">
        <is>
          <t>Tunisia</t>
        </is>
      </c>
    </row>
    <row r="211">
      <c r="O211" s="62" t="inlineStr">
        <is>
          <t>TUR</t>
        </is>
      </c>
      <c r="P211" s="62" t="inlineStr">
        <is>
          <t>Turkey</t>
        </is>
      </c>
    </row>
    <row r="212">
      <c r="O212" s="62" t="inlineStr">
        <is>
          <t>TUV</t>
        </is>
      </c>
      <c r="P212" s="62" t="inlineStr">
        <is>
          <t>Tuvalu</t>
        </is>
      </c>
    </row>
    <row r="213">
      <c r="O213" s="62" t="inlineStr">
        <is>
          <t>TWN</t>
        </is>
      </c>
      <c r="P213" s="62" t="inlineStr">
        <is>
          <t>Chinese Taipei</t>
        </is>
      </c>
    </row>
    <row r="214">
      <c r="O214" s="62" t="inlineStr">
        <is>
          <t>TZA</t>
        </is>
      </c>
      <c r="P214" s="62" t="inlineStr">
        <is>
          <t>United Republic of Tanzania</t>
        </is>
      </c>
    </row>
    <row r="215">
      <c r="O215" s="62" t="inlineStr">
        <is>
          <t>UGA</t>
        </is>
      </c>
      <c r="P215" s="62" t="inlineStr">
        <is>
          <t>Unknown</t>
        </is>
      </c>
    </row>
    <row r="216">
      <c r="O216" s="62" t="inlineStr">
        <is>
          <t>UNK</t>
        </is>
      </c>
      <c r="P216" s="62" t="inlineStr">
        <is>
          <t>Unknown</t>
        </is>
      </c>
    </row>
    <row r="217">
      <c r="O217" s="62" t="inlineStr">
        <is>
          <t>URY</t>
        </is>
      </c>
      <c r="P217" s="62" t="inlineStr">
        <is>
          <t>Uruguay</t>
        </is>
      </c>
    </row>
    <row r="218">
      <c r="O218" s="62" t="inlineStr">
        <is>
          <t>USA</t>
        </is>
      </c>
      <c r="P218" s="62" t="inlineStr">
        <is>
          <t>United States</t>
        </is>
      </c>
    </row>
    <row r="219">
      <c r="O219" s="62" t="inlineStr">
        <is>
          <t>USSR</t>
        </is>
      </c>
      <c r="P219" s="62" t="inlineStr">
        <is>
          <t>Former USSR</t>
        </is>
      </c>
    </row>
    <row r="220">
      <c r="O220" s="62" t="inlineStr">
        <is>
          <t>USSR-ARM</t>
        </is>
      </c>
      <c r="P220" s="62" t="inlineStr">
        <is>
          <t>Armenia</t>
        </is>
      </c>
    </row>
    <row r="221">
      <c r="O221" s="62" t="inlineStr">
        <is>
          <t>USSR-AZE</t>
        </is>
      </c>
      <c r="P221" s="62" t="inlineStr">
        <is>
          <t>Azerbaidjan</t>
        </is>
      </c>
    </row>
    <row r="222">
      <c r="O222" s="62" t="inlineStr">
        <is>
          <t>USSR-BLR</t>
        </is>
      </c>
      <c r="P222" s="62" t="inlineStr">
        <is>
          <t>Belarus</t>
        </is>
      </c>
    </row>
    <row r="223">
      <c r="O223" s="62" t="inlineStr">
        <is>
          <t>USSR-EST</t>
        </is>
      </c>
      <c r="P223" s="62" t="inlineStr">
        <is>
          <t>Estonia</t>
        </is>
      </c>
    </row>
    <row r="224">
      <c r="O224" s="62" t="inlineStr">
        <is>
          <t>USSR-GEO</t>
        </is>
      </c>
      <c r="P224" s="62" t="inlineStr">
        <is>
          <t>Georgia</t>
        </is>
      </c>
    </row>
    <row r="225">
      <c r="O225" s="62" t="inlineStr">
        <is>
          <t>USSR-KAZ</t>
        </is>
      </c>
      <c r="P225" s="62" t="inlineStr">
        <is>
          <t>Kazakhstan</t>
        </is>
      </c>
    </row>
    <row r="226">
      <c r="O226" s="62" t="inlineStr">
        <is>
          <t>USSR-KGZ</t>
        </is>
      </c>
      <c r="P226" s="62" t="inlineStr">
        <is>
          <t>Kirghizistan</t>
        </is>
      </c>
    </row>
    <row r="227">
      <c r="O227" s="62" t="inlineStr">
        <is>
          <t>USSR-LTU</t>
        </is>
      </c>
      <c r="P227" s="62" t="inlineStr">
        <is>
          <t>Lithuania</t>
        </is>
      </c>
    </row>
    <row r="228">
      <c r="O228" s="62" t="inlineStr">
        <is>
          <t>USSR-LVA</t>
        </is>
      </c>
      <c r="P228" s="62" t="inlineStr">
        <is>
          <t>Latvia</t>
        </is>
      </c>
    </row>
    <row r="229">
      <c r="O229" s="62" t="inlineStr">
        <is>
          <t>USSR-MDA</t>
        </is>
      </c>
      <c r="P229" s="62" t="inlineStr">
        <is>
          <t>Moldova</t>
        </is>
      </c>
    </row>
    <row r="230">
      <c r="O230" s="62" t="inlineStr">
        <is>
          <t>USSR-RUS</t>
        </is>
      </c>
      <c r="P230" s="62" t="inlineStr">
        <is>
          <t>Russia</t>
        </is>
      </c>
    </row>
    <row r="231">
      <c r="O231" s="62" t="inlineStr">
        <is>
          <t>USSR-TJK</t>
        </is>
      </c>
      <c r="P231" s="62" t="inlineStr">
        <is>
          <t>Tadjikistan</t>
        </is>
      </c>
    </row>
    <row r="232">
      <c r="O232" s="62" t="inlineStr">
        <is>
          <t>USSR-TKM</t>
        </is>
      </c>
      <c r="P232" s="62" t="inlineStr">
        <is>
          <t>Turkménistan</t>
        </is>
      </c>
    </row>
    <row r="233">
      <c r="O233" s="62" t="inlineStr">
        <is>
          <t>USSR-UKR</t>
        </is>
      </c>
      <c r="P233" s="62" t="inlineStr">
        <is>
          <t>Ukraine</t>
        </is>
      </c>
    </row>
    <row r="234">
      <c r="O234" s="62" t="inlineStr">
        <is>
          <t>USSR-UZB</t>
        </is>
      </c>
      <c r="P234" s="62" t="inlineStr">
        <is>
          <t>Uzbekistan</t>
        </is>
      </c>
    </row>
    <row r="235">
      <c r="O235" s="62" t="inlineStr">
        <is>
          <t>VAT</t>
        </is>
      </c>
      <c r="P235" s="62" t="inlineStr">
        <is>
          <t>Holy See</t>
        </is>
      </c>
    </row>
    <row r="236">
      <c r="O236" s="62" t="inlineStr">
        <is>
          <t>VCT</t>
        </is>
      </c>
      <c r="P236" s="62" t="inlineStr">
        <is>
          <t>Saint Vincent and the Grenadines</t>
        </is>
      </c>
    </row>
    <row r="237">
      <c r="O237" s="62" t="inlineStr">
        <is>
          <t>VEN</t>
        </is>
      </c>
      <c r="P237" s="62" t="inlineStr">
        <is>
          <t>Venezuela</t>
        </is>
      </c>
    </row>
    <row r="238">
      <c r="O238" s="62" t="inlineStr">
        <is>
          <t>VGB</t>
        </is>
      </c>
      <c r="P238" s="62" t="inlineStr">
        <is>
          <t>British Virgin Islands</t>
        </is>
      </c>
    </row>
    <row r="239">
      <c r="O239" s="62" t="inlineStr">
        <is>
          <t>VIR</t>
        </is>
      </c>
      <c r="P239" s="62" t="inlineStr">
        <is>
          <t>United States Virgin Islands</t>
        </is>
      </c>
    </row>
    <row r="240">
      <c r="O240" s="62" t="inlineStr">
        <is>
          <t>VNM</t>
        </is>
      </c>
      <c r="P240" s="62" t="inlineStr">
        <is>
          <t>Vietnam</t>
        </is>
      </c>
    </row>
    <row r="241">
      <c r="O241" s="62" t="inlineStr">
        <is>
          <t>VUT</t>
        </is>
      </c>
      <c r="P241" s="62" t="inlineStr">
        <is>
          <t>Vanuatu</t>
        </is>
      </c>
    </row>
    <row r="242">
      <c r="O242" s="62" t="inlineStr">
        <is>
          <t>WSM</t>
        </is>
      </c>
      <c r="P242" s="62" t="inlineStr">
        <is>
          <t>Samoa</t>
        </is>
      </c>
    </row>
    <row r="243">
      <c r="O243" s="62" t="inlineStr">
        <is>
          <t>YEM</t>
        </is>
      </c>
      <c r="P243" s="62" t="inlineStr">
        <is>
          <t>Yemen</t>
        </is>
      </c>
    </row>
    <row r="244">
      <c r="O244" s="62" t="inlineStr">
        <is>
          <t>ZAF</t>
        </is>
      </c>
      <c r="P244" s="62" t="inlineStr">
        <is>
          <t>South Africa</t>
        </is>
      </c>
    </row>
    <row r="245">
      <c r="O245" s="62" t="inlineStr">
        <is>
          <t>ZMB</t>
        </is>
      </c>
      <c r="P245" s="62" t="inlineStr">
        <is>
          <t>Zambia</t>
        </is>
      </c>
    </row>
    <row r="246">
      <c r="O246" s="62" t="inlineStr">
        <is>
          <t>ZWE</t>
        </is>
      </c>
      <c r="P246" s="62" t="inlineStr">
        <is>
          <t>Zimbabwe</t>
        </is>
      </c>
    </row>
  </sheetData>
  <autoFilter ref="O12:P12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topLeftCell="A92" zoomScale="120" zoomScaleNormal="120" workbookViewId="0">
      <selection activeCell="P27" sqref="P27"/>
    </sheetView>
  </sheetViews>
  <sheetFormatPr baseColWidth="8" defaultColWidth="9.1796875" defaultRowHeight="14.5"/>
  <cols>
    <col width="15.36328125" customWidth="1" style="86" min="1" max="2"/>
    <col width="9.1796875" customWidth="1" style="86" min="3" max="61"/>
    <col width="9.1796875" customWidth="1" style="86" min="62" max="16384"/>
  </cols>
  <sheetData>
    <row r="1" ht="20" customHeight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0.5</v>
      </c>
      <c r="C2" t="inlineStr">
        <is>
          <t>Dec-22</t>
        </is>
      </c>
      <c r="D2" t="n">
        <v>6.78</v>
      </c>
      <c r="E2" t="inlineStr">
        <is>
          <t>%</t>
        </is>
      </c>
    </row>
    <row r="3">
      <c r="A3" t="inlineStr">
        <is>
          <t>Algeria</t>
        </is>
      </c>
      <c r="B3" t="n">
        <v>5.7</v>
      </c>
      <c r="C3" t="inlineStr">
        <is>
          <t>Sep-22</t>
        </is>
      </c>
      <c r="D3" t="n">
        <v>0.1</v>
      </c>
      <c r="E3" t="inlineStr">
        <is>
          <t>%</t>
        </is>
      </c>
    </row>
    <row r="4">
      <c r="A4" t="inlineStr">
        <is>
          <t>Angola</t>
        </is>
      </c>
      <c r="B4" t="n">
        <v>3.8</v>
      </c>
      <c r="C4" t="inlineStr">
        <is>
          <t>Sep-22</t>
        </is>
      </c>
      <c r="D4" t="n">
        <v>6.06</v>
      </c>
      <c r="E4" t="inlineStr">
        <is>
          <t>%</t>
        </is>
      </c>
    </row>
    <row r="5">
      <c r="A5" t="inlineStr">
        <is>
          <t>Argentina</t>
        </is>
      </c>
      <c r="B5" t="n">
        <v>6.3</v>
      </c>
      <c r="C5" t="inlineStr">
        <is>
          <t>Jan-23</t>
        </is>
      </c>
      <c r="D5" t="n">
        <v>-2.7</v>
      </c>
      <c r="E5" t="inlineStr">
        <is>
          <t>%</t>
        </is>
      </c>
    </row>
    <row r="6">
      <c r="A6" t="inlineStr">
        <is>
          <t>Armenia</t>
        </is>
      </c>
      <c r="B6" t="n">
        <v>1.4</v>
      </c>
      <c r="C6" t="inlineStr">
        <is>
          <t>Jan-23</t>
        </is>
      </c>
      <c r="D6" t="n">
        <v>2.7</v>
      </c>
      <c r="E6" t="inlineStr">
        <is>
          <t>%</t>
        </is>
      </c>
    </row>
    <row r="7">
      <c r="A7" t="inlineStr">
        <is>
          <t>Australia</t>
        </is>
      </c>
      <c r="B7" t="n">
        <v>1.9</v>
      </c>
      <c r="C7" t="inlineStr">
        <is>
          <t>Dec-22</t>
        </is>
      </c>
      <c r="D7" t="n">
        <v>1</v>
      </c>
      <c r="E7" t="inlineStr">
        <is>
          <t>%</t>
        </is>
      </c>
    </row>
    <row r="8">
      <c r="A8" t="inlineStr">
        <is>
          <t>Austria</t>
        </is>
      </c>
      <c r="B8" t="n">
        <v>-0.7</v>
      </c>
      <c r="C8" t="inlineStr">
        <is>
          <t>Jan-23</t>
        </is>
      </c>
      <c r="D8" t="n">
        <v>0.5</v>
      </c>
      <c r="E8" t="inlineStr">
        <is>
          <t>%</t>
        </is>
      </c>
    </row>
    <row r="9">
      <c r="A9" t="inlineStr">
        <is>
          <t>Azerbaijan</t>
        </is>
      </c>
      <c r="B9" t="n">
        <v>-2.8</v>
      </c>
      <c r="C9" t="inlineStr">
        <is>
          <t>Jan-23</t>
        </is>
      </c>
      <c r="D9" t="n">
        <v>-1.1</v>
      </c>
      <c r="E9" t="inlineStr">
        <is>
          <t>%</t>
        </is>
      </c>
    </row>
    <row r="10">
      <c r="A10" t="inlineStr">
        <is>
          <t>Belarus</t>
        </is>
      </c>
      <c r="B10" t="n">
        <v>-1.8</v>
      </c>
      <c r="C10" t="inlineStr">
        <is>
          <t>Feb-23</t>
        </is>
      </c>
      <c r="D10" t="n">
        <v>-4.1</v>
      </c>
      <c r="E10" t="inlineStr">
        <is>
          <t>%</t>
        </is>
      </c>
    </row>
    <row r="11">
      <c r="A11" t="inlineStr">
        <is>
          <t>Belgium</t>
        </is>
      </c>
      <c r="B11" t="n">
        <v>-7.3</v>
      </c>
      <c r="C11" t="inlineStr">
        <is>
          <t>Jan-23</t>
        </is>
      </c>
      <c r="D11" t="n">
        <v>-1.7</v>
      </c>
      <c r="E11" t="inlineStr">
        <is>
          <t>%</t>
        </is>
      </c>
    </row>
    <row r="12">
      <c r="A12" t="inlineStr">
        <is>
          <t>Benin</t>
        </is>
      </c>
      <c r="B12" t="n">
        <v>13.4</v>
      </c>
      <c r="C12" t="inlineStr">
        <is>
          <t>Dec-22</t>
        </is>
      </c>
      <c r="D12" t="n">
        <v>2.2</v>
      </c>
      <c r="E12" t="inlineStr">
        <is>
          <t>%</t>
        </is>
      </c>
    </row>
    <row r="13">
      <c r="A13" t="inlineStr">
        <is>
          <t>Bosnia and Herzegovina</t>
        </is>
      </c>
      <c r="B13" t="n">
        <v>-0.3</v>
      </c>
      <c r="C13" t="inlineStr">
        <is>
          <t>Jan-23</t>
        </is>
      </c>
      <c r="D13" t="n">
        <v>-3.3</v>
      </c>
      <c r="E13" t="inlineStr">
        <is>
          <t>%</t>
        </is>
      </c>
    </row>
    <row r="14">
      <c r="A14" t="inlineStr">
        <is>
          <t>Botswana</t>
        </is>
      </c>
      <c r="B14" t="n">
        <v>4.9</v>
      </c>
      <c r="C14" t="inlineStr">
        <is>
          <t>Sep-22</t>
        </is>
      </c>
      <c r="D14" t="n">
        <v>1.9</v>
      </c>
      <c r="E14" t="inlineStr">
        <is>
          <t>%</t>
        </is>
      </c>
    </row>
    <row r="15">
      <c r="A15" t="inlineStr">
        <is>
          <t>Brazil</t>
        </is>
      </c>
      <c r="B15" t="n">
        <v>-1.3</v>
      </c>
      <c r="C15" t="inlineStr">
        <is>
          <t>Dec-22</t>
        </is>
      </c>
      <c r="D15" t="n">
        <v>0.9</v>
      </c>
      <c r="E15" t="inlineStr">
        <is>
          <t>%</t>
        </is>
      </c>
    </row>
    <row r="16">
      <c r="A16" t="inlineStr">
        <is>
          <t>Bulgaria</t>
        </is>
      </c>
      <c r="B16" t="n">
        <v>-4.3</v>
      </c>
      <c r="C16" t="inlineStr">
        <is>
          <t>Jan-23</t>
        </is>
      </c>
      <c r="D16" t="n">
        <v>2.1</v>
      </c>
      <c r="E16" t="inlineStr">
        <is>
          <t>%</t>
        </is>
      </c>
    </row>
    <row r="17">
      <c r="A17" t="inlineStr">
        <is>
          <t>Burkina Faso</t>
        </is>
      </c>
      <c r="B17" t="n">
        <v>2.6</v>
      </c>
      <c r="C17" t="inlineStr">
        <is>
          <t>Dec-22</t>
        </is>
      </c>
      <c r="D17" t="n">
        <v>-2.5</v>
      </c>
      <c r="E17" t="inlineStr">
        <is>
          <t>%</t>
        </is>
      </c>
    </row>
    <row r="18">
      <c r="A18" t="inlineStr">
        <is>
          <t>Burundi</t>
        </is>
      </c>
      <c r="B18" t="n">
        <v>9.300000000000001</v>
      </c>
      <c r="C18" t="inlineStr">
        <is>
          <t>Dec-22</t>
        </is>
      </c>
      <c r="D18" t="n">
        <v>29.5</v>
      </c>
      <c r="E18" t="inlineStr">
        <is>
          <t>%</t>
        </is>
      </c>
    </row>
    <row r="19">
      <c r="A19" t="inlineStr">
        <is>
          <t>Cameroon</t>
        </is>
      </c>
      <c r="B19" t="n">
        <v>13.6</v>
      </c>
      <c r="C19" t="inlineStr">
        <is>
          <t>Sep-22</t>
        </is>
      </c>
      <c r="D19" t="n">
        <v>16.3</v>
      </c>
      <c r="E19" t="inlineStr">
        <is>
          <t>%</t>
        </is>
      </c>
    </row>
    <row r="20">
      <c r="A20" t="inlineStr">
        <is>
          <t>Canada</t>
        </is>
      </c>
      <c r="B20" t="n">
        <v>-0.3</v>
      </c>
      <c r="C20" t="inlineStr">
        <is>
          <t>Dec-22</t>
        </is>
      </c>
      <c r="D20" t="n">
        <v>2.59</v>
      </c>
      <c r="E20" t="inlineStr">
        <is>
          <t>%</t>
        </is>
      </c>
    </row>
    <row r="21">
      <c r="A21" t="inlineStr">
        <is>
          <t>Chad</t>
        </is>
      </c>
      <c r="B21" t="n">
        <v>43</v>
      </c>
      <c r="C21" t="inlineStr">
        <is>
          <t>Sep-22</t>
        </is>
      </c>
      <c r="D21" t="n">
        <v>18.6</v>
      </c>
      <c r="E21" t="inlineStr">
        <is>
          <t>%</t>
        </is>
      </c>
    </row>
    <row r="22">
      <c r="A22" t="inlineStr">
        <is>
          <t>Chile</t>
        </is>
      </c>
      <c r="B22" t="n">
        <v>0.5</v>
      </c>
      <c r="C22" t="inlineStr">
        <is>
          <t>Jan-23</t>
        </is>
      </c>
      <c r="D22" t="n">
        <v>-1.2</v>
      </c>
      <c r="E22" t="inlineStr">
        <is>
          <t>%</t>
        </is>
      </c>
    </row>
    <row r="23">
      <c r="A23" t="inlineStr">
        <is>
          <t>China</t>
        </is>
      </c>
      <c r="B23" t="n">
        <v>2.4</v>
      </c>
      <c r="C23" t="inlineStr">
        <is>
          <t>Feb-23</t>
        </is>
      </c>
      <c r="D23" t="n">
        <v>1.3</v>
      </c>
      <c r="E23" t="inlineStr">
        <is>
          <t>%</t>
        </is>
      </c>
    </row>
    <row r="24">
      <c r="A24" t="inlineStr">
        <is>
          <t>Colombia</t>
        </is>
      </c>
      <c r="B24" t="n">
        <v>0.2</v>
      </c>
      <c r="C24" t="inlineStr">
        <is>
          <t>Jan-23</t>
        </is>
      </c>
      <c r="D24" t="n">
        <v>0.5</v>
      </c>
      <c r="E24" t="inlineStr">
        <is>
          <t>%</t>
        </is>
      </c>
    </row>
    <row r="25">
      <c r="A25" t="inlineStr">
        <is>
          <t>Congo</t>
        </is>
      </c>
      <c r="B25" t="n">
        <v>-1.3</v>
      </c>
      <c r="C25" t="inlineStr">
        <is>
          <t>Dec-20</t>
        </is>
      </c>
      <c r="D25" t="n">
        <v>6.8</v>
      </c>
      <c r="E25" t="inlineStr">
        <is>
          <t>%</t>
        </is>
      </c>
    </row>
    <row r="26">
      <c r="A26" t="inlineStr">
        <is>
          <t>Costa Rica</t>
        </is>
      </c>
      <c r="B26" t="n">
        <v>4</v>
      </c>
      <c r="C26" t="inlineStr">
        <is>
          <t>Jan-23</t>
        </is>
      </c>
      <c r="D26" t="n">
        <v>4</v>
      </c>
      <c r="E26" t="inlineStr">
        <is>
          <t>%</t>
        </is>
      </c>
    </row>
    <row r="27">
      <c r="A27" t="inlineStr">
        <is>
          <t>Croatia</t>
        </is>
      </c>
      <c r="B27" t="n">
        <v>-2.8</v>
      </c>
      <c r="C27" t="inlineStr">
        <is>
          <t>Jan-23</t>
        </is>
      </c>
      <c r="D27" t="n">
        <v>-2.4</v>
      </c>
      <c r="E27" t="inlineStr">
        <is>
          <t>%</t>
        </is>
      </c>
    </row>
    <row r="28">
      <c r="A28" t="inlineStr">
        <is>
          <t>Cuba</t>
        </is>
      </c>
      <c r="B28" t="n">
        <v>1.9</v>
      </c>
      <c r="C28" t="inlineStr">
        <is>
          <t>Dec-21</t>
        </is>
      </c>
      <c r="D28" t="n">
        <v>-12.7</v>
      </c>
      <c r="E28" t="inlineStr">
        <is>
          <t>%</t>
        </is>
      </c>
    </row>
    <row r="29">
      <c r="A29" t="inlineStr">
        <is>
          <t>Cyprus</t>
        </is>
      </c>
      <c r="B29" t="n">
        <v>-1.71</v>
      </c>
      <c r="C29" t="inlineStr">
        <is>
          <t>Dec-22</t>
        </is>
      </c>
      <c r="D29" t="n">
        <v>1.39</v>
      </c>
      <c r="E29" t="inlineStr">
        <is>
          <t>%</t>
        </is>
      </c>
    </row>
    <row r="30">
      <c r="A30" t="inlineStr">
        <is>
          <t>Czech Republic</t>
        </is>
      </c>
      <c r="B30" t="n">
        <v>-1.4</v>
      </c>
      <c r="C30" t="inlineStr">
        <is>
          <t>Jan-23</t>
        </is>
      </c>
      <c r="D30" t="n">
        <v>5</v>
      </c>
      <c r="E30" t="inlineStr">
        <is>
          <t>%</t>
        </is>
      </c>
    </row>
    <row r="31">
      <c r="A31" t="inlineStr">
        <is>
          <t>Denmark</t>
        </is>
      </c>
      <c r="B31" t="n">
        <v>18.9</v>
      </c>
      <c r="C31" t="inlineStr">
        <is>
          <t>Jan-23</t>
        </is>
      </c>
      <c r="D31" t="n">
        <v>25.3</v>
      </c>
      <c r="E31" t="inlineStr">
        <is>
          <t>%</t>
        </is>
      </c>
    </row>
    <row r="32">
      <c r="A32" t="inlineStr">
        <is>
          <t>El Salvador</t>
        </is>
      </c>
      <c r="B32" t="n">
        <v>-0.24</v>
      </c>
      <c r="C32" t="inlineStr">
        <is>
          <t>Mar-22</t>
        </is>
      </c>
      <c r="D32" t="n">
        <v>2.12</v>
      </c>
      <c r="E32" t="inlineStr">
        <is>
          <t>%</t>
        </is>
      </c>
    </row>
    <row r="33">
      <c r="A33" t="inlineStr">
        <is>
          <t>Estonia</t>
        </is>
      </c>
      <c r="B33" t="n">
        <v>-7.3</v>
      </c>
      <c r="C33" t="inlineStr">
        <is>
          <t>Jan-23</t>
        </is>
      </c>
      <c r="D33" t="n">
        <v>-12</v>
      </c>
      <c r="E33" t="inlineStr">
        <is>
          <t>%</t>
        </is>
      </c>
    </row>
    <row r="34">
      <c r="A34" t="inlineStr">
        <is>
          <t>Euro Area</t>
        </is>
      </c>
      <c r="B34" t="n">
        <v>0.9</v>
      </c>
      <c r="C34" t="inlineStr">
        <is>
          <t>Jan-23</t>
        </is>
      </c>
      <c r="D34" t="n">
        <v>-2.1</v>
      </c>
      <c r="E34" t="inlineStr">
        <is>
          <t>%</t>
        </is>
      </c>
    </row>
    <row r="35">
      <c r="A35" t="inlineStr">
        <is>
          <t>European Union</t>
        </is>
      </c>
      <c r="B35" t="n">
        <v>-0.4</v>
      </c>
      <c r="C35" t="inlineStr">
        <is>
          <t>Dec-22</t>
        </is>
      </c>
      <c r="D35" t="n">
        <v>2.7</v>
      </c>
      <c r="E35" t="inlineStr">
        <is>
          <t>%</t>
        </is>
      </c>
    </row>
    <row r="36">
      <c r="A36" t="inlineStr">
        <is>
          <t>Fiji</t>
        </is>
      </c>
      <c r="B36" t="n">
        <v>7.1</v>
      </c>
      <c r="C36" t="inlineStr">
        <is>
          <t>Sep-22</t>
        </is>
      </c>
      <c r="D36" t="n">
        <v>8.6</v>
      </c>
      <c r="E36" t="inlineStr">
        <is>
          <t>%</t>
        </is>
      </c>
    </row>
    <row r="37">
      <c r="A37" t="inlineStr">
        <is>
          <t>Finland</t>
        </is>
      </c>
      <c r="B37" t="n">
        <v>4.3</v>
      </c>
      <c r="C37" t="inlineStr">
        <is>
          <t>Jan-23</t>
        </is>
      </c>
      <c r="D37" t="n">
        <v>0.7</v>
      </c>
      <c r="E37" t="inlineStr">
        <is>
          <t>%</t>
        </is>
      </c>
    </row>
    <row r="38">
      <c r="A38" t="inlineStr">
        <is>
          <t>France</t>
        </is>
      </c>
      <c r="B38" t="n">
        <v>-2.18</v>
      </c>
      <c r="C38" t="inlineStr">
        <is>
          <t>Jan-23</t>
        </is>
      </c>
      <c r="D38" t="n">
        <v>1.8</v>
      </c>
      <c r="E38" t="inlineStr">
        <is>
          <t>%</t>
        </is>
      </c>
    </row>
    <row r="39">
      <c r="A39" t="inlineStr">
        <is>
          <t>Georgia</t>
        </is>
      </c>
      <c r="B39" t="n">
        <v>1.7</v>
      </c>
      <c r="C39" t="inlineStr">
        <is>
          <t>Dec-22</t>
        </is>
      </c>
      <c r="D39" t="n">
        <v>17.6</v>
      </c>
      <c r="E39" t="inlineStr">
        <is>
          <t>%</t>
        </is>
      </c>
    </row>
    <row r="40">
      <c r="A40" t="inlineStr">
        <is>
          <t>Germany</t>
        </is>
      </c>
      <c r="B40" t="n">
        <v>-1.55</v>
      </c>
      <c r="C40" t="inlineStr">
        <is>
          <t>Jan-23</t>
        </is>
      </c>
      <c r="D40" t="n">
        <v>-3.32</v>
      </c>
      <c r="E40" t="inlineStr">
        <is>
          <t>%</t>
        </is>
      </c>
    </row>
    <row r="41">
      <c r="A41" t="inlineStr">
        <is>
          <t>Greece</t>
        </is>
      </c>
      <c r="B41" t="n">
        <v>0.5</v>
      </c>
      <c r="C41" t="inlineStr">
        <is>
          <t>Jan-23</t>
        </is>
      </c>
      <c r="D41" t="n">
        <v>-1.4</v>
      </c>
      <c r="E41" t="inlineStr">
        <is>
          <t>%</t>
        </is>
      </c>
    </row>
    <row r="42">
      <c r="A42" t="inlineStr">
        <is>
          <t>Guinea Bissau</t>
        </is>
      </c>
      <c r="B42" t="n">
        <v>6.9</v>
      </c>
      <c r="C42" t="inlineStr">
        <is>
          <t>Dec-22</t>
        </is>
      </c>
      <c r="D42" t="n">
        <v>5.2</v>
      </c>
      <c r="E42" t="inlineStr">
        <is>
          <t>%</t>
        </is>
      </c>
    </row>
    <row r="43">
      <c r="A43" t="inlineStr">
        <is>
          <t>Hong Kong</t>
        </is>
      </c>
      <c r="B43" t="n">
        <v>-0.1</v>
      </c>
      <c r="C43" t="inlineStr">
        <is>
          <t>Dec-22</t>
        </is>
      </c>
      <c r="D43" t="n">
        <v>-0.5</v>
      </c>
      <c r="E43" t="inlineStr">
        <is>
          <t>%</t>
        </is>
      </c>
    </row>
    <row r="44">
      <c r="A44" t="inlineStr">
        <is>
          <t>Hungary</t>
        </is>
      </c>
      <c r="B44" t="n">
        <v>-0.2</v>
      </c>
      <c r="C44" t="inlineStr">
        <is>
          <t>Jan-23</t>
        </is>
      </c>
      <c r="D44" t="n">
        <v>2</v>
      </c>
      <c r="E44" t="inlineStr">
        <is>
          <t>%</t>
        </is>
      </c>
    </row>
    <row r="45">
      <c r="A45" t="inlineStr">
        <is>
          <t>India</t>
        </is>
      </c>
      <c r="B45" t="n">
        <v>5.2</v>
      </c>
      <c r="C45" t="inlineStr">
        <is>
          <t>Jan-23</t>
        </is>
      </c>
      <c r="D45" t="n">
        <v>4.7</v>
      </c>
      <c r="E45" t="inlineStr">
        <is>
          <t>%</t>
        </is>
      </c>
    </row>
    <row r="46">
      <c r="A46" t="inlineStr">
        <is>
          <t>Indonesia</t>
        </is>
      </c>
      <c r="B46" t="n">
        <v>1.6</v>
      </c>
      <c r="C46" t="inlineStr">
        <is>
          <t>Dec-22</t>
        </is>
      </c>
      <c r="D46" t="n">
        <v>3.16</v>
      </c>
      <c r="E46" t="inlineStr">
        <is>
          <t>%</t>
        </is>
      </c>
    </row>
    <row r="47">
      <c r="A47" t="inlineStr">
        <is>
          <t>Iran</t>
        </is>
      </c>
      <c r="B47" t="n">
        <v>6.4</v>
      </c>
      <c r="C47" t="inlineStr">
        <is>
          <t>Dec-21</t>
        </is>
      </c>
      <c r="D47" t="n">
        <v>-1.4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-6.8</v>
      </c>
      <c r="C49" t="inlineStr">
        <is>
          <t>Dec-22</t>
        </is>
      </c>
      <c r="D49" t="n">
        <v>42.8</v>
      </c>
      <c r="E49" t="inlineStr">
        <is>
          <t>%</t>
        </is>
      </c>
    </row>
    <row r="50">
      <c r="A50" t="inlineStr">
        <is>
          <t>Israel</t>
        </is>
      </c>
      <c r="B50" t="n">
        <v>4.62</v>
      </c>
      <c r="C50" t="inlineStr">
        <is>
          <t>Jan-23</t>
        </is>
      </c>
      <c r="D50" t="n">
        <v>8.84</v>
      </c>
      <c r="E50" t="inlineStr">
        <is>
          <t>%</t>
        </is>
      </c>
    </row>
    <row r="51">
      <c r="A51" t="inlineStr">
        <is>
          <t>Italy</t>
        </is>
      </c>
      <c r="B51" t="n">
        <v>1.4</v>
      </c>
      <c r="C51" t="inlineStr">
        <is>
          <t>Jan-23</t>
        </is>
      </c>
      <c r="D51" t="n">
        <v>-0.9</v>
      </c>
      <c r="E51" t="inlineStr">
        <is>
          <t>%</t>
        </is>
      </c>
    </row>
    <row r="52">
      <c r="A52" t="inlineStr">
        <is>
          <t>Ivory Coast</t>
        </is>
      </c>
      <c r="B52" t="n">
        <v>6.3</v>
      </c>
      <c r="C52" t="inlineStr">
        <is>
          <t>Dec-22</t>
        </is>
      </c>
      <c r="D52" t="n">
        <v>-2.4</v>
      </c>
      <c r="E52" t="inlineStr">
        <is>
          <t>%</t>
        </is>
      </c>
    </row>
    <row r="53">
      <c r="A53" t="inlineStr">
        <is>
          <t>Japan</t>
        </is>
      </c>
      <c r="B53" t="n">
        <v>-3.1</v>
      </c>
      <c r="C53" t="inlineStr">
        <is>
          <t>Jan-23</t>
        </is>
      </c>
      <c r="D53" t="n">
        <v>-2.4</v>
      </c>
      <c r="E53" t="inlineStr">
        <is>
          <t>%</t>
        </is>
      </c>
    </row>
    <row r="54">
      <c r="A54" t="inlineStr">
        <is>
          <t>Jordan</t>
        </is>
      </c>
      <c r="B54" t="n">
        <v>1.83</v>
      </c>
      <c r="C54" t="inlineStr">
        <is>
          <t>Jan-23</t>
        </is>
      </c>
      <c r="D54" t="n">
        <v>-4.34</v>
      </c>
      <c r="E54" t="inlineStr">
        <is>
          <t>%</t>
        </is>
      </c>
    </row>
    <row r="55">
      <c r="A55" t="inlineStr">
        <is>
          <t>Kazakhstan</t>
        </is>
      </c>
      <c r="B55" t="n">
        <v>1.7</v>
      </c>
      <c r="C55" t="inlineStr">
        <is>
          <t>Feb-23</t>
        </is>
      </c>
      <c r="D55" t="n">
        <v>1.4</v>
      </c>
      <c r="E55" t="inlineStr">
        <is>
          <t>%</t>
        </is>
      </c>
    </row>
    <row r="56">
      <c r="A56" t="inlineStr">
        <is>
          <t>Kosovo</t>
        </is>
      </c>
      <c r="B56" t="n">
        <v>0.18</v>
      </c>
      <c r="C56" t="inlineStr">
        <is>
          <t>Dec-22</t>
        </is>
      </c>
      <c r="D56" t="n">
        <v>0.08</v>
      </c>
      <c r="E56" t="inlineStr">
        <is>
          <t>%</t>
        </is>
      </c>
    </row>
    <row r="57">
      <c r="A57" t="inlineStr">
        <is>
          <t>Kyrgyzstan</t>
        </is>
      </c>
      <c r="B57" t="n">
        <v>17.9</v>
      </c>
      <c r="C57" t="inlineStr">
        <is>
          <t>Feb-23</t>
        </is>
      </c>
      <c r="D57" t="n">
        <v>7.5</v>
      </c>
      <c r="E57" t="inlineStr">
        <is>
          <t>%</t>
        </is>
      </c>
    </row>
    <row r="58">
      <c r="A58" t="inlineStr">
        <is>
          <t>Latvia</t>
        </is>
      </c>
      <c r="B58" t="n">
        <v>-9.800000000000001</v>
      </c>
      <c r="C58" t="inlineStr">
        <is>
          <t>Jan-23</t>
        </is>
      </c>
      <c r="D58" t="n">
        <v>-4.4</v>
      </c>
      <c r="E58" t="inlineStr">
        <is>
          <t>%</t>
        </is>
      </c>
    </row>
    <row r="59">
      <c r="A59" t="inlineStr">
        <is>
          <t>Lithuania</t>
        </is>
      </c>
      <c r="B59" t="n">
        <v>-7</v>
      </c>
      <c r="C59" t="inlineStr">
        <is>
          <t>Feb-23</t>
        </is>
      </c>
      <c r="D59" t="n">
        <v>-7.3</v>
      </c>
      <c r="E59" t="inlineStr">
        <is>
          <t>%</t>
        </is>
      </c>
    </row>
    <row r="60">
      <c r="A60" t="inlineStr">
        <is>
          <t>Luxembourg</t>
        </is>
      </c>
      <c r="B60" t="n">
        <v>-5.9</v>
      </c>
      <c r="C60" t="inlineStr">
        <is>
          <t>Dec-22</t>
        </is>
      </c>
      <c r="D60" t="n">
        <v>-1.4</v>
      </c>
      <c r="E60" t="inlineStr">
        <is>
          <t>%</t>
        </is>
      </c>
    </row>
    <row r="61">
      <c r="A61" t="inlineStr">
        <is>
          <t>Macau</t>
        </is>
      </c>
      <c r="B61" t="n">
        <v>-5.2</v>
      </c>
      <c r="C61" t="inlineStr">
        <is>
          <t>Sep-22</t>
        </is>
      </c>
      <c r="D61" t="n">
        <v>50.1</v>
      </c>
      <c r="E61" t="inlineStr">
        <is>
          <t>%</t>
        </is>
      </c>
    </row>
    <row r="62">
      <c r="A62" t="inlineStr">
        <is>
          <t>Macedonia</t>
        </is>
      </c>
      <c r="B62" t="n">
        <v>-2.3</v>
      </c>
      <c r="C62" t="inlineStr">
        <is>
          <t>Jan-23</t>
        </is>
      </c>
      <c r="D62" t="n">
        <v>-1.3</v>
      </c>
      <c r="E62" t="inlineStr">
        <is>
          <t>%</t>
        </is>
      </c>
    </row>
    <row r="63">
      <c r="A63" t="inlineStr">
        <is>
          <t>Malaysia</t>
        </is>
      </c>
      <c r="B63" t="n">
        <v>1.8</v>
      </c>
      <c r="C63" t="inlineStr">
        <is>
          <t>Jan-23</t>
        </is>
      </c>
      <c r="D63" t="n">
        <v>3</v>
      </c>
      <c r="E63" t="inlineStr">
        <is>
          <t>%</t>
        </is>
      </c>
    </row>
    <row r="64">
      <c r="A64" t="inlineStr">
        <is>
          <t>Mali</t>
        </is>
      </c>
      <c r="B64" t="n">
        <v>0</v>
      </c>
      <c r="C64" t="inlineStr">
        <is>
          <t>Dec-22</t>
        </is>
      </c>
      <c r="D64" t="n">
        <v>1.7</v>
      </c>
      <c r="E64" t="inlineStr">
        <is>
          <t>%</t>
        </is>
      </c>
    </row>
    <row r="65">
      <c r="A65" t="inlineStr">
        <is>
          <t>Malta</t>
        </is>
      </c>
      <c r="B65" t="n">
        <v>12.4</v>
      </c>
      <c r="C65" t="inlineStr">
        <is>
          <t>Jan-23</t>
        </is>
      </c>
      <c r="D65" t="n">
        <v>14.9</v>
      </c>
      <c r="E65" t="inlineStr">
        <is>
          <t>%</t>
        </is>
      </c>
    </row>
    <row r="66">
      <c r="A66" t="inlineStr">
        <is>
          <t>Mauritania</t>
        </is>
      </c>
      <c r="B66" t="n">
        <v>15.2</v>
      </c>
      <c r="C66" t="inlineStr">
        <is>
          <t>Dec-22</t>
        </is>
      </c>
      <c r="D66" t="n">
        <v>22.6</v>
      </c>
      <c r="E66" t="inlineStr">
        <is>
          <t>%</t>
        </is>
      </c>
    </row>
    <row r="67">
      <c r="A67" t="inlineStr">
        <is>
          <t>Mauritius</t>
        </is>
      </c>
      <c r="B67" t="n">
        <v>11.7</v>
      </c>
      <c r="C67" t="inlineStr">
        <is>
          <t>Dec-22</t>
        </is>
      </c>
      <c r="D67" t="n">
        <v>7.1</v>
      </c>
      <c r="E67" t="inlineStr">
        <is>
          <t>%</t>
        </is>
      </c>
    </row>
    <row r="68">
      <c r="A68" t="inlineStr">
        <is>
          <t>Mexico</t>
        </is>
      </c>
      <c r="B68" t="n">
        <v>2.8</v>
      </c>
      <c r="C68" t="inlineStr">
        <is>
          <t>Jan-23</t>
        </is>
      </c>
      <c r="D68" t="n">
        <v>3</v>
      </c>
      <c r="E68" t="inlineStr">
        <is>
          <t>%</t>
        </is>
      </c>
    </row>
    <row r="69">
      <c r="A69" t="inlineStr">
        <is>
          <t>Moldova</t>
        </is>
      </c>
      <c r="B69" t="n">
        <v>-7.5</v>
      </c>
      <c r="C69" t="inlineStr">
        <is>
          <t>Jan-23</t>
        </is>
      </c>
      <c r="D69" t="n">
        <v>-13.9</v>
      </c>
      <c r="E69" t="inlineStr">
        <is>
          <t>%</t>
        </is>
      </c>
    </row>
    <row r="70">
      <c r="A70" t="inlineStr">
        <is>
          <t>Mongolia</t>
        </is>
      </c>
      <c r="B70" t="n">
        <v>29.7</v>
      </c>
      <c r="C70" t="inlineStr">
        <is>
          <t>Jan-23</t>
        </is>
      </c>
      <c r="D70" t="n">
        <v>7.5</v>
      </c>
      <c r="E70" t="inlineStr">
        <is>
          <t>%</t>
        </is>
      </c>
    </row>
    <row r="71">
      <c r="A71" t="inlineStr">
        <is>
          <t>Montenegro</t>
        </is>
      </c>
      <c r="B71" t="n">
        <v>-1.6</v>
      </c>
      <c r="C71" t="inlineStr">
        <is>
          <t>Jan-23</t>
        </is>
      </c>
      <c r="D71" t="n">
        <v>4.1</v>
      </c>
      <c r="E71" t="inlineStr">
        <is>
          <t>%</t>
        </is>
      </c>
    </row>
    <row r="72">
      <c r="A72" t="inlineStr">
        <is>
          <t>Morocco</t>
        </is>
      </c>
      <c r="B72" t="n">
        <v>0.8</v>
      </c>
      <c r="C72" t="inlineStr">
        <is>
          <t>Dec-22</t>
        </is>
      </c>
      <c r="D72" t="n">
        <v>3.1</v>
      </c>
      <c r="E72" t="inlineStr">
        <is>
          <t>%</t>
        </is>
      </c>
    </row>
    <row r="73">
      <c r="A73" t="inlineStr">
        <is>
          <t>Mozambique</t>
        </is>
      </c>
      <c r="B73" t="n">
        <v>9.300000000000001</v>
      </c>
      <c r="C73" t="inlineStr">
        <is>
          <t>Dec-22</t>
        </is>
      </c>
      <c r="D73" t="n">
        <v>10.2</v>
      </c>
      <c r="E73" t="inlineStr">
        <is>
          <t>%</t>
        </is>
      </c>
    </row>
    <row r="74">
      <c r="A74" t="inlineStr">
        <is>
          <t>Netherlands</t>
        </is>
      </c>
      <c r="B74" t="n">
        <v>-3.1</v>
      </c>
      <c r="C74" t="inlineStr">
        <is>
          <t>Jan-23</t>
        </is>
      </c>
      <c r="D74" t="n">
        <v>1.1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-7.2</v>
      </c>
      <c r="C77" t="inlineStr">
        <is>
          <t>Jun-22</t>
        </is>
      </c>
      <c r="D77" t="n">
        <v>-9.699999999999999</v>
      </c>
      <c r="E77" t="inlineStr">
        <is>
          <t>%</t>
        </is>
      </c>
    </row>
    <row r="78">
      <c r="A78" t="inlineStr">
        <is>
          <t>Norway</t>
        </is>
      </c>
      <c r="B78" t="n">
        <v>-6.6</v>
      </c>
      <c r="C78" t="inlineStr">
        <is>
          <t>Jan-23</t>
        </is>
      </c>
      <c r="D78" t="n">
        <v>0</v>
      </c>
      <c r="E78" t="inlineStr">
        <is>
          <t>%</t>
        </is>
      </c>
    </row>
    <row r="79">
      <c r="A79" t="inlineStr">
        <is>
          <t>Pakistan</t>
        </is>
      </c>
      <c r="B79" t="n">
        <v>-7.82</v>
      </c>
      <c r="C79" t="inlineStr">
        <is>
          <t>Jan-23</t>
        </is>
      </c>
      <c r="D79" t="n">
        <v>-3.97</v>
      </c>
      <c r="E79" t="inlineStr">
        <is>
          <t>%</t>
        </is>
      </c>
    </row>
    <row r="80">
      <c r="A80" t="inlineStr">
        <is>
          <t>Palestine</t>
        </is>
      </c>
      <c r="B80" t="n">
        <v>14.13</v>
      </c>
      <c r="C80" t="inlineStr">
        <is>
          <t>Dec-21</t>
        </is>
      </c>
      <c r="D80" t="n">
        <v>-7.95</v>
      </c>
      <c r="E80" t="inlineStr">
        <is>
          <t>%</t>
        </is>
      </c>
    </row>
    <row r="81">
      <c r="A81" t="inlineStr">
        <is>
          <t>Panama</t>
        </is>
      </c>
      <c r="B81" t="n">
        <v>5.92</v>
      </c>
      <c r="C81" t="inlineStr">
        <is>
          <t>Sep-22</t>
        </is>
      </c>
      <c r="D81" t="n">
        <v>4.07</v>
      </c>
      <c r="E81" t="inlineStr">
        <is>
          <t>%</t>
        </is>
      </c>
    </row>
    <row r="82">
      <c r="A82" t="inlineStr">
        <is>
          <t>Peru</t>
        </is>
      </c>
      <c r="B82" t="n">
        <v>1.71</v>
      </c>
      <c r="C82" t="inlineStr">
        <is>
          <t>Jan-23</t>
        </is>
      </c>
      <c r="D82" t="n">
        <v>-5.28</v>
      </c>
      <c r="E82" t="inlineStr">
        <is>
          <t>%</t>
        </is>
      </c>
    </row>
    <row r="83">
      <c r="A83" t="inlineStr">
        <is>
          <t>Philippines</t>
        </is>
      </c>
      <c r="B83" t="n">
        <v>15.4</v>
      </c>
      <c r="C83" t="inlineStr">
        <is>
          <t>Jan-23</t>
        </is>
      </c>
      <c r="D83" t="n">
        <v>9.5</v>
      </c>
      <c r="E83" t="inlineStr">
        <is>
          <t>%</t>
        </is>
      </c>
    </row>
    <row r="84">
      <c r="A84" t="inlineStr">
        <is>
          <t>Poland</t>
        </is>
      </c>
      <c r="B84" t="n">
        <v>-1.2</v>
      </c>
      <c r="C84" t="inlineStr">
        <is>
          <t>Feb-23</t>
        </is>
      </c>
      <c r="D84" t="n">
        <v>1.8</v>
      </c>
      <c r="E84" t="inlineStr">
        <is>
          <t>%</t>
        </is>
      </c>
    </row>
    <row r="85">
      <c r="A85" t="inlineStr">
        <is>
          <t>Portugal</t>
        </is>
      </c>
      <c r="B85" t="n">
        <v>4.5</v>
      </c>
      <c r="C85" t="inlineStr">
        <is>
          <t>Jan-23</t>
        </is>
      </c>
      <c r="D85" t="n">
        <v>1.9</v>
      </c>
      <c r="E85" t="inlineStr">
        <is>
          <t>%</t>
        </is>
      </c>
    </row>
    <row r="86">
      <c r="A86" t="inlineStr">
        <is>
          <t>Qatar</t>
        </is>
      </c>
      <c r="B86" t="n">
        <v>-8.529999999999999</v>
      </c>
      <c r="C86" t="inlineStr">
        <is>
          <t>Dec-22</t>
        </is>
      </c>
      <c r="D86" t="n">
        <v>10.44</v>
      </c>
      <c r="E86" t="inlineStr">
        <is>
          <t>%</t>
        </is>
      </c>
    </row>
    <row r="87">
      <c r="A87" t="inlineStr">
        <is>
          <t>Romania</t>
        </is>
      </c>
      <c r="B87" t="n">
        <v>-6.1</v>
      </c>
      <c r="C87" t="inlineStr">
        <is>
          <t>Jan-23</t>
        </is>
      </c>
      <c r="D87" t="n">
        <v>-6.3</v>
      </c>
      <c r="E87" t="inlineStr">
        <is>
          <t>%</t>
        </is>
      </c>
    </row>
    <row r="88">
      <c r="A88" t="inlineStr">
        <is>
          <t>Russia</t>
        </is>
      </c>
      <c r="B88" t="n">
        <v>-2.4</v>
      </c>
      <c r="C88" t="inlineStr">
        <is>
          <t>Jan-23</t>
        </is>
      </c>
      <c r="D88" t="n">
        <v>-4.3</v>
      </c>
      <c r="E88" t="inlineStr">
        <is>
          <t>%</t>
        </is>
      </c>
    </row>
    <row r="89">
      <c r="A89" t="inlineStr">
        <is>
          <t>Rwanda</t>
        </is>
      </c>
      <c r="B89" t="n">
        <v>5.9</v>
      </c>
      <c r="C89" t="inlineStr">
        <is>
          <t>Jan-23</t>
        </is>
      </c>
      <c r="D89" t="n">
        <v>6.4</v>
      </c>
      <c r="E89" t="inlineStr">
        <is>
          <t>%</t>
        </is>
      </c>
    </row>
    <row r="90">
      <c r="A90" t="inlineStr">
        <is>
          <t>Saudi Arabia</t>
        </is>
      </c>
      <c r="B90" t="n">
        <v>6.8</v>
      </c>
      <c r="C90" t="inlineStr">
        <is>
          <t>Jan-23</t>
        </is>
      </c>
      <c r="D90" t="n">
        <v>7.3</v>
      </c>
      <c r="E90" t="inlineStr">
        <is>
          <t>%</t>
        </is>
      </c>
    </row>
    <row r="91">
      <c r="A91" t="inlineStr">
        <is>
          <t>Senegal</t>
        </is>
      </c>
      <c r="B91" t="n">
        <v>20.7</v>
      </c>
      <c r="C91" t="inlineStr">
        <is>
          <t>Dec-22</t>
        </is>
      </c>
      <c r="D91" t="n">
        <v>0.2</v>
      </c>
      <c r="E91" t="inlineStr">
        <is>
          <t>%</t>
        </is>
      </c>
    </row>
    <row r="92">
      <c r="A92" t="inlineStr">
        <is>
          <t>Serbia</t>
        </is>
      </c>
      <c r="B92" t="n">
        <v>4.1</v>
      </c>
      <c r="C92" t="inlineStr">
        <is>
          <t>Jan-23</t>
        </is>
      </c>
      <c r="D92" t="n">
        <v>1.8</v>
      </c>
      <c r="E92" t="inlineStr">
        <is>
          <t>%</t>
        </is>
      </c>
    </row>
    <row r="93">
      <c r="A93" t="inlineStr">
        <is>
          <t>Seychelles</t>
        </is>
      </c>
      <c r="B93" t="n">
        <v>90.90000000000001</v>
      </c>
      <c r="C93" t="inlineStr">
        <is>
          <t>Jan-23</t>
        </is>
      </c>
      <c r="D93" t="n">
        <v>-35.1</v>
      </c>
      <c r="E93" t="inlineStr">
        <is>
          <t>%</t>
        </is>
      </c>
    </row>
    <row r="94">
      <c r="A94" t="inlineStr">
        <is>
          <t>Singapore</t>
        </is>
      </c>
      <c r="B94" t="n">
        <v>-8.9</v>
      </c>
      <c r="C94" t="inlineStr">
        <is>
          <t>Feb-23</t>
        </is>
      </c>
      <c r="D94" t="n">
        <v>-3.1</v>
      </c>
      <c r="E94" t="inlineStr">
        <is>
          <t>%</t>
        </is>
      </c>
    </row>
    <row r="95">
      <c r="A95" t="inlineStr">
        <is>
          <t>Slovakia</t>
        </is>
      </c>
      <c r="B95" t="n">
        <v>-8.6</v>
      </c>
      <c r="C95" t="inlineStr">
        <is>
          <t>Jan-23</t>
        </is>
      </c>
      <c r="D95" t="n">
        <v>-10.7</v>
      </c>
      <c r="E95" t="inlineStr">
        <is>
          <t>%</t>
        </is>
      </c>
    </row>
    <row r="96">
      <c r="A96" t="inlineStr">
        <is>
          <t>Slovenia</t>
        </is>
      </c>
      <c r="B96" t="n">
        <v>-4.9</v>
      </c>
      <c r="C96" t="inlineStr">
        <is>
          <t>Jan-23</t>
        </is>
      </c>
      <c r="D96" t="n">
        <v>-8</v>
      </c>
      <c r="E96" t="inlineStr">
        <is>
          <t>%</t>
        </is>
      </c>
    </row>
    <row r="97">
      <c r="A97" t="inlineStr">
        <is>
          <t>South Africa</t>
        </is>
      </c>
      <c r="B97" t="n">
        <v>-3.7</v>
      </c>
      <c r="C97" t="inlineStr">
        <is>
          <t>Jan-23</t>
        </is>
      </c>
      <c r="D97" t="n">
        <v>-4.5</v>
      </c>
      <c r="E97" t="inlineStr">
        <is>
          <t>%</t>
        </is>
      </c>
    </row>
    <row r="98">
      <c r="A98" t="inlineStr">
        <is>
          <t>South Korea</t>
        </is>
      </c>
      <c r="B98" t="n">
        <v>-12.7</v>
      </c>
      <c r="C98" t="inlineStr">
        <is>
          <t>Jan-23</t>
        </is>
      </c>
      <c r="D98" t="n">
        <v>-10.5</v>
      </c>
      <c r="E98" t="inlineStr">
        <is>
          <t>%</t>
        </is>
      </c>
    </row>
    <row r="99">
      <c r="A99" t="inlineStr">
        <is>
          <t>Spain</t>
        </is>
      </c>
      <c r="B99" t="n">
        <v>-0.4</v>
      </c>
      <c r="C99" t="inlineStr">
        <is>
          <t>Jan-23</t>
        </is>
      </c>
      <c r="D99" t="n">
        <v>0.7</v>
      </c>
      <c r="E99" t="inlineStr">
        <is>
          <t>%</t>
        </is>
      </c>
    </row>
    <row r="100">
      <c r="A100" t="inlineStr">
        <is>
          <t>Sri Lanka</t>
        </is>
      </c>
      <c r="B100" t="n">
        <v>-12.54</v>
      </c>
      <c r="C100" t="inlineStr">
        <is>
          <t>Jan-23</t>
        </is>
      </c>
      <c r="D100" t="n">
        <v>-24.08</v>
      </c>
      <c r="E100" t="inlineStr">
        <is>
          <t>%</t>
        </is>
      </c>
    </row>
    <row r="101">
      <c r="A101" t="inlineStr">
        <is>
          <t>Sweden</t>
        </is>
      </c>
      <c r="B101" t="n">
        <v>3.5</v>
      </c>
      <c r="C101" t="inlineStr">
        <is>
          <t>Jan-23</t>
        </is>
      </c>
      <c r="D101" t="n">
        <v>0.8</v>
      </c>
      <c r="E101" t="inlineStr">
        <is>
          <t>%</t>
        </is>
      </c>
    </row>
    <row r="102">
      <c r="A102" t="inlineStr">
        <is>
          <t>Switzerland</t>
        </is>
      </c>
      <c r="B102" t="n">
        <v>6.1</v>
      </c>
      <c r="C102" t="inlineStr">
        <is>
          <t>Dec-22</t>
        </is>
      </c>
      <c r="D102" t="n">
        <v>6</v>
      </c>
      <c r="E102" t="inlineStr">
        <is>
          <t>%</t>
        </is>
      </c>
    </row>
    <row r="103">
      <c r="A103" t="inlineStr">
        <is>
          <t>Taiwan</t>
        </is>
      </c>
      <c r="B103" t="n">
        <v>-8.68</v>
      </c>
      <c r="C103" t="inlineStr">
        <is>
          <t>Feb-23</t>
        </is>
      </c>
      <c r="D103" t="n">
        <v>-20.95</v>
      </c>
      <c r="E103" t="inlineStr">
        <is>
          <t>%</t>
        </is>
      </c>
    </row>
    <row r="104">
      <c r="A104" t="inlineStr">
        <is>
          <t>Tajikistan</t>
        </is>
      </c>
      <c r="B104" t="n">
        <v>15.4</v>
      </c>
      <c r="C104" t="inlineStr">
        <is>
          <t>Dec-22</t>
        </is>
      </c>
      <c r="D104" t="n">
        <v>15</v>
      </c>
      <c r="E104" t="inlineStr">
        <is>
          <t>%</t>
        </is>
      </c>
    </row>
    <row r="105">
      <c r="A105" t="inlineStr">
        <is>
          <t>Thailand</t>
        </is>
      </c>
      <c r="B105" t="n">
        <v>-4.35</v>
      </c>
      <c r="C105" t="inlineStr">
        <is>
          <t>Jan-23</t>
        </is>
      </c>
      <c r="D105" t="n">
        <v>-8.449999999999999</v>
      </c>
      <c r="E105" t="inlineStr">
        <is>
          <t>%</t>
        </is>
      </c>
    </row>
    <row r="106">
      <c r="A106" t="inlineStr">
        <is>
          <t>Togo</t>
        </is>
      </c>
      <c r="B106" t="n">
        <v>-6.7</v>
      </c>
      <c r="C106" t="inlineStr">
        <is>
          <t>Dec-22</t>
        </is>
      </c>
      <c r="D106" t="n">
        <v>-1.3</v>
      </c>
      <c r="E106" t="inlineStr">
        <is>
          <t>%</t>
        </is>
      </c>
    </row>
    <row r="107">
      <c r="A107" t="inlineStr">
        <is>
          <t>Trinidad And Tobago</t>
        </is>
      </c>
      <c r="B107" t="n">
        <v>130</v>
      </c>
      <c r="C107" t="inlineStr">
        <is>
          <t>Sep-22</t>
        </is>
      </c>
      <c r="D107" t="n">
        <v>145</v>
      </c>
      <c r="E107" t="inlineStr">
        <is>
          <t>%</t>
        </is>
      </c>
    </row>
    <row r="108">
      <c r="A108" t="inlineStr">
        <is>
          <t>Tunisia</t>
        </is>
      </c>
      <c r="B108" t="n">
        <v>2.88</v>
      </c>
      <c r="C108" t="inlineStr">
        <is>
          <t>Dec-22</t>
        </is>
      </c>
      <c r="D108" t="n">
        <v>4.68</v>
      </c>
      <c r="E108" t="inlineStr">
        <is>
          <t>%</t>
        </is>
      </c>
    </row>
    <row r="109">
      <c r="A109" t="inlineStr">
        <is>
          <t>Turkey</t>
        </is>
      </c>
      <c r="B109" t="n">
        <v>4.5</v>
      </c>
      <c r="C109" t="inlineStr">
        <is>
          <t>Jan-23</t>
        </is>
      </c>
      <c r="D109" t="n">
        <v>-0.2</v>
      </c>
      <c r="E109" t="inlineStr">
        <is>
          <t>%</t>
        </is>
      </c>
    </row>
    <row r="110">
      <c r="A110" t="inlineStr">
        <is>
          <t>Ukraine</t>
        </is>
      </c>
      <c r="B110" t="n">
        <v>-39.8</v>
      </c>
      <c r="C110" t="inlineStr">
        <is>
          <t>Sep-22</t>
        </is>
      </c>
      <c r="D110" t="n">
        <v>-39.4</v>
      </c>
      <c r="E110" t="inlineStr">
        <is>
          <t>%</t>
        </is>
      </c>
    </row>
    <row r="111">
      <c r="A111" t="inlineStr">
        <is>
          <t>United Kingdom</t>
        </is>
      </c>
      <c r="B111" t="n">
        <v>-4.3</v>
      </c>
      <c r="C111" t="inlineStr">
        <is>
          <t>Jan-23</t>
        </is>
      </c>
      <c r="D111" t="n">
        <v>-4</v>
      </c>
      <c r="E111" t="inlineStr">
        <is>
          <t>%</t>
        </is>
      </c>
    </row>
    <row r="112">
      <c r="A112" t="inlineStr">
        <is>
          <t>United States</t>
        </is>
      </c>
      <c r="B112" t="n">
        <v>-0.25</v>
      </c>
      <c r="C112" t="inlineStr">
        <is>
          <t>Feb-23</t>
        </is>
      </c>
      <c r="D112" t="n">
        <v>0.49</v>
      </c>
      <c r="E112" t="inlineStr">
        <is>
          <t>%</t>
        </is>
      </c>
    </row>
    <row r="113">
      <c r="A113" t="inlineStr">
        <is>
          <t>Uruguay</t>
        </is>
      </c>
      <c r="B113" t="n">
        <v>0.6</v>
      </c>
      <c r="C113" t="inlineStr">
        <is>
          <t>Jan-23</t>
        </is>
      </c>
      <c r="D113" t="n">
        <v>1.1</v>
      </c>
      <c r="E113" t="inlineStr">
        <is>
          <t>%</t>
        </is>
      </c>
    </row>
    <row r="114">
      <c r="A114" t="inlineStr">
        <is>
          <t>Uzbekistan</t>
        </is>
      </c>
      <c r="B114" t="n">
        <v>5.3</v>
      </c>
      <c r="C114" t="inlineStr">
        <is>
          <t>Sep-22</t>
        </is>
      </c>
      <c r="D114" t="n">
        <v>5.1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-47.04</v>
      </c>
      <c r="E115" t="inlineStr">
        <is>
          <t>%</t>
        </is>
      </c>
    </row>
    <row r="116">
      <c r="A116" t="inlineStr">
        <is>
          <t>Vietnam</t>
        </is>
      </c>
      <c r="B116" t="n">
        <v>3.6</v>
      </c>
      <c r="C116" t="inlineStr">
        <is>
          <t>Feb-23</t>
        </is>
      </c>
      <c r="D116" t="n">
        <v>-14.9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U1262"/>
  <sheetViews>
    <sheetView workbookViewId="0">
      <pane xSplit="1" ySplit="1" topLeftCell="K1234" activePane="bottomRight" state="frozen"/>
      <selection activeCell="X1249" sqref="X1249"/>
      <selection pane="topRight" activeCell="X1249" sqref="X1249"/>
      <selection pane="bottomLeft" activeCell="X1249" sqref="X1249"/>
      <selection pane="bottomRight" activeCell="X1249" sqref="X1249"/>
    </sheetView>
  </sheetViews>
  <sheetFormatPr baseColWidth="8" defaultColWidth="9.1796875" defaultRowHeight="14.5"/>
  <cols>
    <col width="11.1796875" customWidth="1" style="86" min="1" max="1"/>
    <col width="9.1796875" customWidth="1" style="20" min="2" max="4"/>
    <col width="10.6328125" bestFit="1" customWidth="1" style="20" min="5" max="5"/>
    <col width="10.6328125" customWidth="1" style="20" min="6" max="6"/>
    <col width="9.1796875" customWidth="1" style="20" min="7" max="45"/>
    <col width="9.1796875" customWidth="1" style="86" min="46" max="106"/>
    <col width="9.1796875" customWidth="1" style="86" min="107" max="16384"/>
  </cols>
  <sheetData>
    <row r="1">
      <c r="A1" t="inlineStr">
        <is>
          <t>DATE</t>
        </is>
      </c>
      <c r="B1" t="inlineStr">
        <is>
          <t>AUT</t>
        </is>
      </c>
      <c r="C1" t="inlineStr">
        <is>
          <t>BEL</t>
        </is>
      </c>
      <c r="D1" t="inlineStr">
        <is>
          <t>BRA</t>
        </is>
      </c>
      <c r="E1" t="inlineStr">
        <is>
          <t>CAN</t>
        </is>
      </c>
      <c r="F1" t="inlineStr">
        <is>
          <t>CHE</t>
        </is>
      </c>
      <c r="G1" t="inlineStr">
        <is>
          <t>CHI</t>
        </is>
      </c>
      <c r="H1" t="inlineStr">
        <is>
          <t>CHL</t>
        </is>
      </c>
      <c r="I1" t="inlineStr">
        <is>
          <t>CODE</t>
        </is>
      </c>
      <c r="J1" t="inlineStr">
        <is>
          <t>CZE</t>
        </is>
      </c>
      <c r="K1" t="inlineStr">
        <is>
          <t>DEU</t>
        </is>
      </c>
      <c r="L1" t="inlineStr">
        <is>
          <t>DNK</t>
        </is>
      </c>
      <c r="M1" t="inlineStr">
        <is>
          <t>EA19</t>
        </is>
      </c>
      <c r="N1" t="inlineStr">
        <is>
          <t>ESP</t>
        </is>
      </c>
      <c r="O1" t="inlineStr">
        <is>
          <t>EST</t>
        </is>
      </c>
      <c r="P1" t="inlineStr">
        <is>
          <t>EU27_2020</t>
        </is>
      </c>
      <c r="Q1" t="inlineStr">
        <is>
          <t>FIN</t>
        </is>
      </c>
      <c r="R1" t="inlineStr">
        <is>
          <t>FRA</t>
        </is>
      </c>
      <c r="S1" t="inlineStr">
        <is>
          <t>G-7</t>
        </is>
      </c>
      <c r="T1" t="inlineStr">
        <is>
          <t>GBR</t>
        </is>
      </c>
      <c r="U1" t="inlineStr">
        <is>
          <t>GDP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INVESTMENT_PERCENTAGE</t>
        </is>
      </c>
      <c r="Z1" t="inlineStr">
        <is>
          <t>IRL</t>
        </is>
      </c>
      <c r="AA1" t="inlineStr">
        <is>
          <t>ISL</t>
        </is>
      </c>
      <c r="AB1" t="inlineStr">
        <is>
          <t>ISR</t>
        </is>
      </c>
      <c r="AC1" t="inlineStr">
        <is>
          <t>ITA</t>
        </is>
      </c>
      <c r="AD1" t="inlineStr">
        <is>
          <t>JPN</t>
        </is>
      </c>
      <c r="AE1" t="inlineStr">
        <is>
          <t>KOR</t>
        </is>
      </c>
      <c r="AF1" t="inlineStr">
        <is>
          <t>LUX</t>
        </is>
      </c>
      <c r="AG1" t="inlineStr">
        <is>
          <t>LVA</t>
        </is>
      </c>
      <c r="AH1" t="inlineStr">
        <is>
          <t>MEX</t>
        </is>
      </c>
      <c r="AI1" t="inlineStr">
        <is>
          <t>NLD</t>
        </is>
      </c>
      <c r="AJ1" t="inlineStr">
        <is>
          <t>NOR</t>
        </is>
      </c>
      <c r="AK1" t="inlineStr">
        <is>
          <t>NZL</t>
        </is>
      </c>
      <c r="AL1" t="inlineStr">
        <is>
          <t>OECD</t>
        </is>
      </c>
      <c r="AM1" t="inlineStr">
        <is>
          <t>POL</t>
        </is>
      </c>
      <c r="AN1" t="inlineStr">
        <is>
          <t>PRT</t>
        </is>
      </c>
      <c r="AO1" t="inlineStr">
        <is>
          <t>RUS</t>
        </is>
      </c>
      <c r="AP1" t="inlineStr">
        <is>
          <t>SVK</t>
        </is>
      </c>
      <c r="AQ1" t="inlineStr">
        <is>
          <t>SVN</t>
        </is>
      </c>
      <c r="AR1" t="inlineStr">
        <is>
          <t>SWE</t>
        </is>
      </c>
      <c r="AS1" t="inlineStr">
        <is>
          <t>TUR</t>
        </is>
      </c>
      <c r="AT1" t="inlineStr">
        <is>
          <t>USA</t>
        </is>
      </c>
      <c r="AU1" t="inlineStr">
        <is>
          <t>ZAF</t>
        </is>
      </c>
    </row>
    <row r="2">
      <c r="A2" s="105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/>
      </c>
      <c r="AT2" t="n">
        <v>4.836255506</v>
      </c>
      <c r="AU2" t="n">
        <v/>
      </c>
    </row>
    <row r="3">
      <c r="A3" s="105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/>
      </c>
      <c r="AT3" t="n">
        <v>4.622469869</v>
      </c>
      <c r="AU3" t="n">
        <v/>
      </c>
    </row>
    <row r="4">
      <c r="A4" s="105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/>
      </c>
      <c r="AT4" t="n">
        <v>4.488903425</v>
      </c>
      <c r="AU4" t="n">
        <v/>
      </c>
    </row>
    <row r="5">
      <c r="A5" s="105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/>
      </c>
      <c r="AT5" t="n">
        <v>4.569023459</v>
      </c>
      <c r="AU5" t="n">
        <v/>
      </c>
    </row>
    <row r="6">
      <c r="A6" s="105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/>
      </c>
      <c r="AT6" t="n">
        <v>4.595796243</v>
      </c>
      <c r="AU6" t="n">
        <v/>
      </c>
    </row>
    <row r="7">
      <c r="A7" s="105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/>
      </c>
      <c r="AT7" t="n">
        <v>4.889701915</v>
      </c>
      <c r="AU7" t="n">
        <v/>
      </c>
    </row>
    <row r="8">
      <c r="A8" s="105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/>
      </c>
      <c r="AT8" t="n">
        <v>5.183607586</v>
      </c>
      <c r="AU8" t="n">
        <v/>
      </c>
    </row>
    <row r="9">
      <c r="A9" s="105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/>
      </c>
      <c r="AT9" t="n">
        <v>5.263727621</v>
      </c>
      <c r="AU9" t="n">
        <v/>
      </c>
    </row>
    <row r="10">
      <c r="A10" s="105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/>
      </c>
      <c r="AT10" t="n">
        <v>5.156834803</v>
      </c>
      <c r="AU10" t="n">
        <v/>
      </c>
    </row>
    <row r="11">
      <c r="A11" s="105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/>
      </c>
      <c r="AT11" t="n">
        <v>5.103388393</v>
      </c>
      <c r="AU11" t="n">
        <v/>
      </c>
    </row>
    <row r="12">
      <c r="A12" s="105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/>
      </c>
      <c r="AT12" t="n">
        <v>5.023268359</v>
      </c>
      <c r="AU12" t="n">
        <v/>
      </c>
    </row>
    <row r="13">
      <c r="A13" s="105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/>
      </c>
      <c r="AT13" t="n">
        <v>5.103388393</v>
      </c>
      <c r="AU13" t="n">
        <v/>
      </c>
    </row>
    <row r="14">
      <c r="A14" s="105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/>
      </c>
      <c r="AT14" t="n">
        <v>5.584406076</v>
      </c>
      <c r="AU14" t="n">
        <v/>
      </c>
    </row>
    <row r="15">
      <c r="A15" s="105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/>
      </c>
      <c r="AT15" t="n">
        <v>5.584406076</v>
      </c>
      <c r="AU15" t="n">
        <v/>
      </c>
    </row>
    <row r="16">
      <c r="A16" s="105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/>
      </c>
      <c r="AT16" t="n">
        <v>5.477513258</v>
      </c>
      <c r="AU16" t="n">
        <v/>
      </c>
    </row>
    <row r="17">
      <c r="A17" s="105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/>
      </c>
      <c r="AT17" t="n">
        <v>5.183607586</v>
      </c>
      <c r="AU17" t="n">
        <v/>
      </c>
    </row>
    <row r="18">
      <c r="A18" s="105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/>
      </c>
      <c r="AT18" t="n">
        <v>5.31717403</v>
      </c>
      <c r="AU18" t="n">
        <v/>
      </c>
    </row>
    <row r="19">
      <c r="A19" s="105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/>
      </c>
      <c r="AT19" t="n">
        <v>5.370620439</v>
      </c>
      <c r="AU19" t="n">
        <v/>
      </c>
    </row>
    <row r="20">
      <c r="A20" s="105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/>
      </c>
      <c r="AT20" t="n">
        <v>5.237053996</v>
      </c>
      <c r="AU20" t="n">
        <v/>
      </c>
    </row>
    <row r="21">
      <c r="A21" s="105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/>
      </c>
      <c r="AT21" t="n">
        <v>5.263727621</v>
      </c>
      <c r="AU21" t="n">
        <v/>
      </c>
    </row>
    <row r="22">
      <c r="A22" s="105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/>
      </c>
      <c r="AT22" t="n">
        <v>5.076714768</v>
      </c>
      <c r="AU22" t="n">
        <v/>
      </c>
    </row>
    <row r="23">
      <c r="A23" s="105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/>
      </c>
      <c r="AT23" t="n">
        <v>4.862929131</v>
      </c>
      <c r="AU23" t="n">
        <v/>
      </c>
    </row>
    <row r="24">
      <c r="A24" s="105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/>
      </c>
      <c r="AT24" t="n">
        <v>4.462130641</v>
      </c>
      <c r="AU24" t="n">
        <v/>
      </c>
    </row>
    <row r="25">
      <c r="A25" s="105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/>
      </c>
      <c r="AT25" t="n">
        <v>4.194997753</v>
      </c>
      <c r="AU25" t="n">
        <v/>
      </c>
    </row>
    <row r="26">
      <c r="A26" s="105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/>
      </c>
      <c r="AT26" t="n">
        <v>3.954538491</v>
      </c>
      <c r="AU26" t="n">
        <v/>
      </c>
    </row>
    <row r="27">
      <c r="A27" s="105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/>
      </c>
      <c r="AT27" t="n">
        <v>3.874319298</v>
      </c>
      <c r="AU27" t="n">
        <v/>
      </c>
    </row>
    <row r="28">
      <c r="A28" s="105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/>
      </c>
      <c r="AT28" t="n">
        <v>3.767426479</v>
      </c>
      <c r="AU28" t="n">
        <v/>
      </c>
    </row>
    <row r="29">
      <c r="A29" s="105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/>
      </c>
      <c r="AT29" t="n">
        <v>3.767426479</v>
      </c>
      <c r="AU29" t="n">
        <v/>
      </c>
    </row>
    <row r="30">
      <c r="A30" s="105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/>
      </c>
      <c r="AT30" t="n">
        <v>3.874319298</v>
      </c>
      <c r="AU30" t="n">
        <v/>
      </c>
    </row>
    <row r="31">
      <c r="A31" s="105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/>
      </c>
      <c r="AT31" t="n">
        <v>3.847645672</v>
      </c>
      <c r="AU31" t="n">
        <v/>
      </c>
    </row>
    <row r="32">
      <c r="A32" s="105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/>
      </c>
      <c r="AT32" t="n">
        <v>3.820872889</v>
      </c>
      <c r="AU32" t="n">
        <v/>
      </c>
    </row>
    <row r="33">
      <c r="A33" s="105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/>
      </c>
      <c r="AT33" t="n">
        <v>3.954538491</v>
      </c>
      <c r="AU33" t="n">
        <v/>
      </c>
    </row>
    <row r="34">
      <c r="A34" s="105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/>
      </c>
      <c r="AT34" t="n">
        <v>3.981212116</v>
      </c>
      <c r="AU34" t="n">
        <v/>
      </c>
    </row>
    <row r="35">
      <c r="A35" s="105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/>
      </c>
      <c r="AT35" t="n">
        <v>4.221671379</v>
      </c>
      <c r="AU35" t="n">
        <v/>
      </c>
    </row>
    <row r="36">
      <c r="A36" s="105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/>
      </c>
      <c r="AT36" t="n">
        <v>4.168224969</v>
      </c>
      <c r="AU36" t="n">
        <v/>
      </c>
    </row>
    <row r="37">
      <c r="A37" s="105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/>
      </c>
      <c r="AT37" t="n">
        <v>4.141551344</v>
      </c>
      <c r="AU37" t="n">
        <v/>
      </c>
    </row>
    <row r="38">
      <c r="A38" s="105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/>
      </c>
      <c r="AT38" t="n">
        <v>4.301890572</v>
      </c>
      <c r="AU38" t="n">
        <v/>
      </c>
    </row>
    <row r="39">
      <c r="A39" s="105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/>
      </c>
      <c r="AT39" t="n">
        <v>4.488903425</v>
      </c>
      <c r="AU39" t="n">
        <v/>
      </c>
    </row>
    <row r="40">
      <c r="A40" s="105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/>
      </c>
      <c r="AT40" t="n">
        <v>4.729362687</v>
      </c>
      <c r="AU40" t="n">
        <v/>
      </c>
    </row>
    <row r="41">
      <c r="A41" s="105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/>
      </c>
      <c r="AT41" t="n">
        <v>4.569023459</v>
      </c>
      <c r="AU41" t="n">
        <v/>
      </c>
    </row>
    <row r="42">
      <c r="A42" s="105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/>
      </c>
      <c r="AT42" t="n">
        <v>4.809482722</v>
      </c>
      <c r="AU42" t="n">
        <v/>
      </c>
    </row>
    <row r="43">
      <c r="A43" s="105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/>
      </c>
      <c r="AT43" t="n">
        <v>5.050041142</v>
      </c>
      <c r="AU43" t="n">
        <v/>
      </c>
    </row>
    <row r="44">
      <c r="A44" s="105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/>
      </c>
      <c r="AT44" t="n">
        <v>5.050041142</v>
      </c>
      <c r="AU44" t="n">
        <v/>
      </c>
    </row>
    <row r="45">
      <c r="A45" s="105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/>
      </c>
      <c r="AT45" t="n">
        <v>4.943148324</v>
      </c>
      <c r="AU45" t="n">
        <v/>
      </c>
    </row>
    <row r="46">
      <c r="A46" s="105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/>
      </c>
      <c r="AT46" t="n">
        <v>5.210281212</v>
      </c>
      <c r="AU46" t="n">
        <v/>
      </c>
    </row>
    <row r="47">
      <c r="A47" s="105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/>
      </c>
      <c r="AT47" t="n">
        <v>5.504186883</v>
      </c>
      <c r="AU47" t="n">
        <v/>
      </c>
    </row>
    <row r="48">
      <c r="A48" s="105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/>
      </c>
      <c r="AT48" t="n">
        <v>5.744745304</v>
      </c>
      <c r="AU48" t="n">
        <v/>
      </c>
    </row>
    <row r="49">
      <c r="A49" s="105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/>
      </c>
      <c r="AT49" t="n">
        <v>5.904985373</v>
      </c>
      <c r="AU49" t="n">
        <v/>
      </c>
    </row>
    <row r="50">
      <c r="A50" s="105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/>
      </c>
      <c r="AT50" t="n">
        <v>5.771418929</v>
      </c>
      <c r="AU50" t="n">
        <v/>
      </c>
    </row>
    <row r="51">
      <c r="A51" s="105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/>
      </c>
      <c r="AT51" t="n">
        <v>5.851538964</v>
      </c>
      <c r="AU51" t="n">
        <v/>
      </c>
    </row>
    <row r="52">
      <c r="A52" s="105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/>
      </c>
      <c r="AT52" t="n">
        <v>6.038650976</v>
      </c>
      <c r="AU52" t="n">
        <v/>
      </c>
    </row>
    <row r="53">
      <c r="A53" s="105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/>
      </c>
      <c r="AT53" t="n">
        <v>6.172217419</v>
      </c>
      <c r="AU53" t="n">
        <v/>
      </c>
    </row>
    <row r="54">
      <c r="A54" s="105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/>
      </c>
      <c r="AT54" t="n">
        <v>6.252337454</v>
      </c>
      <c r="AU54" t="n">
        <v/>
      </c>
    </row>
    <row r="55">
      <c r="A55" s="105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/>
      </c>
      <c r="AT55" t="n">
        <v>6.198891045</v>
      </c>
      <c r="AU55" t="n">
        <v/>
      </c>
    </row>
    <row r="56">
      <c r="A56" s="105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/>
      </c>
      <c r="AT56" t="n">
        <v>6.145543794</v>
      </c>
      <c r="AU56" t="n">
        <v/>
      </c>
    </row>
    <row r="57">
      <c r="A57" s="105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/>
      </c>
      <c r="AT57" t="n">
        <v>6.038650976</v>
      </c>
      <c r="AU57" t="n">
        <v/>
      </c>
    </row>
    <row r="58">
      <c r="A58" s="105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/>
      </c>
      <c r="AT58" t="n">
        <v>5.904985373</v>
      </c>
      <c r="AU58" t="n">
        <v/>
      </c>
    </row>
    <row r="59">
      <c r="A59" s="105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/>
      </c>
      <c r="AT59" t="n">
        <v>5.878311748</v>
      </c>
      <c r="AU59" t="n">
        <v/>
      </c>
    </row>
    <row r="60">
      <c r="A60" s="105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/>
      </c>
      <c r="AT60" t="n">
        <v>5.878311748</v>
      </c>
      <c r="AU60" t="n">
        <v/>
      </c>
    </row>
    <row r="61">
      <c r="A61" s="105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/>
      </c>
      <c r="AT61" t="n">
        <v>5.744745304</v>
      </c>
      <c r="AU61" t="n">
        <v/>
      </c>
    </row>
    <row r="62">
      <c r="A62" s="105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/>
      </c>
      <c r="AT62" t="n">
        <v>5.878311748</v>
      </c>
      <c r="AU62" t="n">
        <v/>
      </c>
    </row>
    <row r="63">
      <c r="A63" s="105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/>
      </c>
      <c r="AT63" t="n">
        <v>5.985204566</v>
      </c>
      <c r="AU63" t="n">
        <v/>
      </c>
    </row>
    <row r="64">
      <c r="A64" s="105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/>
      </c>
      <c r="AT64" t="n">
        <v>5.878311748</v>
      </c>
      <c r="AU64" t="n">
        <v/>
      </c>
    </row>
    <row r="65">
      <c r="A65" s="105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/>
      </c>
      <c r="AT65" t="n">
        <v>5.691298895</v>
      </c>
      <c r="AU65" t="n">
        <v/>
      </c>
    </row>
    <row r="66">
      <c r="A66" s="105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/>
      </c>
      <c r="AT66" t="n">
        <v>5.450740474</v>
      </c>
      <c r="AU66" t="n">
        <v/>
      </c>
    </row>
    <row r="67">
      <c r="A67" s="105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/>
      </c>
      <c r="AT67" t="n">
        <v>5.210281212</v>
      </c>
      <c r="AU67" t="n">
        <v/>
      </c>
    </row>
    <row r="68">
      <c r="A68" s="105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/>
      </c>
      <c r="AT68" t="n">
        <v>5.130161177</v>
      </c>
      <c r="AU68" t="n">
        <v/>
      </c>
    </row>
    <row r="69">
      <c r="A69" s="105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/>
      </c>
      <c r="AT69" t="n">
        <v>5.31717403</v>
      </c>
      <c r="AU69" t="n">
        <v/>
      </c>
    </row>
    <row r="70">
      <c r="A70" s="105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/>
      </c>
      <c r="AT70" t="n">
        <v>5.504186883</v>
      </c>
      <c r="AU70" t="n">
        <v/>
      </c>
    </row>
    <row r="71">
      <c r="A71" s="105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/>
      </c>
      <c r="AT71" t="n">
        <v>5.637852486</v>
      </c>
      <c r="AU71" t="n">
        <v/>
      </c>
    </row>
    <row r="72">
      <c r="A72" s="105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/>
      </c>
      <c r="AT72" t="n">
        <v>5.744745304</v>
      </c>
      <c r="AU72" t="n">
        <v/>
      </c>
    </row>
    <row r="73">
      <c r="A73" s="105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/>
      </c>
      <c r="AT73" t="n">
        <v>5.904985373</v>
      </c>
      <c r="AU73" t="n">
        <v/>
      </c>
    </row>
    <row r="74">
      <c r="A74" s="105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/>
      </c>
      <c r="AT74" t="n">
        <v>6.092097385</v>
      </c>
      <c r="AU74" t="n">
        <v/>
      </c>
    </row>
    <row r="75">
      <c r="A75" s="105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/>
      </c>
      <c r="AT75" t="n">
        <v>6.092097385</v>
      </c>
      <c r="AU75" t="n">
        <v/>
      </c>
    </row>
    <row r="76">
      <c r="A76" s="105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/>
      </c>
      <c r="AT76" t="n">
        <v>6.092097385</v>
      </c>
      <c r="AU76" t="n">
        <v/>
      </c>
    </row>
    <row r="77">
      <c r="A77" s="105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/>
      </c>
      <c r="AT77" t="n">
        <v>6.145543794</v>
      </c>
      <c r="AU77" t="n">
        <v/>
      </c>
    </row>
    <row r="78">
      <c r="A78" s="105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/>
      </c>
      <c r="AT78" t="n">
        <v>6.11877101</v>
      </c>
      <c r="AU78" t="n">
        <v/>
      </c>
    </row>
    <row r="79">
      <c r="A79" s="105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/>
      </c>
      <c r="AT79" t="n">
        <v>6.065324601</v>
      </c>
      <c r="AU79" t="n">
        <v/>
      </c>
    </row>
    <row r="80">
      <c r="A80" s="105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/>
      </c>
      <c r="AT80" t="n">
        <v>6.225663829</v>
      </c>
      <c r="AU80" t="n">
        <v/>
      </c>
    </row>
    <row r="81">
      <c r="A81" s="105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/>
      </c>
      <c r="AT81" t="n">
        <v>6.11877101</v>
      </c>
      <c r="AU81" t="n">
        <v/>
      </c>
    </row>
    <row r="82">
      <c r="A82" s="105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/>
      </c>
      <c r="AT82" t="n">
        <v>6.038650976</v>
      </c>
      <c r="AU82" t="n">
        <v/>
      </c>
    </row>
    <row r="83">
      <c r="A83" s="105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/>
      </c>
      <c r="AT83" t="n">
        <v>6.279110238</v>
      </c>
      <c r="AU83" t="n">
        <v/>
      </c>
    </row>
    <row r="84">
      <c r="A84" s="105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/>
      </c>
      <c r="AT84" t="n">
        <v>6.412676682</v>
      </c>
      <c r="AU84" t="n">
        <v/>
      </c>
    </row>
    <row r="85">
      <c r="A85" s="105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/>
      </c>
      <c r="AT85" t="n">
        <v>6.492895875</v>
      </c>
      <c r="AU85" t="n">
        <v/>
      </c>
    </row>
    <row r="86">
      <c r="A86" s="105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/>
      </c>
      <c r="AT86" t="n">
        <v>6.386003056</v>
      </c>
      <c r="AU86" t="n">
        <v/>
      </c>
    </row>
    <row r="87">
      <c r="A87" s="105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/>
      </c>
      <c r="AT87" t="n">
        <v>6.386003056</v>
      </c>
      <c r="AU87" t="n">
        <v/>
      </c>
    </row>
    <row r="88">
      <c r="A88" s="105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/>
      </c>
      <c r="AT88" t="n">
        <v>6.466123091</v>
      </c>
      <c r="AU88" t="n">
        <v/>
      </c>
    </row>
    <row r="89">
      <c r="A89" s="105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/>
      </c>
      <c r="AT89" t="n">
        <v>6.466123091</v>
      </c>
      <c r="AU89" t="n">
        <v/>
      </c>
    </row>
    <row r="90">
      <c r="A90" s="105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/>
      </c>
      <c r="AT90" t="n">
        <v>6.412676682</v>
      </c>
      <c r="AU90" t="n">
        <v/>
      </c>
    </row>
    <row r="91">
      <c r="A91" s="105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/>
      </c>
      <c r="AT91" t="n">
        <v>6.492796716</v>
      </c>
      <c r="AU91" t="n">
        <v/>
      </c>
    </row>
    <row r="92">
      <c r="A92" s="105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/>
      </c>
      <c r="AT92" t="n">
        <v>6.5195695</v>
      </c>
      <c r="AU92" t="n">
        <v/>
      </c>
    </row>
    <row r="93">
      <c r="A93" s="105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/>
      </c>
      <c r="AT93" t="n">
        <v>6.599689535</v>
      </c>
      <c r="AU93" t="n">
        <v/>
      </c>
    </row>
    <row r="94">
      <c r="A94" s="105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/>
      </c>
      <c r="AT94" t="n">
        <v>6.706582353</v>
      </c>
      <c r="AU94" t="n">
        <v/>
      </c>
    </row>
    <row r="95">
      <c r="A95" s="105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/>
      </c>
      <c r="AT95" t="n">
        <v>6.706582353</v>
      </c>
      <c r="AU95" t="n">
        <v/>
      </c>
    </row>
    <row r="96">
      <c r="A96" s="105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/>
      </c>
      <c r="AT96" t="n">
        <v>6.679908728</v>
      </c>
      <c r="AU96" t="n">
        <v/>
      </c>
    </row>
    <row r="97">
      <c r="A97" s="105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/>
      </c>
      <c r="AT97" t="n">
        <v>6.653135944</v>
      </c>
      <c r="AU97" t="n">
        <v/>
      </c>
    </row>
    <row r="98">
      <c r="A98" s="105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/>
      </c>
      <c r="AT98" t="n">
        <v>6.626462319</v>
      </c>
      <c r="AU98" t="n">
        <v/>
      </c>
    </row>
    <row r="99">
      <c r="A99" s="105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/>
      </c>
      <c r="AT99" t="n">
        <v>6.679908728</v>
      </c>
      <c r="AU99" t="n">
        <v/>
      </c>
    </row>
    <row r="100">
      <c r="A100" s="105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/>
      </c>
      <c r="AT100" t="n">
        <v>6.760028763</v>
      </c>
      <c r="AU100" t="n">
        <v/>
      </c>
    </row>
    <row r="101">
      <c r="A101" s="105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/>
      </c>
      <c r="AT101" t="n">
        <v>6.599689535</v>
      </c>
      <c r="AU101" t="n">
        <v/>
      </c>
    </row>
    <row r="102">
      <c r="A102" s="105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/>
      </c>
      <c r="AT102" t="n">
        <v>6.653135944</v>
      </c>
      <c r="AU102" t="n">
        <v/>
      </c>
    </row>
    <row r="103">
      <c r="A103" s="105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/>
      </c>
      <c r="AT103" t="n">
        <v>6.626462319</v>
      </c>
      <c r="AU103" t="n">
        <v/>
      </c>
    </row>
    <row r="104">
      <c r="A104" s="105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/>
      </c>
      <c r="AT104" t="n">
        <v>6.546243126</v>
      </c>
      <c r="AU104" t="n">
        <v/>
      </c>
    </row>
    <row r="105">
      <c r="A105" s="105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/>
      </c>
      <c r="AT105" t="n">
        <v>6.546243126</v>
      </c>
      <c r="AU105" t="n">
        <v/>
      </c>
    </row>
    <row r="106">
      <c r="A106" s="105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/>
      </c>
      <c r="AT106" t="n">
        <v>6.439449466</v>
      </c>
      <c r="AU106" t="n">
        <v/>
      </c>
    </row>
    <row r="107">
      <c r="A107" s="105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/>
      </c>
      <c r="AT107" t="n">
        <v>6.305783863</v>
      </c>
      <c r="AU107" t="n">
        <v/>
      </c>
    </row>
    <row r="108">
      <c r="A108" s="105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/>
      </c>
      <c r="AT108" t="n">
        <v>6.305783863</v>
      </c>
      <c r="AU108" t="n">
        <v/>
      </c>
    </row>
    <row r="109">
      <c r="A109" s="105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/>
      </c>
      <c r="AT109" t="n">
        <v>6.332556647</v>
      </c>
      <c r="AU109" t="n">
        <v/>
      </c>
    </row>
    <row r="110">
      <c r="A110" s="105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/>
      </c>
      <c r="AT110" t="n">
        <v>6.466123091</v>
      </c>
      <c r="AU110" t="n">
        <v/>
      </c>
    </row>
    <row r="111">
      <c r="A111" s="105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/>
      </c>
      <c r="AT111" t="n">
        <v>6.5195695</v>
      </c>
      <c r="AU111" t="n">
        <v/>
      </c>
    </row>
    <row r="112">
      <c r="A112" s="105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/>
      </c>
      <c r="AT112" t="n">
        <v>6.573015909</v>
      </c>
      <c r="AU112" t="n">
        <v/>
      </c>
    </row>
    <row r="113">
      <c r="A113" s="105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/>
      </c>
      <c r="AT113" t="n">
        <v>6.546243126</v>
      </c>
      <c r="AU113" t="n">
        <v/>
      </c>
    </row>
    <row r="114">
      <c r="A114" s="105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/>
      </c>
      <c r="AT114" t="n">
        <v>6.626462319</v>
      </c>
      <c r="AU114" t="n">
        <v/>
      </c>
    </row>
    <row r="115">
      <c r="A115" s="105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/>
      </c>
      <c r="AT115" t="n">
        <v>6.679908728</v>
      </c>
      <c r="AU115" t="n">
        <v/>
      </c>
    </row>
    <row r="116">
      <c r="A116" s="105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/>
      </c>
      <c r="AT116" t="n">
        <v>6.760028763</v>
      </c>
      <c r="AU116" t="n">
        <v/>
      </c>
    </row>
    <row r="117">
      <c r="A117" s="105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/>
      </c>
      <c r="AT117" t="n">
        <v>6.893694365</v>
      </c>
      <c r="AU117" t="n">
        <v/>
      </c>
    </row>
    <row r="118">
      <c r="A118" s="105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/>
      </c>
      <c r="AT118" t="n">
        <v>6.947041616</v>
      </c>
      <c r="AU118" t="n">
        <v/>
      </c>
    </row>
    <row r="119">
      <c r="A119" s="105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/>
      </c>
      <c r="AT119" t="n">
        <v>7.080707218</v>
      </c>
      <c r="AU119" t="n">
        <v/>
      </c>
    </row>
    <row r="120">
      <c r="A120" s="105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/>
      </c>
      <c r="AT120" t="n">
        <v>7.214273662</v>
      </c>
      <c r="AU120" t="n">
        <v/>
      </c>
    </row>
    <row r="121">
      <c r="A121" s="105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/>
      </c>
      <c r="AT121" t="n">
        <v>7.347840106</v>
      </c>
      <c r="AU121" t="n">
        <v/>
      </c>
    </row>
    <row r="122">
      <c r="A122" s="105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/>
      </c>
      <c r="AT122" t="n">
        <v>7.454732924</v>
      </c>
      <c r="AU122" t="n">
        <v/>
      </c>
    </row>
    <row r="123">
      <c r="A123" s="105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/>
      </c>
      <c r="AT123" t="n">
        <v>7.428059299</v>
      </c>
      <c r="AU123" t="n">
        <v/>
      </c>
    </row>
    <row r="124">
      <c r="A124" s="105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/>
      </c>
      <c r="AT124" t="n">
        <v>7.454732924</v>
      </c>
      <c r="AU124" t="n">
        <v/>
      </c>
    </row>
    <row r="125">
      <c r="A125" s="105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/>
      </c>
      <c r="AT125" t="n">
        <v>7.588398526</v>
      </c>
      <c r="AU125" t="n">
        <v/>
      </c>
    </row>
    <row r="126">
      <c r="A126" s="105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/>
      </c>
      <c r="AT126" t="n">
        <v>7.72196497</v>
      </c>
      <c r="AU126" t="n">
        <v/>
      </c>
    </row>
    <row r="127">
      <c r="A127" s="105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/>
      </c>
      <c r="AT127" t="n">
        <v>7.77541138</v>
      </c>
      <c r="AU127" t="n">
        <v/>
      </c>
    </row>
    <row r="128">
      <c r="A128" s="105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/>
      </c>
      <c r="AT128" t="n">
        <v>7.882304198</v>
      </c>
      <c r="AU128" t="n">
        <v/>
      </c>
    </row>
    <row r="129">
      <c r="A129" s="105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/>
      </c>
      <c r="AT129" t="n">
        <v>7.802085005</v>
      </c>
      <c r="AU129" t="n">
        <v/>
      </c>
    </row>
    <row r="130">
      <c r="A130" s="105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/>
      </c>
      <c r="AT130" t="n">
        <v>7.748638596</v>
      </c>
      <c r="AU130" t="n">
        <v/>
      </c>
    </row>
    <row r="131">
      <c r="A131" s="105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/>
      </c>
      <c r="AT131" t="n">
        <v>7.615072152</v>
      </c>
      <c r="AU131" t="n">
        <v/>
      </c>
    </row>
    <row r="132">
      <c r="A132" s="105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/>
      </c>
      <c r="AT132" t="n">
        <v>7.241046446</v>
      </c>
      <c r="AU132" t="n">
        <v/>
      </c>
    </row>
    <row r="133">
      <c r="A133" s="105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/>
      </c>
      <c r="AT133" t="n">
        <v>6.92036799</v>
      </c>
      <c r="AU133" t="n">
        <v/>
      </c>
    </row>
    <row r="134">
      <c r="A134" s="105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/>
      </c>
      <c r="AT134" t="n">
        <v>6.92036799</v>
      </c>
      <c r="AU134" t="n">
        <v/>
      </c>
    </row>
    <row r="135">
      <c r="A135" s="105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/>
      </c>
      <c r="AT135" t="n">
        <v>6.893595206</v>
      </c>
      <c r="AU135" t="n">
        <v/>
      </c>
    </row>
    <row r="136">
      <c r="A136" s="105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/>
      </c>
      <c r="AT136" t="n">
        <v>6.786801546</v>
      </c>
      <c r="AU136" t="n">
        <v/>
      </c>
    </row>
    <row r="137">
      <c r="A137" s="105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/>
      </c>
      <c r="AT137" t="n">
        <v>6.733355137</v>
      </c>
      <c r="AU137" t="n">
        <v/>
      </c>
    </row>
    <row r="138">
      <c r="A138" s="105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/>
      </c>
      <c r="AT138" t="n">
        <v>6.626462319</v>
      </c>
      <c r="AU138" t="n">
        <v/>
      </c>
    </row>
    <row r="139">
      <c r="A139" s="105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/>
      </c>
      <c r="AT139" t="n">
        <v>6.439449466</v>
      </c>
      <c r="AU139" t="n">
        <v/>
      </c>
    </row>
    <row r="140">
      <c r="A140" s="105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/>
      </c>
      <c r="AT140" t="n">
        <v>6.145543794</v>
      </c>
      <c r="AU140" t="n">
        <v/>
      </c>
    </row>
    <row r="141">
      <c r="A141" s="105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/>
      </c>
      <c r="AT141" t="n">
        <v>6.011878192</v>
      </c>
      <c r="AU141" t="n">
        <v/>
      </c>
    </row>
    <row r="142">
      <c r="A142" s="105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/>
      </c>
      <c r="AT142" t="n">
        <v>5.904985373</v>
      </c>
      <c r="AU142" t="n">
        <v/>
      </c>
    </row>
    <row r="143">
      <c r="A143" s="105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/>
      </c>
      <c r="AT143" t="n">
        <v>5.744745304</v>
      </c>
      <c r="AU143" t="n">
        <v/>
      </c>
    </row>
    <row r="144">
      <c r="A144" s="105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/>
      </c>
      <c r="AT144" t="n">
        <v>5.611079702</v>
      </c>
      <c r="AU144" t="n">
        <v/>
      </c>
    </row>
    <row r="145">
      <c r="A145" s="105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/>
      </c>
      <c r="AT145" t="n">
        <v>5.477513258</v>
      </c>
      <c r="AU145" t="n">
        <v/>
      </c>
    </row>
    <row r="146">
      <c r="A146" s="105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/>
      </c>
      <c r="AT146" t="n">
        <v>5.450740474</v>
      </c>
      <c r="AU146" t="n">
        <v/>
      </c>
    </row>
    <row r="147">
      <c r="A147" s="105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/>
      </c>
      <c r="AT147" t="n">
        <v>5.477513258</v>
      </c>
      <c r="AU147" t="n">
        <v/>
      </c>
    </row>
    <row r="148">
      <c r="A148" s="105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/>
      </c>
      <c r="AT148" t="n">
        <v>5.584406076</v>
      </c>
      <c r="AU148" t="n">
        <v/>
      </c>
    </row>
    <row r="149">
      <c r="A149" s="105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/>
      </c>
      <c r="AT149" t="n">
        <v>5.611079702</v>
      </c>
      <c r="AU149" t="n">
        <v/>
      </c>
    </row>
    <row r="150">
      <c r="A150" s="105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/>
      </c>
      <c r="AT150" t="n">
        <v>5.530959667</v>
      </c>
      <c r="AU150" t="n">
        <v/>
      </c>
    </row>
    <row r="151">
      <c r="A151" s="105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/>
      </c>
      <c r="AT151" t="n">
        <v>5.397393223</v>
      </c>
      <c r="AU151" t="n">
        <v/>
      </c>
    </row>
    <row r="152">
      <c r="A152" s="105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/>
      </c>
      <c r="AT152" t="n">
        <v>5.31717403</v>
      </c>
      <c r="AU152" t="n">
        <v/>
      </c>
    </row>
    <row r="153">
      <c r="A153" s="105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/>
      </c>
      <c r="AT153" t="n">
        <v>5.130161177</v>
      </c>
      <c r="AU153" t="n">
        <v/>
      </c>
    </row>
    <row r="154">
      <c r="A154" s="105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/>
      </c>
      <c r="AT154" t="n">
        <v>4.889701915</v>
      </c>
      <c r="AU154" t="n">
        <v/>
      </c>
    </row>
    <row r="155">
      <c r="A155" s="105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/>
      </c>
      <c r="AT155" t="n">
        <v>4.702689062</v>
      </c>
      <c r="AU155" t="n">
        <v/>
      </c>
    </row>
    <row r="156">
      <c r="A156" s="105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/>
      </c>
      <c r="AT156" t="n">
        <v>4.649242652</v>
      </c>
      <c r="AU156" t="n">
        <v/>
      </c>
    </row>
    <row r="157">
      <c r="A157" s="105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/>
      </c>
      <c r="AT157" t="n">
        <v>4.622469869</v>
      </c>
      <c r="AU157" t="n">
        <v/>
      </c>
    </row>
    <row r="158">
      <c r="A158" s="105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/>
      </c>
      <c r="AT158" t="n">
        <v>4.488903425</v>
      </c>
      <c r="AU158" t="n">
        <v/>
      </c>
    </row>
    <row r="159">
      <c r="A159" s="105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/>
      </c>
      <c r="AT159" t="n">
        <v>4.382010606</v>
      </c>
      <c r="AU159" t="n">
        <v/>
      </c>
    </row>
    <row r="160">
      <c r="A160" s="105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/>
      </c>
      <c r="AT160" t="n">
        <v>4.328564197</v>
      </c>
      <c r="AU160" t="n">
        <v/>
      </c>
    </row>
    <row r="161">
      <c r="A161" s="105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/>
      </c>
      <c r="AT161" t="n">
        <v>4.034658526</v>
      </c>
      <c r="AU161" t="n">
        <v/>
      </c>
    </row>
    <row r="162">
      <c r="A162" s="105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/>
      </c>
      <c r="AT162" t="n">
        <v>3.901092082</v>
      </c>
      <c r="AU162" t="n">
        <v/>
      </c>
    </row>
    <row r="163">
      <c r="A163" s="105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/>
      </c>
      <c r="AT163" t="n">
        <v>3.767426479</v>
      </c>
      <c r="AU163" t="n">
        <v/>
      </c>
    </row>
    <row r="164">
      <c r="A164" s="105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/>
      </c>
      <c r="AT164" t="n">
        <v>3.660533661</v>
      </c>
      <c r="AU164" t="n">
        <v/>
      </c>
    </row>
    <row r="165">
      <c r="A165" s="105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/>
      </c>
      <c r="AT165" t="n">
        <v>3.767426479</v>
      </c>
      <c r="AU165" t="n">
        <v/>
      </c>
    </row>
    <row r="166">
      <c r="A166" s="105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/>
      </c>
      <c r="AT166" t="n">
        <v>4.007885742</v>
      </c>
      <c r="AU166" t="n">
        <v/>
      </c>
    </row>
    <row r="167">
      <c r="A167" s="105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/>
      </c>
      <c r="AT167" t="n">
        <v>4.141551344</v>
      </c>
      <c r="AU167" t="n">
        <v/>
      </c>
    </row>
    <row r="168">
      <c r="A168" s="105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/>
      </c>
      <c r="AT168" t="n">
        <v>4.141551344</v>
      </c>
      <c r="AU168" t="n">
        <v/>
      </c>
    </row>
    <row r="169">
      <c r="A169" s="105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/>
      </c>
      <c r="AT169" t="n">
        <v>4.061332151</v>
      </c>
      <c r="AU169" t="n">
        <v/>
      </c>
    </row>
    <row r="170">
      <c r="A170" s="105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/>
      </c>
      <c r="AT170" t="n">
        <v>3.981212116</v>
      </c>
      <c r="AU170" t="n">
        <v/>
      </c>
    </row>
    <row r="171">
      <c r="A171" s="105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/>
      </c>
      <c r="AT171" t="n">
        <v>4.007885742</v>
      </c>
      <c r="AU171" t="n">
        <v/>
      </c>
    </row>
    <row r="172">
      <c r="A172" s="105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/>
      </c>
      <c r="AT172" t="n">
        <v>3.767426479</v>
      </c>
      <c r="AU172" t="n">
        <v/>
      </c>
    </row>
    <row r="173">
      <c r="A173" s="105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/>
      </c>
      <c r="AT173" t="n">
        <v>4.034658526</v>
      </c>
      <c r="AU173" t="n">
        <v/>
      </c>
    </row>
    <row r="174">
      <c r="A174" s="105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/>
      </c>
      <c r="AT174" t="n">
        <v>4.702689062</v>
      </c>
      <c r="AU174" t="n">
        <v/>
      </c>
    </row>
    <row r="175">
      <c r="A175" s="105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/>
      </c>
      <c r="AT175" t="n">
        <v>5.424066849</v>
      </c>
      <c r="AU175" t="n">
        <v/>
      </c>
    </row>
    <row r="176">
      <c r="A176" s="105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/>
      </c>
      <c r="AT176" t="n">
        <v>5.931758157</v>
      </c>
      <c r="AU176" t="n">
        <v/>
      </c>
    </row>
    <row r="177">
      <c r="A177" s="105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/>
      </c>
      <c r="AT177" t="n">
        <v>5.691298895</v>
      </c>
      <c r="AU177" t="n">
        <v/>
      </c>
    </row>
    <row r="178">
      <c r="A178" s="105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/>
      </c>
      <c r="AT178" t="n">
        <v>5.370620439</v>
      </c>
      <c r="AU178" t="n">
        <v/>
      </c>
    </row>
    <row r="179">
      <c r="A179" s="105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/>
      </c>
      <c r="AT179" t="n">
        <v>5.103388393</v>
      </c>
      <c r="AU179" t="n">
        <v/>
      </c>
    </row>
    <row r="180">
      <c r="A180" s="105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/>
      </c>
      <c r="AT180" t="n">
        <v>4.809482722</v>
      </c>
      <c r="AU180" t="n">
        <v/>
      </c>
    </row>
    <row r="181">
      <c r="A181" s="105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/>
      </c>
      <c r="AT181" t="n">
        <v>4.836255506</v>
      </c>
      <c r="AU181" t="n">
        <v/>
      </c>
    </row>
    <row r="182">
      <c r="A182" s="105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/>
      </c>
      <c r="AT182" t="n">
        <v>4.996594733</v>
      </c>
      <c r="AU182" t="n">
        <v/>
      </c>
    </row>
    <row r="183">
      <c r="A183" s="105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/>
      </c>
      <c r="AT183" t="n">
        <v>5.237053996</v>
      </c>
      <c r="AU183" t="n">
        <v/>
      </c>
    </row>
    <row r="184">
      <c r="A184" s="105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/>
      </c>
      <c r="AT184" t="n">
        <v>5.477513258</v>
      </c>
      <c r="AU184" t="n">
        <v/>
      </c>
    </row>
    <row r="185">
      <c r="A185" s="105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/>
      </c>
      <c r="AT185" t="n">
        <v>5.477513258</v>
      </c>
      <c r="AU185" t="n">
        <v/>
      </c>
    </row>
    <row r="186">
      <c r="A186" s="105" t="n">
        <v>12540</v>
      </c>
      <c r="B186" t="n">
        <v/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/>
      </c>
      <c r="AT186" t="n">
        <v>5.584406076</v>
      </c>
      <c r="AU186" t="n">
        <v/>
      </c>
    </row>
    <row r="187">
      <c r="A187" s="105" t="n">
        <v>12571</v>
      </c>
      <c r="B187" t="n">
        <v/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>2.010236</v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/>
      </c>
      <c r="AT187" t="n">
        <v>5.477513258</v>
      </c>
      <c r="AU187" t="n">
        <v>1.439518</v>
      </c>
    </row>
    <row r="188">
      <c r="A188" s="105" t="n">
        <v>12601</v>
      </c>
      <c r="B188" t="n">
        <v/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>0.805455</v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/>
      </c>
      <c r="AT188" t="n">
        <v>5.103388393</v>
      </c>
      <c r="AU188" t="n">
        <v>0.740852</v>
      </c>
    </row>
    <row r="189">
      <c r="A189" s="105" t="n">
        <v>12632</v>
      </c>
      <c r="B189" t="n">
        <v/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>1.421339</v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/>
      </c>
      <c r="AT189" t="n">
        <v>5.050041142</v>
      </c>
      <c r="AU189" t="n">
        <v>-0.142492</v>
      </c>
    </row>
    <row r="190">
      <c r="A190" s="105" t="n">
        <v>12663</v>
      </c>
      <c r="B190" t="n">
        <v/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>2.06826</v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/>
      </c>
      <c r="AT190" t="n">
        <v>4.756036312</v>
      </c>
      <c r="AU190" t="n">
        <v>1.084857</v>
      </c>
    </row>
    <row r="191">
      <c r="A191" s="105" t="n">
        <v>12693</v>
      </c>
      <c r="B191" t="n">
        <v/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>0.252391</v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/>
      </c>
      <c r="AT191" t="n">
        <v>4.969821949</v>
      </c>
      <c r="AU191" t="n">
        <v>1.124755</v>
      </c>
    </row>
    <row r="192">
      <c r="A192" s="105" t="n">
        <v>12724</v>
      </c>
      <c r="B192" t="n">
        <v/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>1.240935</v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/>
      </c>
      <c r="AT192" t="n">
        <v>5.023268359</v>
      </c>
      <c r="AU192" t="n">
        <v>1.669118</v>
      </c>
    </row>
    <row r="193">
      <c r="A193" s="105" t="n">
        <v>12754</v>
      </c>
      <c r="B193" t="n">
        <v/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>-1.543122</v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/>
      </c>
      <c r="AT193" t="n">
        <v>5.343946814</v>
      </c>
      <c r="AU193" t="n">
        <v>0.361223</v>
      </c>
    </row>
    <row r="194">
      <c r="A194" s="105" t="n">
        <v>12785</v>
      </c>
      <c r="B194" t="n">
        <v/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>-3.790304</v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/>
      </c>
      <c r="AT194" t="n">
        <v>5.771418929</v>
      </c>
      <c r="AU194" t="n">
        <v>0.444021</v>
      </c>
    </row>
    <row r="195">
      <c r="A195" s="105" t="n">
        <v>12816</v>
      </c>
      <c r="B195" t="n">
        <v/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>-0.3863</v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/>
      </c>
      <c r="AT195" t="n">
        <v>5.878311748</v>
      </c>
      <c r="AU195" t="n">
        <v>0.431641</v>
      </c>
    </row>
    <row r="196">
      <c r="A196" s="105" t="n">
        <v>12844</v>
      </c>
      <c r="B196" t="n">
        <v/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>0.766785</v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/>
      </c>
      <c r="AT196" t="n">
        <v>5.851538964</v>
      </c>
      <c r="AU196" t="n">
        <v>0.394653</v>
      </c>
    </row>
    <row r="197">
      <c r="A197" s="105" t="n">
        <v>12875</v>
      </c>
      <c r="B197" t="n">
        <v/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>2.74966</v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/>
      </c>
      <c r="AT197" t="n">
        <v>5.744745304</v>
      </c>
      <c r="AU197" t="n">
        <v>1.403239</v>
      </c>
    </row>
    <row r="198">
      <c r="A198" s="105" t="n">
        <v>12905</v>
      </c>
      <c r="B198" t="n">
        <v/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>2.228766</v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/>
      </c>
      <c r="AT198" t="n">
        <v>5.744745304</v>
      </c>
      <c r="AU198" t="n">
        <v>1.873041</v>
      </c>
    </row>
    <row r="199">
      <c r="A199" s="105" t="n">
        <v>12936</v>
      </c>
      <c r="B199" t="n">
        <v/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>2.296678</v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/>
      </c>
      <c r="AT199" t="n">
        <v>5.824865339</v>
      </c>
      <c r="AU199" t="n">
        <v>1.13476</v>
      </c>
    </row>
    <row r="200">
      <c r="A200" s="105" t="n">
        <v>12966</v>
      </c>
      <c r="B200" t="n">
        <v/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>1.822266</v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/>
      </c>
      <c r="AT200" t="n">
        <v>5.824865339</v>
      </c>
      <c r="AU200" t="n">
        <v>0.948474</v>
      </c>
    </row>
    <row r="201">
      <c r="A201" s="105" t="n">
        <v>12997</v>
      </c>
      <c r="B201" t="n">
        <v/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>2.100205</v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/>
      </c>
      <c r="AT201" t="n">
        <v>6.038650976</v>
      </c>
      <c r="AU201" t="n">
        <v>0.287285</v>
      </c>
    </row>
    <row r="202">
      <c r="A202" s="105" t="n">
        <v>13028</v>
      </c>
      <c r="B202" t="n">
        <v/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>1.487514</v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/>
      </c>
      <c r="AT202" t="n">
        <v>6.198891045</v>
      </c>
      <c r="AU202" t="n">
        <v>0.611664</v>
      </c>
    </row>
    <row r="203">
      <c r="A203" s="105" t="n">
        <v>13058</v>
      </c>
      <c r="B203" t="n">
        <v/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>2.517217</v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/>
      </c>
      <c r="AT203" t="n">
        <v>6.386003056</v>
      </c>
      <c r="AU203" t="n">
        <v>0.208898</v>
      </c>
    </row>
    <row r="204">
      <c r="A204" s="105" t="n">
        <v>13089</v>
      </c>
      <c r="B204" t="n">
        <v/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>1.351458</v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/>
      </c>
      <c r="AT204" t="n">
        <v>6.5195695</v>
      </c>
      <c r="AU204" t="n">
        <v>0.150986</v>
      </c>
    </row>
    <row r="205">
      <c r="A205" s="105" t="n">
        <v>13119</v>
      </c>
      <c r="B205" t="n">
        <v/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>0.517422</v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/>
      </c>
      <c r="AT205" t="n">
        <v>6.599689535</v>
      </c>
      <c r="AU205" t="n">
        <v>0.126386</v>
      </c>
    </row>
    <row r="206">
      <c r="A206" s="105" t="n">
        <v>13150</v>
      </c>
      <c r="B206" t="n">
        <v/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>1.959505</v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/>
      </c>
      <c r="AT206" t="n">
        <v>6.492895875</v>
      </c>
      <c r="AU206" t="n">
        <v>0.141419</v>
      </c>
    </row>
    <row r="207">
      <c r="A207" s="105" t="n">
        <v>13181</v>
      </c>
      <c r="B207" t="n">
        <v/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>-0.304614</v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/>
      </c>
      <c r="AT207" t="n">
        <v>6.332556647</v>
      </c>
      <c r="AU207" t="n">
        <v>-0.219162</v>
      </c>
    </row>
    <row r="208">
      <c r="A208" s="105" t="n">
        <v>13210</v>
      </c>
      <c r="B208" t="n">
        <v/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>-2.549266</v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/>
      </c>
      <c r="AT208" t="n">
        <v>6.412676682</v>
      </c>
      <c r="AU208" t="n">
        <v>0.096626</v>
      </c>
    </row>
    <row r="209">
      <c r="A209" s="105" t="n">
        <v>13241</v>
      </c>
      <c r="B209" t="n">
        <v/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>-1.245853</v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/>
      </c>
      <c r="AT209" t="n">
        <v>6.813475172</v>
      </c>
      <c r="AU209" t="n">
        <v>0.919591</v>
      </c>
    </row>
    <row r="210">
      <c r="A210" s="105" t="n">
        <v>13271</v>
      </c>
      <c r="B210" t="n">
        <v/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>-1.129907</v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/>
      </c>
      <c r="AT210" t="n">
        <v>6.947041616</v>
      </c>
      <c r="AU210" t="n">
        <v>0.795848</v>
      </c>
    </row>
    <row r="211">
      <c r="A211" s="105" t="n">
        <v>13302</v>
      </c>
      <c r="B211" t="n">
        <v/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>-0.28815</v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/>
      </c>
      <c r="AT211" t="n">
        <v>7.080707218</v>
      </c>
      <c r="AU211" t="n">
        <v>1.092119</v>
      </c>
    </row>
    <row r="212">
      <c r="A212" s="105" t="n">
        <v>13332</v>
      </c>
      <c r="B212" t="n">
        <v/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>1.672821</v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/>
      </c>
      <c r="AT212" t="n">
        <v>7.214273662</v>
      </c>
      <c r="AU212" t="n">
        <v>1.099653</v>
      </c>
    </row>
    <row r="213">
      <c r="A213" s="105" t="n">
        <v>13363</v>
      </c>
      <c r="B213" t="n">
        <v/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>-0.340002</v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/>
      </c>
      <c r="AT213" t="n">
        <v>7.32116648</v>
      </c>
      <c r="AU213" t="n">
        <v>1.124835</v>
      </c>
    </row>
    <row r="214">
      <c r="A214" s="105" t="n">
        <v>13394</v>
      </c>
      <c r="B214" t="n">
        <v/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>-1.608892</v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/>
      </c>
      <c r="AT214" t="n">
        <v>7.454732924</v>
      </c>
      <c r="AU214" t="n">
        <v>0.920104</v>
      </c>
    </row>
    <row r="215">
      <c r="A215" s="105" t="n">
        <v>13424</v>
      </c>
      <c r="B215" t="n">
        <v/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>-0.255185</v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/>
      </c>
      <c r="AT215" t="n">
        <v>7.561625743</v>
      </c>
      <c r="AU215" t="n">
        <v>0.990386</v>
      </c>
    </row>
    <row r="216">
      <c r="A216" s="105" t="n">
        <v>13455</v>
      </c>
      <c r="B216" t="n">
        <v/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>0.306858</v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/>
      </c>
      <c r="AT216" t="n">
        <v>7.77541138</v>
      </c>
      <c r="AU216" t="n">
        <v>0.850764</v>
      </c>
    </row>
    <row r="217">
      <c r="A217" s="105" t="n">
        <v>13485</v>
      </c>
      <c r="B217" t="n">
        <v/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>0.163646</v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/>
      </c>
      <c r="AT217" t="n">
        <v>8.015870641999999</v>
      </c>
      <c r="AU217" t="n">
        <v>0.649408</v>
      </c>
    </row>
    <row r="218">
      <c r="A218" s="105" t="n">
        <v>13516</v>
      </c>
      <c r="B218" t="n">
        <v/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>-0.8298179999999999</v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/>
      </c>
      <c r="AT218" t="n">
        <v>7.989097858</v>
      </c>
      <c r="AU218" t="n">
        <v>0.49991</v>
      </c>
    </row>
    <row r="219">
      <c r="A219" s="105" t="n">
        <v>13547</v>
      </c>
      <c r="B219" t="n">
        <v/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>-4.645879</v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/>
      </c>
      <c r="AT219" t="n">
        <v>8.095990676</v>
      </c>
      <c r="AU219" t="n">
        <v>0.265579</v>
      </c>
    </row>
    <row r="220">
      <c r="A220" s="105" t="n">
        <v>13575</v>
      </c>
      <c r="B220" t="n">
        <v/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>-5.694873</v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/>
      </c>
      <c r="AT220" t="n">
        <v>8.283102688</v>
      </c>
      <c r="AU220" t="n">
        <v>0.768899</v>
      </c>
    </row>
    <row r="221">
      <c r="A221" s="105" t="n">
        <v>13606</v>
      </c>
      <c r="B221" t="n">
        <v/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>-4.931019</v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/>
      </c>
      <c r="AT221" t="n">
        <v>8.283102688</v>
      </c>
      <c r="AU221" t="n">
        <v>1.297595</v>
      </c>
    </row>
    <row r="222">
      <c r="A222" s="105" t="n">
        <v>13636</v>
      </c>
      <c r="B222" t="n">
        <v/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>0.423986</v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/>
      </c>
      <c r="AT222" t="n">
        <v>8.309776313</v>
      </c>
      <c r="AU222" t="n">
        <v>1.210956</v>
      </c>
    </row>
    <row r="223">
      <c r="A223" s="105" t="n">
        <v>13667</v>
      </c>
      <c r="B223" t="n">
        <v/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>0.07449699999999999</v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/>
      </c>
      <c r="AT223" t="n">
        <v>8.202883495</v>
      </c>
      <c r="AU223" t="n">
        <v>0.820279</v>
      </c>
    </row>
    <row r="224">
      <c r="A224" s="105" t="n">
        <v>13697</v>
      </c>
      <c r="B224" t="n">
        <v/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>1.019057</v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/>
      </c>
      <c r="AT224" t="n">
        <v>8.256329903999999</v>
      </c>
      <c r="AU224" t="n">
        <v>0.668049</v>
      </c>
    </row>
    <row r="225">
      <c r="A225" s="105" t="n">
        <v>13728</v>
      </c>
      <c r="B225" t="n">
        <v/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>3.695017</v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/>
      </c>
      <c r="AT225" t="n">
        <v>8.202883495</v>
      </c>
      <c r="AU225" t="n">
        <v>0.92537</v>
      </c>
    </row>
    <row r="226">
      <c r="A226" s="105" t="n">
        <v>13759</v>
      </c>
      <c r="B226" t="n">
        <v/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>3.164325</v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/>
      </c>
      <c r="AT226" t="n">
        <v>7.935750607</v>
      </c>
      <c r="AU226" t="n">
        <v>0.488346</v>
      </c>
    </row>
    <row r="227">
      <c r="A227" s="105" t="n">
        <v>13789</v>
      </c>
      <c r="B227" t="n">
        <v/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>2.443638</v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/>
      </c>
      <c r="AT227" t="n">
        <v>7.347840106</v>
      </c>
      <c r="AU227" t="n">
        <v>0.542675</v>
      </c>
    </row>
    <row r="228">
      <c r="A228" s="105" t="n">
        <v>13820</v>
      </c>
      <c r="B228" t="n">
        <v/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>1.876499</v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/>
      </c>
      <c r="AT228" t="n">
        <v>6.626462319</v>
      </c>
      <c r="AU228" t="n">
        <v>0.57686</v>
      </c>
    </row>
    <row r="229">
      <c r="A229" s="105" t="n">
        <v>13850</v>
      </c>
      <c r="B229" t="n">
        <v/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>3.254059</v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/>
      </c>
      <c r="AT229" t="n">
        <v>6.038650976</v>
      </c>
      <c r="AU229" t="n">
        <v>1.513863</v>
      </c>
    </row>
    <row r="230">
      <c r="A230" s="105" t="n">
        <v>13881</v>
      </c>
      <c r="B230" t="n">
        <v/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>-1.106863</v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/>
      </c>
      <c r="AT230" t="n">
        <v>5.904985373</v>
      </c>
      <c r="AU230" t="n">
        <v>1.397434</v>
      </c>
    </row>
    <row r="231">
      <c r="A231" s="105" t="n">
        <v>13912</v>
      </c>
      <c r="B231" t="n">
        <v/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>5.030222</v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/>
      </c>
      <c r="AT231" t="n">
        <v>5.851538964</v>
      </c>
      <c r="AU231" t="n">
        <v>1.635115</v>
      </c>
    </row>
    <row r="232">
      <c r="A232" s="105" t="n">
        <v>13940</v>
      </c>
      <c r="B232" t="n">
        <v/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>1.366054</v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/>
      </c>
      <c r="AT232" t="n">
        <v>5.851538964</v>
      </c>
      <c r="AU232" t="n">
        <v>1.067865</v>
      </c>
    </row>
    <row r="233">
      <c r="A233" s="105" t="n">
        <v>13971</v>
      </c>
      <c r="B233" t="n">
        <v/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>2.971087</v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/>
      </c>
      <c r="AT233" t="n">
        <v>5.744745304</v>
      </c>
      <c r="AU233" t="n">
        <v>1.016627</v>
      </c>
    </row>
    <row r="234">
      <c r="A234" s="105" t="n">
        <v>14001</v>
      </c>
      <c r="B234" t="n">
        <v/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>2.087314</v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/>
      </c>
      <c r="AT234" t="n">
        <v>5.611079702</v>
      </c>
      <c r="AU234" t="n">
        <v>1.794583</v>
      </c>
    </row>
    <row r="235">
      <c r="A235" s="105" t="n">
        <v>14032</v>
      </c>
      <c r="B235" t="n">
        <v/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>0.754387</v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/>
      </c>
      <c r="AT235" t="n">
        <v>5.664526111</v>
      </c>
      <c r="AU235" t="n">
        <v>1.363622</v>
      </c>
    </row>
    <row r="236">
      <c r="A236" s="105" t="n">
        <v>14062</v>
      </c>
      <c r="B236" t="n">
        <v/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>1.8372</v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/>
      </c>
      <c r="AT236" t="n">
        <v>5.985204566</v>
      </c>
      <c r="AU236" t="n">
        <v>0.669611</v>
      </c>
    </row>
    <row r="237">
      <c r="A237" s="105" t="n">
        <v>14093</v>
      </c>
      <c r="B237" t="n">
        <v/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>2.749143</v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/>
      </c>
      <c r="AT237" t="n">
        <v>6.305783863</v>
      </c>
      <c r="AU237" t="n">
        <v>1.756821</v>
      </c>
    </row>
    <row r="238">
      <c r="A238" s="105" t="n">
        <v>14124</v>
      </c>
      <c r="B238" t="n">
        <v/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>1.148671</v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/>
      </c>
      <c r="AT238" t="n">
        <v>6.492895875</v>
      </c>
      <c r="AU238" t="n">
        <v>1.420302</v>
      </c>
    </row>
    <row r="239">
      <c r="A239" s="105" t="n">
        <v>14154</v>
      </c>
      <c r="B239" t="n">
        <v/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>2.811594</v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/>
      </c>
      <c r="AT239" t="n">
        <v>6.653135944</v>
      </c>
      <c r="AU239" t="n">
        <v>1.381133</v>
      </c>
    </row>
    <row r="240">
      <c r="A240" s="105" t="n">
        <v>14185</v>
      </c>
      <c r="B240" t="n">
        <v/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>2.075388</v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/>
      </c>
      <c r="AT240" t="n">
        <v>6.92036799</v>
      </c>
      <c r="AU240" t="n">
        <v>1.382769</v>
      </c>
    </row>
    <row r="241">
      <c r="A241" s="105" t="n">
        <v>14215</v>
      </c>
      <c r="B241" t="n">
        <v/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>2.48139</v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/>
      </c>
      <c r="AT241" t="n">
        <v>7.000488025</v>
      </c>
      <c r="AU241" t="n">
        <v>1.623794</v>
      </c>
    </row>
    <row r="242">
      <c r="A242" s="105" t="n">
        <v>14246</v>
      </c>
      <c r="B242" t="n">
        <v/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>2.14123</v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/>
      </c>
      <c r="AT242" t="n">
        <v>7.000488025</v>
      </c>
      <c r="AU242" t="n">
        <v>0.819509</v>
      </c>
    </row>
    <row r="243">
      <c r="A243" s="105" t="n">
        <v>14277</v>
      </c>
      <c r="B243" t="n">
        <v/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>1.274967</v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/>
      </c>
      <c r="AT243" t="n">
        <v>7.053934434</v>
      </c>
      <c r="AU243" t="n">
        <v>1.17193</v>
      </c>
    </row>
    <row r="244">
      <c r="A244" s="105" t="n">
        <v>14305</v>
      </c>
      <c r="B244" t="n">
        <v/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>3.002868</v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/>
      </c>
      <c r="AT244" t="n">
        <v>7.080707218</v>
      </c>
      <c r="AU244" t="n">
        <v>1.416847</v>
      </c>
    </row>
    <row r="245">
      <c r="A245" s="105" t="n">
        <v>14336</v>
      </c>
      <c r="B245" t="n">
        <v/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>0.966923</v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/>
      </c>
      <c r="AT245" t="n">
        <v>7.053934434</v>
      </c>
      <c r="AU245" t="n">
        <v>0.420212</v>
      </c>
    </row>
    <row r="246">
      <c r="A246" s="105" t="n">
        <v>14366</v>
      </c>
      <c r="B246" t="n">
        <v/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>0.693862</v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/>
      </c>
      <c r="AT246" t="n">
        <v>7.027260809</v>
      </c>
      <c r="AU246" t="n">
        <v>1.220868</v>
      </c>
    </row>
    <row r="247">
      <c r="A247" s="105" t="n">
        <v>14397</v>
      </c>
      <c r="B247" t="n">
        <v/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>0.704539</v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/>
      </c>
      <c r="AT247" t="n">
        <v>7.187600036</v>
      </c>
      <c r="AU247" t="n">
        <v>0.238976</v>
      </c>
    </row>
    <row r="248">
      <c r="A248" s="105" t="n">
        <v>14427</v>
      </c>
      <c r="B248" t="n">
        <v/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>-4.794325</v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/>
      </c>
      <c r="AT248" t="n">
        <v>7.401286515</v>
      </c>
      <c r="AU248" t="n">
        <v>-0.569327</v>
      </c>
    </row>
    <row r="249">
      <c r="A249" s="105" t="n">
        <v>14458</v>
      </c>
      <c r="B249" t="n">
        <v/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>-3.540374</v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/>
      </c>
      <c r="AT249" t="n">
        <v>7.508179333</v>
      </c>
      <c r="AU249" t="n">
        <v>-1.555488</v>
      </c>
    </row>
    <row r="250">
      <c r="A250" s="105" t="n">
        <v>14489</v>
      </c>
      <c r="B250" t="n">
        <v/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>-2.205431</v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/>
      </c>
      <c r="AT250" t="n">
        <v>7.962424233</v>
      </c>
      <c r="AU250" t="n">
        <v>-0.343175</v>
      </c>
    </row>
    <row r="251">
      <c r="A251" s="105" t="n">
        <v>14519</v>
      </c>
      <c r="B251" t="n">
        <v/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>3.844624</v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/>
      </c>
      <c r="AT251" t="n">
        <v>8.363222723</v>
      </c>
      <c r="AU251" t="n">
        <v>0.231904</v>
      </c>
    </row>
    <row r="252">
      <c r="A252" s="105" t="n">
        <v>14550</v>
      </c>
      <c r="B252" t="n">
        <v/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>1.807144</v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/>
      </c>
      <c r="AT252" t="n">
        <v>8.577008360000001</v>
      </c>
      <c r="AU252" t="n">
        <v>0.6667689999999999</v>
      </c>
    </row>
    <row r="253">
      <c r="A253" s="105" t="n">
        <v>14580</v>
      </c>
      <c r="B253" t="n">
        <v/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>3.17133</v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/>
      </c>
      <c r="AT253" t="n">
        <v>8.577008360000001</v>
      </c>
      <c r="AU253" t="n">
        <v>1.138547</v>
      </c>
    </row>
    <row r="254">
      <c r="A254" s="105" t="n">
        <v>14611</v>
      </c>
      <c r="B254" t="n">
        <v/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>4.486623</v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/>
      </c>
      <c r="AT254" t="n">
        <v>8.470115541</v>
      </c>
      <c r="AU254" t="n">
        <v>0.682244</v>
      </c>
    </row>
    <row r="255">
      <c r="A255" s="105" t="n">
        <v>14642</v>
      </c>
      <c r="B255" t="n">
        <v/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>0.411067</v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/>
      </c>
      <c r="AT255" t="n">
        <v>8.202883495</v>
      </c>
      <c r="AU255" t="n">
        <v>1.111748</v>
      </c>
    </row>
    <row r="256">
      <c r="A256" s="105" t="n">
        <v>14671</v>
      </c>
      <c r="B256" t="n">
        <v/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>1.402793</v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/>
      </c>
      <c r="AT256" t="n">
        <v>8.015870641999999</v>
      </c>
      <c r="AU256" t="n">
        <v>1.069624</v>
      </c>
    </row>
    <row r="257">
      <c r="A257" s="105" t="n">
        <v>14702</v>
      </c>
      <c r="B257" t="n">
        <v/>
      </c>
      <c r="C257" t="n">
        <v/>
      </c>
      <c r="D257" t="n">
        <v/>
      </c>
      <c r="E257" t="n">
        <v/>
      </c>
      <c r="F257" t="n">
        <v/>
      </c>
      <c r="G257" t="n">
        <v>2.6</v>
      </c>
      <c r="H257" t="n">
        <v/>
      </c>
      <c r="I257" t="n">
        <v/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>2.399388</v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/>
      </c>
      <c r="AT257" t="n">
        <v>8.176209869999999</v>
      </c>
      <c r="AU257" t="n">
        <v>0.9508259999999999</v>
      </c>
    </row>
    <row r="258">
      <c r="A258" s="105" t="n">
        <v>14732</v>
      </c>
      <c r="B258" t="n">
        <v/>
      </c>
      <c r="C258" t="n">
        <v/>
      </c>
      <c r="D258" t="n">
        <v/>
      </c>
      <c r="E258" t="n">
        <v/>
      </c>
      <c r="F258" t="n">
        <v/>
      </c>
      <c r="G258" t="n">
        <v>2.3</v>
      </c>
      <c r="H258" t="n">
        <v/>
      </c>
      <c r="I258" t="n">
        <v/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>0.972643</v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/>
      </c>
      <c r="AT258" t="n">
        <v>8.416669132000001</v>
      </c>
      <c r="AU258" t="n">
        <v>0.574942</v>
      </c>
    </row>
    <row r="259">
      <c r="A259" s="105" t="n">
        <v>14763</v>
      </c>
      <c r="B259" t="n">
        <v/>
      </c>
      <c r="C259" t="n">
        <v/>
      </c>
      <c r="D259" t="n">
        <v/>
      </c>
      <c r="E259" t="n">
        <v/>
      </c>
      <c r="F259" t="n">
        <v/>
      </c>
      <c r="G259" t="n">
        <v>1.8</v>
      </c>
      <c r="H259" t="n">
        <v/>
      </c>
      <c r="I259" t="n">
        <v/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>0.789035</v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/>
      </c>
      <c r="AT259" t="n">
        <v>8.68380202</v>
      </c>
      <c r="AU259" t="n">
        <v>0.298202</v>
      </c>
    </row>
    <row r="260">
      <c r="A260" s="105" t="n">
        <v>14793</v>
      </c>
      <c r="B260" t="n">
        <v/>
      </c>
      <c r="C260" t="n">
        <v/>
      </c>
      <c r="D260" t="n">
        <v/>
      </c>
      <c r="E260" t="n">
        <v/>
      </c>
      <c r="F260" t="n">
        <v/>
      </c>
      <c r="G260" t="n">
        <v>1.5</v>
      </c>
      <c r="H260" t="n">
        <v/>
      </c>
      <c r="I260" t="n">
        <v/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>0.070025</v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/>
      </c>
      <c r="AT260" t="n">
        <v>8.790694838</v>
      </c>
      <c r="AU260" t="n">
        <v>0.7621019999999999</v>
      </c>
    </row>
    <row r="261">
      <c r="A261" s="105" t="n">
        <v>14824</v>
      </c>
      <c r="B261" t="n">
        <v/>
      </c>
      <c r="C261" t="n">
        <v/>
      </c>
      <c r="D261" t="n">
        <v/>
      </c>
      <c r="E261" t="n">
        <v/>
      </c>
      <c r="F261" t="n">
        <v/>
      </c>
      <c r="G261" t="n">
        <v>2</v>
      </c>
      <c r="H261" t="n">
        <v/>
      </c>
      <c r="I261" t="n">
        <v/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>-1.06384</v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/>
      </c>
      <c r="AT261" t="n">
        <v>8.844141247</v>
      </c>
      <c r="AU261" t="n">
        <v>0.399771</v>
      </c>
    </row>
    <row r="262">
      <c r="A262" s="105" t="n">
        <v>14855</v>
      </c>
      <c r="B262" t="n">
        <v/>
      </c>
      <c r="C262" t="n">
        <v/>
      </c>
      <c r="D262" t="n">
        <v/>
      </c>
      <c r="E262" t="n">
        <v/>
      </c>
      <c r="F262" t="n">
        <v/>
      </c>
      <c r="G262" t="n">
        <v>2.1</v>
      </c>
      <c r="H262" t="n">
        <v/>
      </c>
      <c r="I262" t="n">
        <v/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>-3.446436</v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/>
      </c>
      <c r="AT262" t="n">
        <v>9.031253259</v>
      </c>
      <c r="AU262" t="n">
        <v>0.897717</v>
      </c>
    </row>
    <row r="263">
      <c r="A263" s="105" t="n">
        <v>14885</v>
      </c>
      <c r="B263" t="n">
        <v/>
      </c>
      <c r="C263" t="n">
        <v/>
      </c>
      <c r="D263" t="n">
        <v/>
      </c>
      <c r="E263" t="n">
        <v/>
      </c>
      <c r="F263" t="n">
        <v/>
      </c>
      <c r="G263" t="n">
        <v>1.8</v>
      </c>
      <c r="H263" t="n">
        <v/>
      </c>
      <c r="I263" t="n">
        <v/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>3.126092</v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/>
      </c>
      <c r="AT263" t="n">
        <v>9.164819702999999</v>
      </c>
      <c r="AU263" t="n">
        <v>0.299332</v>
      </c>
    </row>
    <row r="264">
      <c r="A264" s="105" t="n">
        <v>14916</v>
      </c>
      <c r="B264" t="n">
        <v/>
      </c>
      <c r="C264" t="n">
        <v/>
      </c>
      <c r="D264" t="n">
        <v/>
      </c>
      <c r="E264" t="n">
        <v/>
      </c>
      <c r="F264" t="n">
        <v/>
      </c>
      <c r="G264" t="n">
        <v>2</v>
      </c>
      <c r="H264" t="n">
        <v/>
      </c>
      <c r="I264" t="n">
        <v/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>1.730653</v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/>
      </c>
      <c r="AT264" t="n">
        <v>9.37860534</v>
      </c>
      <c r="AU264" t="n">
        <v>0.435785</v>
      </c>
    </row>
    <row r="265">
      <c r="A265" s="105" t="n">
        <v>14946</v>
      </c>
      <c r="B265" t="n">
        <v/>
      </c>
      <c r="C265" t="n">
        <v/>
      </c>
      <c r="D265" t="n">
        <v/>
      </c>
      <c r="E265" t="n">
        <v/>
      </c>
      <c r="F265" t="n">
        <v/>
      </c>
      <c r="G265" t="n">
        <v>1.9</v>
      </c>
      <c r="H265" t="n">
        <v/>
      </c>
      <c r="I265" t="n">
        <v/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>-0.06456099999999999</v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/>
      </c>
      <c r="AT265" t="n">
        <v>9.699184637</v>
      </c>
      <c r="AU265" t="n">
        <v>0.413646</v>
      </c>
    </row>
    <row r="266">
      <c r="A266" s="105" t="n">
        <v>14977</v>
      </c>
      <c r="B266" t="n">
        <v/>
      </c>
      <c r="C266" t="n">
        <v/>
      </c>
      <c r="D266" t="n">
        <v/>
      </c>
      <c r="E266" t="n">
        <v/>
      </c>
      <c r="F266" t="n">
        <v/>
      </c>
      <c r="G266" t="n">
        <v>1.8</v>
      </c>
      <c r="H266" t="n">
        <v/>
      </c>
      <c r="I266" t="n">
        <v/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>0.591272</v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/>
      </c>
      <c r="AT266" t="n">
        <v>9.939643899</v>
      </c>
      <c r="AU266" t="n">
        <v>1.060008</v>
      </c>
    </row>
    <row r="267">
      <c r="A267" s="105" t="n">
        <v>15008</v>
      </c>
      <c r="B267" t="n">
        <v/>
      </c>
      <c r="C267" t="n">
        <v/>
      </c>
      <c r="D267" t="n">
        <v/>
      </c>
      <c r="E267" t="n">
        <v/>
      </c>
      <c r="F267" t="n">
        <v/>
      </c>
      <c r="G267" t="n">
        <v>2.1</v>
      </c>
      <c r="H267" t="n">
        <v/>
      </c>
      <c r="I267" t="n">
        <v/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>0.606621</v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/>
      </c>
      <c r="AT267" t="n">
        <v>10.23354957</v>
      </c>
      <c r="AU267" t="n">
        <v>0.459097</v>
      </c>
    </row>
    <row r="268">
      <c r="A268" s="105" t="n">
        <v>15036</v>
      </c>
      <c r="B268" t="n">
        <v/>
      </c>
      <c r="C268" t="n">
        <v/>
      </c>
      <c r="D268" t="n">
        <v/>
      </c>
      <c r="E268" t="n">
        <v/>
      </c>
      <c r="F268" t="n">
        <v/>
      </c>
      <c r="G268" t="n">
        <v>1.6</v>
      </c>
      <c r="H268" t="n">
        <v/>
      </c>
      <c r="I268" t="n">
        <v/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>-0.947051</v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/>
      </c>
      <c r="AT268" t="n">
        <v>10.554228026</v>
      </c>
      <c r="AU268" t="n">
        <v>1.287982</v>
      </c>
    </row>
    <row r="269">
      <c r="A269" s="105" t="n">
        <v>15067</v>
      </c>
      <c r="B269" t="n">
        <v/>
      </c>
      <c r="C269" t="n">
        <v/>
      </c>
      <c r="D269" t="n">
        <v/>
      </c>
      <c r="E269" t="n">
        <v/>
      </c>
      <c r="F269" t="n">
        <v/>
      </c>
      <c r="G269" t="n">
        <v>1.8</v>
      </c>
      <c r="H269" t="n">
        <v/>
      </c>
      <c r="I269" t="n">
        <v/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>-1.509716</v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/>
      </c>
      <c r="AT269" t="n">
        <v>10.580901651</v>
      </c>
      <c r="AU269" t="n">
        <v>-0.390104</v>
      </c>
    </row>
    <row r="270">
      <c r="A270" s="105" t="n">
        <v>15097</v>
      </c>
      <c r="B270" t="n">
        <v/>
      </c>
      <c r="C270" t="n">
        <v/>
      </c>
      <c r="D270" t="n">
        <v/>
      </c>
      <c r="E270" t="n">
        <v/>
      </c>
      <c r="F270" t="n">
        <v/>
      </c>
      <c r="G270" t="n">
        <v>1.8</v>
      </c>
      <c r="H270" t="n">
        <v/>
      </c>
      <c r="I270" t="n">
        <v/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>-0.639415</v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/>
      </c>
      <c r="AT270" t="n">
        <v>11.061919334</v>
      </c>
      <c r="AU270" t="n">
        <v>0.244204</v>
      </c>
    </row>
    <row r="271">
      <c r="A271" s="105" t="n">
        <v>15128</v>
      </c>
      <c r="B271" t="n">
        <v/>
      </c>
      <c r="C271" t="n">
        <v/>
      </c>
      <c r="D271" t="n">
        <v/>
      </c>
      <c r="E271" t="n">
        <v/>
      </c>
      <c r="F271" t="n">
        <v/>
      </c>
      <c r="G271" t="n">
        <v>1.8</v>
      </c>
      <c r="H271" t="n">
        <v/>
      </c>
      <c r="I271" t="n">
        <v/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>-0.789077</v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/>
      </c>
      <c r="AT271" t="n">
        <v>11.142039369</v>
      </c>
      <c r="AU271" t="n">
        <v>0.637474</v>
      </c>
    </row>
    <row r="272">
      <c r="A272" s="105" t="n">
        <v>15158</v>
      </c>
      <c r="B272" t="n">
        <v/>
      </c>
      <c r="C272" t="n">
        <v/>
      </c>
      <c r="D272" t="n">
        <v/>
      </c>
      <c r="E272" t="n">
        <v/>
      </c>
      <c r="F272" t="n">
        <v/>
      </c>
      <c r="G272" t="n">
        <v>1.7</v>
      </c>
      <c r="H272" t="n">
        <v/>
      </c>
      <c r="I272" t="n">
        <v/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>0.470132</v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/>
      </c>
      <c r="AT272" t="n">
        <v>11.275605813</v>
      </c>
      <c r="AU272" t="n">
        <v>1.086025</v>
      </c>
    </row>
    <row r="273">
      <c r="A273" s="105" t="n">
        <v>15189</v>
      </c>
      <c r="B273" t="n">
        <v/>
      </c>
      <c r="C273" t="n">
        <v/>
      </c>
      <c r="D273" t="n">
        <v/>
      </c>
      <c r="E273" t="n">
        <v/>
      </c>
      <c r="F273" t="n">
        <v/>
      </c>
      <c r="G273" t="n">
        <v>1.7</v>
      </c>
      <c r="H273" t="n">
        <v/>
      </c>
      <c r="I273" t="n">
        <v/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>1.47343</v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/>
      </c>
      <c r="AT273" t="n">
        <v>11.409271415</v>
      </c>
      <c r="AU273" t="n">
        <v>0.430871</v>
      </c>
    </row>
    <row r="274">
      <c r="A274" s="105" t="n">
        <v>15220</v>
      </c>
      <c r="B274" t="n">
        <v/>
      </c>
      <c r="C274" t="n">
        <v/>
      </c>
      <c r="D274" t="n">
        <v/>
      </c>
      <c r="E274" t="n">
        <v/>
      </c>
      <c r="F274" t="n">
        <v/>
      </c>
      <c r="G274" t="n">
        <v>1.8</v>
      </c>
      <c r="H274" t="n">
        <v/>
      </c>
      <c r="I274" t="n">
        <v/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>2.365503</v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/>
      </c>
      <c r="AT274" t="n">
        <v>11.409271415</v>
      </c>
      <c r="AU274" t="n">
        <v>-0.522174</v>
      </c>
    </row>
    <row r="275">
      <c r="A275" s="105" t="n">
        <v>15250</v>
      </c>
      <c r="B275" t="n">
        <v/>
      </c>
      <c r="C275" t="n">
        <v/>
      </c>
      <c r="D275" t="n">
        <v/>
      </c>
      <c r="E275" t="n">
        <v/>
      </c>
      <c r="F275" t="n">
        <v/>
      </c>
      <c r="G275" t="n">
        <v>1.7</v>
      </c>
      <c r="H275" t="n">
        <v/>
      </c>
      <c r="I275" t="n">
        <v/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>-0.034886</v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/>
      </c>
      <c r="AT275" t="n">
        <v>11.516164234</v>
      </c>
      <c r="AU275" t="n">
        <v>0.055541</v>
      </c>
    </row>
    <row r="276">
      <c r="A276" s="105" t="n">
        <v>15281</v>
      </c>
      <c r="B276" t="n">
        <v/>
      </c>
      <c r="C276" t="n">
        <v/>
      </c>
      <c r="D276" t="n">
        <v/>
      </c>
      <c r="E276" t="n">
        <v/>
      </c>
      <c r="F276" t="n">
        <v/>
      </c>
      <c r="G276" t="n">
        <v>1.5</v>
      </c>
      <c r="H276" t="n">
        <v/>
      </c>
      <c r="I276" t="n">
        <v/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>-1.203864</v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/>
      </c>
      <c r="AT276" t="n">
        <v>11.569610643</v>
      </c>
      <c r="AU276" t="n">
        <v>0.080882</v>
      </c>
    </row>
    <row r="277">
      <c r="A277" s="105" t="n">
        <v>15311</v>
      </c>
      <c r="B277" t="n">
        <v/>
      </c>
      <c r="C277" t="n">
        <v/>
      </c>
      <c r="D277" t="n">
        <v/>
      </c>
      <c r="E277" t="n">
        <v/>
      </c>
      <c r="F277" t="n">
        <v/>
      </c>
      <c r="G277" t="n">
        <v>1.4</v>
      </c>
      <c r="H277" t="n">
        <v/>
      </c>
      <c r="I277" t="n">
        <v/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>-0.745161</v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/>
      </c>
      <c r="AT277" t="n">
        <v>11.756623496</v>
      </c>
      <c r="AU277" t="n">
        <v>-0.203199</v>
      </c>
    </row>
    <row r="278">
      <c r="A278" s="105" t="n">
        <v>15342</v>
      </c>
      <c r="B278" t="n">
        <v/>
      </c>
      <c r="C278" t="n">
        <v/>
      </c>
      <c r="D278" t="n">
        <v/>
      </c>
      <c r="E278" t="n">
        <v/>
      </c>
      <c r="F278" t="n">
        <v/>
      </c>
      <c r="G278" t="n">
        <v>1.9</v>
      </c>
      <c r="H278" t="n">
        <v/>
      </c>
      <c r="I278" t="n">
        <v/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>-1.309288</v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/>
      </c>
      <c r="AT278" t="n">
        <v>11.997082758</v>
      </c>
      <c r="AU278" t="n">
        <v>0.887309</v>
      </c>
    </row>
    <row r="279">
      <c r="A279" s="105" t="n">
        <v>15373</v>
      </c>
      <c r="B279" t="n">
        <v/>
      </c>
      <c r="C279" t="n">
        <v/>
      </c>
      <c r="D279" t="n">
        <v/>
      </c>
      <c r="E279" t="n">
        <v/>
      </c>
      <c r="F279" t="n">
        <v/>
      </c>
      <c r="G279" t="n">
        <v>1.7</v>
      </c>
      <c r="H279" t="n">
        <v/>
      </c>
      <c r="I279" t="n">
        <v/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>0.149165</v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/>
      </c>
      <c r="AT279" t="n">
        <v>12.210868395</v>
      </c>
      <c r="AU279" t="n">
        <v>0.244169</v>
      </c>
    </row>
    <row r="280">
      <c r="A280" s="105" t="n">
        <v>15401</v>
      </c>
      <c r="B280" t="n">
        <v/>
      </c>
      <c r="C280" t="n">
        <v/>
      </c>
      <c r="D280" t="n">
        <v/>
      </c>
      <c r="E280" t="n">
        <v/>
      </c>
      <c r="F280" t="n">
        <v/>
      </c>
      <c r="G280" t="n">
        <v>1.6</v>
      </c>
      <c r="H280" t="n">
        <v/>
      </c>
      <c r="I280" t="n">
        <v/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>0.670739</v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/>
      </c>
      <c r="AT280" t="n">
        <v>12.344434839</v>
      </c>
      <c r="AU280" t="n">
        <v>0.096876</v>
      </c>
    </row>
    <row r="281">
      <c r="A281" s="105" t="n">
        <v>15432</v>
      </c>
      <c r="B281" t="n">
        <v/>
      </c>
      <c r="C281" t="n">
        <v/>
      </c>
      <c r="D281" t="n">
        <v/>
      </c>
      <c r="E281" t="n">
        <v/>
      </c>
      <c r="F281" t="n">
        <v/>
      </c>
      <c r="G281" t="n">
        <v>1.5</v>
      </c>
      <c r="H281" t="n">
        <v/>
      </c>
      <c r="I281" t="n">
        <v/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>0.739453</v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/>
      </c>
      <c r="AT281" t="n">
        <v>11.997082758</v>
      </c>
      <c r="AU281" t="n">
        <v>-0.118535</v>
      </c>
    </row>
    <row r="282">
      <c r="A282" s="105" t="n">
        <v>15462</v>
      </c>
      <c r="B282" t="n">
        <v/>
      </c>
      <c r="C282" t="n">
        <v/>
      </c>
      <c r="D282" t="n">
        <v/>
      </c>
      <c r="E282" t="n">
        <v/>
      </c>
      <c r="F282" t="n">
        <v/>
      </c>
      <c r="G282" t="n">
        <v>1.8</v>
      </c>
      <c r="H282" t="n">
        <v/>
      </c>
      <c r="I282" t="n">
        <v/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>1.863032</v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/>
      </c>
      <c r="AT282" t="n">
        <v>12.023756384</v>
      </c>
      <c r="AU282" t="n">
        <v>0.721479</v>
      </c>
    </row>
    <row r="283">
      <c r="A283" s="105" t="n">
        <v>15493</v>
      </c>
      <c r="B283" t="n">
        <v/>
      </c>
      <c r="C283" t="n">
        <v/>
      </c>
      <c r="D283" t="n">
        <v/>
      </c>
      <c r="E283" t="n">
        <v/>
      </c>
      <c r="F283" t="n">
        <v/>
      </c>
      <c r="G283" t="n">
        <v>1.8</v>
      </c>
      <c r="H283" t="n">
        <v/>
      </c>
      <c r="I283" t="n">
        <v/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>0.504006</v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/>
      </c>
      <c r="AT283" t="n">
        <v>12.050529167</v>
      </c>
      <c r="AU283" t="n">
        <v>0.5630309999999999</v>
      </c>
    </row>
    <row r="284">
      <c r="A284" s="105" t="n">
        <v>15523</v>
      </c>
      <c r="B284" t="n">
        <v/>
      </c>
      <c r="C284" t="n">
        <v/>
      </c>
      <c r="D284" t="n">
        <v/>
      </c>
      <c r="E284" t="n">
        <v/>
      </c>
      <c r="F284" t="n">
        <v/>
      </c>
      <c r="G284" t="n">
        <v>1.5</v>
      </c>
      <c r="H284" t="n">
        <v/>
      </c>
      <c r="I284" t="n">
        <v/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>0.764313</v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/>
      </c>
      <c r="AT284" t="n">
        <v>12.344434839</v>
      </c>
      <c r="AU284" t="n">
        <v>0.76217</v>
      </c>
    </row>
    <row r="285">
      <c r="A285" s="105" t="n">
        <v>15554</v>
      </c>
      <c r="B285" t="n">
        <v/>
      </c>
      <c r="C285" t="n">
        <v/>
      </c>
      <c r="D285" t="n">
        <v/>
      </c>
      <c r="E285" t="n">
        <v/>
      </c>
      <c r="F285" t="n">
        <v/>
      </c>
      <c r="G285" t="n">
        <v>1.5</v>
      </c>
      <c r="H285" t="n">
        <v/>
      </c>
      <c r="I285" t="n">
        <v/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>0.740269</v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/>
      </c>
      <c r="AT285" t="n">
        <v>12.718460545</v>
      </c>
      <c r="AU285" t="n">
        <v>-0.655325</v>
      </c>
    </row>
    <row r="286">
      <c r="A286" s="105" t="n">
        <v>15585</v>
      </c>
      <c r="B286" t="n">
        <v/>
      </c>
      <c r="C286" t="n">
        <v/>
      </c>
      <c r="D286" t="n">
        <v/>
      </c>
      <c r="E286" t="n">
        <v/>
      </c>
      <c r="F286" t="n">
        <v/>
      </c>
      <c r="G286" t="n">
        <v>1.7</v>
      </c>
      <c r="H286" t="n">
        <v/>
      </c>
      <c r="I286" t="n">
        <v/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>-4.031456</v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/>
      </c>
      <c r="AT286" t="n">
        <v>13.012465375</v>
      </c>
      <c r="AU286" t="n">
        <v>-0.173665</v>
      </c>
    </row>
    <row r="287">
      <c r="A287" s="105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>1.6</v>
      </c>
      <c r="H287" t="n">
        <v/>
      </c>
      <c r="I287" t="n">
        <v/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/>
      </c>
      <c r="AT287" t="n">
        <v>13.439937491</v>
      </c>
      <c r="AU287" t="n">
        <v/>
      </c>
    </row>
    <row r="288">
      <c r="A288" s="105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/>
      </c>
      <c r="AT288" t="n">
        <v>13.760615946</v>
      </c>
      <c r="AU288" t="n">
        <v/>
      </c>
    </row>
    <row r="289">
      <c r="A289" s="105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/>
      </c>
      <c r="AT289" t="n">
        <v>14.081195243</v>
      </c>
      <c r="AU289" t="n">
        <v/>
      </c>
    </row>
    <row r="290">
      <c r="A290" s="105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/>
      </c>
      <c r="AT290" t="n">
        <v>14.214860845</v>
      </c>
      <c r="AU290" t="n">
        <v/>
      </c>
    </row>
    <row r="291">
      <c r="A291" s="105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/>
      </c>
      <c r="AT291" t="n">
        <v>14.588886551</v>
      </c>
      <c r="AU291" t="n">
        <v/>
      </c>
    </row>
    <row r="292">
      <c r="A292" s="105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/>
      </c>
      <c r="AT292" t="n">
        <v>14.69577937</v>
      </c>
      <c r="AU292" t="n">
        <v/>
      </c>
    </row>
    <row r="293">
      <c r="A293" s="105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/>
      </c>
      <c r="AT293" t="n">
        <v>14.882792223</v>
      </c>
      <c r="AU293" t="n">
        <v/>
      </c>
    </row>
    <row r="294">
      <c r="A294" s="105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/>
      </c>
      <c r="AT294" t="n">
        <v>14.989685041</v>
      </c>
      <c r="AU294" t="n">
        <v/>
      </c>
    </row>
    <row r="295">
      <c r="A295" s="105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/>
      </c>
      <c r="AT295" t="n">
        <v>14.909565007</v>
      </c>
      <c r="AU295" t="n">
        <v/>
      </c>
    </row>
    <row r="296">
      <c r="A296" s="105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/>
      </c>
      <c r="AT296" t="n">
        <v>15.363710748</v>
      </c>
      <c r="AU296" t="n">
        <v/>
      </c>
    </row>
    <row r="297">
      <c r="A297" s="105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/>
      </c>
      <c r="AT297" t="n">
        <v>15.684389203</v>
      </c>
      <c r="AU297" t="n">
        <v/>
      </c>
    </row>
    <row r="298">
      <c r="A298" s="105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/>
      </c>
      <c r="AT298" t="n">
        <v>16.085187693</v>
      </c>
      <c r="AU298" t="n">
        <v/>
      </c>
    </row>
    <row r="299">
      <c r="A299" s="105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/>
      </c>
      <c r="AT299" t="n">
        <v>16.325646955</v>
      </c>
      <c r="AU299" t="n">
        <v/>
      </c>
    </row>
    <row r="300">
      <c r="A300" s="105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/>
      </c>
      <c r="AT300" t="n">
        <v>16.539432592</v>
      </c>
      <c r="AU300" t="n">
        <v/>
      </c>
    </row>
    <row r="301">
      <c r="A301" s="105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/>
      </c>
      <c r="AT301" t="n">
        <v>16.325646955</v>
      </c>
      <c r="AU301" t="n">
        <v/>
      </c>
    </row>
    <row r="302">
      <c r="A302" s="105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/>
      </c>
      <c r="AT302" t="n">
        <v>16.512659808</v>
      </c>
      <c r="AU302" t="n">
        <v/>
      </c>
    </row>
    <row r="303">
      <c r="A303" s="105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/>
      </c>
      <c r="AT303" t="n">
        <v>16.646325411</v>
      </c>
      <c r="AU303" t="n">
        <v/>
      </c>
    </row>
    <row r="304">
      <c r="A304" s="105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/>
      </c>
      <c r="AT304" t="n">
        <v>16.619552627</v>
      </c>
      <c r="AU304" t="n">
        <v/>
      </c>
    </row>
    <row r="305">
      <c r="A305" s="105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/>
      </c>
      <c r="AT305" t="n">
        <v>16.619552627</v>
      </c>
      <c r="AU305" t="n">
        <v/>
      </c>
    </row>
    <row r="306">
      <c r="A306" s="105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/>
      </c>
      <c r="AT306" t="n">
        <v>16.512659808</v>
      </c>
      <c r="AU306" t="n">
        <v/>
      </c>
    </row>
    <row r="307">
      <c r="A307" s="105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/>
      </c>
      <c r="AT307" t="n">
        <v>16.459213399</v>
      </c>
      <c r="AU307" t="n">
        <v/>
      </c>
    </row>
    <row r="308">
      <c r="A308" s="105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/>
      </c>
      <c r="AT308" t="n">
        <v>16.432539774</v>
      </c>
      <c r="AU308" t="n">
        <v/>
      </c>
    </row>
    <row r="309">
      <c r="A309" s="105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/>
      </c>
      <c r="AT309" t="n">
        <v>16.646325411</v>
      </c>
      <c r="AU309" t="n">
        <v/>
      </c>
    </row>
    <row r="310">
      <c r="A310" s="105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/>
      </c>
      <c r="AT310" t="n">
        <v>16.539432592</v>
      </c>
      <c r="AU310" t="n">
        <v/>
      </c>
    </row>
    <row r="311">
      <c r="A311" s="105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/>
      </c>
      <c r="AT311" t="n">
        <v>16.592879001</v>
      </c>
      <c r="AU311" t="n">
        <v/>
      </c>
    </row>
    <row r="312">
      <c r="A312" s="105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/>
      </c>
      <c r="AT312" t="n">
        <v>16.459213399</v>
      </c>
      <c r="AU312" t="n">
        <v/>
      </c>
    </row>
    <row r="313">
      <c r="A313" s="105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/>
      </c>
      <c r="AT313" t="n">
        <v>16.40576699</v>
      </c>
      <c r="AU313" t="n">
        <v/>
      </c>
    </row>
    <row r="314">
      <c r="A314" s="105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/>
      </c>
      <c r="AT314" t="n">
        <v>16.245526921</v>
      </c>
      <c r="AU314" t="n">
        <v/>
      </c>
    </row>
    <row r="315">
      <c r="A315" s="105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/>
      </c>
      <c r="AT315" t="n">
        <v>16.192080511</v>
      </c>
      <c r="AU315" t="n">
        <v/>
      </c>
    </row>
    <row r="316">
      <c r="A316" s="105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/>
      </c>
      <c r="AT316" t="n">
        <v>16.085187693</v>
      </c>
      <c r="AU316" t="n">
        <v/>
      </c>
    </row>
    <row r="317">
      <c r="A317" s="105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/>
      </c>
      <c r="AT317" t="n">
        <v>15.791282021</v>
      </c>
      <c r="AU317" t="n">
        <v/>
      </c>
    </row>
    <row r="318">
      <c r="A318" s="105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/>
      </c>
      <c r="AT318" t="n">
        <v>15.363710748</v>
      </c>
      <c r="AU318" t="n">
        <v/>
      </c>
    </row>
    <row r="319">
      <c r="A319" s="105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/>
      </c>
      <c r="AT319" t="n">
        <v>15.016358667</v>
      </c>
      <c r="AU319" t="n">
        <v/>
      </c>
    </row>
    <row r="320">
      <c r="A320" s="105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/>
      </c>
      <c r="AT320" t="n">
        <v>14.669006586</v>
      </c>
      <c r="AU320" t="n">
        <v/>
      </c>
    </row>
    <row r="321">
      <c r="A321" s="105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/>
      </c>
      <c r="AT321" t="n">
        <v>13.146031819</v>
      </c>
      <c r="AU321" t="n">
        <v/>
      </c>
    </row>
    <row r="322">
      <c r="A322" s="105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/>
      </c>
      <c r="AT322" t="n">
        <v>11.970409133</v>
      </c>
      <c r="AU322" t="n">
        <v/>
      </c>
    </row>
    <row r="323">
      <c r="A323" s="105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/>
      </c>
      <c r="AT323" t="n">
        <v>11.48939145</v>
      </c>
      <c r="AU323" t="n">
        <v/>
      </c>
    </row>
    <row r="324">
      <c r="A324" s="105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/>
      </c>
      <c r="AT324" t="n">
        <v>11.916962724</v>
      </c>
      <c r="AU324" t="n">
        <v/>
      </c>
    </row>
    <row r="325">
      <c r="A325" s="105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/>
      </c>
      <c r="AT325" t="n">
        <v>11.970409133</v>
      </c>
      <c r="AU325" t="n">
        <v/>
      </c>
    </row>
    <row r="326">
      <c r="A326" s="105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/>
      </c>
      <c r="AT326" t="n">
        <v>11.302378597</v>
      </c>
      <c r="AU326" t="n">
        <v/>
      </c>
    </row>
    <row r="327">
      <c r="A327" s="105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/>
      </c>
      <c r="AT327" t="n">
        <v>10.741240879</v>
      </c>
      <c r="AU327" t="n">
        <v/>
      </c>
    </row>
    <row r="328">
      <c r="A328" s="105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/>
      </c>
      <c r="AT328" t="n">
        <v>11.863516314</v>
      </c>
      <c r="AU328" t="n">
        <v/>
      </c>
    </row>
    <row r="329">
      <c r="A329" s="105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/>
      </c>
      <c r="AT329" t="n">
        <v>11.649730677</v>
      </c>
      <c r="AU329" t="n">
        <v/>
      </c>
    </row>
    <row r="330">
      <c r="A330" s="105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/>
      </c>
      <c r="AT330" t="n">
        <v>11.222258562</v>
      </c>
      <c r="AU330" t="n">
        <v/>
      </c>
    </row>
    <row r="331">
      <c r="A331" s="105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/>
      </c>
      <c r="AT331" t="n">
        <v>11.916962724</v>
      </c>
      <c r="AU331" t="n">
        <v/>
      </c>
    </row>
    <row r="332">
      <c r="A332" s="105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/>
      </c>
      <c r="AT332" t="n">
        <v>12.317761214</v>
      </c>
      <c r="AU332" t="n">
        <v/>
      </c>
    </row>
    <row r="333">
      <c r="A333" s="105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/>
      </c>
      <c r="AT333" t="n">
        <v>12.771906954</v>
      </c>
      <c r="AU333" t="n">
        <v/>
      </c>
    </row>
    <row r="334">
      <c r="A334" s="105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/>
      </c>
      <c r="AT334" t="n">
        <v>13.012465375</v>
      </c>
      <c r="AU334" t="n">
        <v/>
      </c>
    </row>
    <row r="335">
      <c r="A335" s="105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/>
      </c>
      <c r="AT335" t="n">
        <v>13.252924637</v>
      </c>
      <c r="AU335" t="n">
        <v/>
      </c>
    </row>
    <row r="336">
      <c r="A336" s="105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/>
      </c>
      <c r="AT336" t="n">
        <v>13.333044672</v>
      </c>
      <c r="AU336" t="n">
        <v/>
      </c>
    </row>
    <row r="337">
      <c r="A337" s="105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/>
      </c>
      <c r="AT337" t="n">
        <v>13.413263865</v>
      </c>
      <c r="AU337" t="n">
        <v/>
      </c>
    </row>
    <row r="338">
      <c r="A338" s="105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/>
      </c>
      <c r="AT338" t="n">
        <v>13.573503934</v>
      </c>
      <c r="AU338" t="n">
        <v/>
      </c>
    </row>
    <row r="339">
      <c r="A339" s="105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/>
      </c>
      <c r="AT339" t="n">
        <v>13.653723127</v>
      </c>
      <c r="AU339" t="n">
        <v/>
      </c>
    </row>
    <row r="340">
      <c r="A340" s="105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/>
      </c>
      <c r="AT340" t="n">
        <v>13.733843162</v>
      </c>
      <c r="AU340" t="n">
        <v/>
      </c>
    </row>
    <row r="341">
      <c r="A341" s="105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/>
      </c>
      <c r="AT341" t="n">
        <v>13.626950344</v>
      </c>
      <c r="AU341" t="n">
        <v/>
      </c>
    </row>
    <row r="342">
      <c r="A342" s="105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/>
      </c>
      <c r="AT342" t="n">
        <v>13.680396753</v>
      </c>
      <c r="AU342" t="n">
        <v/>
      </c>
    </row>
    <row r="343">
      <c r="A343" s="105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/>
      </c>
      <c r="AT343" t="n">
        <v>13.680396753</v>
      </c>
      <c r="AU343" t="n">
        <v/>
      </c>
    </row>
    <row r="344">
      <c r="A344" s="105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/>
      </c>
      <c r="AT344" t="n">
        <v>13.600276718</v>
      </c>
      <c r="AU344" t="n">
        <v/>
      </c>
    </row>
    <row r="345">
      <c r="A345" s="105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/>
      </c>
      <c r="AT345" t="n">
        <v>13.680396753</v>
      </c>
      <c r="AU345" t="n">
        <v/>
      </c>
    </row>
    <row r="346">
      <c r="A346" s="105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/>
      </c>
      <c r="AT346" t="n">
        <v>13.787289571</v>
      </c>
      <c r="AU346" t="n">
        <v/>
      </c>
    </row>
    <row r="347">
      <c r="A347" s="105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/>
      </c>
      <c r="AT347" t="n">
        <v>13.920856015</v>
      </c>
      <c r="AU347" t="n">
        <v/>
      </c>
    </row>
    <row r="348">
      <c r="A348" s="105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/>
      </c>
      <c r="AT348" t="n">
        <v>14.107968027</v>
      </c>
      <c r="AU348" t="n">
        <v/>
      </c>
    </row>
    <row r="349">
      <c r="A349" s="105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/>
      </c>
      <c r="AT349" t="n">
        <v>14.161315277</v>
      </c>
      <c r="AU349" t="n">
        <v/>
      </c>
    </row>
    <row r="350">
      <c r="A350" s="105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/>
      </c>
      <c r="AT350" t="n">
        <v>14.241534471</v>
      </c>
      <c r="AU350" t="n">
        <v/>
      </c>
    </row>
    <row r="351">
      <c r="A351" s="105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/>
      </c>
      <c r="AT351" t="n">
        <v>14.268208096</v>
      </c>
      <c r="AU351" t="n">
        <v/>
      </c>
    </row>
    <row r="352">
      <c r="A352" s="105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/>
      </c>
      <c r="AT352" t="n">
        <v>14.107968027</v>
      </c>
      <c r="AU352" t="n">
        <v/>
      </c>
    </row>
    <row r="353">
      <c r="A353" s="105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/>
      </c>
      <c r="AT353" t="n">
        <v>14.134641652</v>
      </c>
      <c r="AU353" t="n">
        <v/>
      </c>
    </row>
    <row r="354">
      <c r="A354" s="105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/>
      </c>
      <c r="AT354" t="n">
        <v>14.375100914</v>
      </c>
      <c r="AU354" t="n">
        <v/>
      </c>
    </row>
    <row r="355">
      <c r="A355" s="105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/>
      </c>
      <c r="AT355" t="n">
        <v>14.562113767</v>
      </c>
      <c r="AU355" t="n">
        <v/>
      </c>
    </row>
    <row r="356">
      <c r="A356" s="105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/>
      </c>
      <c r="AT356" t="n">
        <v>14.562113767</v>
      </c>
      <c r="AU356" t="n">
        <v/>
      </c>
    </row>
    <row r="357">
      <c r="A357" s="105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/>
      </c>
      <c r="AT357" t="n">
        <v>14.508667358</v>
      </c>
      <c r="AU357" t="n">
        <v/>
      </c>
    </row>
    <row r="358">
      <c r="A358" s="105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/>
      </c>
      <c r="AT358" t="n">
        <v>14.401873698</v>
      </c>
      <c r="AU358" t="n">
        <v/>
      </c>
    </row>
    <row r="359">
      <c r="A359" s="105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/>
      </c>
      <c r="AT359" t="n">
        <v>14.508766517</v>
      </c>
      <c r="AU359" t="n">
        <v/>
      </c>
    </row>
    <row r="360">
      <c r="A360" s="105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/>
      </c>
      <c r="AT360" t="n">
        <v>14.321654505</v>
      </c>
      <c r="AU360" t="n">
        <v/>
      </c>
    </row>
    <row r="361">
      <c r="A361" s="105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/>
      </c>
      <c r="AT361" t="n">
        <v>14.188088061</v>
      </c>
      <c r="AU361" t="n">
        <v/>
      </c>
    </row>
    <row r="362">
      <c r="A362" s="105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/>
      </c>
      <c r="AT362" t="n">
        <v>14.054521617</v>
      </c>
      <c r="AU362" t="n">
        <v/>
      </c>
    </row>
    <row r="363">
      <c r="A363" s="105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/>
      </c>
      <c r="AT363" t="n">
        <v>13.920856015</v>
      </c>
      <c r="AU363" t="n">
        <v/>
      </c>
    </row>
    <row r="364">
      <c r="A364" s="105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/>
      </c>
      <c r="AT364" t="n">
        <v>13.653723127</v>
      </c>
      <c r="AU364" t="n">
        <v/>
      </c>
    </row>
    <row r="365">
      <c r="A365" s="105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/>
      </c>
      <c r="AT365" t="n">
        <v>13.573503934</v>
      </c>
      <c r="AU365" t="n">
        <v/>
      </c>
    </row>
    <row r="366">
      <c r="A366" s="105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/>
      </c>
      <c r="AT366" t="n">
        <v>13.386491081</v>
      </c>
      <c r="AU366" t="n">
        <v/>
      </c>
    </row>
    <row r="367">
      <c r="A367" s="105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/>
      </c>
      <c r="AT367" t="n">
        <v>13.359817456</v>
      </c>
      <c r="AU367" t="n">
        <v/>
      </c>
    </row>
    <row r="368">
      <c r="A368" s="105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/>
      </c>
      <c r="AT368" t="n">
        <v>13.333044672</v>
      </c>
      <c r="AU368" t="n">
        <v/>
      </c>
    </row>
    <row r="369">
      <c r="A369" s="105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/>
      </c>
      <c r="AT369" t="n">
        <v>13.466611116</v>
      </c>
      <c r="AU369" t="n">
        <v/>
      </c>
    </row>
    <row r="370">
      <c r="A370" s="105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/>
      </c>
      <c r="AT370" t="n">
        <v>13.600276718</v>
      </c>
      <c r="AU370" t="n">
        <v/>
      </c>
    </row>
    <row r="371">
      <c r="A371" s="105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/>
      </c>
      <c r="AT371" t="n">
        <v>13.09258541</v>
      </c>
      <c r="AU371" t="n">
        <v/>
      </c>
    </row>
    <row r="372">
      <c r="A372" s="105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/>
      </c>
      <c r="AT372" t="n">
        <v>13.439937491</v>
      </c>
      <c r="AU372" t="n">
        <v/>
      </c>
    </row>
    <row r="373">
      <c r="A373" s="105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/>
      </c>
      <c r="AT373" t="n">
        <v>13.680396753</v>
      </c>
      <c r="AU373" t="n">
        <v/>
      </c>
    </row>
    <row r="374">
      <c r="A374" s="105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/>
      </c>
      <c r="AT374" t="n">
        <v>13.920856015</v>
      </c>
      <c r="AU374" t="n">
        <v/>
      </c>
    </row>
    <row r="375">
      <c r="A375" s="105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/>
      </c>
      <c r="AT375" t="n">
        <v>13.974302424</v>
      </c>
      <c r="AU375" t="n">
        <v/>
      </c>
    </row>
    <row r="376">
      <c r="A376" s="105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/>
      </c>
      <c r="AT376" t="n">
        <v>14.428547324</v>
      </c>
      <c r="AU376" t="n">
        <v/>
      </c>
    </row>
    <row r="377">
      <c r="A377" s="105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/>
      </c>
      <c r="AT377" t="n">
        <v>14.909465848</v>
      </c>
      <c r="AU377" t="n">
        <v/>
      </c>
    </row>
    <row r="378">
      <c r="A378" s="105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/>
      </c>
      <c r="AT378" t="n">
        <v>15.256817929</v>
      </c>
      <c r="AU378" t="n">
        <v/>
      </c>
    </row>
    <row r="379">
      <c r="A379" s="105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/>
      </c>
      <c r="AT379" t="n">
        <v>15.711062828</v>
      </c>
      <c r="AU379" t="n">
        <v/>
      </c>
    </row>
    <row r="380">
      <c r="A380" s="105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/>
      </c>
      <c r="AT380" t="n">
        <v>16.218754137</v>
      </c>
      <c r="AU380" t="n">
        <v/>
      </c>
    </row>
    <row r="381">
      <c r="A381" s="105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/>
      </c>
      <c r="AT381" t="n">
        <v>16.726445445</v>
      </c>
      <c r="AU381" t="n">
        <v/>
      </c>
    </row>
    <row r="382">
      <c r="A382" s="105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/>
      </c>
      <c r="AT382" t="n">
        <v>16.619552627</v>
      </c>
      <c r="AU382" t="n">
        <v/>
      </c>
    </row>
    <row r="383">
      <c r="A383" s="105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/>
      </c>
      <c r="AT383" t="n">
        <v>16.726445445</v>
      </c>
      <c r="AU383" t="n">
        <v/>
      </c>
    </row>
    <row r="384">
      <c r="A384" s="105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/>
      </c>
      <c r="AT384" t="n">
        <v>16.69977182</v>
      </c>
      <c r="AU384" t="n">
        <v/>
      </c>
    </row>
    <row r="385">
      <c r="A385" s="105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/>
      </c>
      <c r="AT385" t="n">
        <v>16.993677491</v>
      </c>
      <c r="AU385" t="n">
        <v/>
      </c>
    </row>
    <row r="386">
      <c r="A386" s="105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/>
      </c>
      <c r="AT386" t="n">
        <v>17.047024742</v>
      </c>
      <c r="AU386" t="n">
        <v/>
      </c>
    </row>
    <row r="387">
      <c r="A387" s="105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/>
      </c>
      <c r="AT387" t="n">
        <v>17.153917561</v>
      </c>
      <c r="AU387" t="n">
        <v/>
      </c>
    </row>
    <row r="388">
      <c r="A388" s="105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/>
      </c>
      <c r="AT388" t="n">
        <v>17.234136754</v>
      </c>
      <c r="AU388" t="n">
        <v/>
      </c>
    </row>
    <row r="389">
      <c r="A389" s="105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/>
      </c>
      <c r="AT389" t="n">
        <v>17.260810379</v>
      </c>
      <c r="AU389" t="n">
        <v/>
      </c>
    </row>
    <row r="390">
      <c r="A390" s="105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/>
      </c>
      <c r="AT390" t="n">
        <v>17.20736397</v>
      </c>
      <c r="AU390" t="n">
        <v/>
      </c>
    </row>
    <row r="391">
      <c r="A391" s="105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/>
      </c>
      <c r="AT391" t="n">
        <v>17.127243935</v>
      </c>
      <c r="AU391" t="n">
        <v/>
      </c>
    </row>
    <row r="392">
      <c r="A392" s="105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/>
      </c>
      <c r="AT392" t="n">
        <v>16.860011889</v>
      </c>
      <c r="AU392" t="n">
        <v/>
      </c>
    </row>
    <row r="393">
      <c r="A393" s="105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/>
      </c>
      <c r="AT393" t="n">
        <v>16.69977182</v>
      </c>
      <c r="AU393" t="n">
        <v/>
      </c>
    </row>
    <row r="394">
      <c r="A394" s="105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/>
      </c>
      <c r="AT394" t="n">
        <v>16.80656548</v>
      </c>
      <c r="AU394" t="n">
        <v/>
      </c>
    </row>
    <row r="395">
      <c r="A395" s="105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/>
      </c>
      <c r="AT395" t="n">
        <v>16.779891854</v>
      </c>
      <c r="AU395" t="n">
        <v/>
      </c>
    </row>
    <row r="396">
      <c r="A396" s="105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/>
      </c>
      <c r="AT396" t="n">
        <v>16.913458298</v>
      </c>
      <c r="AU396" t="n">
        <v/>
      </c>
    </row>
    <row r="397">
      <c r="A397" s="105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/>
      </c>
      <c r="AT397" t="n">
        <v>17.020351117</v>
      </c>
      <c r="AU397" t="n">
        <v/>
      </c>
    </row>
    <row r="398">
      <c r="A398" s="105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/>
      </c>
      <c r="AT398" t="n">
        <v>17.20736397</v>
      </c>
      <c r="AU398" t="n">
        <v/>
      </c>
    </row>
    <row r="399">
      <c r="A399" s="105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/>
      </c>
      <c r="AT399" t="n">
        <v>17.314256788</v>
      </c>
      <c r="AU399" t="n">
        <v/>
      </c>
    </row>
    <row r="400">
      <c r="A400" s="105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/>
      </c>
      <c r="AT400" t="n">
        <v>17.367703198</v>
      </c>
      <c r="AU400" t="n">
        <v/>
      </c>
    </row>
    <row r="401">
      <c r="A401" s="105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/>
      </c>
      <c r="AT401" t="n">
        <v>17.20736397</v>
      </c>
      <c r="AU401" t="n">
        <v/>
      </c>
    </row>
    <row r="402">
      <c r="A402" s="105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/>
      </c>
      <c r="AT402" t="n">
        <v>17.047123901</v>
      </c>
      <c r="AU402" t="n">
        <v/>
      </c>
    </row>
    <row r="403">
      <c r="A403" s="105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/>
      </c>
      <c r="AT403" t="n">
        <v>16.886784673</v>
      </c>
      <c r="AU403" t="n">
        <v/>
      </c>
    </row>
    <row r="404">
      <c r="A404" s="105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/>
      </c>
      <c r="AT404" t="n">
        <v>16.619552627</v>
      </c>
      <c r="AU404" t="n">
        <v/>
      </c>
    </row>
    <row r="405">
      <c r="A405" s="105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/>
      </c>
      <c r="AT405" t="n">
        <v>17.688381653</v>
      </c>
      <c r="AU405" t="n">
        <v/>
      </c>
    </row>
    <row r="406">
      <c r="A406" s="105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/>
      </c>
      <c r="AT406" t="n">
        <v>18.329639405</v>
      </c>
      <c r="AU406" t="n">
        <v/>
      </c>
    </row>
    <row r="407">
      <c r="A407" s="105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/>
      </c>
      <c r="AT407" t="n">
        <v>18.516652258</v>
      </c>
      <c r="AU407" t="n">
        <v/>
      </c>
    </row>
    <row r="408">
      <c r="A408" s="105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/>
      </c>
      <c r="AT408" t="n">
        <v>18.890777123</v>
      </c>
      <c r="AU408" t="n">
        <v/>
      </c>
    </row>
    <row r="409">
      <c r="A409" s="105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/>
      </c>
      <c r="AT409" t="n">
        <v>18.997570783</v>
      </c>
      <c r="AU409" t="n">
        <v/>
      </c>
    </row>
    <row r="410">
      <c r="A410" s="105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/>
      </c>
      <c r="AT410" t="n">
        <v>19.051017192</v>
      </c>
      <c r="AU410" t="n">
        <v/>
      </c>
    </row>
    <row r="411">
      <c r="A411" s="105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/>
      </c>
      <c r="AT411" t="n">
        <v>19.157910011</v>
      </c>
      <c r="AU411" t="n">
        <v/>
      </c>
    </row>
    <row r="412">
      <c r="A412" s="105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/>
      </c>
      <c r="AT412" t="n">
        <v>19.318249238</v>
      </c>
      <c r="AU412" t="n">
        <v/>
      </c>
    </row>
    <row r="413">
      <c r="A413" s="105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/>
      </c>
      <c r="AT413" t="n">
        <v>19.398369273</v>
      </c>
      <c r="AU413" t="n">
        <v/>
      </c>
    </row>
    <row r="414">
      <c r="A414" s="105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/>
      </c>
      <c r="AT414" t="n">
        <v>19.505262092</v>
      </c>
      <c r="AU414" t="n">
        <v/>
      </c>
    </row>
    <row r="415">
      <c r="A415" s="105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/>
      </c>
      <c r="AT415" t="n">
        <v>19.425142057</v>
      </c>
      <c r="AU415" t="n">
        <v/>
      </c>
    </row>
    <row r="416">
      <c r="A416" s="105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/>
      </c>
      <c r="AT416" t="n">
        <v>19.665601319</v>
      </c>
      <c r="AU416" t="n">
        <v/>
      </c>
    </row>
    <row r="417">
      <c r="A417" s="105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/>
      </c>
      <c r="AT417" t="n">
        <v>19.558708501</v>
      </c>
      <c r="AU417" t="n">
        <v/>
      </c>
    </row>
    <row r="418">
      <c r="A418" s="105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/>
      </c>
      <c r="AT418" t="n">
        <v>19.157910011</v>
      </c>
      <c r="AU418" t="n">
        <v/>
      </c>
    </row>
    <row r="419">
      <c r="A419" s="105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/>
      </c>
      <c r="AT419" t="n">
        <v>18.997570783</v>
      </c>
      <c r="AU419" t="n">
        <v/>
      </c>
    </row>
    <row r="420">
      <c r="A420" s="105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/>
      </c>
      <c r="AT420" t="n">
        <v>18.543425042</v>
      </c>
      <c r="AU420" t="n">
        <v/>
      </c>
    </row>
    <row r="421">
      <c r="A421" s="105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/>
      </c>
      <c r="AT421" t="n">
        <v>18.089180143</v>
      </c>
      <c r="AU421" t="n">
        <v/>
      </c>
    </row>
    <row r="422">
      <c r="A422" s="105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/>
      </c>
      <c r="AT422" t="n">
        <v>17.955514541</v>
      </c>
      <c r="AU422" t="n">
        <v/>
      </c>
    </row>
    <row r="423">
      <c r="A423" s="105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/>
      </c>
      <c r="AT423" t="n">
        <v>18.00896095</v>
      </c>
      <c r="AU423" t="n">
        <v/>
      </c>
    </row>
    <row r="424">
      <c r="A424" s="105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/>
      </c>
      <c r="AT424" t="n">
        <v>17.902068131</v>
      </c>
      <c r="AU424" t="n">
        <v/>
      </c>
    </row>
    <row r="425">
      <c r="A425" s="105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/>
      </c>
      <c r="AT425" t="n">
        <v>17.795175313</v>
      </c>
      <c r="AU425" t="n">
        <v/>
      </c>
    </row>
    <row r="426">
      <c r="A426" s="105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/>
      </c>
      <c r="AT426" t="n">
        <v>17.902068131</v>
      </c>
      <c r="AU426" t="n">
        <v/>
      </c>
    </row>
    <row r="427">
      <c r="A427" s="105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/>
      </c>
      <c r="AT427" t="n">
        <v>17.955514541</v>
      </c>
      <c r="AU427" t="n">
        <v/>
      </c>
    </row>
    <row r="428">
      <c r="A428" s="105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/>
      </c>
      <c r="AT428" t="n">
        <v>17.982287325</v>
      </c>
      <c r="AU428" t="n">
        <v/>
      </c>
    </row>
    <row r="429">
      <c r="A429" s="105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/>
      </c>
      <c r="AT429" t="n">
        <v>17.955514541</v>
      </c>
      <c r="AU429" t="n">
        <v/>
      </c>
    </row>
    <row r="430">
      <c r="A430" s="105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/>
      </c>
      <c r="AT430" t="n">
        <v>17.982287325</v>
      </c>
      <c r="AU430" t="n">
        <v/>
      </c>
    </row>
    <row r="431">
      <c r="A431" s="105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/>
      </c>
      <c r="AT431" t="n">
        <v>18.196072961</v>
      </c>
      <c r="AU431" t="n">
        <v/>
      </c>
    </row>
    <row r="432">
      <c r="A432" s="105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/>
      </c>
      <c r="AT432" t="n">
        <v>18.489978633</v>
      </c>
      <c r="AU432" t="n">
        <v/>
      </c>
    </row>
    <row r="433">
      <c r="A433" s="105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/>
      </c>
      <c r="AT433" t="n">
        <v>18.730437895</v>
      </c>
      <c r="AU433" t="n">
        <v/>
      </c>
    </row>
    <row r="434">
      <c r="A434" s="105" t="n">
        <v>20090</v>
      </c>
      <c r="B434" t="n">
        <v>10.765545725</v>
      </c>
      <c r="C434" t="n">
        <v>21.493118767</v>
      </c>
      <c r="D434" t="n">
        <v/>
      </c>
      <c r="E434" t="n">
        <v/>
      </c>
      <c r="F434" t="n">
        <v/>
      </c>
      <c r="G434" t="n">
        <v/>
      </c>
      <c r="H434" t="n">
        <v/>
      </c>
      <c r="I434" t="n">
        <v>10.764648671</v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/>
      </c>
      <c r="AC434" t="n">
        <v>21.752094977</v>
      </c>
      <c r="AD434" t="n">
        <v>5.889027831</v>
      </c>
      <c r="AE434" t="n">
        <v/>
      </c>
      <c r="AF434" t="n">
        <v>32.25689013</v>
      </c>
      <c r="AG434" t="n">
        <v/>
      </c>
      <c r="AH434" t="n">
        <v/>
      </c>
      <c r="AI434" t="n">
        <v/>
      </c>
      <c r="AJ434" t="n">
        <v>16.31304868</v>
      </c>
      <c r="AK434" t="n">
        <v/>
      </c>
      <c r="AL434" t="n">
        <v/>
      </c>
      <c r="AM434" t="n">
        <v/>
      </c>
      <c r="AN434" t="n">
        <v>14.602895027</v>
      </c>
      <c r="AO434" t="n">
        <v/>
      </c>
      <c r="AP434" t="n">
        <v/>
      </c>
      <c r="AQ434" t="n">
        <v/>
      </c>
      <c r="AR434" t="n">
        <v/>
      </c>
      <c r="AS434" t="n">
        <v/>
      </c>
      <c r="AT434" t="n">
        <v>19.157910011</v>
      </c>
      <c r="AU434" t="n">
        <v/>
      </c>
    </row>
    <row r="435">
      <c r="A435" s="105" t="n">
        <v>20121</v>
      </c>
      <c r="B435" t="n">
        <v>10.777222009</v>
      </c>
      <c r="C435" t="n">
        <v>22.215790338</v>
      </c>
      <c r="D435" t="n">
        <v/>
      </c>
      <c r="E435" t="n">
        <v/>
      </c>
      <c r="F435" t="n">
        <v/>
      </c>
      <c r="G435" t="n">
        <v/>
      </c>
      <c r="H435" t="n">
        <v/>
      </c>
      <c r="I435" t="n">
        <v>10.776323982</v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/>
      </c>
      <c r="AC435" t="n">
        <v>21.961249743</v>
      </c>
      <c r="AD435" t="n">
        <v>5.9731568</v>
      </c>
      <c r="AE435" t="n">
        <v/>
      </c>
      <c r="AF435" t="n">
        <v>34.529229899</v>
      </c>
      <c r="AG435" t="n">
        <v/>
      </c>
      <c r="AH435" t="n">
        <v/>
      </c>
      <c r="AI435" t="n">
        <v/>
      </c>
      <c r="AJ435" t="n">
        <v>16.51896374</v>
      </c>
      <c r="AK435" t="n">
        <v/>
      </c>
      <c r="AL435" t="n">
        <v/>
      </c>
      <c r="AM435" t="n">
        <v/>
      </c>
      <c r="AN435" t="n">
        <v>14.907758965</v>
      </c>
      <c r="AO435" t="n">
        <v/>
      </c>
      <c r="AP435" t="n">
        <v/>
      </c>
      <c r="AQ435" t="n">
        <v/>
      </c>
      <c r="AR435" t="n">
        <v/>
      </c>
      <c r="AS435" t="n">
        <v/>
      </c>
      <c r="AT435" t="n">
        <v>19.398369273</v>
      </c>
      <c r="AU435" t="n">
        <v/>
      </c>
    </row>
    <row r="436">
      <c r="A436" s="105" t="n">
        <v>20149</v>
      </c>
      <c r="B436" t="n">
        <v>10.754395227</v>
      </c>
      <c r="C436" t="n">
        <v>23.060045122</v>
      </c>
      <c r="D436" t="n">
        <v/>
      </c>
      <c r="E436" t="n">
        <v/>
      </c>
      <c r="F436" t="n">
        <v/>
      </c>
      <c r="G436" t="n">
        <v/>
      </c>
      <c r="H436" t="n">
        <v/>
      </c>
      <c r="I436" t="n">
        <v>10.753499102</v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/>
      </c>
      <c r="AC436" t="n">
        <v>22.284488913</v>
      </c>
      <c r="AD436" t="n">
        <v>6.057285769</v>
      </c>
      <c r="AE436" t="n">
        <v/>
      </c>
      <c r="AF436" t="n">
        <v>32.296963075</v>
      </c>
      <c r="AG436" t="n">
        <v/>
      </c>
      <c r="AH436" t="n">
        <v/>
      </c>
      <c r="AI436" t="n">
        <v/>
      </c>
      <c r="AJ436" t="n">
        <v>16.999432215</v>
      </c>
      <c r="AK436" t="n">
        <v/>
      </c>
      <c r="AL436" t="n">
        <v/>
      </c>
      <c r="AM436" t="n">
        <v/>
      </c>
      <c r="AN436" t="n">
        <v>15.76611404</v>
      </c>
      <c r="AO436" t="n">
        <v/>
      </c>
      <c r="AP436" t="n">
        <v/>
      </c>
      <c r="AQ436" t="n">
        <v/>
      </c>
      <c r="AR436" t="n">
        <v/>
      </c>
      <c r="AS436" t="n">
        <v/>
      </c>
      <c r="AT436" t="n">
        <v>19.852614172</v>
      </c>
      <c r="AU436" t="n">
        <v/>
      </c>
    </row>
    <row r="437">
      <c r="A437" s="105" t="n">
        <v>20180</v>
      </c>
      <c r="B437" t="n">
        <v>11.019217289</v>
      </c>
      <c r="C437" t="n">
        <v>22.268759666</v>
      </c>
      <c r="D437" t="n">
        <v/>
      </c>
      <c r="E437" t="n">
        <v/>
      </c>
      <c r="F437" t="n">
        <v/>
      </c>
      <c r="G437" t="n">
        <v/>
      </c>
      <c r="H437" t="n">
        <v/>
      </c>
      <c r="I437" t="n">
        <v>11.018299098</v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/>
      </c>
      <c r="AC437" t="n">
        <v>22.13237636</v>
      </c>
      <c r="AD437" t="n">
        <v>6.057285769</v>
      </c>
      <c r="AE437" t="n">
        <v/>
      </c>
      <c r="AF437" t="n">
        <v>31.008658933</v>
      </c>
      <c r="AG437" t="n">
        <v/>
      </c>
      <c r="AH437" t="n">
        <v/>
      </c>
      <c r="AI437" t="n">
        <v/>
      </c>
      <c r="AJ437" t="n">
        <v>16.061374717</v>
      </c>
      <c r="AK437" t="n">
        <v/>
      </c>
      <c r="AL437" t="n">
        <v/>
      </c>
      <c r="AM437" t="n">
        <v/>
      </c>
      <c r="AN437" t="n">
        <v>15.816315142</v>
      </c>
      <c r="AO437" t="n">
        <v/>
      </c>
      <c r="AP437" t="n">
        <v/>
      </c>
      <c r="AQ437" t="n">
        <v/>
      </c>
      <c r="AR437" t="n">
        <v/>
      </c>
      <c r="AS437" t="n">
        <v/>
      </c>
      <c r="AT437" t="n">
        <v>20.093073435</v>
      </c>
      <c r="AU437" t="n">
        <v/>
      </c>
    </row>
    <row r="438">
      <c r="A438" s="105" t="n">
        <v>20210</v>
      </c>
      <c r="B438" t="n">
        <v>10.887308321</v>
      </c>
      <c r="C438" t="n">
        <v>22.328691591</v>
      </c>
      <c r="D438" t="n">
        <v/>
      </c>
      <c r="E438" t="n">
        <v/>
      </c>
      <c r="F438" t="n">
        <v/>
      </c>
      <c r="G438" t="n">
        <v/>
      </c>
      <c r="H438" t="n">
        <v/>
      </c>
      <c r="I438" t="n">
        <v>10.886401121</v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/>
      </c>
      <c r="AC438" t="n">
        <v>22.36054519</v>
      </c>
      <c r="AD438" t="n">
        <v>6.057285769</v>
      </c>
      <c r="AE438" t="n">
        <v/>
      </c>
      <c r="AF438" t="n">
        <v>32.142127395</v>
      </c>
      <c r="AG438" t="n">
        <v/>
      </c>
      <c r="AH438" t="n">
        <v/>
      </c>
      <c r="AI438" t="n">
        <v/>
      </c>
      <c r="AJ438" t="n">
        <v>16.90791441</v>
      </c>
      <c r="AK438" t="n">
        <v/>
      </c>
      <c r="AL438" t="n">
        <v/>
      </c>
      <c r="AM438" t="n">
        <v/>
      </c>
      <c r="AN438" t="n">
        <v>15.951311881</v>
      </c>
      <c r="AO438" t="n">
        <v/>
      </c>
      <c r="AP438" t="n">
        <v/>
      </c>
      <c r="AQ438" t="n">
        <v/>
      </c>
      <c r="AR438" t="n">
        <v/>
      </c>
      <c r="AS438" t="n">
        <v/>
      </c>
      <c r="AT438" t="n">
        <v>20.41375189</v>
      </c>
      <c r="AU438" t="n">
        <v/>
      </c>
    </row>
    <row r="439">
      <c r="A439" s="105" t="n">
        <v>20241</v>
      </c>
      <c r="B439" t="n">
        <v>11.120697648</v>
      </c>
      <c r="C439" t="n">
        <v>23.31648849</v>
      </c>
      <c r="D439" t="n">
        <v/>
      </c>
      <c r="E439" t="n">
        <v/>
      </c>
      <c r="F439" t="n">
        <v/>
      </c>
      <c r="G439" t="n">
        <v/>
      </c>
      <c r="H439" t="n">
        <v/>
      </c>
      <c r="I439" t="n">
        <v>11.119771</v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/>
      </c>
      <c r="AC439" t="n">
        <v>22.930967265</v>
      </c>
      <c r="AD439" t="n">
        <v>6.057285769</v>
      </c>
      <c r="AE439" t="n">
        <v/>
      </c>
      <c r="AF439" t="n">
        <v>33.502478612</v>
      </c>
      <c r="AG439" t="n">
        <v/>
      </c>
      <c r="AH439" t="n">
        <v/>
      </c>
      <c r="AI439" t="n">
        <v/>
      </c>
      <c r="AJ439" t="n">
        <v>17.090950019</v>
      </c>
      <c r="AK439" t="n">
        <v/>
      </c>
      <c r="AL439" t="n">
        <v/>
      </c>
      <c r="AM439" t="n">
        <v/>
      </c>
      <c r="AN439" t="n">
        <v>15.439832708</v>
      </c>
      <c r="AO439" t="n">
        <v/>
      </c>
      <c r="AP439" t="n">
        <v/>
      </c>
      <c r="AQ439" t="n">
        <v/>
      </c>
      <c r="AR439" t="n">
        <v/>
      </c>
      <c r="AS439" t="n">
        <v/>
      </c>
      <c r="AT439" t="n">
        <v>20.440425515</v>
      </c>
      <c r="AU439" t="n">
        <v/>
      </c>
    </row>
    <row r="440">
      <c r="A440" s="105" t="n">
        <v>20271</v>
      </c>
      <c r="B440" t="n">
        <v>11.243207363</v>
      </c>
      <c r="C440" t="n">
        <v>20.546239206</v>
      </c>
      <c r="D440" t="n">
        <v/>
      </c>
      <c r="E440" t="n">
        <v/>
      </c>
      <c r="F440" t="n">
        <v/>
      </c>
      <c r="G440" t="n">
        <v/>
      </c>
      <c r="H440" t="n">
        <v/>
      </c>
      <c r="I440" t="n">
        <v>11.242270507</v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/>
      </c>
      <c r="AC440" t="n">
        <v>22.949981328</v>
      </c>
      <c r="AD440" t="n">
        <v>6.225543707</v>
      </c>
      <c r="AE440" t="n">
        <v/>
      </c>
      <c r="AF440" t="n">
        <v>33.698456276</v>
      </c>
      <c r="AG440" t="n">
        <v/>
      </c>
      <c r="AH440" t="n">
        <v/>
      </c>
      <c r="AI440" t="n">
        <v/>
      </c>
      <c r="AJ440" t="n">
        <v>16.244410326</v>
      </c>
      <c r="AK440" t="n">
        <v/>
      </c>
      <c r="AL440" t="n">
        <v/>
      </c>
      <c r="AM440" t="n">
        <v/>
      </c>
      <c r="AN440" t="n">
        <v>16.320441773</v>
      </c>
      <c r="AO440" t="n">
        <v/>
      </c>
      <c r="AP440" t="n">
        <v/>
      </c>
      <c r="AQ440" t="n">
        <v/>
      </c>
      <c r="AR440" t="n">
        <v/>
      </c>
      <c r="AS440" t="n">
        <v/>
      </c>
      <c r="AT440" t="n">
        <v>20.600764743</v>
      </c>
      <c r="AU440" t="n">
        <v/>
      </c>
    </row>
    <row r="441">
      <c r="A441" s="105" t="n">
        <v>20302</v>
      </c>
      <c r="B441" t="n">
        <v>11.305171307</v>
      </c>
      <c r="C441" t="n">
        <v>23.642449675</v>
      </c>
      <c r="D441" t="n">
        <v/>
      </c>
      <c r="E441" t="n">
        <v/>
      </c>
      <c r="F441" t="n">
        <v/>
      </c>
      <c r="G441" t="n">
        <v/>
      </c>
      <c r="H441" t="n">
        <v/>
      </c>
      <c r="I441" t="n">
        <v>11.304229288</v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/>
      </c>
      <c r="AC441" t="n">
        <v>22.81688285</v>
      </c>
      <c r="AD441" t="n">
        <v>6.393801645</v>
      </c>
      <c r="AE441" t="n">
        <v/>
      </c>
      <c r="AF441" t="n">
        <v>34.712611121</v>
      </c>
      <c r="AG441" t="n">
        <v/>
      </c>
      <c r="AH441" t="n">
        <v/>
      </c>
      <c r="AI441" t="n">
        <v/>
      </c>
      <c r="AJ441" t="n">
        <v>16.90791441</v>
      </c>
      <c r="AK441" t="n">
        <v/>
      </c>
      <c r="AL441" t="n">
        <v/>
      </c>
      <c r="AM441" t="n">
        <v/>
      </c>
      <c r="AN441" t="n">
        <v>15.677198804</v>
      </c>
      <c r="AO441" t="n">
        <v/>
      </c>
      <c r="AP441" t="n">
        <v/>
      </c>
      <c r="AQ441" t="n">
        <v/>
      </c>
      <c r="AR441" t="n">
        <v/>
      </c>
      <c r="AS441" t="n">
        <v/>
      </c>
      <c r="AT441" t="n">
        <v>20.574091118</v>
      </c>
      <c r="AU441" t="n">
        <v/>
      </c>
    </row>
    <row r="442">
      <c r="A442" s="105" t="n">
        <v>20333</v>
      </c>
      <c r="B442" t="n">
        <v>11.413977254</v>
      </c>
      <c r="C442" t="n">
        <v>23.821375457</v>
      </c>
      <c r="D442" t="n">
        <v/>
      </c>
      <c r="E442" t="n">
        <v/>
      </c>
      <c r="F442" t="n">
        <v/>
      </c>
      <c r="G442" t="n">
        <v/>
      </c>
      <c r="H442" t="n">
        <v/>
      </c>
      <c r="I442" t="n">
        <v>11.413026168</v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/>
      </c>
      <c r="AC442" t="n">
        <v>22.91195319</v>
      </c>
      <c r="AD442" t="n">
        <v>6.562059583</v>
      </c>
      <c r="AE442" t="n">
        <v/>
      </c>
      <c r="AF442" t="n">
        <v>34.99715367</v>
      </c>
      <c r="AG442" t="n">
        <v/>
      </c>
      <c r="AH442" t="n">
        <v/>
      </c>
      <c r="AI442" t="n">
        <v/>
      </c>
      <c r="AJ442" t="n">
        <v>17.228226726</v>
      </c>
      <c r="AK442" t="n">
        <v/>
      </c>
      <c r="AL442" t="n">
        <v/>
      </c>
      <c r="AM442" t="n">
        <v/>
      </c>
      <c r="AN442" t="n">
        <v>16.840932476</v>
      </c>
      <c r="AO442" t="n">
        <v/>
      </c>
      <c r="AP442" t="n">
        <v/>
      </c>
      <c r="AQ442" t="n">
        <v/>
      </c>
      <c r="AR442" t="n">
        <v/>
      </c>
      <c r="AS442" t="n">
        <v/>
      </c>
      <c r="AT442" t="n">
        <v>20.707657562</v>
      </c>
      <c r="AU442" t="n">
        <v/>
      </c>
    </row>
    <row r="443">
      <c r="A443" s="105" t="n">
        <v>20363</v>
      </c>
      <c r="B443" t="n">
        <v>11.388904358</v>
      </c>
      <c r="C443" t="n">
        <v>23.798731071</v>
      </c>
      <c r="D443" t="n">
        <v/>
      </c>
      <c r="E443" t="n">
        <v/>
      </c>
      <c r="F443" t="n">
        <v/>
      </c>
      <c r="G443" t="n">
        <v/>
      </c>
      <c r="H443" t="n">
        <v/>
      </c>
      <c r="I443" t="n">
        <v>11.387955361</v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/>
      </c>
      <c r="AC443" t="n">
        <v>22.949981328</v>
      </c>
      <c r="AD443" t="n">
        <v>6.562059583</v>
      </c>
      <c r="AE443" t="n">
        <v/>
      </c>
      <c r="AF443" t="n">
        <v>35.045472398</v>
      </c>
      <c r="AG443" t="n">
        <v/>
      </c>
      <c r="AH443" t="n">
        <v/>
      </c>
      <c r="AI443" t="n">
        <v/>
      </c>
      <c r="AJ443" t="n">
        <v>17.090950019</v>
      </c>
      <c r="AK443" t="n">
        <v/>
      </c>
      <c r="AL443" t="n">
        <v/>
      </c>
      <c r="AM443" t="n">
        <v/>
      </c>
      <c r="AN443" t="n">
        <v>14.751347118</v>
      </c>
      <c r="AO443" t="n">
        <v/>
      </c>
      <c r="AP443" t="n">
        <v/>
      </c>
      <c r="AQ443" t="n">
        <v/>
      </c>
      <c r="AR443" t="n">
        <v/>
      </c>
      <c r="AS443" t="n">
        <v/>
      </c>
      <c r="AT443" t="n">
        <v>21.055009642</v>
      </c>
      <c r="AU443" t="n">
        <v/>
      </c>
    </row>
    <row r="444">
      <c r="A444" s="105" t="n">
        <v>20394</v>
      </c>
      <c r="B444" t="n">
        <v>11.628479309</v>
      </c>
      <c r="C444" t="n">
        <v>23.265396809</v>
      </c>
      <c r="D444" t="n">
        <v/>
      </c>
      <c r="E444" t="n">
        <v/>
      </c>
      <c r="F444" t="n">
        <v/>
      </c>
      <c r="G444" t="n">
        <v/>
      </c>
      <c r="H444" t="n">
        <v/>
      </c>
      <c r="I444" t="n">
        <v>11.62751035</v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/>
      </c>
      <c r="AC444" t="n">
        <v>23.178150158</v>
      </c>
      <c r="AD444" t="n">
        <v>6.646188552</v>
      </c>
      <c r="AE444" t="n">
        <v/>
      </c>
      <c r="AF444" t="n">
        <v>35.063178452</v>
      </c>
      <c r="AG444" t="n">
        <v/>
      </c>
      <c r="AH444" t="n">
        <v/>
      </c>
      <c r="AI444" t="n">
        <v/>
      </c>
      <c r="AJ444" t="n">
        <v>17.434141787</v>
      </c>
      <c r="AK444" t="n">
        <v/>
      </c>
      <c r="AL444" t="n">
        <v/>
      </c>
      <c r="AM444" t="n">
        <v/>
      </c>
      <c r="AN444" t="n">
        <v>15.952324305</v>
      </c>
      <c r="AO444" t="n">
        <v/>
      </c>
      <c r="AP444" t="n">
        <v/>
      </c>
      <c r="AQ444" t="n">
        <v/>
      </c>
      <c r="AR444" t="n">
        <v/>
      </c>
      <c r="AS444" t="n">
        <v/>
      </c>
      <c r="AT444" t="n">
        <v>21.108456052</v>
      </c>
      <c r="AU444" t="n">
        <v/>
      </c>
    </row>
    <row r="445">
      <c r="A445" s="105" t="n">
        <v>20424</v>
      </c>
      <c r="B445" t="n">
        <v>11.913541564</v>
      </c>
      <c r="C445" t="n">
        <v>24.591894167</v>
      </c>
      <c r="D445" t="n">
        <v/>
      </c>
      <c r="E445" t="n">
        <v/>
      </c>
      <c r="F445" t="n">
        <v/>
      </c>
      <c r="G445" t="n">
        <v/>
      </c>
      <c r="H445" t="n">
        <v/>
      </c>
      <c r="I445" t="n">
        <v>11.912548851</v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/>
      </c>
      <c r="AC445" t="n">
        <v>23.083079818</v>
      </c>
      <c r="AD445" t="n">
        <v>6.81444649</v>
      </c>
      <c r="AE445" t="n">
        <v/>
      </c>
      <c r="AF445" t="n">
        <v>34.764945128</v>
      </c>
      <c r="AG445" t="n">
        <v/>
      </c>
      <c r="AH445" t="n">
        <v/>
      </c>
      <c r="AI445" t="n">
        <v/>
      </c>
      <c r="AJ445" t="n">
        <v>17.319744531</v>
      </c>
      <c r="AK445" t="n">
        <v/>
      </c>
      <c r="AL445" t="n">
        <v/>
      </c>
      <c r="AM445" t="n">
        <v/>
      </c>
      <c r="AN445" t="n">
        <v>17.821146761</v>
      </c>
      <c r="AO445" t="n">
        <v/>
      </c>
      <c r="AP445" t="n">
        <v/>
      </c>
      <c r="AQ445" t="n">
        <v/>
      </c>
      <c r="AR445" t="n">
        <v/>
      </c>
      <c r="AS445" t="n">
        <v/>
      </c>
      <c r="AT445" t="n">
        <v>21.188576086</v>
      </c>
      <c r="AU445" t="n">
        <v/>
      </c>
    </row>
    <row r="446">
      <c r="A446" s="105" t="n">
        <v>20455</v>
      </c>
      <c r="B446" t="n">
        <v>11.499687573</v>
      </c>
      <c r="C446" t="n">
        <v>24.488573966</v>
      </c>
      <c r="D446" t="n">
        <v/>
      </c>
      <c r="E446" t="n">
        <v/>
      </c>
      <c r="F446" t="n">
        <v/>
      </c>
      <c r="G446" t="n">
        <v/>
      </c>
      <c r="H446" t="n">
        <v/>
      </c>
      <c r="I446" t="n">
        <v>11.498729345</v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>27.435614897</v>
      </c>
      <c r="S446" t="n">
        <v/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/>
      </c>
      <c r="AC446" t="n">
        <v>23.273220499</v>
      </c>
      <c r="AD446" t="n">
        <v>6.982704429</v>
      </c>
      <c r="AE446" t="n">
        <v/>
      </c>
      <c r="AF446" t="n">
        <v>34.556789665</v>
      </c>
      <c r="AG446" t="n">
        <v/>
      </c>
      <c r="AH446" t="n">
        <v/>
      </c>
      <c r="AI446" t="n">
        <v>18.569197309</v>
      </c>
      <c r="AJ446" t="n">
        <v>17.594297945</v>
      </c>
      <c r="AK446" t="n">
        <v/>
      </c>
      <c r="AL446" t="n">
        <v/>
      </c>
      <c r="AM446" t="n">
        <v/>
      </c>
      <c r="AN446" t="n">
        <v>16.172106322</v>
      </c>
      <c r="AO446" t="n">
        <v/>
      </c>
      <c r="AP446" t="n">
        <v/>
      </c>
      <c r="AQ446" t="n">
        <v/>
      </c>
      <c r="AR446" t="n">
        <v/>
      </c>
      <c r="AS446" t="n">
        <v/>
      </c>
      <c r="AT446" t="n">
        <v>21.322241688</v>
      </c>
      <c r="AU446" t="n">
        <v/>
      </c>
    </row>
    <row r="447">
      <c r="A447" s="105" t="n">
        <v>20486</v>
      </c>
      <c r="B447" t="n">
        <v>11.618202454</v>
      </c>
      <c r="C447" t="n">
        <v>24.002137736</v>
      </c>
      <c r="D447" t="n">
        <v/>
      </c>
      <c r="E447" t="n">
        <v/>
      </c>
      <c r="F447" t="n">
        <v/>
      </c>
      <c r="G447" t="n">
        <v/>
      </c>
      <c r="H447" t="n">
        <v/>
      </c>
      <c r="I447" t="n">
        <v>11.617234351</v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>26.906735568</v>
      </c>
      <c r="S447" t="n">
        <v/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/>
      </c>
      <c r="AC447" t="n">
        <v>22.531671807</v>
      </c>
      <c r="AD447" t="n">
        <v>7.150962367</v>
      </c>
      <c r="AE447" t="n">
        <v/>
      </c>
      <c r="AF447" t="n">
        <v>34.549359536</v>
      </c>
      <c r="AG447" t="n">
        <v/>
      </c>
      <c r="AH447" t="n">
        <v/>
      </c>
      <c r="AI447" t="n">
        <v>17.997837391</v>
      </c>
      <c r="AJ447" t="n">
        <v>17.319744531</v>
      </c>
      <c r="AK447" t="n">
        <v/>
      </c>
      <c r="AL447" t="n">
        <v/>
      </c>
      <c r="AM447" t="n">
        <v/>
      </c>
      <c r="AN447" t="n">
        <v>17.010211975</v>
      </c>
      <c r="AO447" t="n">
        <v/>
      </c>
      <c r="AP447" t="n">
        <v/>
      </c>
      <c r="AQ447" t="n">
        <v/>
      </c>
      <c r="AR447" t="n">
        <v/>
      </c>
      <c r="AS447" t="n">
        <v/>
      </c>
      <c r="AT447" t="n">
        <v>21.135129677</v>
      </c>
      <c r="AU447" t="n">
        <v/>
      </c>
    </row>
    <row r="448">
      <c r="A448" s="105" t="n">
        <v>20515</v>
      </c>
      <c r="B448" t="n">
        <v>11.49684799</v>
      </c>
      <c r="C448" t="n">
        <v>25.025768838</v>
      </c>
      <c r="D448" t="n">
        <v/>
      </c>
      <c r="E448" t="n">
        <v/>
      </c>
      <c r="F448" t="n">
        <v/>
      </c>
      <c r="G448" t="n">
        <v/>
      </c>
      <c r="H448" t="n">
        <v/>
      </c>
      <c r="I448" t="n">
        <v>11.495889999</v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>27.832274388</v>
      </c>
      <c r="S448" t="n">
        <v/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/>
      </c>
      <c r="AC448" t="n">
        <v>23.539417467</v>
      </c>
      <c r="AD448" t="n">
        <v>6.982704429</v>
      </c>
      <c r="AE448" t="n">
        <v/>
      </c>
      <c r="AF448" t="n">
        <v>35.196737988</v>
      </c>
      <c r="AG448" t="n">
        <v/>
      </c>
      <c r="AH448" t="n">
        <v/>
      </c>
      <c r="AI448" t="n">
        <v>18.854877267</v>
      </c>
      <c r="AJ448" t="n">
        <v>17.022311666</v>
      </c>
      <c r="AK448" t="n">
        <v/>
      </c>
      <c r="AL448" t="n">
        <v/>
      </c>
      <c r="AM448" t="n">
        <v/>
      </c>
      <c r="AN448" t="n">
        <v>16.908354795</v>
      </c>
      <c r="AO448" t="n">
        <v/>
      </c>
      <c r="AP448" t="n">
        <v/>
      </c>
      <c r="AQ448" t="n">
        <v/>
      </c>
      <c r="AR448" t="n">
        <v/>
      </c>
      <c r="AS448" t="n">
        <v/>
      </c>
      <c r="AT448" t="n">
        <v>21.135129677</v>
      </c>
      <c r="AU448" t="n">
        <v/>
      </c>
    </row>
    <row r="449">
      <c r="A449" s="105" t="n">
        <v>20546</v>
      </c>
      <c r="B449" t="n">
        <v>11.553973423</v>
      </c>
      <c r="C449" t="n">
        <v>22.759124645</v>
      </c>
      <c r="D449" t="n">
        <v/>
      </c>
      <c r="E449" t="n">
        <v/>
      </c>
      <c r="F449" t="n">
        <v/>
      </c>
      <c r="G449" t="n">
        <v/>
      </c>
      <c r="H449" t="n">
        <v/>
      </c>
      <c r="I449" t="n">
        <v>11.553010672</v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>28.261988834</v>
      </c>
      <c r="S449" t="n">
        <v/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/>
      </c>
      <c r="AC449" t="n">
        <v>24.223923957</v>
      </c>
      <c r="AD449" t="n">
        <v>7.235091336</v>
      </c>
      <c r="AE449" t="n">
        <v/>
      </c>
      <c r="AF449" t="n">
        <v>35.757485768</v>
      </c>
      <c r="AG449" t="n">
        <v/>
      </c>
      <c r="AH449" t="n">
        <v/>
      </c>
      <c r="AI449" t="n">
        <v>19.140557226</v>
      </c>
      <c r="AJ449" t="n">
        <v>17.937489712</v>
      </c>
      <c r="AK449" t="n">
        <v/>
      </c>
      <c r="AL449" t="n">
        <v/>
      </c>
      <c r="AM449" t="n">
        <v/>
      </c>
      <c r="AN449" t="n">
        <v>16.4401328</v>
      </c>
      <c r="AO449" t="n">
        <v/>
      </c>
      <c r="AP449" t="n">
        <v/>
      </c>
      <c r="AQ449" t="n">
        <v/>
      </c>
      <c r="AR449" t="n">
        <v/>
      </c>
      <c r="AS449" t="n">
        <v/>
      </c>
      <c r="AT449" t="n">
        <v>21.295468905</v>
      </c>
      <c r="AU449" t="n">
        <v/>
      </c>
    </row>
    <row r="450">
      <c r="A450" s="105" t="n">
        <v>20576</v>
      </c>
      <c r="B450" t="n">
        <v>11.631130041</v>
      </c>
      <c r="C450" t="n">
        <v>24.78076016</v>
      </c>
      <c r="D450" t="n">
        <v/>
      </c>
      <c r="E450" t="n">
        <v/>
      </c>
      <c r="F450" t="n">
        <v/>
      </c>
      <c r="G450" t="n">
        <v/>
      </c>
      <c r="H450" t="n">
        <v/>
      </c>
      <c r="I450" t="n">
        <v>11.630160861</v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>28.724758244</v>
      </c>
      <c r="S450" t="n">
        <v/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/>
      </c>
      <c r="AC450" t="n">
        <v>24.47110685</v>
      </c>
      <c r="AD450" t="n">
        <v>7.403349274</v>
      </c>
      <c r="AE450" t="n">
        <v/>
      </c>
      <c r="AF450" t="n">
        <v>36.281037377</v>
      </c>
      <c r="AG450" t="n">
        <v/>
      </c>
      <c r="AH450" t="n">
        <v/>
      </c>
      <c r="AI450" t="n">
        <v>19.426237184</v>
      </c>
      <c r="AJ450" t="n">
        <v>17.182467824</v>
      </c>
      <c r="AK450" t="n">
        <v/>
      </c>
      <c r="AL450" t="n">
        <v/>
      </c>
      <c r="AM450" t="n">
        <v/>
      </c>
      <c r="AN450" t="n">
        <v>16.668424057</v>
      </c>
      <c r="AO450" t="n">
        <v/>
      </c>
      <c r="AP450" t="n">
        <v/>
      </c>
      <c r="AQ450" t="n">
        <v/>
      </c>
      <c r="AR450" t="n">
        <v/>
      </c>
      <c r="AS450" t="n">
        <v/>
      </c>
      <c r="AT450" t="n">
        <v>21.108456052</v>
      </c>
      <c r="AU450" t="n">
        <v/>
      </c>
    </row>
    <row r="451">
      <c r="A451" s="105" t="n">
        <v>20607</v>
      </c>
      <c r="B451" t="n">
        <v>11.637451388</v>
      </c>
      <c r="C451" t="n">
        <v>25.027439048</v>
      </c>
      <c r="D451" t="n">
        <v/>
      </c>
      <c r="E451" t="n">
        <v/>
      </c>
      <c r="F451" t="n">
        <v/>
      </c>
      <c r="G451" t="n">
        <v/>
      </c>
      <c r="H451" t="n">
        <v/>
      </c>
      <c r="I451" t="n">
        <v>11.636481681</v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>28.856978074</v>
      </c>
      <c r="S451" t="n">
        <v/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/>
      </c>
      <c r="AC451" t="n">
        <v>24.509134989</v>
      </c>
      <c r="AD451" t="n">
        <v>7.571607212</v>
      </c>
      <c r="AE451" t="n">
        <v/>
      </c>
      <c r="AF451" t="n">
        <v>36.010436245</v>
      </c>
      <c r="AG451" t="n">
        <v/>
      </c>
      <c r="AH451" t="n">
        <v/>
      </c>
      <c r="AI451" t="n">
        <v>19.711917143</v>
      </c>
      <c r="AJ451" t="n">
        <v>17.800213005</v>
      </c>
      <c r="AK451" t="n">
        <v/>
      </c>
      <c r="AL451" t="n">
        <v/>
      </c>
      <c r="AM451" t="n">
        <v/>
      </c>
      <c r="AN451" t="n">
        <v>17.416728056</v>
      </c>
      <c r="AO451" t="n">
        <v/>
      </c>
      <c r="AP451" t="n">
        <v/>
      </c>
      <c r="AQ451" t="n">
        <v/>
      </c>
      <c r="AR451" t="n">
        <v/>
      </c>
      <c r="AS451" t="n">
        <v/>
      </c>
      <c r="AT451" t="n">
        <v>20.921443198</v>
      </c>
      <c r="AU451" t="n">
        <v/>
      </c>
    </row>
    <row r="452">
      <c r="A452" s="105" t="n">
        <v>20637</v>
      </c>
      <c r="B452" t="n">
        <v>11.761408013</v>
      </c>
      <c r="C452" t="n">
        <v>24.407718132</v>
      </c>
      <c r="D452" t="n">
        <v/>
      </c>
      <c r="E452" t="n">
        <v/>
      </c>
      <c r="F452" t="n">
        <v/>
      </c>
      <c r="G452" t="n">
        <v/>
      </c>
      <c r="H452" t="n">
        <v/>
      </c>
      <c r="I452" t="n">
        <v>11.760427978</v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>29.286692529</v>
      </c>
      <c r="S452" t="n">
        <v/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/>
      </c>
      <c r="AC452" t="n">
        <v>24.870402308</v>
      </c>
      <c r="AD452" t="n">
        <v>7.823994119</v>
      </c>
      <c r="AE452" t="n">
        <v/>
      </c>
      <c r="AF452" t="n">
        <v>36.459006897</v>
      </c>
      <c r="AG452" t="n">
        <v/>
      </c>
      <c r="AH452" t="n">
        <v/>
      </c>
      <c r="AI452" t="n">
        <v>19.711917143</v>
      </c>
      <c r="AJ452" t="n">
        <v>16.862155508</v>
      </c>
      <c r="AK452" t="n">
        <v/>
      </c>
      <c r="AL452" t="n">
        <v/>
      </c>
      <c r="AM452" t="n">
        <v/>
      </c>
      <c r="AN452" t="n">
        <v>17.000236453</v>
      </c>
      <c r="AO452" t="n">
        <v/>
      </c>
      <c r="AP452" t="n">
        <v/>
      </c>
      <c r="AQ452" t="n">
        <v/>
      </c>
      <c r="AR452" t="n">
        <v/>
      </c>
      <c r="AS452" t="n">
        <v/>
      </c>
      <c r="AT452" t="n">
        <v>20.280086288</v>
      </c>
      <c r="AU452" t="n">
        <v/>
      </c>
    </row>
    <row r="453">
      <c r="A453" s="105" t="n">
        <v>20668</v>
      </c>
      <c r="B453" t="n">
        <v>12.046456344</v>
      </c>
      <c r="C453" t="n">
        <v>24.488354379</v>
      </c>
      <c r="D453" t="n">
        <v/>
      </c>
      <c r="E453" t="n">
        <v/>
      </c>
      <c r="F453" t="n">
        <v/>
      </c>
      <c r="G453" t="n">
        <v/>
      </c>
      <c r="H453" t="n">
        <v/>
      </c>
      <c r="I453" t="n">
        <v>12.045452556</v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>29.286692529</v>
      </c>
      <c r="S453" t="n">
        <v/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/>
      </c>
      <c r="AC453" t="n">
        <v>24.528149063</v>
      </c>
      <c r="AD453" t="n">
        <v>7.908123088</v>
      </c>
      <c r="AE453" t="n">
        <v/>
      </c>
      <c r="AF453" t="n">
        <v>35.357480126</v>
      </c>
      <c r="AG453" t="n">
        <v/>
      </c>
      <c r="AH453" t="n">
        <v/>
      </c>
      <c r="AI453" t="n">
        <v>19.711917143</v>
      </c>
      <c r="AJ453" t="n">
        <v>17.68581575</v>
      </c>
      <c r="AK453" t="n">
        <v/>
      </c>
      <c r="AL453" t="n">
        <v/>
      </c>
      <c r="AM453" t="n">
        <v/>
      </c>
      <c r="AN453" t="n">
        <v>17.448829589</v>
      </c>
      <c r="AO453" t="n">
        <v/>
      </c>
      <c r="AP453" t="n">
        <v/>
      </c>
      <c r="AQ453" t="n">
        <v/>
      </c>
      <c r="AR453" t="n">
        <v/>
      </c>
      <c r="AS453" t="n">
        <v/>
      </c>
      <c r="AT453" t="n">
        <v>21.108456052</v>
      </c>
      <c r="AU453" t="n">
        <v/>
      </c>
    </row>
    <row r="454">
      <c r="A454" s="105" t="n">
        <v>20699</v>
      </c>
      <c r="B454" t="n">
        <v>11.987230894</v>
      </c>
      <c r="C454" t="n">
        <v>21.867082904</v>
      </c>
      <c r="D454" t="n">
        <v/>
      </c>
      <c r="E454" t="n">
        <v/>
      </c>
      <c r="F454" t="n">
        <v/>
      </c>
      <c r="G454" t="n">
        <v/>
      </c>
      <c r="H454" t="n">
        <v/>
      </c>
      <c r="I454" t="n">
        <v>11.986232042</v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>29.518077225</v>
      </c>
      <c r="S454" t="n">
        <v/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/>
      </c>
      <c r="AC454" t="n">
        <v>25.174627404</v>
      </c>
      <c r="AD454" t="n">
        <v>8.076381026</v>
      </c>
      <c r="AE454" t="n">
        <v/>
      </c>
      <c r="AF454" t="n">
        <v>36.387525396</v>
      </c>
      <c r="AG454" t="n">
        <v/>
      </c>
      <c r="AH454" t="n">
        <v/>
      </c>
      <c r="AI454" t="n">
        <v>19.997597102</v>
      </c>
      <c r="AJ454" t="n">
        <v>17.868851359</v>
      </c>
      <c r="AK454" t="n">
        <v/>
      </c>
      <c r="AL454" t="n">
        <v/>
      </c>
      <c r="AM454" t="n">
        <v/>
      </c>
      <c r="AN454" t="n">
        <v>17.638596281</v>
      </c>
      <c r="AO454" t="n">
        <v/>
      </c>
      <c r="AP454" t="n">
        <v/>
      </c>
      <c r="AQ454" t="n">
        <v/>
      </c>
      <c r="AR454" t="n">
        <v/>
      </c>
      <c r="AS454" t="n">
        <v/>
      </c>
      <c r="AT454" t="n">
        <v>21.589374576</v>
      </c>
      <c r="AU454" t="n">
        <v/>
      </c>
    </row>
    <row r="455">
      <c r="A455" s="105" t="n">
        <v>20729</v>
      </c>
      <c r="B455" t="n">
        <v>11.971084772</v>
      </c>
      <c r="C455" t="n">
        <v>27.93713988</v>
      </c>
      <c r="D455" t="n">
        <v/>
      </c>
      <c r="E455" t="n">
        <v/>
      </c>
      <c r="F455" t="n">
        <v/>
      </c>
      <c r="G455" t="n">
        <v/>
      </c>
      <c r="H455" t="n">
        <v/>
      </c>
      <c r="I455" t="n">
        <v>11.970087265</v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>29.88168176</v>
      </c>
      <c r="S455" t="n">
        <v/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/>
      </c>
      <c r="AC455" t="n">
        <v>25.193641478</v>
      </c>
      <c r="AD455" t="n">
        <v>8.412896902</v>
      </c>
      <c r="AE455" t="n">
        <v/>
      </c>
      <c r="AF455" t="n">
        <v>37.024740088</v>
      </c>
      <c r="AG455" t="n">
        <v/>
      </c>
      <c r="AH455" t="n">
        <v/>
      </c>
      <c r="AI455" t="n">
        <v>19.997597102</v>
      </c>
      <c r="AJ455" t="n">
        <v>18.006128066</v>
      </c>
      <c r="AK455" t="n">
        <v/>
      </c>
      <c r="AL455" t="n">
        <v/>
      </c>
      <c r="AM455" t="n">
        <v/>
      </c>
      <c r="AN455" t="n">
        <v>17.5205805</v>
      </c>
      <c r="AO455" t="n">
        <v/>
      </c>
      <c r="AP455" t="n">
        <v/>
      </c>
      <c r="AQ455" t="n">
        <v/>
      </c>
      <c r="AR455" t="n">
        <v/>
      </c>
      <c r="AS455" t="n">
        <v/>
      </c>
      <c r="AT455" t="n">
        <v>21.776486588</v>
      </c>
      <c r="AU455" t="n">
        <v/>
      </c>
    </row>
    <row r="456">
      <c r="A456" s="105" t="n">
        <v>20760</v>
      </c>
      <c r="B456" t="n">
        <v>12.041596681</v>
      </c>
      <c r="C456" t="n">
        <v>25.731150525</v>
      </c>
      <c r="D456" t="n">
        <v/>
      </c>
      <c r="E456" t="n">
        <v/>
      </c>
      <c r="F456" t="n">
        <v/>
      </c>
      <c r="G456" t="n">
        <v/>
      </c>
      <c r="H456" t="n">
        <v/>
      </c>
      <c r="I456" t="n">
        <v>12.040593298</v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>29.947791679</v>
      </c>
      <c r="S456" t="n">
        <v/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/>
      </c>
      <c r="AC456" t="n">
        <v>24.870402308</v>
      </c>
      <c r="AD456" t="n">
        <v>8.412896902</v>
      </c>
      <c r="AE456" t="n">
        <v/>
      </c>
      <c r="AF456" t="n">
        <v>36.574899681</v>
      </c>
      <c r="AG456" t="n">
        <v/>
      </c>
      <c r="AH456" t="n">
        <v/>
      </c>
      <c r="AI456" t="n">
        <v>20.28327706</v>
      </c>
      <c r="AJ456" t="n">
        <v>18.120525322</v>
      </c>
      <c r="AK456" t="n">
        <v/>
      </c>
      <c r="AL456" t="n">
        <v/>
      </c>
      <c r="AM456" t="n">
        <v/>
      </c>
      <c r="AN456" t="n">
        <v>17.563918755</v>
      </c>
      <c r="AO456" t="n">
        <v/>
      </c>
      <c r="AP456" t="n">
        <v/>
      </c>
      <c r="AQ456" t="n">
        <v/>
      </c>
      <c r="AR456" t="n">
        <v/>
      </c>
      <c r="AS456" t="n">
        <v/>
      </c>
      <c r="AT456" t="n">
        <v>21.589374576</v>
      </c>
      <c r="AU456" t="n">
        <v/>
      </c>
    </row>
    <row r="457">
      <c r="A457" s="105" t="n">
        <v>20790</v>
      </c>
      <c r="B457" t="n">
        <v>11.89146417</v>
      </c>
      <c r="C457" t="n">
        <v>22.284093394</v>
      </c>
      <c r="D457" t="n">
        <v/>
      </c>
      <c r="E457" t="n">
        <v/>
      </c>
      <c r="F457" t="n">
        <v/>
      </c>
      <c r="G457" t="n">
        <v/>
      </c>
      <c r="H457" t="n">
        <v/>
      </c>
      <c r="I457" t="n">
        <v>11.890473297</v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>30.013901599</v>
      </c>
      <c r="S457" t="n">
        <v/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/>
      </c>
      <c r="AC457" t="n">
        <v>25.345754032</v>
      </c>
      <c r="AD457" t="n">
        <v>8.412896902</v>
      </c>
      <c r="AE457" t="n">
        <v/>
      </c>
      <c r="AF457" t="n">
        <v>37.531335801</v>
      </c>
      <c r="AG457" t="n">
        <v/>
      </c>
      <c r="AH457" t="n">
        <v/>
      </c>
      <c r="AI457" t="n">
        <v>20.568957019</v>
      </c>
      <c r="AJ457" t="n">
        <v>18.029007517</v>
      </c>
      <c r="AK457" t="n">
        <v/>
      </c>
      <c r="AL457" t="n">
        <v/>
      </c>
      <c r="AM457" t="n">
        <v/>
      </c>
      <c r="AN457" t="n">
        <v>18.401796862</v>
      </c>
      <c r="AO457" t="n">
        <v/>
      </c>
      <c r="AP457" t="n">
        <v/>
      </c>
      <c r="AQ457" t="n">
        <v/>
      </c>
      <c r="AR457" t="n">
        <v/>
      </c>
      <c r="AS457" t="n">
        <v/>
      </c>
      <c r="AT457" t="n">
        <v>21.910053032</v>
      </c>
      <c r="AU457" t="n">
        <v/>
      </c>
    </row>
    <row r="458">
      <c r="A458" s="105" t="n">
        <v>20821</v>
      </c>
      <c r="B458" t="n">
        <v>12.095116822</v>
      </c>
      <c r="C458" t="n">
        <v>25.687714807</v>
      </c>
      <c r="D458" t="n">
        <v/>
      </c>
      <c r="E458" t="n">
        <v/>
      </c>
      <c r="F458" t="n">
        <v/>
      </c>
      <c r="G458" t="n">
        <v/>
      </c>
      <c r="H458" t="n">
        <v/>
      </c>
      <c r="I458" t="n">
        <v>12.09410898</v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>30.410561089</v>
      </c>
      <c r="S458" t="n">
        <v/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/>
      </c>
      <c r="AC458" t="n">
        <v>25.440824372</v>
      </c>
      <c r="AD458" t="n">
        <v>8.497025871</v>
      </c>
      <c r="AE458" t="n">
        <v/>
      </c>
      <c r="AF458" t="n">
        <v>37.223340352</v>
      </c>
      <c r="AG458" t="n">
        <v/>
      </c>
      <c r="AH458" t="n">
        <v/>
      </c>
      <c r="AI458" t="n">
        <v>20.568957019</v>
      </c>
      <c r="AJ458" t="n">
        <v>18.09764587</v>
      </c>
      <c r="AK458" t="n">
        <v/>
      </c>
      <c r="AL458" t="n">
        <v/>
      </c>
      <c r="AM458" t="n">
        <v/>
      </c>
      <c r="AN458" t="n">
        <v>17.810100134</v>
      </c>
      <c r="AO458" t="n">
        <v/>
      </c>
      <c r="AP458" t="n">
        <v/>
      </c>
      <c r="AQ458" t="n">
        <v/>
      </c>
      <c r="AR458" t="n">
        <v/>
      </c>
      <c r="AS458" t="n">
        <v/>
      </c>
      <c r="AT458" t="n">
        <v>21.829833839</v>
      </c>
      <c r="AU458" t="n">
        <v/>
      </c>
    </row>
    <row r="459">
      <c r="A459" s="105" t="n">
        <v>20852</v>
      </c>
      <c r="B459" t="n">
        <v>12.02006309</v>
      </c>
      <c r="C459" t="n">
        <v>24.854561198</v>
      </c>
      <c r="D459" t="n">
        <v/>
      </c>
      <c r="E459" t="n">
        <v/>
      </c>
      <c r="F459" t="n">
        <v/>
      </c>
      <c r="G459" t="n">
        <v/>
      </c>
      <c r="H459" t="n">
        <v/>
      </c>
      <c r="I459" t="n">
        <v>12.019061502</v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>30.575835875</v>
      </c>
      <c r="S459" t="n">
        <v/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/>
      </c>
      <c r="AC459" t="n">
        <v>25.954204234</v>
      </c>
      <c r="AD459" t="n">
        <v>8.665283809</v>
      </c>
      <c r="AE459" t="n">
        <v/>
      </c>
      <c r="AF459" t="n">
        <v>37.555721568</v>
      </c>
      <c r="AG459" t="n">
        <v/>
      </c>
      <c r="AH459" t="n">
        <v/>
      </c>
      <c r="AI459" t="n">
        <v>20.568957019</v>
      </c>
      <c r="AJ459" t="n">
        <v>18.372199284</v>
      </c>
      <c r="AK459" t="n">
        <v/>
      </c>
      <c r="AL459" t="n">
        <v/>
      </c>
      <c r="AM459" t="n">
        <v/>
      </c>
      <c r="AN459" t="n">
        <v>17.72108454</v>
      </c>
      <c r="AO459" t="n">
        <v/>
      </c>
      <c r="AP459" t="n">
        <v/>
      </c>
      <c r="AQ459" t="n">
        <v/>
      </c>
      <c r="AR459" t="n">
        <v/>
      </c>
      <c r="AS459" t="n">
        <v/>
      </c>
      <c r="AT459" t="n">
        <v>22.043619475</v>
      </c>
      <c r="AU459" t="n">
        <v/>
      </c>
    </row>
    <row r="460">
      <c r="A460" s="105" t="n">
        <v>20880</v>
      </c>
      <c r="B460" t="n">
        <v>12.306545102</v>
      </c>
      <c r="C460" t="n">
        <v>24.744621796</v>
      </c>
      <c r="D460" t="n">
        <v/>
      </c>
      <c r="E460" t="n">
        <v/>
      </c>
      <c r="F460" t="n">
        <v/>
      </c>
      <c r="G460" t="n">
        <v/>
      </c>
      <c r="H460" t="n">
        <v/>
      </c>
      <c r="I460" t="n">
        <v>12.305519642</v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>30.840275535</v>
      </c>
      <c r="S460" t="n">
        <v/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/>
      </c>
      <c r="AC460" t="n">
        <v>25.954204234</v>
      </c>
      <c r="AD460" t="n">
        <v>8.749412778</v>
      </c>
      <c r="AE460" t="n">
        <v/>
      </c>
      <c r="AF460" t="n">
        <v>37.275774763</v>
      </c>
      <c r="AG460" t="n">
        <v/>
      </c>
      <c r="AH460" t="n">
        <v/>
      </c>
      <c r="AI460" t="n">
        <v>20.28327706</v>
      </c>
      <c r="AJ460" t="n">
        <v>18.349319833</v>
      </c>
      <c r="AK460" t="n">
        <v/>
      </c>
      <c r="AL460" t="n">
        <v/>
      </c>
      <c r="AM460" t="n">
        <v/>
      </c>
      <c r="AN460" t="n">
        <v>17.862513977</v>
      </c>
      <c r="AO460" t="n">
        <v/>
      </c>
      <c r="AP460" t="n">
        <v/>
      </c>
      <c r="AQ460" t="n">
        <v/>
      </c>
      <c r="AR460" t="n">
        <v/>
      </c>
      <c r="AS460" t="n">
        <v/>
      </c>
      <c r="AT460" t="n">
        <v>22.01694585</v>
      </c>
      <c r="AU460" t="n">
        <v/>
      </c>
    </row>
    <row r="461">
      <c r="A461" s="105" t="n">
        <v>20911</v>
      </c>
      <c r="B461" t="n">
        <v>12.249281548</v>
      </c>
      <c r="C461" t="n">
        <v>25.513918368</v>
      </c>
      <c r="D461" t="n">
        <v/>
      </c>
      <c r="E461" t="n">
        <v/>
      </c>
      <c r="F461" t="n">
        <v/>
      </c>
      <c r="G461" t="n">
        <v/>
      </c>
      <c r="H461" t="n">
        <v/>
      </c>
      <c r="I461" t="n">
        <v>12.248260859</v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>30.54278092</v>
      </c>
      <c r="S461" t="n">
        <v/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/>
      </c>
      <c r="AC461" t="n">
        <v>26.353499692</v>
      </c>
      <c r="AD461" t="n">
        <v>9.085928654</v>
      </c>
      <c r="AE461" t="n">
        <v/>
      </c>
      <c r="AF461" t="n">
        <v>36.907030708</v>
      </c>
      <c r="AG461" t="n">
        <v/>
      </c>
      <c r="AH461" t="n">
        <v/>
      </c>
      <c r="AI461" t="n">
        <v>20.28327706</v>
      </c>
      <c r="AJ461" t="n">
        <v>17.960369163</v>
      </c>
      <c r="AK461" t="n">
        <v/>
      </c>
      <c r="AL461" t="n">
        <v/>
      </c>
      <c r="AM461" t="n">
        <v/>
      </c>
      <c r="AN461" t="n">
        <v>18.808153911</v>
      </c>
      <c r="AO461" t="n">
        <v/>
      </c>
      <c r="AP461" t="n">
        <v/>
      </c>
      <c r="AQ461" t="n">
        <v/>
      </c>
      <c r="AR461" t="n">
        <v/>
      </c>
      <c r="AS461" t="n">
        <v/>
      </c>
      <c r="AT461" t="n">
        <v>21.723040179</v>
      </c>
      <c r="AU461" t="n">
        <v/>
      </c>
    </row>
    <row r="462">
      <c r="A462" s="105" t="n">
        <v>20941</v>
      </c>
      <c r="B462" t="n">
        <v>12.485400528</v>
      </c>
      <c r="C462" t="n">
        <v>25.929944718</v>
      </c>
      <c r="D462" t="n">
        <v/>
      </c>
      <c r="E462" t="n">
        <v/>
      </c>
      <c r="F462" t="n">
        <v/>
      </c>
      <c r="G462" t="n">
        <v/>
      </c>
      <c r="H462" t="n">
        <v/>
      </c>
      <c r="I462" t="n">
        <v>12.484360165</v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>31.104715195</v>
      </c>
      <c r="S462" t="n">
        <v/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/>
      </c>
      <c r="AC462" t="n">
        <v>26.068288649</v>
      </c>
      <c r="AD462" t="n">
        <v>9.590702468</v>
      </c>
      <c r="AE462" t="n">
        <v/>
      </c>
      <c r="AF462" t="n">
        <v>36.868772752</v>
      </c>
      <c r="AG462" t="n">
        <v/>
      </c>
      <c r="AH462" t="n">
        <v/>
      </c>
      <c r="AI462" t="n">
        <v>20.28327706</v>
      </c>
      <c r="AJ462" t="n">
        <v>18.898426661</v>
      </c>
      <c r="AK462" t="n">
        <v/>
      </c>
      <c r="AL462" t="n">
        <v/>
      </c>
      <c r="AM462" t="n">
        <v/>
      </c>
      <c r="AN462" t="n">
        <v>18.417290299</v>
      </c>
      <c r="AO462" t="n">
        <v/>
      </c>
      <c r="AP462" t="n">
        <v/>
      </c>
      <c r="AQ462" t="n">
        <v/>
      </c>
      <c r="AR462" t="n">
        <v/>
      </c>
      <c r="AS462" t="n">
        <v/>
      </c>
      <c r="AT462" t="n">
        <v>21.642820985</v>
      </c>
      <c r="AU462" t="n">
        <v/>
      </c>
    </row>
    <row r="463">
      <c r="A463" s="105" t="n">
        <v>20972</v>
      </c>
      <c r="B463" t="n">
        <v>12.415719008</v>
      </c>
      <c r="C463" t="n">
        <v>22.095269277</v>
      </c>
      <c r="D463" t="n">
        <v/>
      </c>
      <c r="E463" t="n">
        <v/>
      </c>
      <c r="F463" t="n">
        <v/>
      </c>
      <c r="G463" t="n">
        <v/>
      </c>
      <c r="H463" t="n">
        <v/>
      </c>
      <c r="I463" t="n">
        <v>12.414684451</v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>31.07166024</v>
      </c>
      <c r="S463" t="n">
        <v/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/>
      </c>
      <c r="AC463" t="n">
        <v>26.315471553</v>
      </c>
      <c r="AD463" t="n">
        <v>9.338315561</v>
      </c>
      <c r="AE463" t="n">
        <v/>
      </c>
      <c r="AF463" t="n">
        <v>37.030789882</v>
      </c>
      <c r="AG463" t="n">
        <v/>
      </c>
      <c r="AH463" t="n">
        <v/>
      </c>
      <c r="AI463" t="n">
        <v>20.568957019</v>
      </c>
      <c r="AJ463" t="n">
        <v>17.823092456</v>
      </c>
      <c r="AK463" t="n">
        <v/>
      </c>
      <c r="AL463" t="n">
        <v/>
      </c>
      <c r="AM463" t="n">
        <v/>
      </c>
      <c r="AN463" t="n">
        <v>18.340637063</v>
      </c>
      <c r="AO463" t="n">
        <v/>
      </c>
      <c r="AP463" t="n">
        <v/>
      </c>
      <c r="AQ463" t="n">
        <v/>
      </c>
      <c r="AR463" t="n">
        <v/>
      </c>
      <c r="AS463" t="n">
        <v/>
      </c>
      <c r="AT463" t="n">
        <v>21.696267395</v>
      </c>
      <c r="AU463" t="n">
        <v/>
      </c>
    </row>
    <row r="464">
      <c r="A464" s="105" t="n">
        <v>21002</v>
      </c>
      <c r="B464" t="n">
        <v>12.481298838</v>
      </c>
      <c r="C464" t="n">
        <v>22.925840819</v>
      </c>
      <c r="D464" t="n">
        <v/>
      </c>
      <c r="E464" t="n">
        <v/>
      </c>
      <c r="F464" t="n">
        <v/>
      </c>
      <c r="G464" t="n">
        <v/>
      </c>
      <c r="H464" t="n">
        <v/>
      </c>
      <c r="I464" t="n">
        <v>12.480258817</v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>31.831924266</v>
      </c>
      <c r="S464" t="n">
        <v/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/>
      </c>
      <c r="AC464" t="n">
        <v>26.581668522</v>
      </c>
      <c r="AD464" t="n">
        <v>9.506573499</v>
      </c>
      <c r="AE464" t="n">
        <v/>
      </c>
      <c r="AF464" t="n">
        <v>36.317584258</v>
      </c>
      <c r="AG464" t="n">
        <v/>
      </c>
      <c r="AH464" t="n">
        <v/>
      </c>
      <c r="AI464" t="n">
        <v>20.568957019</v>
      </c>
      <c r="AJ464" t="n">
        <v>18.303560931</v>
      </c>
      <c r="AK464" t="n">
        <v/>
      </c>
      <c r="AL464" t="n">
        <v/>
      </c>
      <c r="AM464" t="n">
        <v/>
      </c>
      <c r="AN464" t="n">
        <v>18.503657501</v>
      </c>
      <c r="AO464" t="n">
        <v/>
      </c>
      <c r="AP464" t="n">
        <v/>
      </c>
      <c r="AQ464" t="n">
        <v/>
      </c>
      <c r="AR464" t="n">
        <v/>
      </c>
      <c r="AS464" t="n">
        <v/>
      </c>
      <c r="AT464" t="n">
        <v>21.829833839</v>
      </c>
      <c r="AU464" t="n">
        <v/>
      </c>
    </row>
    <row r="465">
      <c r="A465" s="105" t="n">
        <v>21033</v>
      </c>
      <c r="B465" t="n">
        <v>12.553265186</v>
      </c>
      <c r="C465" t="n">
        <v>23.681145085</v>
      </c>
      <c r="D465" t="n">
        <v/>
      </c>
      <c r="E465" t="n">
        <v/>
      </c>
      <c r="F465" t="n">
        <v/>
      </c>
      <c r="G465" t="n">
        <v/>
      </c>
      <c r="H465" t="n">
        <v/>
      </c>
      <c r="I465" t="n">
        <v>12.552219168</v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>31.831924266</v>
      </c>
      <c r="S465" t="n">
        <v/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/>
      </c>
      <c r="AC465" t="n">
        <v>26.676738862</v>
      </c>
      <c r="AD465" t="n">
        <v>9.170057623</v>
      </c>
      <c r="AE465" t="n">
        <v/>
      </c>
      <c r="AF465" t="n">
        <v>36.222051907</v>
      </c>
      <c r="AG465" t="n">
        <v/>
      </c>
      <c r="AH465" t="n">
        <v/>
      </c>
      <c r="AI465" t="n">
        <v>20.568957019</v>
      </c>
      <c r="AJ465" t="n">
        <v>18.555234894</v>
      </c>
      <c r="AK465" t="n">
        <v/>
      </c>
      <c r="AL465" t="n">
        <v/>
      </c>
      <c r="AM465" t="n">
        <v/>
      </c>
      <c r="AN465" t="n">
        <v>18.205898313</v>
      </c>
      <c r="AO465" t="n">
        <v/>
      </c>
      <c r="AP465" t="n">
        <v/>
      </c>
      <c r="AQ465" t="n">
        <v/>
      </c>
      <c r="AR465" t="n">
        <v/>
      </c>
      <c r="AS465" t="n">
        <v/>
      </c>
      <c r="AT465" t="n">
        <v>21.829932997</v>
      </c>
      <c r="AU465" t="n">
        <v/>
      </c>
    </row>
    <row r="466">
      <c r="A466" s="105" t="n">
        <v>21064</v>
      </c>
      <c r="B466" t="n">
        <v>12.737559311</v>
      </c>
      <c r="C466" t="n">
        <v>23.044839138</v>
      </c>
      <c r="D466" t="n">
        <v/>
      </c>
      <c r="E466" t="n">
        <v/>
      </c>
      <c r="F466" t="n">
        <v/>
      </c>
      <c r="G466" t="n">
        <v/>
      </c>
      <c r="H466" t="n">
        <v/>
      </c>
      <c r="I466" t="n">
        <v>12.736497936</v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>32.162473846</v>
      </c>
      <c r="S466" t="n">
        <v/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/>
      </c>
      <c r="AC466" t="n">
        <v>26.999978032</v>
      </c>
      <c r="AD466" t="n">
        <v>9.170057623</v>
      </c>
      <c r="AE466" t="n">
        <v/>
      </c>
      <c r="AF466" t="n">
        <v>36.197319365</v>
      </c>
      <c r="AG466" t="n">
        <v/>
      </c>
      <c r="AH466" t="n">
        <v/>
      </c>
      <c r="AI466" t="n">
        <v>20.28327706</v>
      </c>
      <c r="AJ466" t="n">
        <v>18.440837638</v>
      </c>
      <c r="AK466" t="n">
        <v/>
      </c>
      <c r="AL466" t="n">
        <v/>
      </c>
      <c r="AM466" t="n">
        <v/>
      </c>
      <c r="AN466" t="n">
        <v>17.872120536</v>
      </c>
      <c r="AO466" t="n">
        <v/>
      </c>
      <c r="AP466" t="n">
        <v/>
      </c>
      <c r="AQ466" t="n">
        <v/>
      </c>
      <c r="AR466" t="n">
        <v/>
      </c>
      <c r="AS466" t="n">
        <v/>
      </c>
      <c r="AT466" t="n">
        <v>21.642820985</v>
      </c>
      <c r="AU466" t="n">
        <v/>
      </c>
    </row>
    <row r="467">
      <c r="A467" s="105" t="n">
        <v>21094</v>
      </c>
      <c r="B467" t="n">
        <v>12.551534179</v>
      </c>
      <c r="C467" t="n">
        <v>27.831694451</v>
      </c>
      <c r="D467" t="n">
        <v/>
      </c>
      <c r="E467" t="n">
        <v/>
      </c>
      <c r="F467" t="n">
        <v/>
      </c>
      <c r="G467" t="n">
        <v/>
      </c>
      <c r="H467" t="n">
        <v/>
      </c>
      <c r="I467" t="n">
        <v>12.550488305</v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>31.798869311</v>
      </c>
      <c r="S467" t="n">
        <v/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/>
      </c>
      <c r="AC467" t="n">
        <v>25.954204234</v>
      </c>
      <c r="AD467" t="n">
        <v>9.085928654</v>
      </c>
      <c r="AE467" t="n">
        <v/>
      </c>
      <c r="AF467" t="n">
        <v>35.924325053</v>
      </c>
      <c r="AG467" t="n">
        <v/>
      </c>
      <c r="AH467" t="n">
        <v/>
      </c>
      <c r="AI467" t="n">
        <v>19.711917143</v>
      </c>
      <c r="AJ467" t="n">
        <v>18.349319833</v>
      </c>
      <c r="AK467" t="n">
        <v/>
      </c>
      <c r="AL467" t="n">
        <v/>
      </c>
      <c r="AM467" t="n">
        <v/>
      </c>
      <c r="AN467" t="n">
        <v>18.13736948</v>
      </c>
      <c r="AO467" t="n">
        <v/>
      </c>
      <c r="AP467" t="n">
        <v/>
      </c>
      <c r="AQ467" t="n">
        <v/>
      </c>
      <c r="AR467" t="n">
        <v/>
      </c>
      <c r="AS467" t="n">
        <v/>
      </c>
      <c r="AT467" t="n">
        <v>21.322241688</v>
      </c>
      <c r="AU467" t="n">
        <v/>
      </c>
    </row>
    <row r="468">
      <c r="A468" s="105" t="n">
        <v>21125</v>
      </c>
      <c r="B468" t="n">
        <v>12.611328393</v>
      </c>
      <c r="C468" t="n">
        <v>22.233408604</v>
      </c>
      <c r="D468" t="n">
        <v/>
      </c>
      <c r="E468" t="n">
        <v/>
      </c>
      <c r="F468" t="n">
        <v/>
      </c>
      <c r="G468" t="n">
        <v/>
      </c>
      <c r="H468" t="n">
        <v/>
      </c>
      <c r="I468" t="n">
        <v>12.610277536</v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>32.459968461</v>
      </c>
      <c r="S468" t="n">
        <v/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/>
      </c>
      <c r="AC468" t="n">
        <v>26.277443415</v>
      </c>
      <c r="AD468" t="n">
        <v>9.085928654</v>
      </c>
      <c r="AE468" t="n">
        <v/>
      </c>
      <c r="AF468" t="n">
        <v>35.737360723</v>
      </c>
      <c r="AG468" t="n">
        <v/>
      </c>
      <c r="AH468" t="n">
        <v/>
      </c>
      <c r="AI468" t="n">
        <v>19.997597102</v>
      </c>
      <c r="AJ468" t="n">
        <v>18.051886968</v>
      </c>
      <c r="AK468" t="n">
        <v/>
      </c>
      <c r="AL468" t="n">
        <v/>
      </c>
      <c r="AM468" t="n">
        <v/>
      </c>
      <c r="AN468" t="n">
        <v>18.493336538</v>
      </c>
      <c r="AO468" t="n">
        <v/>
      </c>
      <c r="AP468" t="n">
        <v/>
      </c>
      <c r="AQ468" t="n">
        <v/>
      </c>
      <c r="AR468" t="n">
        <v/>
      </c>
      <c r="AS468" t="n">
        <v/>
      </c>
      <c r="AT468" t="n">
        <v>20.81455038</v>
      </c>
      <c r="AU468" t="n">
        <v/>
      </c>
    </row>
    <row r="469">
      <c r="A469" s="105" t="n">
        <v>21155</v>
      </c>
      <c r="B469" t="n">
        <v>12.61942664</v>
      </c>
      <c r="C469" t="n">
        <v>23.168959983</v>
      </c>
      <c r="D469" t="n">
        <v/>
      </c>
      <c r="E469" t="n">
        <v/>
      </c>
      <c r="F469" t="n">
        <v/>
      </c>
      <c r="G469" t="n">
        <v/>
      </c>
      <c r="H469" t="n">
        <v/>
      </c>
      <c r="I469" t="n">
        <v>12.618375108</v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>32.856627961</v>
      </c>
      <c r="S469" t="n">
        <v/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/>
      </c>
      <c r="AC469" t="n">
        <v>26.562654447</v>
      </c>
      <c r="AD469" t="n">
        <v>8.917670716</v>
      </c>
      <c r="AE469" t="n">
        <v/>
      </c>
      <c r="AF469" t="n">
        <v>35.661301521</v>
      </c>
      <c r="AG469" t="n">
        <v/>
      </c>
      <c r="AH469" t="n">
        <v/>
      </c>
      <c r="AI469" t="n">
        <v>19.997597102</v>
      </c>
      <c r="AJ469" t="n">
        <v>18.074766419</v>
      </c>
      <c r="AK469" t="n">
        <v/>
      </c>
      <c r="AL469" t="n">
        <v/>
      </c>
      <c r="AM469" t="n">
        <v/>
      </c>
      <c r="AN469" t="n">
        <v>18.029877883</v>
      </c>
      <c r="AO469" t="n">
        <v/>
      </c>
      <c r="AP469" t="n">
        <v/>
      </c>
      <c r="AQ469" t="n">
        <v/>
      </c>
      <c r="AR469" t="n">
        <v/>
      </c>
      <c r="AS469" t="n">
        <v/>
      </c>
      <c r="AT469" t="n">
        <v>20.41375189</v>
      </c>
      <c r="AU469" t="n">
        <v/>
      </c>
    </row>
    <row r="470">
      <c r="A470" s="105" t="n">
        <v>21186</v>
      </c>
      <c r="B470" t="n">
        <v>12.843416708</v>
      </c>
      <c r="C470" t="n">
        <v>23.767539764</v>
      </c>
      <c r="D470" t="n">
        <v/>
      </c>
      <c r="E470" t="n">
        <v/>
      </c>
      <c r="F470" t="n">
        <v/>
      </c>
      <c r="G470" t="n">
        <v/>
      </c>
      <c r="H470" t="n">
        <v/>
      </c>
      <c r="I470" t="n">
        <v>12.842346513</v>
      </c>
      <c r="J470" t="n">
        <v/>
      </c>
      <c r="K470" t="n">
        <v>23.601720952</v>
      </c>
      <c r="L470" t="n">
        <v/>
      </c>
      <c r="M470" t="n">
        <v/>
      </c>
      <c r="N470" t="n">
        <v/>
      </c>
      <c r="O470" t="n">
        <v/>
      </c>
      <c r="P470" t="n">
        <v/>
      </c>
      <c r="Q470" t="n">
        <v>12.983038899</v>
      </c>
      <c r="R470" t="n">
        <v>33.187177532</v>
      </c>
      <c r="S470" t="n">
        <v/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/>
      </c>
      <c r="AC470" t="n">
        <v>26.961949894</v>
      </c>
      <c r="AD470" t="n">
        <v>8.833541747</v>
      </c>
      <c r="AE470" t="n">
        <v/>
      </c>
      <c r="AF470" t="n">
        <v>36.042771235</v>
      </c>
      <c r="AG470" t="n">
        <v/>
      </c>
      <c r="AH470" t="n">
        <v/>
      </c>
      <c r="AI470" t="n">
        <v>19.997597102</v>
      </c>
      <c r="AJ470" t="n">
        <v>18.303560931</v>
      </c>
      <c r="AK470" t="n">
        <v/>
      </c>
      <c r="AL470" t="n">
        <v/>
      </c>
      <c r="AM470" t="n">
        <v/>
      </c>
      <c r="AN470" t="n">
        <v>18.816092922</v>
      </c>
      <c r="AO470" t="n">
        <v/>
      </c>
      <c r="AP470" t="n">
        <v/>
      </c>
      <c r="AQ470" t="n">
        <v/>
      </c>
      <c r="AR470" t="n">
        <v/>
      </c>
      <c r="AS470" t="n">
        <v/>
      </c>
      <c r="AT470" t="n">
        <v>20.039627025</v>
      </c>
      <c r="AU470" t="n">
        <v/>
      </c>
    </row>
    <row r="471">
      <c r="A471" s="105" t="n">
        <v>21217</v>
      </c>
      <c r="B471" t="n">
        <v>12.834908957</v>
      </c>
      <c r="C471" t="n">
        <v>25.808322562</v>
      </c>
      <c r="D471" t="n">
        <v/>
      </c>
      <c r="E471" t="n">
        <v/>
      </c>
      <c r="F471" t="n">
        <v/>
      </c>
      <c r="G471" t="n">
        <v/>
      </c>
      <c r="H471" t="n">
        <v/>
      </c>
      <c r="I471" t="n">
        <v>12.83383947</v>
      </c>
      <c r="J471" t="n">
        <v/>
      </c>
      <c r="K471" t="n">
        <v>23.70092767</v>
      </c>
      <c r="L471" t="n">
        <v/>
      </c>
      <c r="M471" t="n">
        <v/>
      </c>
      <c r="N471" t="n">
        <v/>
      </c>
      <c r="O471" t="n">
        <v/>
      </c>
      <c r="P471" t="n">
        <v/>
      </c>
      <c r="Q471" t="n">
        <v>12.858401725</v>
      </c>
      <c r="R471" t="n">
        <v>33.319397362</v>
      </c>
      <c r="S471" t="n">
        <v/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/>
      </c>
      <c r="AC471" t="n">
        <v>26.410541894</v>
      </c>
      <c r="AD471" t="n">
        <v>8.917670716</v>
      </c>
      <c r="AE471" t="n">
        <v/>
      </c>
      <c r="AF471" t="n">
        <v>36.766931119</v>
      </c>
      <c r="AG471" t="n">
        <v/>
      </c>
      <c r="AH471" t="n">
        <v/>
      </c>
      <c r="AI471" t="n">
        <v>19.997597102</v>
      </c>
      <c r="AJ471" t="n">
        <v>18.257802029</v>
      </c>
      <c r="AK471" t="n">
        <v/>
      </c>
      <c r="AL471" t="n">
        <v/>
      </c>
      <c r="AM471" t="n">
        <v/>
      </c>
      <c r="AN471" t="n">
        <v>18.790966001</v>
      </c>
      <c r="AO471" t="n">
        <v/>
      </c>
      <c r="AP471" t="n">
        <v/>
      </c>
      <c r="AQ471" t="n">
        <v/>
      </c>
      <c r="AR471" t="n">
        <v/>
      </c>
      <c r="AS471" t="n">
        <v/>
      </c>
      <c r="AT471" t="n">
        <v>19.61215491</v>
      </c>
      <c r="AU471" t="n">
        <v/>
      </c>
    </row>
    <row r="472">
      <c r="A472" s="105" t="n">
        <v>21245</v>
      </c>
      <c r="B472" t="n">
        <v>12.672331615</v>
      </c>
      <c r="C472" t="n">
        <v>22.882706282</v>
      </c>
      <c r="D472" t="n">
        <v/>
      </c>
      <c r="E472" t="n">
        <v/>
      </c>
      <c r="F472" t="n">
        <v/>
      </c>
      <c r="G472" t="n">
        <v/>
      </c>
      <c r="H472" t="n">
        <v/>
      </c>
      <c r="I472" t="n">
        <v>12.671275676</v>
      </c>
      <c r="J472" t="n">
        <v/>
      </c>
      <c r="K472" t="n">
        <v>24.085981328</v>
      </c>
      <c r="L472" t="n">
        <v/>
      </c>
      <c r="M472" t="n">
        <v/>
      </c>
      <c r="N472" t="n">
        <v/>
      </c>
      <c r="O472" t="n">
        <v/>
      </c>
      <c r="P472" t="n">
        <v/>
      </c>
      <c r="Q472" t="n">
        <v>12.588354516</v>
      </c>
      <c r="R472" t="n">
        <v>33.220232487</v>
      </c>
      <c r="S472" t="n">
        <v/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/>
      </c>
      <c r="AC472" t="n">
        <v>26.372513755</v>
      </c>
      <c r="AD472" t="n">
        <v>8.833541747</v>
      </c>
      <c r="AE472" t="n">
        <v/>
      </c>
      <c r="AF472" t="n">
        <v>35.229775769</v>
      </c>
      <c r="AG472" t="n">
        <v/>
      </c>
      <c r="AH472" t="n">
        <v/>
      </c>
      <c r="AI472" t="n">
        <v>20.28327706</v>
      </c>
      <c r="AJ472" t="n">
        <v>18.578114345</v>
      </c>
      <c r="AK472" t="n">
        <v/>
      </c>
      <c r="AL472" t="n">
        <v/>
      </c>
      <c r="AM472" t="n">
        <v/>
      </c>
      <c r="AN472" t="n">
        <v>19.131789593</v>
      </c>
      <c r="AO472" t="n">
        <v/>
      </c>
      <c r="AP472" t="n">
        <v/>
      </c>
      <c r="AQ472" t="n">
        <v/>
      </c>
      <c r="AR472" t="n">
        <v/>
      </c>
      <c r="AS472" t="n">
        <v/>
      </c>
      <c r="AT472" t="n">
        <v>19.371695648</v>
      </c>
      <c r="AU472" t="n">
        <v/>
      </c>
    </row>
    <row r="473">
      <c r="A473" s="105" t="n">
        <v>21276</v>
      </c>
      <c r="B473" t="n">
        <v>12.61788946</v>
      </c>
      <c r="C473" t="n">
        <v>22.992208699</v>
      </c>
      <c r="D473" t="n">
        <v/>
      </c>
      <c r="E473" t="n">
        <v/>
      </c>
      <c r="F473" t="n">
        <v/>
      </c>
      <c r="G473" t="n">
        <v/>
      </c>
      <c r="H473" t="n">
        <v/>
      </c>
      <c r="I473" t="n">
        <v>12.616838057</v>
      </c>
      <c r="J473" t="n">
        <v/>
      </c>
      <c r="K473" t="n">
        <v>23.329040403</v>
      </c>
      <c r="L473" t="n">
        <v/>
      </c>
      <c r="M473" t="n">
        <v/>
      </c>
      <c r="N473" t="n">
        <v/>
      </c>
      <c r="O473" t="n">
        <v/>
      </c>
      <c r="P473" t="n">
        <v/>
      </c>
      <c r="Q473" t="n">
        <v>12.775310276</v>
      </c>
      <c r="R473" t="n">
        <v>32.922737871</v>
      </c>
      <c r="S473" t="n">
        <v/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/>
      </c>
      <c r="AC473" t="n">
        <v>26.277443415</v>
      </c>
      <c r="AD473" t="n">
        <v>8.833541747</v>
      </c>
      <c r="AE473" t="n">
        <v/>
      </c>
      <c r="AF473" t="n">
        <v>35.429770535</v>
      </c>
      <c r="AG473" t="n">
        <v/>
      </c>
      <c r="AH473" t="n">
        <v/>
      </c>
      <c r="AI473" t="n">
        <v>19.997597102</v>
      </c>
      <c r="AJ473" t="n">
        <v>18.006128066</v>
      </c>
      <c r="AK473" t="n">
        <v/>
      </c>
      <c r="AL473" t="n">
        <v/>
      </c>
      <c r="AM473" t="n">
        <v/>
      </c>
      <c r="AN473" t="n">
        <v>18.967002336</v>
      </c>
      <c r="AO473" t="n">
        <v/>
      </c>
      <c r="AP473" t="n">
        <v/>
      </c>
      <c r="AQ473" t="n">
        <v/>
      </c>
      <c r="AR473" t="n">
        <v/>
      </c>
      <c r="AS473" t="n">
        <v/>
      </c>
      <c r="AT473" t="n">
        <v>19.051017192</v>
      </c>
      <c r="AU473" t="n">
        <v/>
      </c>
    </row>
    <row r="474">
      <c r="A474" s="105" t="n">
        <v>21306</v>
      </c>
      <c r="B474" t="n">
        <v>12.690821258</v>
      </c>
      <c r="C474" t="n">
        <v>23.029842848</v>
      </c>
      <c r="D474" t="n">
        <v/>
      </c>
      <c r="E474" t="n">
        <v/>
      </c>
      <c r="F474" t="n">
        <v/>
      </c>
      <c r="G474" t="n">
        <v/>
      </c>
      <c r="H474" t="n">
        <v/>
      </c>
      <c r="I474" t="n">
        <v>12.689763778</v>
      </c>
      <c r="J474" t="n">
        <v/>
      </c>
      <c r="K474" t="n">
        <v>23.61413039</v>
      </c>
      <c r="L474" t="n">
        <v/>
      </c>
      <c r="M474" t="n">
        <v/>
      </c>
      <c r="N474" t="n">
        <v/>
      </c>
      <c r="O474" t="n">
        <v/>
      </c>
      <c r="P474" t="n">
        <v/>
      </c>
      <c r="Q474" t="n">
        <v>12.733764552</v>
      </c>
      <c r="R474" t="n">
        <v>32.691353166</v>
      </c>
      <c r="S474" t="n">
        <v/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/>
      </c>
      <c r="AC474" t="n">
        <v>26.334485617</v>
      </c>
      <c r="AD474" t="n">
        <v>8.58115484</v>
      </c>
      <c r="AE474" t="n">
        <v/>
      </c>
      <c r="AF474" t="n">
        <v>35.030175294</v>
      </c>
      <c r="AG474" t="n">
        <v/>
      </c>
      <c r="AH474" t="n">
        <v/>
      </c>
      <c r="AI474" t="n">
        <v>20.28327706</v>
      </c>
      <c r="AJ474" t="n">
        <v>17.937489712</v>
      </c>
      <c r="AK474" t="n">
        <v/>
      </c>
      <c r="AL474" t="n">
        <v/>
      </c>
      <c r="AM474" t="n">
        <v/>
      </c>
      <c r="AN474" t="n">
        <v>19.7224852</v>
      </c>
      <c r="AO474" t="n">
        <v/>
      </c>
      <c r="AP474" t="n">
        <v/>
      </c>
      <c r="AQ474" t="n">
        <v/>
      </c>
      <c r="AR474" t="n">
        <v/>
      </c>
      <c r="AS474" t="n">
        <v/>
      </c>
      <c r="AT474" t="n">
        <v>19.238030045</v>
      </c>
      <c r="AU474" t="n">
        <v/>
      </c>
    </row>
    <row r="475">
      <c r="A475" s="105" t="n">
        <v>21337</v>
      </c>
      <c r="B475" t="n">
        <v>12.737641812</v>
      </c>
      <c r="C475" t="n">
        <v>22.889327684</v>
      </c>
      <c r="D475" t="n">
        <v/>
      </c>
      <c r="E475" t="n">
        <v/>
      </c>
      <c r="F475" t="n">
        <v/>
      </c>
      <c r="G475" t="n">
        <v/>
      </c>
      <c r="H475" t="n">
        <v/>
      </c>
      <c r="I475" t="n">
        <v>12.736580431</v>
      </c>
      <c r="J475" t="n">
        <v/>
      </c>
      <c r="K475" t="n">
        <v>23.902680279</v>
      </c>
      <c r="L475" t="n">
        <v/>
      </c>
      <c r="M475" t="n">
        <v/>
      </c>
      <c r="N475" t="n">
        <v/>
      </c>
      <c r="O475" t="n">
        <v/>
      </c>
      <c r="P475" t="n">
        <v/>
      </c>
      <c r="Q475" t="n">
        <v>12.650673103</v>
      </c>
      <c r="R475" t="n">
        <v>32.922737871</v>
      </c>
      <c r="S475" t="n">
        <v/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/>
      </c>
      <c r="AC475" t="n">
        <v>26.980963968</v>
      </c>
      <c r="AD475" t="n">
        <v>8.497025871</v>
      </c>
      <c r="AE475" t="n">
        <v/>
      </c>
      <c r="AF475" t="n">
        <v>34.620718993</v>
      </c>
      <c r="AG475" t="n">
        <v/>
      </c>
      <c r="AH475" t="n">
        <v/>
      </c>
      <c r="AI475" t="n">
        <v>20.28327706</v>
      </c>
      <c r="AJ475" t="n">
        <v>18.806908857</v>
      </c>
      <c r="AK475" t="n">
        <v/>
      </c>
      <c r="AL475" t="n">
        <v/>
      </c>
      <c r="AM475" t="n">
        <v/>
      </c>
      <c r="AN475" t="n">
        <v>18.548231336</v>
      </c>
      <c r="AO475" t="n">
        <v/>
      </c>
      <c r="AP475" t="n">
        <v/>
      </c>
      <c r="AQ475" t="n">
        <v/>
      </c>
      <c r="AR475" t="n">
        <v/>
      </c>
      <c r="AS475" t="n">
        <v/>
      </c>
      <c r="AT475" t="n">
        <v>19.745721354</v>
      </c>
      <c r="AU475" t="n">
        <v/>
      </c>
    </row>
    <row r="476">
      <c r="A476" s="105" t="n">
        <v>21367</v>
      </c>
      <c r="B476" t="n">
        <v>12.971448021</v>
      </c>
      <c r="C476" t="n">
        <v>23.313869324</v>
      </c>
      <c r="D476" t="n">
        <v/>
      </c>
      <c r="E476" t="n">
        <v/>
      </c>
      <c r="F476" t="n">
        <v/>
      </c>
      <c r="G476" t="n">
        <v/>
      </c>
      <c r="H476" t="n">
        <v/>
      </c>
      <c r="I476" t="n">
        <v>12.970367157</v>
      </c>
      <c r="J476" t="n">
        <v/>
      </c>
      <c r="K476" t="n">
        <v>23.494208675</v>
      </c>
      <c r="L476" t="n">
        <v/>
      </c>
      <c r="M476" t="n">
        <v/>
      </c>
      <c r="N476" t="n">
        <v/>
      </c>
      <c r="O476" t="n">
        <v/>
      </c>
      <c r="P476" t="n">
        <v/>
      </c>
      <c r="Q476" t="n">
        <v>12.609127378</v>
      </c>
      <c r="R476" t="n">
        <v>32.658298211</v>
      </c>
      <c r="S476" t="n">
        <v/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/>
      </c>
      <c r="AC476" t="n">
        <v>27.228146862</v>
      </c>
      <c r="AD476" t="n">
        <v>8.833541747</v>
      </c>
      <c r="AE476" t="n">
        <v/>
      </c>
      <c r="AF476" t="n">
        <v>34.3194167</v>
      </c>
      <c r="AG476" t="n">
        <v/>
      </c>
      <c r="AH476" t="n">
        <v/>
      </c>
      <c r="AI476" t="n">
        <v>20.28327706</v>
      </c>
      <c r="AJ476" t="n">
        <v>18.463717089</v>
      </c>
      <c r="AK476" t="n">
        <v/>
      </c>
      <c r="AL476" t="n">
        <v/>
      </c>
      <c r="AM476" t="n">
        <v/>
      </c>
      <c r="AN476" t="n">
        <v>19.198796871</v>
      </c>
      <c r="AO476" t="n">
        <v/>
      </c>
      <c r="AP476" t="n">
        <v/>
      </c>
      <c r="AQ476" t="n">
        <v/>
      </c>
      <c r="AR476" t="n">
        <v/>
      </c>
      <c r="AS476" t="n">
        <v/>
      </c>
      <c r="AT476" t="n">
        <v>20.039627025</v>
      </c>
      <c r="AU476" t="n">
        <v/>
      </c>
    </row>
    <row r="477">
      <c r="A477" s="105" t="n">
        <v>21398</v>
      </c>
      <c r="B477" t="n">
        <v>12.59440504</v>
      </c>
      <c r="C477" t="n">
        <v>22.816067407</v>
      </c>
      <c r="D477" t="n">
        <v/>
      </c>
      <c r="E477" t="n">
        <v/>
      </c>
      <c r="F477" t="n">
        <v/>
      </c>
      <c r="G477" t="n">
        <v/>
      </c>
      <c r="H477" t="n">
        <v/>
      </c>
      <c r="I477" t="n">
        <v>12.593355593</v>
      </c>
      <c r="J477" t="n">
        <v/>
      </c>
      <c r="K477" t="n">
        <v>24.390604466</v>
      </c>
      <c r="L477" t="n">
        <v/>
      </c>
      <c r="M477" t="n">
        <v/>
      </c>
      <c r="N477" t="n">
        <v/>
      </c>
      <c r="O477" t="n">
        <v/>
      </c>
      <c r="P477" t="n">
        <v/>
      </c>
      <c r="Q477" t="n">
        <v>12.816856001</v>
      </c>
      <c r="R477" t="n">
        <v>32.658298211</v>
      </c>
      <c r="S477" t="n">
        <v/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/>
      </c>
      <c r="AC477" t="n">
        <v>27.17110466</v>
      </c>
      <c r="AD477" t="n">
        <v>8.917670716</v>
      </c>
      <c r="AE477" t="n">
        <v/>
      </c>
      <c r="AF477" t="n">
        <v>34.620780065</v>
      </c>
      <c r="AG477" t="n">
        <v/>
      </c>
      <c r="AH477" t="n">
        <v/>
      </c>
      <c r="AI477" t="n">
        <v>20.568957019</v>
      </c>
      <c r="AJ477" t="n">
        <v>18.372199284</v>
      </c>
      <c r="AK477" t="n">
        <v/>
      </c>
      <c r="AL477" t="n">
        <v/>
      </c>
      <c r="AM477" t="n">
        <v/>
      </c>
      <c r="AN477" t="n">
        <v>20.102089155</v>
      </c>
      <c r="AO477" t="n">
        <v/>
      </c>
      <c r="AP477" t="n">
        <v/>
      </c>
      <c r="AQ477" t="n">
        <v/>
      </c>
      <c r="AR477" t="n">
        <v/>
      </c>
      <c r="AS477" t="n">
        <v/>
      </c>
      <c r="AT477" t="n">
        <v>20.440425515</v>
      </c>
      <c r="AU477" t="n">
        <v/>
      </c>
    </row>
    <row r="478">
      <c r="A478" s="105" t="n">
        <v>21429</v>
      </c>
      <c r="B478" t="n">
        <v>12.546155876</v>
      </c>
      <c r="C478" t="n">
        <v>22.853644263</v>
      </c>
      <c r="D478" t="n">
        <v/>
      </c>
      <c r="E478" t="n">
        <v/>
      </c>
      <c r="F478" t="n">
        <v/>
      </c>
      <c r="G478" t="n">
        <v/>
      </c>
      <c r="H478" t="n">
        <v/>
      </c>
      <c r="I478" t="n">
        <v>12.54511045</v>
      </c>
      <c r="J478" t="n">
        <v/>
      </c>
      <c r="K478" t="n">
        <v>23.698821313</v>
      </c>
      <c r="L478" t="n">
        <v/>
      </c>
      <c r="M478" t="n">
        <v/>
      </c>
      <c r="N478" t="n">
        <v/>
      </c>
      <c r="O478" t="n">
        <v/>
      </c>
      <c r="P478" t="n">
        <v/>
      </c>
      <c r="Q478" t="n">
        <v>12.89994745</v>
      </c>
      <c r="R478" t="n">
        <v>32.459968461</v>
      </c>
      <c r="S478" t="n">
        <v/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/>
      </c>
      <c r="AC478" t="n">
        <v>27.627442309</v>
      </c>
      <c r="AD478" t="n">
        <v>8.917670716</v>
      </c>
      <c r="AE478" t="n">
        <v/>
      </c>
      <c r="AF478" t="n">
        <v>34.38958388</v>
      </c>
      <c r="AG478" t="n">
        <v/>
      </c>
      <c r="AH478" t="n">
        <v/>
      </c>
      <c r="AI478" t="n">
        <v>20.854636977</v>
      </c>
      <c r="AJ478" t="n">
        <v>18.09764587</v>
      </c>
      <c r="AK478" t="n">
        <v/>
      </c>
      <c r="AL478" t="n">
        <v/>
      </c>
      <c r="AM478" t="n">
        <v/>
      </c>
      <c r="AN478" t="n">
        <v>20.388122892</v>
      </c>
      <c r="AO478" t="n">
        <v/>
      </c>
      <c r="AP478" t="n">
        <v/>
      </c>
      <c r="AQ478" t="n">
        <v/>
      </c>
      <c r="AR478" t="n">
        <v/>
      </c>
      <c r="AS478" t="n">
        <v/>
      </c>
      <c r="AT478" t="n">
        <v>20.627537527</v>
      </c>
      <c r="AU478" t="n">
        <v/>
      </c>
    </row>
    <row r="479">
      <c r="A479" s="105" t="n">
        <v>21459</v>
      </c>
      <c r="B479" t="n">
        <v>12.930624785</v>
      </c>
      <c r="C479" t="n">
        <v>23.020214803</v>
      </c>
      <c r="D479" t="n">
        <v/>
      </c>
      <c r="E479" t="n">
        <v/>
      </c>
      <c r="F479" t="n">
        <v/>
      </c>
      <c r="G479" t="n">
        <v/>
      </c>
      <c r="H479" t="n">
        <v/>
      </c>
      <c r="I479" t="n">
        <v>12.929547323</v>
      </c>
      <c r="J479" t="n">
        <v/>
      </c>
      <c r="K479" t="n">
        <v>23.690462547</v>
      </c>
      <c r="L479" t="n">
        <v/>
      </c>
      <c r="M479" t="n">
        <v/>
      </c>
      <c r="N479" t="n">
        <v/>
      </c>
      <c r="O479" t="n">
        <v/>
      </c>
      <c r="P479" t="n">
        <v/>
      </c>
      <c r="Q479" t="n">
        <v>13.066130348</v>
      </c>
      <c r="R479" t="n">
        <v>32.526078381</v>
      </c>
      <c r="S479" t="n">
        <v/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/>
      </c>
      <c r="AC479" t="n">
        <v>27.779554862</v>
      </c>
      <c r="AD479" t="n">
        <v>9.170057623</v>
      </c>
      <c r="AE479" t="n">
        <v/>
      </c>
      <c r="AF479" t="n">
        <v>34.41819305</v>
      </c>
      <c r="AG479" t="n">
        <v/>
      </c>
      <c r="AH479" t="n">
        <v/>
      </c>
      <c r="AI479" t="n">
        <v>21.140316936</v>
      </c>
      <c r="AJ479" t="n">
        <v>18.623873247</v>
      </c>
      <c r="AK479" t="n">
        <v/>
      </c>
      <c r="AL479" t="n">
        <v/>
      </c>
      <c r="AM479" t="n">
        <v/>
      </c>
      <c r="AN479" t="n">
        <v>20.538558418</v>
      </c>
      <c r="AO479" t="n">
        <v/>
      </c>
      <c r="AP479" t="n">
        <v/>
      </c>
      <c r="AQ479" t="n">
        <v/>
      </c>
      <c r="AR479" t="n">
        <v/>
      </c>
      <c r="AS479" t="n">
        <v/>
      </c>
      <c r="AT479" t="n">
        <v>20.867996789</v>
      </c>
      <c r="AU479" t="n">
        <v/>
      </c>
    </row>
    <row r="480">
      <c r="A480" s="105" t="n">
        <v>21490</v>
      </c>
      <c r="B480" t="n">
        <v>12.682783002</v>
      </c>
      <c r="C480" t="n">
        <v>23.266570439</v>
      </c>
      <c r="D480" t="n">
        <v/>
      </c>
      <c r="E480" t="n">
        <v/>
      </c>
      <c r="F480" t="n">
        <v/>
      </c>
      <c r="G480" t="n">
        <v/>
      </c>
      <c r="H480" t="n">
        <v/>
      </c>
      <c r="I480" t="n">
        <v>12.681726191</v>
      </c>
      <c r="J480" t="n">
        <v/>
      </c>
      <c r="K480" t="n">
        <v>24.241933426</v>
      </c>
      <c r="L480" t="n">
        <v/>
      </c>
      <c r="M480" t="n">
        <v/>
      </c>
      <c r="N480" t="n">
        <v/>
      </c>
      <c r="O480" t="n">
        <v/>
      </c>
      <c r="P480" t="n">
        <v/>
      </c>
      <c r="Q480" t="n">
        <v>13.398496144</v>
      </c>
      <c r="R480" t="n">
        <v>32.096363926</v>
      </c>
      <c r="S480" t="n">
        <v/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/>
      </c>
      <c r="AC480" t="n">
        <v>27.95068149</v>
      </c>
      <c r="AD480" t="n">
        <v>9.085928654</v>
      </c>
      <c r="AE480" t="n">
        <v/>
      </c>
      <c r="AF480" t="n">
        <v>34.876109186</v>
      </c>
      <c r="AG480" t="n">
        <v/>
      </c>
      <c r="AH480" t="n">
        <v/>
      </c>
      <c r="AI480" t="n">
        <v>20.854636977</v>
      </c>
      <c r="AJ480" t="n">
        <v>18.692511601</v>
      </c>
      <c r="AK480" t="n">
        <v/>
      </c>
      <c r="AL480" t="n">
        <v/>
      </c>
      <c r="AM480" t="n">
        <v/>
      </c>
      <c r="AN480" t="n">
        <v>20.932219174</v>
      </c>
      <c r="AO480" t="n">
        <v/>
      </c>
      <c r="AP480" t="n">
        <v/>
      </c>
      <c r="AQ480" t="n">
        <v/>
      </c>
      <c r="AR480" t="n">
        <v/>
      </c>
      <c r="AS480" t="n">
        <v/>
      </c>
      <c r="AT480" t="n">
        <v>21.482580916</v>
      </c>
      <c r="AU480" t="n">
        <v/>
      </c>
    </row>
    <row r="481">
      <c r="A481" s="105" t="n">
        <v>21520</v>
      </c>
      <c r="B481" t="n">
        <v>12.828761275</v>
      </c>
      <c r="C481" t="n">
        <v>22.679400962</v>
      </c>
      <c r="D481" t="n">
        <v/>
      </c>
      <c r="E481" t="n">
        <v/>
      </c>
      <c r="F481" t="n">
        <v/>
      </c>
      <c r="G481" t="n">
        <v/>
      </c>
      <c r="H481" t="n">
        <v/>
      </c>
      <c r="I481" t="n">
        <v>12.827692301</v>
      </c>
      <c r="J481" t="n">
        <v/>
      </c>
      <c r="K481" t="n">
        <v>24.340309467</v>
      </c>
      <c r="L481" t="n">
        <v/>
      </c>
      <c r="M481" t="n">
        <v/>
      </c>
      <c r="N481" t="n">
        <v/>
      </c>
      <c r="O481" t="n">
        <v/>
      </c>
      <c r="P481" t="n">
        <v/>
      </c>
      <c r="Q481" t="n">
        <v>12.983038899</v>
      </c>
      <c r="R481" t="n">
        <v>31.831924266</v>
      </c>
      <c r="S481" t="n">
        <v/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/>
      </c>
      <c r="AC481" t="n">
        <v>27.95068149</v>
      </c>
      <c r="AD481" t="n">
        <v>9.338315561</v>
      </c>
      <c r="AE481" t="n">
        <v/>
      </c>
      <c r="AF481" t="n">
        <v>35.057922241</v>
      </c>
      <c r="AG481" t="n">
        <v/>
      </c>
      <c r="AH481" t="n">
        <v/>
      </c>
      <c r="AI481" t="n">
        <v>21.140316936</v>
      </c>
      <c r="AJ481" t="n">
        <v>18.715391052</v>
      </c>
      <c r="AK481" t="n">
        <v/>
      </c>
      <c r="AL481" t="n">
        <v/>
      </c>
      <c r="AM481" t="n">
        <v/>
      </c>
      <c r="AN481" t="n">
        <v>20.344368453</v>
      </c>
      <c r="AO481" t="n">
        <v/>
      </c>
      <c r="AP481" t="n">
        <v/>
      </c>
      <c r="AQ481" t="n">
        <v/>
      </c>
      <c r="AR481" t="n">
        <v/>
      </c>
      <c r="AS481" t="n">
        <v/>
      </c>
      <c r="AT481" t="n">
        <v>21.509254542</v>
      </c>
      <c r="AU481" t="n">
        <v/>
      </c>
    </row>
    <row r="482">
      <c r="A482" s="105" t="n">
        <v>21551</v>
      </c>
      <c r="B482" t="n">
        <v>12.962631202</v>
      </c>
      <c r="C482" t="n">
        <v>22.891264807</v>
      </c>
      <c r="D482" t="n">
        <v/>
      </c>
      <c r="E482" t="n">
        <v/>
      </c>
      <c r="F482" t="n">
        <v/>
      </c>
      <c r="G482" t="n">
        <v/>
      </c>
      <c r="H482" t="n">
        <v/>
      </c>
      <c r="I482" t="n">
        <v>12.961551072</v>
      </c>
      <c r="J482" t="n">
        <v/>
      </c>
      <c r="K482" t="n">
        <v>24.125771169</v>
      </c>
      <c r="L482" t="n">
        <v/>
      </c>
      <c r="M482" t="n">
        <v/>
      </c>
      <c r="N482" t="n">
        <v/>
      </c>
      <c r="O482" t="n">
        <v/>
      </c>
      <c r="P482" t="n">
        <v/>
      </c>
      <c r="Q482" t="n">
        <v>13.024584623</v>
      </c>
      <c r="R482" t="n">
        <v>31.66664948</v>
      </c>
      <c r="S482" t="n">
        <v/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/>
      </c>
      <c r="AC482" t="n">
        <v>28.064765905</v>
      </c>
      <c r="AD482" t="n">
        <v>9.42244453</v>
      </c>
      <c r="AE482" t="n">
        <v/>
      </c>
      <c r="AF482" t="n">
        <v>34.961590642</v>
      </c>
      <c r="AG482" t="n">
        <v/>
      </c>
      <c r="AH482" t="n">
        <v/>
      </c>
      <c r="AI482" t="n">
        <v>21.425996895</v>
      </c>
      <c r="AJ482" t="n">
        <v>18.509475991</v>
      </c>
      <c r="AK482" t="n">
        <v/>
      </c>
      <c r="AL482" t="n">
        <v/>
      </c>
      <c r="AM482" t="n">
        <v/>
      </c>
      <c r="AN482" t="n">
        <v>21.252030817</v>
      </c>
      <c r="AO482" t="n">
        <v/>
      </c>
      <c r="AP482" t="n">
        <v/>
      </c>
      <c r="AQ482" t="n">
        <v/>
      </c>
      <c r="AR482" t="n">
        <v>24.562866088</v>
      </c>
      <c r="AS482" t="n">
        <v/>
      </c>
      <c r="AT482" t="n">
        <v>21.829833839</v>
      </c>
      <c r="AU482" t="n">
        <v/>
      </c>
    </row>
    <row r="483">
      <c r="A483" s="105" t="n">
        <v>21582</v>
      </c>
      <c r="B483" t="n">
        <v>12.940546772</v>
      </c>
      <c r="C483" t="n">
        <v>23.567208776</v>
      </c>
      <c r="D483" t="n">
        <v/>
      </c>
      <c r="E483" t="n">
        <v/>
      </c>
      <c r="F483" t="n">
        <v/>
      </c>
      <c r="G483" t="n">
        <v/>
      </c>
      <c r="H483" t="n">
        <v/>
      </c>
      <c r="I483" t="n">
        <v>12.939468483</v>
      </c>
      <c r="J483" t="n">
        <v/>
      </c>
      <c r="K483" t="n">
        <v>24.191118085</v>
      </c>
      <c r="L483" t="n">
        <v/>
      </c>
      <c r="M483" t="n">
        <v/>
      </c>
      <c r="N483" t="n">
        <v/>
      </c>
      <c r="O483" t="n">
        <v/>
      </c>
      <c r="P483" t="n">
        <v/>
      </c>
      <c r="Q483" t="n">
        <v>13.253086108</v>
      </c>
      <c r="R483" t="n">
        <v>31.898034185</v>
      </c>
      <c r="S483" t="n">
        <v/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/>
      </c>
      <c r="AC483" t="n">
        <v>28.996455289</v>
      </c>
      <c r="AD483" t="n">
        <v>9.758960406</v>
      </c>
      <c r="AE483" t="n">
        <v/>
      </c>
      <c r="AF483" t="n">
        <v>34.748655669</v>
      </c>
      <c r="AG483" t="n">
        <v/>
      </c>
      <c r="AH483" t="n">
        <v/>
      </c>
      <c r="AI483" t="n">
        <v>21.425996895</v>
      </c>
      <c r="AJ483" t="n">
        <v>18.944185564</v>
      </c>
      <c r="AK483" t="n">
        <v/>
      </c>
      <c r="AL483" t="n">
        <v/>
      </c>
      <c r="AM483" t="n">
        <v/>
      </c>
      <c r="AN483" t="n">
        <v>21.052201358</v>
      </c>
      <c r="AO483" t="n">
        <v/>
      </c>
      <c r="AP483" t="n">
        <v/>
      </c>
      <c r="AQ483" t="n">
        <v/>
      </c>
      <c r="AR483" t="n">
        <v>25.017733978</v>
      </c>
      <c r="AS483" t="n">
        <v/>
      </c>
      <c r="AT483" t="n">
        <v>22.257405112</v>
      </c>
      <c r="AU483" t="n">
        <v/>
      </c>
    </row>
    <row r="484">
      <c r="A484" s="105" t="n">
        <v>21610</v>
      </c>
      <c r="B484" t="n">
        <v>12.65360374</v>
      </c>
      <c r="C484" t="n">
        <v>23.608275144</v>
      </c>
      <c r="D484" t="n">
        <v/>
      </c>
      <c r="E484" t="n">
        <v/>
      </c>
      <c r="F484" t="n">
        <v/>
      </c>
      <c r="G484" t="n">
        <v/>
      </c>
      <c r="H484" t="n">
        <v/>
      </c>
      <c r="I484" t="n">
        <v>12.652549361</v>
      </c>
      <c r="J484" t="n">
        <v/>
      </c>
      <c r="K484" t="n">
        <v>24.448557349</v>
      </c>
      <c r="L484" t="n">
        <v/>
      </c>
      <c r="M484" t="n">
        <v/>
      </c>
      <c r="N484" t="n">
        <v/>
      </c>
      <c r="O484" t="n">
        <v/>
      </c>
      <c r="P484" t="n">
        <v/>
      </c>
      <c r="Q484" t="n">
        <v>13.64777049</v>
      </c>
      <c r="R484" t="n">
        <v>32.030254016</v>
      </c>
      <c r="S484" t="n">
        <v/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/>
      </c>
      <c r="AC484" t="n">
        <v>29.110539703</v>
      </c>
      <c r="AD484" t="n">
        <v>9.843089375</v>
      </c>
      <c r="AE484" t="n">
        <v/>
      </c>
      <c r="AF484" t="n">
        <v>35.559402374</v>
      </c>
      <c r="AG484" t="n">
        <v/>
      </c>
      <c r="AH484" t="n">
        <v/>
      </c>
      <c r="AI484" t="n">
        <v>21.711676853</v>
      </c>
      <c r="AJ484" t="n">
        <v>19.012823917</v>
      </c>
      <c r="AK484" t="n">
        <v/>
      </c>
      <c r="AL484" t="n">
        <v/>
      </c>
      <c r="AM484" t="n">
        <v/>
      </c>
      <c r="AN484" t="n">
        <v>20.542304408</v>
      </c>
      <c r="AO484" t="n">
        <v/>
      </c>
      <c r="AP484" t="n">
        <v/>
      </c>
      <c r="AQ484" t="n">
        <v/>
      </c>
      <c r="AR484" t="n">
        <v>25.927469759</v>
      </c>
      <c r="AS484" t="n">
        <v/>
      </c>
      <c r="AT484" t="n">
        <v>22.577984409</v>
      </c>
      <c r="AU484" t="n">
        <v/>
      </c>
    </row>
    <row r="485">
      <c r="A485" s="105" t="n">
        <v>21641</v>
      </c>
      <c r="B485" t="n">
        <v>13.492880844</v>
      </c>
      <c r="C485" t="n">
        <v>24.252305669</v>
      </c>
      <c r="D485" t="n">
        <v/>
      </c>
      <c r="E485" t="n">
        <v/>
      </c>
      <c r="F485" t="n">
        <v/>
      </c>
      <c r="G485" t="n">
        <v/>
      </c>
      <c r="H485" t="n">
        <v/>
      </c>
      <c r="I485" t="n">
        <v>13.491756531</v>
      </c>
      <c r="J485" t="n">
        <v/>
      </c>
      <c r="K485" t="n">
        <v>24.391002051</v>
      </c>
      <c r="L485" t="n">
        <v/>
      </c>
      <c r="M485" t="n">
        <v/>
      </c>
      <c r="N485" t="n">
        <v/>
      </c>
      <c r="O485" t="n">
        <v/>
      </c>
      <c r="P485" t="n">
        <v/>
      </c>
      <c r="Q485" t="n">
        <v>13.523133317</v>
      </c>
      <c r="R485" t="n">
        <v>32.889682916</v>
      </c>
      <c r="S485" t="n">
        <v/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/>
      </c>
      <c r="AC485" t="n">
        <v>29.148567842</v>
      </c>
      <c r="AD485" t="n">
        <v>10.011347313</v>
      </c>
      <c r="AE485" t="n">
        <v/>
      </c>
      <c r="AF485" t="n">
        <v>35.637492006</v>
      </c>
      <c r="AG485" t="n">
        <v/>
      </c>
      <c r="AH485" t="n">
        <v/>
      </c>
      <c r="AI485" t="n">
        <v>21.711676853</v>
      </c>
      <c r="AJ485" t="n">
        <v>18.944185564</v>
      </c>
      <c r="AK485" t="n">
        <v/>
      </c>
      <c r="AL485" t="n">
        <v/>
      </c>
      <c r="AM485" t="n">
        <v/>
      </c>
      <c r="AN485" t="n">
        <v>20.408321197</v>
      </c>
      <c r="AO485" t="n">
        <v/>
      </c>
      <c r="AP485" t="n">
        <v/>
      </c>
      <c r="AQ485" t="n">
        <v/>
      </c>
      <c r="AR485" t="n">
        <v>25.472601869</v>
      </c>
      <c r="AS485" t="n">
        <v/>
      </c>
      <c r="AT485" t="n">
        <v>23.059002092</v>
      </c>
      <c r="AU485" t="n">
        <v/>
      </c>
    </row>
    <row r="486">
      <c r="A486" s="105" t="n">
        <v>21671</v>
      </c>
      <c r="B486" t="n">
        <v>13.610866283</v>
      </c>
      <c r="C486" t="n">
        <v>23.971515692</v>
      </c>
      <c r="D486" t="n">
        <v/>
      </c>
      <c r="E486" t="n">
        <v/>
      </c>
      <c r="F486" t="n">
        <v/>
      </c>
      <c r="G486" t="n">
        <v/>
      </c>
      <c r="H486" t="n">
        <v/>
      </c>
      <c r="I486" t="n">
        <v>13.609732138</v>
      </c>
      <c r="J486" t="n">
        <v/>
      </c>
      <c r="K486" t="n">
        <v>25.398385331</v>
      </c>
      <c r="L486" t="n">
        <v/>
      </c>
      <c r="M486" t="n">
        <v/>
      </c>
      <c r="N486" t="n">
        <v/>
      </c>
      <c r="O486" t="n">
        <v/>
      </c>
      <c r="P486" t="n">
        <v/>
      </c>
      <c r="Q486" t="n">
        <v>14.229410633</v>
      </c>
      <c r="R486" t="n">
        <v>32.658298211</v>
      </c>
      <c r="S486" t="n">
        <v/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/>
      </c>
      <c r="AC486" t="n">
        <v>29.18659598</v>
      </c>
      <c r="AD486" t="n">
        <v>10.347863189</v>
      </c>
      <c r="AE486" t="n">
        <v/>
      </c>
      <c r="AF486" t="n">
        <v>36.964200629</v>
      </c>
      <c r="AG486" t="n">
        <v/>
      </c>
      <c r="AH486" t="n">
        <v/>
      </c>
      <c r="AI486" t="n">
        <v>22.28303677</v>
      </c>
      <c r="AJ486" t="n">
        <v>19.058582819</v>
      </c>
      <c r="AK486" t="n">
        <v/>
      </c>
      <c r="AL486" t="n">
        <v/>
      </c>
      <c r="AM486" t="n">
        <v/>
      </c>
      <c r="AN486" t="n">
        <v>20.41673251</v>
      </c>
      <c r="AO486" t="n">
        <v/>
      </c>
      <c r="AP486" t="n">
        <v/>
      </c>
      <c r="AQ486" t="n">
        <v/>
      </c>
      <c r="AR486" t="n">
        <v>25.472601869</v>
      </c>
      <c r="AS486" t="n">
        <v/>
      </c>
      <c r="AT486" t="n">
        <v>23.406354173</v>
      </c>
      <c r="AU486" t="n">
        <v/>
      </c>
    </row>
    <row r="487">
      <c r="A487" s="105" t="n">
        <v>21702</v>
      </c>
      <c r="B487" t="n">
        <v>13.444703713</v>
      </c>
      <c r="C487" t="n">
        <v>24.333024597</v>
      </c>
      <c r="D487" t="n">
        <v/>
      </c>
      <c r="E487" t="n">
        <v/>
      </c>
      <c r="F487" t="n">
        <v/>
      </c>
      <c r="G487" t="n">
        <v/>
      </c>
      <c r="H487" t="n">
        <v/>
      </c>
      <c r="I487" t="n">
        <v>13.443583414</v>
      </c>
      <c r="J487" t="n">
        <v/>
      </c>
      <c r="K487" t="n">
        <v>25.268610066</v>
      </c>
      <c r="L487" t="n">
        <v/>
      </c>
      <c r="M487" t="n">
        <v/>
      </c>
      <c r="N487" t="n">
        <v/>
      </c>
      <c r="O487" t="n">
        <v/>
      </c>
      <c r="P487" t="n">
        <v/>
      </c>
      <c r="Q487" t="n">
        <v>13.855499113</v>
      </c>
      <c r="R487" t="n">
        <v>32.988847791</v>
      </c>
      <c r="S487" t="n">
        <v/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/>
      </c>
      <c r="AC487" t="n">
        <v>29.015469352</v>
      </c>
      <c r="AD487" t="n">
        <v>10.684379065</v>
      </c>
      <c r="AE487" t="n">
        <v/>
      </c>
      <c r="AF487" t="n">
        <v>36.40124243</v>
      </c>
      <c r="AG487" t="n">
        <v/>
      </c>
      <c r="AH487" t="n">
        <v/>
      </c>
      <c r="AI487" t="n">
        <v>21.997356812</v>
      </c>
      <c r="AJ487" t="n">
        <v>19.767845805</v>
      </c>
      <c r="AK487" t="n">
        <v/>
      </c>
      <c r="AL487" t="n">
        <v/>
      </c>
      <c r="AM487" t="n">
        <v/>
      </c>
      <c r="AN487" t="n">
        <v>21.694728485</v>
      </c>
      <c r="AO487" t="n">
        <v/>
      </c>
      <c r="AP487" t="n">
        <v/>
      </c>
      <c r="AQ487" t="n">
        <v/>
      </c>
      <c r="AR487" t="n">
        <v>25.927469759</v>
      </c>
      <c r="AS487" t="n">
        <v/>
      </c>
      <c r="AT487" t="n">
        <v>23.433027799</v>
      </c>
      <c r="AU487" t="n">
        <v/>
      </c>
    </row>
    <row r="488">
      <c r="A488" s="105" t="n">
        <v>21732</v>
      </c>
      <c r="B488" t="n">
        <v>13.493737823</v>
      </c>
      <c r="C488" t="n">
        <v>24.218753521</v>
      </c>
      <c r="D488" t="n">
        <v/>
      </c>
      <c r="E488" t="n">
        <v/>
      </c>
      <c r="F488" t="n">
        <v/>
      </c>
      <c r="G488" t="n">
        <v/>
      </c>
      <c r="H488" t="n">
        <v/>
      </c>
      <c r="I488" t="n">
        <v>13.492613438</v>
      </c>
      <c r="J488" t="n">
        <v/>
      </c>
      <c r="K488" t="n">
        <v>24.905151798</v>
      </c>
      <c r="L488" t="n">
        <v/>
      </c>
      <c r="M488" t="n">
        <v/>
      </c>
      <c r="N488" t="n">
        <v/>
      </c>
      <c r="O488" t="n">
        <v/>
      </c>
      <c r="P488" t="n">
        <v/>
      </c>
      <c r="Q488" t="n">
        <v>14.042454873</v>
      </c>
      <c r="R488" t="n">
        <v>32.955792827</v>
      </c>
      <c r="S488" t="n">
        <v/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/>
      </c>
      <c r="AC488" t="n">
        <v>29.224624118</v>
      </c>
      <c r="AD488" t="n">
        <v>10.768508034</v>
      </c>
      <c r="AE488" t="n">
        <v/>
      </c>
      <c r="AF488" t="n">
        <v>36.854181986</v>
      </c>
      <c r="AG488" t="n">
        <v/>
      </c>
      <c r="AH488" t="n">
        <v/>
      </c>
      <c r="AI488" t="n">
        <v>22.854396688</v>
      </c>
      <c r="AJ488" t="n">
        <v>20.156796475</v>
      </c>
      <c r="AK488" t="n">
        <v/>
      </c>
      <c r="AL488" t="n">
        <v/>
      </c>
      <c r="AM488" t="n">
        <v/>
      </c>
      <c r="AN488" t="n">
        <v>22.156927594</v>
      </c>
      <c r="AO488" t="n">
        <v/>
      </c>
      <c r="AP488" t="n">
        <v/>
      </c>
      <c r="AQ488" t="n">
        <v/>
      </c>
      <c r="AR488" t="n">
        <v>29.566412883</v>
      </c>
      <c r="AS488" t="n">
        <v/>
      </c>
      <c r="AT488" t="n">
        <v>22.871890081</v>
      </c>
      <c r="AU488" t="n">
        <v/>
      </c>
    </row>
    <row r="489">
      <c r="A489" s="105" t="n">
        <v>21763</v>
      </c>
      <c r="B489" t="n">
        <v>13.650335132</v>
      </c>
      <c r="C489" t="n">
        <v>24.039237538</v>
      </c>
      <c r="D489" t="n">
        <v/>
      </c>
      <c r="E489" t="n">
        <v/>
      </c>
      <c r="F489" t="n">
        <v/>
      </c>
      <c r="G489" t="n">
        <v/>
      </c>
      <c r="H489" t="n">
        <v/>
      </c>
      <c r="I489" t="n">
        <v>13.649197698</v>
      </c>
      <c r="J489" t="n">
        <v/>
      </c>
      <c r="K489" t="n">
        <v>26.378839938</v>
      </c>
      <c r="L489" t="n">
        <v/>
      </c>
      <c r="M489" t="n">
        <v/>
      </c>
      <c r="N489" t="n">
        <v/>
      </c>
      <c r="O489" t="n">
        <v/>
      </c>
      <c r="P489" t="n">
        <v/>
      </c>
      <c r="Q489" t="n">
        <v>14.270956358</v>
      </c>
      <c r="R489" t="n">
        <v>32.955792827</v>
      </c>
      <c r="S489" t="n">
        <v/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/>
      </c>
      <c r="AC489" t="n">
        <v>30.28941198</v>
      </c>
      <c r="AD489" t="n">
        <v>10.936765972</v>
      </c>
      <c r="AE489" t="n">
        <v/>
      </c>
      <c r="AF489" t="n">
        <v>36.837304627</v>
      </c>
      <c r="AG489" t="n">
        <v/>
      </c>
      <c r="AH489" t="n">
        <v/>
      </c>
      <c r="AI489" t="n">
        <v>22.854396688</v>
      </c>
      <c r="AJ489" t="n">
        <v>19.539051294</v>
      </c>
      <c r="AK489" t="n">
        <v/>
      </c>
      <c r="AL489" t="n">
        <v/>
      </c>
      <c r="AM489" t="n">
        <v/>
      </c>
      <c r="AN489" t="n">
        <v>22.251814683</v>
      </c>
      <c r="AO489" t="n">
        <v/>
      </c>
      <c r="AP489" t="n">
        <v/>
      </c>
      <c r="AQ489" t="n">
        <v/>
      </c>
      <c r="AR489" t="n">
        <v>27.292073431</v>
      </c>
      <c r="AS489" t="n">
        <v/>
      </c>
      <c r="AT489" t="n">
        <v>22.097065885</v>
      </c>
      <c r="AU489" t="n">
        <v/>
      </c>
    </row>
    <row r="490">
      <c r="A490" s="105" t="n">
        <v>21794</v>
      </c>
      <c r="B490" t="n">
        <v>13.572928306</v>
      </c>
      <c r="C490" t="n">
        <v>24.659484689</v>
      </c>
      <c r="D490" t="n">
        <v/>
      </c>
      <c r="E490" t="n">
        <v/>
      </c>
      <c r="F490" t="n">
        <v/>
      </c>
      <c r="G490" t="n">
        <v/>
      </c>
      <c r="H490" t="n">
        <v/>
      </c>
      <c r="I490" t="n">
        <v>13.571797323</v>
      </c>
      <c r="J490" t="n">
        <v/>
      </c>
      <c r="K490" t="n">
        <v>26.008772595</v>
      </c>
      <c r="L490" t="n">
        <v/>
      </c>
      <c r="M490" t="n">
        <v/>
      </c>
      <c r="N490" t="n">
        <v/>
      </c>
      <c r="O490" t="n">
        <v/>
      </c>
      <c r="P490" t="n">
        <v/>
      </c>
      <c r="Q490" t="n">
        <v>14.395593531</v>
      </c>
      <c r="R490" t="n">
        <v>33.583837022</v>
      </c>
      <c r="S490" t="n">
        <v/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/>
      </c>
      <c r="AC490" t="n">
        <v>30.954904396</v>
      </c>
      <c r="AD490" t="n">
        <v>11.189152879</v>
      </c>
      <c r="AE490" t="n">
        <v/>
      </c>
      <c r="AF490" t="n">
        <v>36.656370852</v>
      </c>
      <c r="AG490" t="n">
        <v/>
      </c>
      <c r="AH490" t="n">
        <v/>
      </c>
      <c r="AI490" t="n">
        <v>23.140076646</v>
      </c>
      <c r="AJ490" t="n">
        <v>19.744966354</v>
      </c>
      <c r="AK490" t="n">
        <v/>
      </c>
      <c r="AL490" t="n">
        <v/>
      </c>
      <c r="AM490" t="n">
        <v/>
      </c>
      <c r="AN490" t="n">
        <v>22.358083099</v>
      </c>
      <c r="AO490" t="n">
        <v/>
      </c>
      <c r="AP490" t="n">
        <v/>
      </c>
      <c r="AQ490" t="n">
        <v/>
      </c>
      <c r="AR490" t="n">
        <v>26.83720554</v>
      </c>
      <c r="AS490" t="n">
        <v/>
      </c>
      <c r="AT490" t="n">
        <v>22.070392259</v>
      </c>
      <c r="AU490" t="n">
        <v/>
      </c>
    </row>
    <row r="491">
      <c r="A491" s="105" t="n">
        <v>21824</v>
      </c>
      <c r="B491" t="n">
        <v>13.831246034</v>
      </c>
      <c r="C491" t="n">
        <v>24.90662868</v>
      </c>
      <c r="D491" t="n">
        <v/>
      </c>
      <c r="E491" t="n">
        <v/>
      </c>
      <c r="F491" t="n">
        <v/>
      </c>
      <c r="G491" t="n">
        <v/>
      </c>
      <c r="H491" t="n">
        <v/>
      </c>
      <c r="I491" t="n">
        <v>13.830093526</v>
      </c>
      <c r="J491" t="n">
        <v/>
      </c>
      <c r="K491" t="n">
        <v>26.987425401</v>
      </c>
      <c r="L491" t="n">
        <v/>
      </c>
      <c r="M491" t="n">
        <v/>
      </c>
      <c r="N491" t="n">
        <v/>
      </c>
      <c r="O491" t="n">
        <v/>
      </c>
      <c r="P491" t="n">
        <v/>
      </c>
      <c r="Q491" t="n">
        <v>14.603322153</v>
      </c>
      <c r="R491" t="n">
        <v>34.112716352</v>
      </c>
      <c r="S491" t="n">
        <v/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/>
      </c>
      <c r="AC491" t="n">
        <v>31.506312396</v>
      </c>
      <c r="AD491" t="n">
        <v>11.441539786</v>
      </c>
      <c r="AE491" t="n">
        <v/>
      </c>
      <c r="AF491" t="n">
        <v>37.152238357</v>
      </c>
      <c r="AG491" t="n">
        <v/>
      </c>
      <c r="AH491" t="n">
        <v/>
      </c>
      <c r="AI491" t="n">
        <v>23.425756605</v>
      </c>
      <c r="AJ491" t="n">
        <v>19.905122512</v>
      </c>
      <c r="AK491" t="n">
        <v/>
      </c>
      <c r="AL491" t="n">
        <v/>
      </c>
      <c r="AM491" t="n">
        <v/>
      </c>
      <c r="AN491" t="n">
        <v>23.028940989</v>
      </c>
      <c r="AO491" t="n">
        <v/>
      </c>
      <c r="AP491" t="n">
        <v/>
      </c>
      <c r="AQ491" t="n">
        <v/>
      </c>
      <c r="AR491" t="n">
        <v>27.292073431</v>
      </c>
      <c r="AS491" t="n">
        <v/>
      </c>
      <c r="AT491" t="n">
        <v>21.910053032</v>
      </c>
      <c r="AU491" t="n">
        <v/>
      </c>
    </row>
    <row r="492">
      <c r="A492" s="105" t="n">
        <v>21855</v>
      </c>
      <c r="B492" t="n">
        <v>13.860516801</v>
      </c>
      <c r="C492" t="n">
        <v>25.805504071</v>
      </c>
      <c r="D492" t="n">
        <v/>
      </c>
      <c r="E492" t="n">
        <v/>
      </c>
      <c r="F492" t="n">
        <v/>
      </c>
      <c r="G492" t="n">
        <v/>
      </c>
      <c r="H492" t="n">
        <v/>
      </c>
      <c r="I492" t="n">
        <v>13.859361854</v>
      </c>
      <c r="J492" t="n">
        <v/>
      </c>
      <c r="K492" t="n">
        <v>26.726917532</v>
      </c>
      <c r="L492" t="n">
        <v/>
      </c>
      <c r="M492" t="n">
        <v/>
      </c>
      <c r="N492" t="n">
        <v/>
      </c>
      <c r="O492" t="n">
        <v/>
      </c>
      <c r="P492" t="n">
        <v/>
      </c>
      <c r="Q492" t="n">
        <v>14.727959327</v>
      </c>
      <c r="R492" t="n">
        <v>34.344101057</v>
      </c>
      <c r="S492" t="n">
        <v/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/>
      </c>
      <c r="AC492" t="n">
        <v>32.266875162</v>
      </c>
      <c r="AD492" t="n">
        <v>11.609797725</v>
      </c>
      <c r="AE492" t="n">
        <v/>
      </c>
      <c r="AF492" t="n">
        <v>39.03835059</v>
      </c>
      <c r="AG492" t="n">
        <v/>
      </c>
      <c r="AH492" t="n">
        <v/>
      </c>
      <c r="AI492" t="n">
        <v>23.425756605</v>
      </c>
      <c r="AJ492" t="n">
        <v>19.699207452</v>
      </c>
      <c r="AK492" t="n">
        <v/>
      </c>
      <c r="AL492" t="n">
        <v/>
      </c>
      <c r="AM492" t="n">
        <v/>
      </c>
      <c r="AN492" t="n">
        <v>22.554489422</v>
      </c>
      <c r="AO492" t="n">
        <v/>
      </c>
      <c r="AP492" t="n">
        <v/>
      </c>
      <c r="AQ492" t="n">
        <v/>
      </c>
      <c r="AR492" t="n">
        <v>27.292073431</v>
      </c>
      <c r="AS492" t="n">
        <v/>
      </c>
      <c r="AT492" t="n">
        <v>22.043619475</v>
      </c>
      <c r="AU492" t="n">
        <v/>
      </c>
    </row>
    <row r="493">
      <c r="A493" s="105" t="n">
        <v>21885</v>
      </c>
      <c r="B493" t="n">
        <v>14.14311553</v>
      </c>
      <c r="C493" t="n">
        <v>25.261200677</v>
      </c>
      <c r="D493" t="n">
        <v/>
      </c>
      <c r="E493" t="n">
        <v/>
      </c>
      <c r="F493" t="n">
        <v/>
      </c>
      <c r="G493" t="n">
        <v/>
      </c>
      <c r="H493" t="n">
        <v/>
      </c>
      <c r="I493" t="n">
        <v>14.141937035</v>
      </c>
      <c r="J493" t="n">
        <v/>
      </c>
      <c r="K493" t="n">
        <v>26.837629593</v>
      </c>
      <c r="L493" t="n">
        <v/>
      </c>
      <c r="M493" t="n">
        <v/>
      </c>
      <c r="N493" t="n">
        <v/>
      </c>
      <c r="O493" t="n">
        <v/>
      </c>
      <c r="P493" t="n">
        <v/>
      </c>
      <c r="Q493" t="n">
        <v>14.935687949</v>
      </c>
      <c r="R493" t="n">
        <v>34.608540717</v>
      </c>
      <c r="S493" t="n">
        <v/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/>
      </c>
      <c r="AC493" t="n">
        <v>32.666170609</v>
      </c>
      <c r="AD493" t="n">
        <v>12.114571539</v>
      </c>
      <c r="AE493" t="n">
        <v/>
      </c>
      <c r="AF493" t="n">
        <v>40.188509056</v>
      </c>
      <c r="AG493" t="n">
        <v/>
      </c>
      <c r="AH493" t="n">
        <v/>
      </c>
      <c r="AI493" t="n">
        <v>23.425756605</v>
      </c>
      <c r="AJ493" t="n">
        <v>20.225434829</v>
      </c>
      <c r="AK493" t="n">
        <v/>
      </c>
      <c r="AL493" t="n">
        <v/>
      </c>
      <c r="AM493" t="n">
        <v/>
      </c>
      <c r="AN493" t="n">
        <v>22.969943475</v>
      </c>
      <c r="AO493" t="n">
        <v/>
      </c>
      <c r="AP493" t="n">
        <v/>
      </c>
      <c r="AQ493" t="n">
        <v/>
      </c>
      <c r="AR493" t="n">
        <v>27.746941321</v>
      </c>
      <c r="AS493" t="n">
        <v/>
      </c>
      <c r="AT493" t="n">
        <v>23.406354173</v>
      </c>
      <c r="AU493" t="n">
        <v/>
      </c>
    </row>
    <row r="494">
      <c r="A494" s="105" t="n">
        <v>21916</v>
      </c>
      <c r="B494" t="n">
        <v>14.214449151</v>
      </c>
      <c r="C494" t="n">
        <v>25.190213675</v>
      </c>
      <c r="D494" t="n">
        <v/>
      </c>
      <c r="E494" t="n">
        <v/>
      </c>
      <c r="F494" t="n">
        <v/>
      </c>
      <c r="G494" t="n">
        <v/>
      </c>
      <c r="H494" t="n">
        <v/>
      </c>
      <c r="I494" t="n">
        <v>14.213264712</v>
      </c>
      <c r="J494" t="n">
        <v/>
      </c>
      <c r="K494" t="n">
        <v>27.27731605</v>
      </c>
      <c r="L494" t="n">
        <v/>
      </c>
      <c r="M494" t="n">
        <v/>
      </c>
      <c r="N494" t="n">
        <v/>
      </c>
      <c r="O494" t="n">
        <v/>
      </c>
      <c r="P494" t="n">
        <v/>
      </c>
      <c r="Q494" t="n">
        <v>15.018779398</v>
      </c>
      <c r="R494" t="n">
        <v>34.806870458</v>
      </c>
      <c r="S494" t="n">
        <v>22.49488577</v>
      </c>
      <c r="T494" t="n">
        <v/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/>
      </c>
      <c r="AC494" t="n">
        <v>32.552086194</v>
      </c>
      <c r="AD494" t="n">
        <v>12.114571539</v>
      </c>
      <c r="AE494" t="n">
        <v/>
      </c>
      <c r="AF494" t="n">
        <v>40.256217209</v>
      </c>
      <c r="AG494" t="n">
        <v/>
      </c>
      <c r="AH494" t="n">
        <v/>
      </c>
      <c r="AI494" t="n">
        <v>23.711436563</v>
      </c>
      <c r="AJ494" t="n">
        <v>20.63726495</v>
      </c>
      <c r="AK494" t="n">
        <v/>
      </c>
      <c r="AL494" t="n">
        <v/>
      </c>
      <c r="AM494" t="n">
        <v/>
      </c>
      <c r="AN494" t="n">
        <v>20.94593448</v>
      </c>
      <c r="AO494" t="n">
        <v/>
      </c>
      <c r="AP494" t="n">
        <v/>
      </c>
      <c r="AQ494" t="n">
        <v/>
      </c>
      <c r="AR494" t="n">
        <v>27.746941321</v>
      </c>
      <c r="AS494" t="n">
        <v/>
      </c>
      <c r="AT494" t="n">
        <v>24.020839142</v>
      </c>
      <c r="AU494" t="n">
        <v/>
      </c>
    </row>
    <row r="495">
      <c r="A495" s="105" t="n">
        <v>21947</v>
      </c>
      <c r="B495" t="n">
        <v>14.291438854</v>
      </c>
      <c r="C495" t="n">
        <v>26.121187807</v>
      </c>
      <c r="D495" t="n">
        <v/>
      </c>
      <c r="E495" t="n">
        <v/>
      </c>
      <c r="F495" t="n">
        <v/>
      </c>
      <c r="G495" t="n">
        <v/>
      </c>
      <c r="H495" t="n">
        <v/>
      </c>
      <c r="I495" t="n">
        <v>14.290248</v>
      </c>
      <c r="J495" t="n">
        <v/>
      </c>
      <c r="K495" t="n">
        <v>27.118943069</v>
      </c>
      <c r="L495" t="n">
        <v/>
      </c>
      <c r="M495" t="n">
        <v/>
      </c>
      <c r="N495" t="n">
        <v/>
      </c>
      <c r="O495" t="n">
        <v/>
      </c>
      <c r="P495" t="n">
        <v/>
      </c>
      <c r="Q495" t="n">
        <v>15.081097985</v>
      </c>
      <c r="R495" t="n">
        <v>35.071310118</v>
      </c>
      <c r="S495" t="n">
        <v>22.662639942</v>
      </c>
      <c r="T495" t="n">
        <v/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/>
      </c>
      <c r="AC495" t="n">
        <v>33.445747439</v>
      </c>
      <c r="AD495" t="n">
        <v>12.703474322</v>
      </c>
      <c r="AE495" t="n">
        <v/>
      </c>
      <c r="AF495" t="n">
        <v>39.914299203</v>
      </c>
      <c r="AG495" t="n">
        <v/>
      </c>
      <c r="AH495" t="n">
        <v/>
      </c>
      <c r="AI495" t="n">
        <v>23.711436563</v>
      </c>
      <c r="AJ495" t="n">
        <v>20.45422934</v>
      </c>
      <c r="AK495" t="n">
        <v/>
      </c>
      <c r="AL495" t="n">
        <v/>
      </c>
      <c r="AM495" t="n">
        <v/>
      </c>
      <c r="AN495" t="n">
        <v>22.734290689</v>
      </c>
      <c r="AO495" t="n">
        <v/>
      </c>
      <c r="AP495" t="n">
        <v/>
      </c>
      <c r="AQ495" t="n">
        <v/>
      </c>
      <c r="AR495" t="n">
        <v>27.746941321</v>
      </c>
      <c r="AS495" t="n">
        <v/>
      </c>
      <c r="AT495" t="n">
        <v>23.807152663</v>
      </c>
      <c r="AU495" t="n">
        <v/>
      </c>
    </row>
    <row r="496">
      <c r="A496" s="105" t="n">
        <v>21976</v>
      </c>
      <c r="B496" t="n">
        <v>14.541198952</v>
      </c>
      <c r="C496" t="n">
        <v>25.590886083</v>
      </c>
      <c r="D496" t="n">
        <v/>
      </c>
      <c r="E496" t="n">
        <v/>
      </c>
      <c r="F496" t="n">
        <v/>
      </c>
      <c r="G496" t="n">
        <v/>
      </c>
      <c r="H496" t="n">
        <v/>
      </c>
      <c r="I496" t="n">
        <v>14.539987286</v>
      </c>
      <c r="J496" t="n">
        <v/>
      </c>
      <c r="K496" t="n">
        <v>27.503731713</v>
      </c>
      <c r="L496" t="n">
        <v/>
      </c>
      <c r="M496" t="n">
        <v/>
      </c>
      <c r="N496" t="n">
        <v/>
      </c>
      <c r="O496" t="n">
        <v/>
      </c>
      <c r="P496" t="n">
        <v/>
      </c>
      <c r="Q496" t="n">
        <v>15.392690918</v>
      </c>
      <c r="R496" t="n">
        <v>35.071310118</v>
      </c>
      <c r="S496" t="n">
        <v>22.65591381</v>
      </c>
      <c r="T496" t="n">
        <v/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/>
      </c>
      <c r="AC496" t="n">
        <v>33.959127301</v>
      </c>
      <c r="AD496" t="n">
        <v>12.703474322</v>
      </c>
      <c r="AE496" t="n">
        <v/>
      </c>
      <c r="AF496" t="n">
        <v>40.029382575</v>
      </c>
      <c r="AG496" t="n">
        <v/>
      </c>
      <c r="AH496" t="n">
        <v/>
      </c>
      <c r="AI496" t="n">
        <v>23.997116522</v>
      </c>
      <c r="AJ496" t="n">
        <v>20.728782754</v>
      </c>
      <c r="AK496" t="n">
        <v/>
      </c>
      <c r="AL496" t="n">
        <v/>
      </c>
      <c r="AM496" t="n">
        <v/>
      </c>
      <c r="AN496" t="n">
        <v>22.616335373</v>
      </c>
      <c r="AO496" t="n">
        <v/>
      </c>
      <c r="AP496" t="n">
        <v/>
      </c>
      <c r="AQ496" t="n">
        <v/>
      </c>
      <c r="AR496" t="n">
        <v>27.746941321</v>
      </c>
      <c r="AS496" t="n">
        <v/>
      </c>
      <c r="AT496" t="n">
        <v>23.593367026</v>
      </c>
      <c r="AU496" t="n">
        <v/>
      </c>
    </row>
    <row r="497">
      <c r="A497" s="105" t="n">
        <v>22007</v>
      </c>
      <c r="B497" t="n">
        <v>14.657074661</v>
      </c>
      <c r="C497" t="n">
        <v>25.793826513</v>
      </c>
      <c r="D497" t="n">
        <v/>
      </c>
      <c r="E497" t="n">
        <v/>
      </c>
      <c r="F497" t="n">
        <v/>
      </c>
      <c r="G497" t="n">
        <v/>
      </c>
      <c r="H497" t="n">
        <v/>
      </c>
      <c r="I497" t="n">
        <v>14.65585334</v>
      </c>
      <c r="J497" t="n">
        <v/>
      </c>
      <c r="K497" t="n">
        <v>28.122871669</v>
      </c>
      <c r="L497" t="n">
        <v/>
      </c>
      <c r="M497" t="n">
        <v/>
      </c>
      <c r="N497" t="n">
        <v/>
      </c>
      <c r="O497" t="n">
        <v/>
      </c>
      <c r="P497" t="n">
        <v/>
      </c>
      <c r="Q497" t="n">
        <v>15.621192403</v>
      </c>
      <c r="R497" t="n">
        <v>35.467969618</v>
      </c>
      <c r="S497" t="n">
        <v>22.781133957</v>
      </c>
      <c r="T497" t="n">
        <v/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/>
      </c>
      <c r="AC497" t="n">
        <v>34.016169514</v>
      </c>
      <c r="AD497" t="n">
        <v>12.955861229</v>
      </c>
      <c r="AE497" t="n">
        <v/>
      </c>
      <c r="AF497" t="n">
        <v>39.668708582</v>
      </c>
      <c r="AG497" t="n">
        <v/>
      </c>
      <c r="AH497" t="n">
        <v/>
      </c>
      <c r="AI497" t="n">
        <v>24.568476439</v>
      </c>
      <c r="AJ497" t="n">
        <v>20.774541657</v>
      </c>
      <c r="AK497" t="n">
        <v/>
      </c>
      <c r="AL497" t="n">
        <v/>
      </c>
      <c r="AM497" t="n">
        <v/>
      </c>
      <c r="AN497" t="n">
        <v>22.911012451</v>
      </c>
      <c r="AO497" t="n">
        <v/>
      </c>
      <c r="AP497" t="n">
        <v/>
      </c>
      <c r="AQ497" t="n">
        <v/>
      </c>
      <c r="AR497" t="n">
        <v>27.746941321</v>
      </c>
      <c r="AS497" t="n">
        <v/>
      </c>
      <c r="AT497" t="n">
        <v>23.406354173</v>
      </c>
      <c r="AU497" t="n">
        <v/>
      </c>
    </row>
    <row r="498">
      <c r="A498" s="105" t="n">
        <v>22037</v>
      </c>
      <c r="B498" t="n">
        <v>14.769251884</v>
      </c>
      <c r="C498" t="n">
        <v>25.840734724</v>
      </c>
      <c r="D498" t="n">
        <v/>
      </c>
      <c r="E498" t="n">
        <v/>
      </c>
      <c r="F498" t="n">
        <v/>
      </c>
      <c r="G498" t="n">
        <v/>
      </c>
      <c r="H498" t="n">
        <v/>
      </c>
      <c r="I498" t="n">
        <v>14.768021216</v>
      </c>
      <c r="J498" t="n">
        <v/>
      </c>
      <c r="K498" t="n">
        <v>27.771989959</v>
      </c>
      <c r="L498" t="n">
        <v/>
      </c>
      <c r="M498" t="n">
        <v/>
      </c>
      <c r="N498" t="n">
        <v/>
      </c>
      <c r="O498" t="n">
        <v/>
      </c>
      <c r="P498" t="n">
        <v/>
      </c>
      <c r="Q498" t="n">
        <v>15.662738127</v>
      </c>
      <c r="R498" t="n">
        <v>35.368804743</v>
      </c>
      <c r="S498" t="n">
        <v>22.771441589</v>
      </c>
      <c r="T498" t="n">
        <v/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/>
      </c>
      <c r="AC498" t="n">
        <v>34.472507163</v>
      </c>
      <c r="AD498" t="n">
        <v>13.039990198</v>
      </c>
      <c r="AE498" t="n">
        <v/>
      </c>
      <c r="AF498" t="n">
        <v>39.432506515</v>
      </c>
      <c r="AG498" t="n">
        <v/>
      </c>
      <c r="AH498" t="n">
        <v/>
      </c>
      <c r="AI498" t="n">
        <v>24.568476439</v>
      </c>
      <c r="AJ498" t="n">
        <v>22.032911471</v>
      </c>
      <c r="AK498" t="n">
        <v/>
      </c>
      <c r="AL498" t="n">
        <v/>
      </c>
      <c r="AM498" t="n">
        <v/>
      </c>
      <c r="AN498" t="n">
        <v>22.105760975</v>
      </c>
      <c r="AO498" t="n">
        <v/>
      </c>
      <c r="AP498" t="n">
        <v/>
      </c>
      <c r="AQ498" t="n">
        <v/>
      </c>
      <c r="AR498" t="n">
        <v>27.292073431</v>
      </c>
      <c r="AS498" t="n">
        <v/>
      </c>
      <c r="AT498" t="n">
        <v>23.379581389</v>
      </c>
      <c r="AU498" t="n">
        <v/>
      </c>
    </row>
    <row r="499">
      <c r="A499" s="105" t="n">
        <v>22068</v>
      </c>
      <c r="B499" t="n">
        <v>14.851015403</v>
      </c>
      <c r="C499" t="n">
        <v>25.703663649</v>
      </c>
      <c r="D499" t="n">
        <v/>
      </c>
      <c r="E499" t="n">
        <v/>
      </c>
      <c r="F499" t="n">
        <v/>
      </c>
      <c r="G499" t="n">
        <v/>
      </c>
      <c r="H499" t="n">
        <v/>
      </c>
      <c r="I499" t="n">
        <v>14.849777921</v>
      </c>
      <c r="J499" t="n">
        <v/>
      </c>
      <c r="K499" t="n">
        <v>27.917011638</v>
      </c>
      <c r="L499" t="n">
        <v/>
      </c>
      <c r="M499" t="n">
        <v/>
      </c>
      <c r="N499" t="n">
        <v/>
      </c>
      <c r="O499" t="n">
        <v/>
      </c>
      <c r="P499" t="n">
        <v/>
      </c>
      <c r="Q499" t="n">
        <v>16.015876786</v>
      </c>
      <c r="R499" t="n">
        <v>35.897684063</v>
      </c>
      <c r="S499" t="n">
        <v>22.735277732</v>
      </c>
      <c r="T499" t="n">
        <v/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/>
      </c>
      <c r="AC499" t="n">
        <v>35.252083993</v>
      </c>
      <c r="AD499" t="n">
        <v>13.039990198</v>
      </c>
      <c r="AE499" t="n">
        <v/>
      </c>
      <c r="AF499" t="n">
        <v>39.811581542</v>
      </c>
      <c r="AG499" t="n">
        <v/>
      </c>
      <c r="AH499" t="n">
        <v/>
      </c>
      <c r="AI499" t="n">
        <v>24.854156398</v>
      </c>
      <c r="AJ499" t="n">
        <v>21.23213068</v>
      </c>
      <c r="AK499" t="n">
        <v/>
      </c>
      <c r="AL499" t="n">
        <v/>
      </c>
      <c r="AM499" t="n">
        <v/>
      </c>
      <c r="AN499" t="n">
        <v>23.056987754</v>
      </c>
      <c r="AO499" t="n">
        <v/>
      </c>
      <c r="AP499" t="n">
        <v/>
      </c>
      <c r="AQ499" t="n">
        <v/>
      </c>
      <c r="AR499" t="n">
        <v>28.201809212</v>
      </c>
      <c r="AS499" t="n">
        <v/>
      </c>
      <c r="AT499" t="n">
        <v>23.085675718</v>
      </c>
      <c r="AU499" t="n">
        <v/>
      </c>
    </row>
    <row r="500">
      <c r="A500" s="105" t="n">
        <v>22098</v>
      </c>
      <c r="B500" t="n">
        <v>14.917723365</v>
      </c>
      <c r="C500" t="n">
        <v>26.505701221</v>
      </c>
      <c r="D500" t="n">
        <v/>
      </c>
      <c r="E500" t="n">
        <v/>
      </c>
      <c r="F500" t="n">
        <v/>
      </c>
      <c r="G500" t="n">
        <v/>
      </c>
      <c r="H500" t="n">
        <v/>
      </c>
      <c r="I500" t="n">
        <v>14.916480325</v>
      </c>
      <c r="J500" t="n">
        <v/>
      </c>
      <c r="K500" t="n">
        <v>28.945437876</v>
      </c>
      <c r="L500" t="n">
        <v/>
      </c>
      <c r="M500" t="n">
        <v/>
      </c>
      <c r="N500" t="n">
        <v/>
      </c>
      <c r="O500" t="n">
        <v/>
      </c>
      <c r="P500" t="n">
        <v/>
      </c>
      <c r="Q500" t="n">
        <v>16.098968234</v>
      </c>
      <c r="R500" t="n">
        <v>36.195178688</v>
      </c>
      <c r="S500" t="n">
        <v>22.984640305</v>
      </c>
      <c r="T500" t="n">
        <v/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/>
      </c>
      <c r="AC500" t="n">
        <v>35.157013653</v>
      </c>
      <c r="AD500" t="n">
        <v>13.376506074</v>
      </c>
      <c r="AE500" t="n">
        <v/>
      </c>
      <c r="AF500" t="n">
        <v>40.314161436</v>
      </c>
      <c r="AG500" t="n">
        <v/>
      </c>
      <c r="AH500" t="n">
        <v/>
      </c>
      <c r="AI500" t="n">
        <v>24.568476439</v>
      </c>
      <c r="AJ500" t="n">
        <v>21.62108135</v>
      </c>
      <c r="AK500" t="n">
        <v/>
      </c>
      <c r="AL500" t="n">
        <v/>
      </c>
      <c r="AM500" t="n">
        <v/>
      </c>
      <c r="AN500" t="n">
        <v>23.34696261</v>
      </c>
      <c r="AO500" t="n">
        <v/>
      </c>
      <c r="AP500" t="n">
        <v/>
      </c>
      <c r="AQ500" t="n">
        <v/>
      </c>
      <c r="AR500" t="n">
        <v>30.931016555</v>
      </c>
      <c r="AS500" t="n">
        <v/>
      </c>
      <c r="AT500" t="n">
        <v>23.005555683</v>
      </c>
      <c r="AU500" t="n">
        <v/>
      </c>
    </row>
    <row r="501">
      <c r="A501" s="105" t="n">
        <v>22129</v>
      </c>
      <c r="B501" t="n">
        <v>15.170497203</v>
      </c>
      <c r="C501" t="n">
        <v>26.470045163</v>
      </c>
      <c r="D501" t="n">
        <v/>
      </c>
      <c r="E501" t="n">
        <v/>
      </c>
      <c r="F501" t="n">
        <v/>
      </c>
      <c r="G501" t="n">
        <v/>
      </c>
      <c r="H501" t="n">
        <v/>
      </c>
      <c r="I501" t="n">
        <v>15.1692331</v>
      </c>
      <c r="J501" t="n">
        <v/>
      </c>
      <c r="K501" t="n">
        <v>28.388477299</v>
      </c>
      <c r="L501" t="n">
        <v/>
      </c>
      <c r="M501" t="n">
        <v/>
      </c>
      <c r="N501" t="n">
        <v/>
      </c>
      <c r="O501" t="n">
        <v/>
      </c>
      <c r="P501" t="n">
        <v/>
      </c>
      <c r="Q501" t="n">
        <v>15.413463781</v>
      </c>
      <c r="R501" t="n">
        <v>36.195178688</v>
      </c>
      <c r="S501" t="n">
        <v>22.963021947</v>
      </c>
      <c r="T501" t="n">
        <v/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/>
      </c>
      <c r="AC501" t="n">
        <v>35.309126206</v>
      </c>
      <c r="AD501" t="n">
        <v>13.544764012</v>
      </c>
      <c r="AE501" t="n">
        <v/>
      </c>
      <c r="AF501" t="n">
        <v>40.242866544</v>
      </c>
      <c r="AG501" t="n">
        <v/>
      </c>
      <c r="AH501" t="n">
        <v/>
      </c>
      <c r="AI501" t="n">
        <v>24.854156398</v>
      </c>
      <c r="AJ501" t="n">
        <v>21.62108135</v>
      </c>
      <c r="AK501" t="n">
        <v/>
      </c>
      <c r="AL501" t="n">
        <v/>
      </c>
      <c r="AM501" t="n">
        <v/>
      </c>
      <c r="AN501" t="n">
        <v>23.818563663</v>
      </c>
      <c r="AO501" t="n">
        <v/>
      </c>
      <c r="AP501" t="n">
        <v/>
      </c>
      <c r="AQ501" t="n">
        <v/>
      </c>
      <c r="AR501" t="n">
        <v>29.111544993</v>
      </c>
      <c r="AS501" t="n">
        <v/>
      </c>
      <c r="AT501" t="n">
        <v>22.978782899</v>
      </c>
      <c r="AU501" t="n">
        <v/>
      </c>
    </row>
    <row r="502">
      <c r="A502" s="105" t="n">
        <v>22160</v>
      </c>
      <c r="B502" t="n">
        <v>14.996601807</v>
      </c>
      <c r="C502" t="n">
        <v>26.479715453</v>
      </c>
      <c r="D502" t="n">
        <v/>
      </c>
      <c r="E502" t="n">
        <v/>
      </c>
      <c r="F502" t="n">
        <v/>
      </c>
      <c r="G502" t="n">
        <v/>
      </c>
      <c r="H502" t="n">
        <v/>
      </c>
      <c r="I502" t="n">
        <v>14.995352194</v>
      </c>
      <c r="J502" t="n">
        <v/>
      </c>
      <c r="K502" t="n">
        <v>28.876248837</v>
      </c>
      <c r="L502" t="n">
        <v/>
      </c>
      <c r="M502" t="n">
        <v/>
      </c>
      <c r="N502" t="n">
        <v/>
      </c>
      <c r="O502" t="n">
        <v/>
      </c>
      <c r="P502" t="n">
        <v/>
      </c>
      <c r="Q502" t="n">
        <v>16.05742251</v>
      </c>
      <c r="R502" t="n">
        <v>37.087662544</v>
      </c>
      <c r="S502" t="n">
        <v>23.092483988</v>
      </c>
      <c r="T502" t="n">
        <v/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/>
      </c>
      <c r="AC502" t="n">
        <v>35.765463866</v>
      </c>
      <c r="AD502" t="n">
        <v>13.797150919</v>
      </c>
      <c r="AE502" t="n">
        <v/>
      </c>
      <c r="AF502" t="n">
        <v>40.223622395</v>
      </c>
      <c r="AG502" t="n">
        <v/>
      </c>
      <c r="AH502" t="n">
        <v/>
      </c>
      <c r="AI502" t="n">
        <v>25.139836356</v>
      </c>
      <c r="AJ502" t="n">
        <v>21.598201898</v>
      </c>
      <c r="AK502" t="n">
        <v/>
      </c>
      <c r="AL502" t="n">
        <v/>
      </c>
      <c r="AM502" t="n">
        <v/>
      </c>
      <c r="AN502" t="n">
        <v>23.856539937</v>
      </c>
      <c r="AO502" t="n">
        <v/>
      </c>
      <c r="AP502" t="n">
        <v/>
      </c>
      <c r="AQ502" t="n">
        <v/>
      </c>
      <c r="AR502" t="n">
        <v>28.201809212</v>
      </c>
      <c r="AS502" t="n">
        <v/>
      </c>
      <c r="AT502" t="n">
        <v>22.738323637</v>
      </c>
      <c r="AU502" t="n">
        <v/>
      </c>
    </row>
    <row r="503">
      <c r="A503" s="105" t="n">
        <v>22190</v>
      </c>
      <c r="B503" t="n">
        <v>15.144773276</v>
      </c>
      <c r="C503" t="n">
        <v>27.129264103</v>
      </c>
      <c r="D503" t="n">
        <v/>
      </c>
      <c r="E503" t="n">
        <v/>
      </c>
      <c r="F503" t="n">
        <v/>
      </c>
      <c r="G503" t="n">
        <v/>
      </c>
      <c r="H503" t="n">
        <v/>
      </c>
      <c r="I503" t="n">
        <v>15.143511317</v>
      </c>
      <c r="J503" t="n">
        <v/>
      </c>
      <c r="K503" t="n">
        <v>29.494470062</v>
      </c>
      <c r="L503" t="n">
        <v/>
      </c>
      <c r="M503" t="n">
        <v/>
      </c>
      <c r="N503" t="n">
        <v/>
      </c>
      <c r="O503" t="n">
        <v/>
      </c>
      <c r="P503" t="n">
        <v/>
      </c>
      <c r="Q503" t="n">
        <v>16.182059683</v>
      </c>
      <c r="R503" t="n">
        <v>36.823222884</v>
      </c>
      <c r="S503" t="n">
        <v>23.195945416</v>
      </c>
      <c r="T503" t="n">
        <v/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/>
      </c>
      <c r="AC503" t="n">
        <v>35.32814027</v>
      </c>
      <c r="AD503" t="n">
        <v>13.965408857</v>
      </c>
      <c r="AE503" t="n">
        <v/>
      </c>
      <c r="AF503" t="n">
        <v>40.079112052</v>
      </c>
      <c r="AG503" t="n">
        <v/>
      </c>
      <c r="AH503" t="n">
        <v/>
      </c>
      <c r="AI503" t="n">
        <v>25.425516315</v>
      </c>
      <c r="AJ503" t="n">
        <v>22.032911471</v>
      </c>
      <c r="AK503" t="n">
        <v/>
      </c>
      <c r="AL503" t="n">
        <v/>
      </c>
      <c r="AM503" t="n">
        <v/>
      </c>
      <c r="AN503" t="n">
        <v>23.670592645</v>
      </c>
      <c r="AO503" t="n">
        <v/>
      </c>
      <c r="AP503" t="n">
        <v/>
      </c>
      <c r="AQ503" t="n">
        <v/>
      </c>
      <c r="AR503" t="n">
        <v>29.566412883</v>
      </c>
      <c r="AS503" t="n">
        <v/>
      </c>
      <c r="AT503" t="n">
        <v>22.711650012</v>
      </c>
      <c r="AU503" t="n">
        <v/>
      </c>
    </row>
    <row r="504">
      <c r="A504" s="105" t="n">
        <v>22221</v>
      </c>
      <c r="B504" t="n">
        <v>15.54876139</v>
      </c>
      <c r="C504" t="n">
        <v>27.387792898</v>
      </c>
      <c r="D504" t="n">
        <v/>
      </c>
      <c r="E504" t="n">
        <v/>
      </c>
      <c r="F504" t="n">
        <v/>
      </c>
      <c r="G504" t="n">
        <v/>
      </c>
      <c r="H504" t="n">
        <v/>
      </c>
      <c r="I504" t="n">
        <v>15.547465768</v>
      </c>
      <c r="J504" t="n">
        <v/>
      </c>
      <c r="K504" t="n">
        <v>29.263938415</v>
      </c>
      <c r="L504" t="n">
        <v/>
      </c>
      <c r="M504" t="n">
        <v/>
      </c>
      <c r="N504" t="n">
        <v/>
      </c>
      <c r="O504" t="n">
        <v/>
      </c>
      <c r="P504" t="n">
        <v/>
      </c>
      <c r="Q504" t="n">
        <v>16.369015444</v>
      </c>
      <c r="R504" t="n">
        <v>37.219882374</v>
      </c>
      <c r="S504" t="n">
        <v>23.173344455</v>
      </c>
      <c r="T504" t="n">
        <v/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/>
      </c>
      <c r="AC504" t="n">
        <v>35.442224685</v>
      </c>
      <c r="AD504" t="n">
        <v>14.301924733</v>
      </c>
      <c r="AE504" t="n">
        <v/>
      </c>
      <c r="AF504" t="n">
        <v>40.169144082</v>
      </c>
      <c r="AG504" t="n">
        <v/>
      </c>
      <c r="AH504" t="n">
        <v/>
      </c>
      <c r="AI504" t="n">
        <v>25.425516315</v>
      </c>
      <c r="AJ504" t="n">
        <v>22.124429275</v>
      </c>
      <c r="AK504" t="n">
        <v/>
      </c>
      <c r="AL504" t="n">
        <v/>
      </c>
      <c r="AM504" t="n">
        <v/>
      </c>
      <c r="AN504" t="n">
        <v>22.476407567</v>
      </c>
      <c r="AO504" t="n">
        <v/>
      </c>
      <c r="AP504" t="n">
        <v/>
      </c>
      <c r="AQ504" t="n">
        <v/>
      </c>
      <c r="AR504" t="n">
        <v>29.566412883</v>
      </c>
      <c r="AS504" t="n">
        <v/>
      </c>
      <c r="AT504" t="n">
        <v>22.390971556</v>
      </c>
      <c r="AU504" t="n">
        <v/>
      </c>
    </row>
    <row r="505">
      <c r="A505" s="105" t="n">
        <v>22251</v>
      </c>
      <c r="B505" t="n">
        <v>15.618437286</v>
      </c>
      <c r="C505" t="n">
        <v>23.443465989</v>
      </c>
      <c r="D505" t="n">
        <v/>
      </c>
      <c r="E505" t="n">
        <v/>
      </c>
      <c r="F505" t="n">
        <v/>
      </c>
      <c r="G505" t="n">
        <v/>
      </c>
      <c r="H505" t="n">
        <v/>
      </c>
      <c r="I505" t="n">
        <v>15.617135858</v>
      </c>
      <c r="J505" t="n">
        <v/>
      </c>
      <c r="K505" t="n">
        <v>29.674601426</v>
      </c>
      <c r="L505" t="n">
        <v/>
      </c>
      <c r="M505" t="n">
        <v/>
      </c>
      <c r="N505" t="n">
        <v/>
      </c>
      <c r="O505" t="n">
        <v/>
      </c>
      <c r="P505" t="n">
        <v/>
      </c>
      <c r="Q505" t="n">
        <v>16.659835515</v>
      </c>
      <c r="R505" t="n">
        <v>37.186827419</v>
      </c>
      <c r="S505" t="n">
        <v>23.081648792</v>
      </c>
      <c r="T505" t="n">
        <v/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/>
      </c>
      <c r="AC505" t="n">
        <v>35.518280961</v>
      </c>
      <c r="AD505" t="n">
        <v>14.386053702</v>
      </c>
      <c r="AE505" t="n">
        <v/>
      </c>
      <c r="AF505" t="n">
        <v>39.953498014</v>
      </c>
      <c r="AG505" t="n">
        <v/>
      </c>
      <c r="AH505" t="n">
        <v/>
      </c>
      <c r="AI505" t="n">
        <v>25.996876232</v>
      </c>
      <c r="AJ505" t="n">
        <v>22.559138847</v>
      </c>
      <c r="AK505" t="n">
        <v/>
      </c>
      <c r="AL505" t="n">
        <v/>
      </c>
      <c r="AM505" t="n">
        <v/>
      </c>
      <c r="AN505" t="n">
        <v>24.380594677</v>
      </c>
      <c r="AO505" t="n">
        <v/>
      </c>
      <c r="AP505" t="n">
        <v/>
      </c>
      <c r="AQ505" t="n">
        <v/>
      </c>
      <c r="AR505" t="n">
        <v>29.566412883</v>
      </c>
      <c r="AS505" t="n">
        <v/>
      </c>
      <c r="AT505" t="n">
        <v>21.963499441</v>
      </c>
      <c r="AU505" t="n">
        <v/>
      </c>
    </row>
    <row r="506">
      <c r="A506" s="105" t="n">
        <v>22282</v>
      </c>
      <c r="B506" t="n">
        <v>15.03545277</v>
      </c>
      <c r="C506" t="n">
        <v>20.985917207</v>
      </c>
      <c r="D506" t="n">
        <v/>
      </c>
      <c r="E506" t="n">
        <v>21.932541914</v>
      </c>
      <c r="F506" t="n">
        <v/>
      </c>
      <c r="G506" t="n">
        <v/>
      </c>
      <c r="H506" t="n">
        <v/>
      </c>
      <c r="I506" t="n">
        <v>15.03419992</v>
      </c>
      <c r="J506" t="n">
        <v/>
      </c>
      <c r="K506" t="n">
        <v>30.073014861</v>
      </c>
      <c r="L506" t="n">
        <v/>
      </c>
      <c r="M506" t="n">
        <v/>
      </c>
      <c r="N506" t="n">
        <v/>
      </c>
      <c r="O506" t="n">
        <v/>
      </c>
      <c r="P506" t="n">
        <v/>
      </c>
      <c r="Q506" t="n">
        <v>16.826018413</v>
      </c>
      <c r="R506" t="n">
        <v>37.352102204</v>
      </c>
      <c r="S506" t="n">
        <v>23.349247131</v>
      </c>
      <c r="T506" t="n">
        <v/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/>
      </c>
      <c r="AC506" t="n">
        <v>36.088703036</v>
      </c>
      <c r="AD506" t="n">
        <v>14.806698547</v>
      </c>
      <c r="AE506" t="n">
        <v/>
      </c>
      <c r="AF506" t="n">
        <v>40.831186299</v>
      </c>
      <c r="AG506" t="n">
        <v/>
      </c>
      <c r="AH506" t="n">
        <v/>
      </c>
      <c r="AI506" t="n">
        <v>25.425516315</v>
      </c>
      <c r="AJ506" t="n">
        <v>22.559138847</v>
      </c>
      <c r="AK506" t="n">
        <v/>
      </c>
      <c r="AL506" t="n">
        <v/>
      </c>
      <c r="AM506" t="n">
        <v/>
      </c>
      <c r="AN506" t="n">
        <v>24.024748167</v>
      </c>
      <c r="AO506" t="n">
        <v/>
      </c>
      <c r="AP506" t="n">
        <v/>
      </c>
      <c r="AQ506" t="n">
        <v/>
      </c>
      <c r="AR506" t="n">
        <v>30.021280774</v>
      </c>
      <c r="AS506" t="n">
        <v/>
      </c>
      <c r="AT506" t="n">
        <v>21.990173066</v>
      </c>
      <c r="AU506" t="n">
        <v/>
      </c>
    </row>
    <row r="507">
      <c r="A507" s="105" t="n">
        <v>22313</v>
      </c>
      <c r="B507" t="n">
        <v>15.436203123</v>
      </c>
      <c r="C507" t="n">
        <v>28.170885859</v>
      </c>
      <c r="D507" t="n">
        <v/>
      </c>
      <c r="E507" t="n">
        <v>21.954627646</v>
      </c>
      <c r="F507" t="n">
        <v/>
      </c>
      <c r="G507" t="n">
        <v/>
      </c>
      <c r="H507" t="n">
        <v/>
      </c>
      <c r="I507" t="n">
        <v>15.43491688</v>
      </c>
      <c r="J507" t="n">
        <v/>
      </c>
      <c r="K507" t="n">
        <v>30.250980411</v>
      </c>
      <c r="L507" t="n">
        <v/>
      </c>
      <c r="M507" t="n">
        <v/>
      </c>
      <c r="N507" t="n">
        <v/>
      </c>
      <c r="O507" t="n">
        <v/>
      </c>
      <c r="P507" t="n">
        <v/>
      </c>
      <c r="Q507" t="n">
        <v>17.054519897</v>
      </c>
      <c r="R507" t="n">
        <v>37.64959682</v>
      </c>
      <c r="S507" t="n">
        <v>23.442654895</v>
      </c>
      <c r="T507" t="n">
        <v/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/>
      </c>
      <c r="AC507" t="n">
        <v>36.906308004</v>
      </c>
      <c r="AD507" t="n">
        <v>14.890827516</v>
      </c>
      <c r="AE507" t="n">
        <v/>
      </c>
      <c r="AF507" t="n">
        <v>41.137567639</v>
      </c>
      <c r="AG507" t="n">
        <v/>
      </c>
      <c r="AH507" t="n">
        <v/>
      </c>
      <c r="AI507" t="n">
        <v>25.425516315</v>
      </c>
      <c r="AJ507" t="n">
        <v>22.536259396</v>
      </c>
      <c r="AK507" t="n">
        <v/>
      </c>
      <c r="AL507" t="n">
        <v/>
      </c>
      <c r="AM507" t="n">
        <v/>
      </c>
      <c r="AN507" t="n">
        <v>24.225923174</v>
      </c>
      <c r="AO507" t="n">
        <v/>
      </c>
      <c r="AP507" t="n">
        <v/>
      </c>
      <c r="AQ507" t="n">
        <v/>
      </c>
      <c r="AR507" t="n">
        <v>30.476148664</v>
      </c>
      <c r="AS507" t="n">
        <v/>
      </c>
      <c r="AT507" t="n">
        <v>21.963499441</v>
      </c>
      <c r="AU507" t="n">
        <v/>
      </c>
    </row>
    <row r="508">
      <c r="A508" s="105" t="n">
        <v>22341</v>
      </c>
      <c r="B508" t="n">
        <v>15.599732759</v>
      </c>
      <c r="C508" t="n">
        <v>27.942588029</v>
      </c>
      <c r="D508" t="n">
        <v/>
      </c>
      <c r="E508" t="n">
        <v>21.869574081</v>
      </c>
      <c r="F508" t="n">
        <v/>
      </c>
      <c r="G508" t="n">
        <v/>
      </c>
      <c r="H508" t="n">
        <v/>
      </c>
      <c r="I508" t="n">
        <v>15.59843289</v>
      </c>
      <c r="J508" t="n">
        <v/>
      </c>
      <c r="K508" t="n">
        <v>30.541058659</v>
      </c>
      <c r="L508" t="n">
        <v/>
      </c>
      <c r="M508" t="n">
        <v/>
      </c>
      <c r="N508" t="n">
        <v/>
      </c>
      <c r="O508" t="n">
        <v/>
      </c>
      <c r="P508" t="n">
        <v/>
      </c>
      <c r="Q508" t="n">
        <v>17.345339969</v>
      </c>
      <c r="R508" t="n">
        <v>37.9801464</v>
      </c>
      <c r="S508" t="n">
        <v>23.68114688</v>
      </c>
      <c r="T508" t="n">
        <v/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/>
      </c>
      <c r="AC508" t="n">
        <v>36.868279866</v>
      </c>
      <c r="AD508" t="n">
        <v>15.311472361</v>
      </c>
      <c r="AE508" t="n">
        <v/>
      </c>
      <c r="AF508" t="n">
        <v>41.599933372</v>
      </c>
      <c r="AG508" t="n">
        <v/>
      </c>
      <c r="AH508" t="n">
        <v/>
      </c>
      <c r="AI508" t="n">
        <v>25.425516315</v>
      </c>
      <c r="AJ508" t="n">
        <v>22.513379945</v>
      </c>
      <c r="AK508" t="n">
        <v/>
      </c>
      <c r="AL508" t="n">
        <v/>
      </c>
      <c r="AM508" t="n">
        <v/>
      </c>
      <c r="AN508" t="n">
        <v>26.359354753</v>
      </c>
      <c r="AO508" t="n">
        <v/>
      </c>
      <c r="AP508" t="n">
        <v/>
      </c>
      <c r="AQ508" t="n">
        <v/>
      </c>
      <c r="AR508" t="n">
        <v>30.931016555</v>
      </c>
      <c r="AS508" t="n">
        <v/>
      </c>
      <c r="AT508" t="n">
        <v>22.097065885</v>
      </c>
      <c r="AU508" t="n">
        <v/>
      </c>
    </row>
    <row r="509">
      <c r="A509" s="105" t="n">
        <v>22372</v>
      </c>
      <c r="B509" t="n">
        <v>15.444687529</v>
      </c>
      <c r="C509" t="n">
        <v>28.029876503</v>
      </c>
      <c r="D509" t="n">
        <v/>
      </c>
      <c r="E509" t="n">
        <v>22.328205459</v>
      </c>
      <c r="F509" t="n">
        <v/>
      </c>
      <c r="G509" t="n">
        <v/>
      </c>
      <c r="H509" t="n">
        <v/>
      </c>
      <c r="I509" t="n">
        <v>15.443400578</v>
      </c>
      <c r="J509" t="n">
        <v/>
      </c>
      <c r="K509" t="n">
        <v>30.530881372</v>
      </c>
      <c r="L509" t="n">
        <v/>
      </c>
      <c r="M509" t="n">
        <v/>
      </c>
      <c r="N509" t="n">
        <v/>
      </c>
      <c r="O509" t="n">
        <v/>
      </c>
      <c r="P509" t="n">
        <v/>
      </c>
      <c r="Q509" t="n">
        <v>17.07529276</v>
      </c>
      <c r="R509" t="n">
        <v>37.715706739</v>
      </c>
      <c r="S509" t="n">
        <v>23.921559191</v>
      </c>
      <c r="T509" t="n">
        <v/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/>
      </c>
      <c r="AC509" t="n">
        <v>37.229547175</v>
      </c>
      <c r="AD509" t="n">
        <v>15.311472361</v>
      </c>
      <c r="AE509" t="n">
        <v/>
      </c>
      <c r="AF509" t="n">
        <v>41.553842124</v>
      </c>
      <c r="AG509" t="n">
        <v/>
      </c>
      <c r="AH509" t="n">
        <v/>
      </c>
      <c r="AI509" t="n">
        <v>25.996876232</v>
      </c>
      <c r="AJ509" t="n">
        <v>22.490500494</v>
      </c>
      <c r="AK509" t="n">
        <v/>
      </c>
      <c r="AL509" t="n">
        <v/>
      </c>
      <c r="AM509" t="n">
        <v/>
      </c>
      <c r="AN509" t="n">
        <v>25.357455885</v>
      </c>
      <c r="AO509" t="n">
        <v/>
      </c>
      <c r="AP509" t="n">
        <v/>
      </c>
      <c r="AQ509" t="n">
        <v/>
      </c>
      <c r="AR509" t="n">
        <v>30.931016555</v>
      </c>
      <c r="AS509" t="n">
        <v/>
      </c>
      <c r="AT509" t="n">
        <v>22.551310784</v>
      </c>
      <c r="AU509" t="n">
        <v/>
      </c>
    </row>
    <row r="510">
      <c r="A510" s="105" t="n">
        <v>22402</v>
      </c>
      <c r="B510" t="n">
        <v>15.340396109</v>
      </c>
      <c r="C510" t="n">
        <v>27.918502386</v>
      </c>
      <c r="D510" t="n">
        <v/>
      </c>
      <c r="E510" t="n">
        <v>22.440983666</v>
      </c>
      <c r="F510" t="n">
        <v/>
      </c>
      <c r="G510" t="n">
        <v/>
      </c>
      <c r="H510" t="n">
        <v/>
      </c>
      <c r="I510" t="n">
        <v>15.339117849</v>
      </c>
      <c r="J510" t="n">
        <v/>
      </c>
      <c r="K510" t="n">
        <v>29.884562311</v>
      </c>
      <c r="L510" t="n">
        <v/>
      </c>
      <c r="M510" t="n">
        <v/>
      </c>
      <c r="N510" t="n">
        <v/>
      </c>
      <c r="O510" t="n">
        <v/>
      </c>
      <c r="P510" t="n">
        <v/>
      </c>
      <c r="Q510" t="n">
        <v>17.386885693</v>
      </c>
      <c r="R510" t="n">
        <v>37.814871614</v>
      </c>
      <c r="S510" t="n">
        <v>24.1339208</v>
      </c>
      <c r="T510" t="n">
        <v/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/>
      </c>
      <c r="AC510" t="n">
        <v>37.647856696</v>
      </c>
      <c r="AD510" t="n">
        <v>15.647988237</v>
      </c>
      <c r="AE510" t="n">
        <v/>
      </c>
      <c r="AF510" t="n">
        <v>42.026025071</v>
      </c>
      <c r="AG510" t="n">
        <v/>
      </c>
      <c r="AH510" t="n">
        <v/>
      </c>
      <c r="AI510" t="n">
        <v>25.139836356</v>
      </c>
      <c r="AJ510" t="n">
        <v>21.895634764</v>
      </c>
      <c r="AK510" t="n">
        <v/>
      </c>
      <c r="AL510" t="n">
        <v/>
      </c>
      <c r="AM510" t="n">
        <v/>
      </c>
      <c r="AN510" t="n">
        <v>25.571651623</v>
      </c>
      <c r="AO510" t="n">
        <v/>
      </c>
      <c r="AP510" t="n">
        <v/>
      </c>
      <c r="AQ510" t="n">
        <v/>
      </c>
      <c r="AR510" t="n">
        <v>30.476148664</v>
      </c>
      <c r="AS510" t="n">
        <v/>
      </c>
      <c r="AT510" t="n">
        <v>22.898662865</v>
      </c>
      <c r="AU510" t="n">
        <v/>
      </c>
    </row>
    <row r="511">
      <c r="A511" s="105" t="n">
        <v>22433</v>
      </c>
      <c r="B511" t="n">
        <v>15.403430944</v>
      </c>
      <c r="C511" t="n">
        <v>28.039998351</v>
      </c>
      <c r="D511" t="n">
        <v/>
      </c>
      <c r="E511" t="n">
        <v>22.811272114</v>
      </c>
      <c r="F511" t="n">
        <v/>
      </c>
      <c r="G511" t="n">
        <v/>
      </c>
      <c r="H511" t="n">
        <v/>
      </c>
      <c r="I511" t="n">
        <v>15.402147432</v>
      </c>
      <c r="J511" t="n">
        <v/>
      </c>
      <c r="K511" t="n">
        <v>29.886182158</v>
      </c>
      <c r="L511" t="n">
        <v/>
      </c>
      <c r="M511" t="n">
        <v/>
      </c>
      <c r="N511" t="n">
        <v/>
      </c>
      <c r="O511" t="n">
        <v/>
      </c>
      <c r="P511" t="n">
        <v/>
      </c>
      <c r="Q511" t="n">
        <v>17.594614316</v>
      </c>
      <c r="R511" t="n">
        <v>38.046256319</v>
      </c>
      <c r="S511" t="n">
        <v>24.392767091</v>
      </c>
      <c r="T511" t="n">
        <v/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/>
      </c>
      <c r="AC511" t="n">
        <v>38.218278771</v>
      </c>
      <c r="AD511" t="n">
        <v>15.816246175</v>
      </c>
      <c r="AE511" t="n">
        <v/>
      </c>
      <c r="AF511" t="n">
        <v>41.228082925</v>
      </c>
      <c r="AG511" t="n">
        <v/>
      </c>
      <c r="AH511" t="n">
        <v/>
      </c>
      <c r="AI511" t="n">
        <v>25.425516315</v>
      </c>
      <c r="AJ511" t="n">
        <v>23.245522382</v>
      </c>
      <c r="AK511" t="n">
        <v/>
      </c>
      <c r="AL511" t="n">
        <v/>
      </c>
      <c r="AM511" t="n">
        <v/>
      </c>
      <c r="AN511" t="n">
        <v>24.939186199</v>
      </c>
      <c r="AO511" t="n">
        <v/>
      </c>
      <c r="AP511" t="n">
        <v/>
      </c>
      <c r="AQ511" t="n">
        <v/>
      </c>
      <c r="AR511" t="n">
        <v>30.476148664</v>
      </c>
      <c r="AS511" t="n">
        <v/>
      </c>
      <c r="AT511" t="n">
        <v>23.21934132</v>
      </c>
      <c r="AU511" t="n">
        <v/>
      </c>
    </row>
    <row r="512">
      <c r="A512" s="105" t="n">
        <v>22463</v>
      </c>
      <c r="B512" t="n">
        <v>15.648163148</v>
      </c>
      <c r="C512" t="n">
        <v>28.607528519</v>
      </c>
      <c r="D512" t="n">
        <v/>
      </c>
      <c r="E512" t="n">
        <v>23.035418802</v>
      </c>
      <c r="F512" t="n">
        <v/>
      </c>
      <c r="G512" t="n">
        <v/>
      </c>
      <c r="H512" t="n">
        <v/>
      </c>
      <c r="I512" t="n">
        <v>15.646859243</v>
      </c>
      <c r="J512" t="n">
        <v/>
      </c>
      <c r="K512" t="n">
        <v>30.443733932</v>
      </c>
      <c r="L512" t="n">
        <v/>
      </c>
      <c r="M512" t="n">
        <v/>
      </c>
      <c r="N512" t="n">
        <v/>
      </c>
      <c r="O512" t="n">
        <v/>
      </c>
      <c r="P512" t="n">
        <v/>
      </c>
      <c r="Q512" t="n">
        <v>18.030844423</v>
      </c>
      <c r="R512" t="n">
        <v>38.475970765</v>
      </c>
      <c r="S512" t="n">
        <v>24.756578642</v>
      </c>
      <c r="T512" t="n">
        <v/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/>
      </c>
      <c r="AC512" t="n">
        <v>38.845743048</v>
      </c>
      <c r="AD512" t="n">
        <v>16.152762051</v>
      </c>
      <c r="AE512" t="n">
        <v/>
      </c>
      <c r="AF512" t="n">
        <v>41.858260746</v>
      </c>
      <c r="AG512" t="n">
        <v/>
      </c>
      <c r="AH512" t="n">
        <v/>
      </c>
      <c r="AI512" t="n">
        <v>25.711196274</v>
      </c>
      <c r="AJ512" t="n">
        <v>22.719295006</v>
      </c>
      <c r="AK512" t="n">
        <v/>
      </c>
      <c r="AL512" t="n">
        <v/>
      </c>
      <c r="AM512" t="n">
        <v/>
      </c>
      <c r="AN512" t="n">
        <v>24.638203143</v>
      </c>
      <c r="AO512" t="n">
        <v/>
      </c>
      <c r="AP512" t="n">
        <v/>
      </c>
      <c r="AQ512" t="n">
        <v/>
      </c>
      <c r="AR512" t="n">
        <v>31.840752336</v>
      </c>
      <c r="AS512" t="n">
        <v/>
      </c>
      <c r="AT512" t="n">
        <v>23.486474208</v>
      </c>
      <c r="AU512" t="n">
        <v/>
      </c>
    </row>
    <row r="513">
      <c r="A513" s="105" t="n">
        <v>22494</v>
      </c>
      <c r="B513" t="n">
        <v>15.309599765</v>
      </c>
      <c r="C513" t="n">
        <v>28.280806599</v>
      </c>
      <c r="D513" t="n">
        <v/>
      </c>
      <c r="E513" t="n">
        <v>22.910892864</v>
      </c>
      <c r="F513" t="n">
        <v/>
      </c>
      <c r="G513" t="n">
        <v/>
      </c>
      <c r="H513" t="n">
        <v/>
      </c>
      <c r="I513" t="n">
        <v>15.308324072</v>
      </c>
      <c r="J513" t="n">
        <v/>
      </c>
      <c r="K513" t="n">
        <v>30.213573825</v>
      </c>
      <c r="L513" t="n">
        <v/>
      </c>
      <c r="M513" t="n">
        <v/>
      </c>
      <c r="N513" t="n">
        <v/>
      </c>
      <c r="O513" t="n">
        <v/>
      </c>
      <c r="P513" t="n">
        <v/>
      </c>
      <c r="Q513" t="n">
        <v>17.802342938</v>
      </c>
      <c r="R513" t="n">
        <v>38.475970765</v>
      </c>
      <c r="S513" t="n">
        <v>24.902972312</v>
      </c>
      <c r="T513" t="n">
        <v/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/>
      </c>
      <c r="AC513" t="n">
        <v>38.921799324</v>
      </c>
      <c r="AD513" t="n">
        <v>16.405148959</v>
      </c>
      <c r="AE513" t="n">
        <v/>
      </c>
      <c r="AF513" t="n">
        <v>42.237631403</v>
      </c>
      <c r="AG513" t="n">
        <v/>
      </c>
      <c r="AH513" t="n">
        <v/>
      </c>
      <c r="AI513" t="n">
        <v>25.996876232</v>
      </c>
      <c r="AJ513" t="n">
        <v>23.314160736</v>
      </c>
      <c r="AK513" t="n">
        <v/>
      </c>
      <c r="AL513" t="n">
        <v/>
      </c>
      <c r="AM513" t="n">
        <v/>
      </c>
      <c r="AN513" t="n">
        <v>24.056064827</v>
      </c>
      <c r="AO513" t="n">
        <v/>
      </c>
      <c r="AP513" t="n">
        <v/>
      </c>
      <c r="AQ513" t="n">
        <v/>
      </c>
      <c r="AR513" t="n">
        <v>31.385884445</v>
      </c>
      <c r="AS513" t="n">
        <v/>
      </c>
      <c r="AT513" t="n">
        <v>23.700259845</v>
      </c>
      <c r="AU513" t="n">
        <v/>
      </c>
    </row>
    <row r="514">
      <c r="A514" s="105" t="n">
        <v>22525</v>
      </c>
      <c r="B514" t="n">
        <v>15.703122675</v>
      </c>
      <c r="C514" t="n">
        <v>28.110381162</v>
      </c>
      <c r="D514" t="n">
        <v/>
      </c>
      <c r="E514" t="n">
        <v>23.455047716</v>
      </c>
      <c r="F514" t="n">
        <v/>
      </c>
      <c r="G514" t="n">
        <v/>
      </c>
      <c r="H514" t="n">
        <v/>
      </c>
      <c r="I514" t="n">
        <v>15.70181419</v>
      </c>
      <c r="J514" t="n">
        <v/>
      </c>
      <c r="K514" t="n">
        <v>30.462984496</v>
      </c>
      <c r="L514" t="n">
        <v/>
      </c>
      <c r="M514" t="n">
        <v/>
      </c>
      <c r="N514" t="n">
        <v/>
      </c>
      <c r="O514" t="n">
        <v/>
      </c>
      <c r="P514" t="n">
        <v/>
      </c>
      <c r="Q514" t="n">
        <v>17.594614316</v>
      </c>
      <c r="R514" t="n">
        <v>38.608190595</v>
      </c>
      <c r="S514" t="n">
        <v>24.946139907</v>
      </c>
      <c r="T514" t="n">
        <v/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/>
      </c>
      <c r="AC514" t="n">
        <v>39.302080708</v>
      </c>
      <c r="AD514" t="n">
        <v>16.32101999</v>
      </c>
      <c r="AE514" t="n">
        <v/>
      </c>
      <c r="AF514" t="n">
        <v>40.875668807</v>
      </c>
      <c r="AG514" t="n">
        <v/>
      </c>
      <c r="AH514" t="n">
        <v/>
      </c>
      <c r="AI514" t="n">
        <v>25.996876232</v>
      </c>
      <c r="AJ514" t="n">
        <v>23.085366224</v>
      </c>
      <c r="AK514" t="n">
        <v/>
      </c>
      <c r="AL514" t="n">
        <v/>
      </c>
      <c r="AM514" t="n">
        <v/>
      </c>
      <c r="AN514" t="n">
        <v>25.036785364</v>
      </c>
      <c r="AO514" t="n">
        <v/>
      </c>
      <c r="AP514" t="n">
        <v/>
      </c>
      <c r="AQ514" t="n">
        <v/>
      </c>
      <c r="AR514" t="n">
        <v>30.931016555</v>
      </c>
      <c r="AS514" t="n">
        <v/>
      </c>
      <c r="AT514" t="n">
        <v>23.673586219</v>
      </c>
      <c r="AU514" t="n">
        <v/>
      </c>
    </row>
    <row r="515">
      <c r="A515" s="105" t="n">
        <v>22555</v>
      </c>
      <c r="B515" t="n">
        <v>15.627780547</v>
      </c>
      <c r="C515" t="n">
        <v>28.264412685</v>
      </c>
      <c r="D515" t="n">
        <v/>
      </c>
      <c r="E515" t="n">
        <v>23.662747581</v>
      </c>
      <c r="F515" t="n">
        <v/>
      </c>
      <c r="G515" t="n">
        <v/>
      </c>
      <c r="H515" t="n">
        <v/>
      </c>
      <c r="I515" t="n">
        <v>15.626478341</v>
      </c>
      <c r="J515" t="n">
        <v/>
      </c>
      <c r="K515" t="n">
        <v>30.228254862</v>
      </c>
      <c r="L515" t="n">
        <v/>
      </c>
      <c r="M515" t="n">
        <v/>
      </c>
      <c r="N515" t="n">
        <v/>
      </c>
      <c r="O515" t="n">
        <v/>
      </c>
      <c r="P515" t="n">
        <v/>
      </c>
      <c r="Q515" t="n">
        <v>17.719251489</v>
      </c>
      <c r="R515" t="n">
        <v>38.475970765</v>
      </c>
      <c r="S515" t="n">
        <v>25.272396528</v>
      </c>
      <c r="T515" t="n">
        <v/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/>
      </c>
      <c r="AC515" t="n">
        <v>40.005601261</v>
      </c>
      <c r="AD515" t="n">
        <v>16.657535866</v>
      </c>
      <c r="AE515" t="n">
        <v/>
      </c>
      <c r="AF515" t="n">
        <v>40.826005094</v>
      </c>
      <c r="AG515" t="n">
        <v/>
      </c>
      <c r="AH515" t="n">
        <v/>
      </c>
      <c r="AI515" t="n">
        <v>25.996876232</v>
      </c>
      <c r="AJ515" t="n">
        <v>23.222642931</v>
      </c>
      <c r="AK515" t="n">
        <v/>
      </c>
      <c r="AL515" t="n">
        <v/>
      </c>
      <c r="AM515" t="n">
        <v/>
      </c>
      <c r="AN515" t="n">
        <v>24.923305047</v>
      </c>
      <c r="AO515" t="n">
        <v/>
      </c>
      <c r="AP515" t="n">
        <v/>
      </c>
      <c r="AQ515" t="n">
        <v/>
      </c>
      <c r="AR515" t="n">
        <v>31.840752336</v>
      </c>
      <c r="AS515" t="n">
        <v/>
      </c>
      <c r="AT515" t="n">
        <v>24.12773196</v>
      </c>
      <c r="AU515" t="n">
        <v/>
      </c>
    </row>
    <row r="516">
      <c r="A516" s="105" t="n">
        <v>22586</v>
      </c>
      <c r="B516" t="n">
        <v>15.541588425</v>
      </c>
      <c r="C516" t="n">
        <v>28.339344978</v>
      </c>
      <c r="D516" t="n">
        <v/>
      </c>
      <c r="E516" t="n">
        <v>23.760018785</v>
      </c>
      <c r="F516" t="n">
        <v/>
      </c>
      <c r="G516" t="n">
        <v/>
      </c>
      <c r="H516" t="n">
        <v/>
      </c>
      <c r="I516" t="n">
        <v>15.5402934</v>
      </c>
      <c r="J516" t="n">
        <v/>
      </c>
      <c r="K516" t="n">
        <v>30.316298985</v>
      </c>
      <c r="L516" t="n">
        <v/>
      </c>
      <c r="M516" t="n">
        <v/>
      </c>
      <c r="N516" t="n">
        <v/>
      </c>
      <c r="O516" t="n">
        <v/>
      </c>
      <c r="P516" t="n">
        <v/>
      </c>
      <c r="Q516" t="n">
        <v>18.155481596</v>
      </c>
      <c r="R516" t="n">
        <v>38.674300515</v>
      </c>
      <c r="S516" t="n">
        <v>25.554248476</v>
      </c>
      <c r="T516" t="n">
        <v/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/>
      </c>
      <c r="AC516" t="n">
        <v>40.557009261</v>
      </c>
      <c r="AD516" t="n">
        <v>16.825793804</v>
      </c>
      <c r="AE516" t="n">
        <v/>
      </c>
      <c r="AF516" t="n">
        <v>40.468176934</v>
      </c>
      <c r="AG516" t="n">
        <v/>
      </c>
      <c r="AH516" t="n">
        <v/>
      </c>
      <c r="AI516" t="n">
        <v>26.282556191</v>
      </c>
      <c r="AJ516" t="n">
        <v>23.931905917</v>
      </c>
      <c r="AK516" t="n">
        <v/>
      </c>
      <c r="AL516" t="n">
        <v/>
      </c>
      <c r="AM516" t="n">
        <v/>
      </c>
      <c r="AN516" t="n">
        <v>24.550998196</v>
      </c>
      <c r="AO516" t="n">
        <v/>
      </c>
      <c r="AP516" t="n">
        <v/>
      </c>
      <c r="AQ516" t="n">
        <v/>
      </c>
      <c r="AR516" t="n">
        <v>31.840752336</v>
      </c>
      <c r="AS516" t="n">
        <v/>
      </c>
      <c r="AT516" t="n">
        <v>24.501856825</v>
      </c>
      <c r="AU516" t="n">
        <v/>
      </c>
    </row>
    <row r="517">
      <c r="A517" s="105" t="n">
        <v>22616</v>
      </c>
      <c r="B517" t="n">
        <v>15.907125185</v>
      </c>
      <c r="C517" t="n">
        <v>28.370060741</v>
      </c>
      <c r="D517" t="n">
        <v/>
      </c>
      <c r="E517" t="n">
        <v>23.906630455</v>
      </c>
      <c r="F517" t="n">
        <v/>
      </c>
      <c r="G517" t="n">
        <v/>
      </c>
      <c r="H517" t="n">
        <v/>
      </c>
      <c r="I517" t="n">
        <v>15.905799702</v>
      </c>
      <c r="J517" t="n">
        <v/>
      </c>
      <c r="K517" t="n">
        <v>30.993616691</v>
      </c>
      <c r="L517" t="n">
        <v/>
      </c>
      <c r="M517" t="n">
        <v/>
      </c>
      <c r="N517" t="n">
        <v/>
      </c>
      <c r="O517" t="n">
        <v/>
      </c>
      <c r="P517" t="n">
        <v/>
      </c>
      <c r="Q517" t="n">
        <v>18.134708734</v>
      </c>
      <c r="R517" t="n">
        <v>39.798169076</v>
      </c>
      <c r="S517" t="n">
        <v>25.894254913</v>
      </c>
      <c r="T517" t="n">
        <v/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/>
      </c>
      <c r="AC517" t="n">
        <v>40.880248431</v>
      </c>
      <c r="AD517" t="n">
        <v>17.078180711</v>
      </c>
      <c r="AE517" t="n">
        <v/>
      </c>
      <c r="AF517" t="n">
        <v>39.425382482</v>
      </c>
      <c r="AG517" t="n">
        <v/>
      </c>
      <c r="AH517" t="n">
        <v/>
      </c>
      <c r="AI517" t="n">
        <v>26.853916108</v>
      </c>
      <c r="AJ517" t="n">
        <v>23.497196345</v>
      </c>
      <c r="AK517" t="n">
        <v/>
      </c>
      <c r="AL517" t="n">
        <v/>
      </c>
      <c r="AM517" t="n">
        <v/>
      </c>
      <c r="AN517" t="n">
        <v>24.550968133</v>
      </c>
      <c r="AO517" t="n">
        <v/>
      </c>
      <c r="AP517" t="n">
        <v/>
      </c>
      <c r="AQ517" t="n">
        <v/>
      </c>
      <c r="AR517" t="n">
        <v>31.385884445</v>
      </c>
      <c r="AS517" t="n">
        <v/>
      </c>
      <c r="AT517" t="n">
        <v>24.715543303</v>
      </c>
      <c r="AU517" t="n">
        <v/>
      </c>
    </row>
    <row r="518">
      <c r="A518" s="105" t="n">
        <v>22647</v>
      </c>
      <c r="B518" t="n">
        <v>15.659659942</v>
      </c>
      <c r="C518" t="n">
        <v>28.706166656</v>
      </c>
      <c r="D518" t="n">
        <v/>
      </c>
      <c r="E518" t="n">
        <v>24.005311387</v>
      </c>
      <c r="F518" t="n">
        <v/>
      </c>
      <c r="G518" t="n">
        <v/>
      </c>
      <c r="H518" t="n">
        <v/>
      </c>
      <c r="I518" t="n">
        <v>15.658355079</v>
      </c>
      <c r="J518" t="n">
        <v/>
      </c>
      <c r="K518" t="n">
        <v>32.345383005</v>
      </c>
      <c r="L518" t="n">
        <v/>
      </c>
      <c r="M518" t="n">
        <v/>
      </c>
      <c r="N518" t="n">
        <v/>
      </c>
      <c r="O518" t="n">
        <v/>
      </c>
      <c r="P518" t="n">
        <v/>
      </c>
      <c r="Q518" t="n">
        <v>18.487847392</v>
      </c>
      <c r="R518" t="n">
        <v>39.467619496</v>
      </c>
      <c r="S518" t="n">
        <v>26.071155618</v>
      </c>
      <c r="T518" t="n">
        <v/>
      </c>
      <c r="U518" t="n">
        <v/>
      </c>
      <c r="V518" t="n">
        <v>27.184260642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/>
      </c>
      <c r="AC518" t="n">
        <v>41.507712708</v>
      </c>
      <c r="AD518" t="n">
        <v>17.330567618</v>
      </c>
      <c r="AE518" t="n">
        <v/>
      </c>
      <c r="AF518" t="n">
        <v>38.997311781</v>
      </c>
      <c r="AG518" t="n">
        <v/>
      </c>
      <c r="AH518" t="n">
        <v/>
      </c>
      <c r="AI518" t="n">
        <v>26.568236149</v>
      </c>
      <c r="AJ518" t="n">
        <v>23.085366224</v>
      </c>
      <c r="AK518" t="n">
        <v/>
      </c>
      <c r="AL518" t="n">
        <v/>
      </c>
      <c r="AM518" t="n">
        <v/>
      </c>
      <c r="AN518" t="n">
        <v>25.758769518</v>
      </c>
      <c r="AO518" t="n">
        <v/>
      </c>
      <c r="AP518" t="n">
        <v/>
      </c>
      <c r="AQ518" t="n">
        <v/>
      </c>
      <c r="AR518" t="n">
        <v>31.385884445</v>
      </c>
      <c r="AS518" t="n">
        <v/>
      </c>
      <c r="AT518" t="n">
        <v>24.501856825</v>
      </c>
      <c r="AU518" t="n">
        <v/>
      </c>
    </row>
    <row r="519">
      <c r="A519" s="105" t="n">
        <v>22678</v>
      </c>
      <c r="B519" t="n">
        <v>15.987489286</v>
      </c>
      <c r="C519" t="n">
        <v>28.86581957</v>
      </c>
      <c r="D519" t="n">
        <v/>
      </c>
      <c r="E519" t="n">
        <v>24.236976622</v>
      </c>
      <c r="F519" t="n">
        <v/>
      </c>
      <c r="G519" t="n">
        <v/>
      </c>
      <c r="H519" t="n">
        <v/>
      </c>
      <c r="I519" t="n">
        <v>15.986157106</v>
      </c>
      <c r="J519" t="n">
        <v/>
      </c>
      <c r="K519" t="n">
        <v>32.283655174</v>
      </c>
      <c r="L519" t="n">
        <v/>
      </c>
      <c r="M519" t="n">
        <v/>
      </c>
      <c r="N519" t="n">
        <v/>
      </c>
      <c r="O519" t="n">
        <v/>
      </c>
      <c r="P519" t="n">
        <v/>
      </c>
      <c r="Q519" t="n">
        <v>18.425528805</v>
      </c>
      <c r="R519" t="n">
        <v>39.798169076</v>
      </c>
      <c r="S519" t="n">
        <v>26.284025398</v>
      </c>
      <c r="T519" t="n">
        <v/>
      </c>
      <c r="U519" t="n">
        <v/>
      </c>
      <c r="V519" t="n">
        <v>26.984089196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/>
      </c>
      <c r="AC519" t="n">
        <v>41.621797123</v>
      </c>
      <c r="AD519" t="n">
        <v>17.330567618</v>
      </c>
      <c r="AE519" t="n">
        <v/>
      </c>
      <c r="AF519" t="n">
        <v>39.982378489</v>
      </c>
      <c r="AG519" t="n">
        <v/>
      </c>
      <c r="AH519" t="n">
        <v/>
      </c>
      <c r="AI519" t="n">
        <v>26.853916108</v>
      </c>
      <c r="AJ519" t="n">
        <v>23.520075796</v>
      </c>
      <c r="AK519" t="n">
        <v/>
      </c>
      <c r="AL519" t="n">
        <v/>
      </c>
      <c r="AM519" t="n">
        <v/>
      </c>
      <c r="AN519" t="n">
        <v>25.42727956</v>
      </c>
      <c r="AO519" t="n">
        <v/>
      </c>
      <c r="AP519" t="n">
        <v/>
      </c>
      <c r="AQ519" t="n">
        <v/>
      </c>
      <c r="AR519" t="n">
        <v>32.295620226</v>
      </c>
      <c r="AS519" t="n">
        <v/>
      </c>
      <c r="AT519" t="n">
        <v>24.902655315</v>
      </c>
      <c r="AU519" t="n">
        <v/>
      </c>
    </row>
    <row r="520">
      <c r="A520" s="105" t="n">
        <v>22706</v>
      </c>
      <c r="B520" t="n">
        <v>15.850431721</v>
      </c>
      <c r="C520" t="n">
        <v>28.284213047</v>
      </c>
      <c r="D520" t="n">
        <v/>
      </c>
      <c r="E520" t="n">
        <v>24.574841335</v>
      </c>
      <c r="F520" t="n">
        <v/>
      </c>
      <c r="G520" t="n">
        <v/>
      </c>
      <c r="H520" t="n">
        <v/>
      </c>
      <c r="I520" t="n">
        <v>15.849110961</v>
      </c>
      <c r="J520" t="n">
        <v/>
      </c>
      <c r="K520" t="n">
        <v>32.283655174</v>
      </c>
      <c r="L520" t="n">
        <v/>
      </c>
      <c r="M520" t="n">
        <v/>
      </c>
      <c r="N520" t="n">
        <v/>
      </c>
      <c r="O520" t="n">
        <v/>
      </c>
      <c r="P520" t="n">
        <v/>
      </c>
      <c r="Q520" t="n">
        <v>18.217800183</v>
      </c>
      <c r="R520" t="n">
        <v>40.095663691</v>
      </c>
      <c r="S520" t="n">
        <v>26.431250852</v>
      </c>
      <c r="T520" t="n">
        <v/>
      </c>
      <c r="U520" t="n">
        <v/>
      </c>
      <c r="V520" t="n">
        <v>26.82691105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/>
      </c>
      <c r="AC520" t="n">
        <v>41.279543889</v>
      </c>
      <c r="AD520" t="n">
        <v>17.582954525</v>
      </c>
      <c r="AE520" t="n">
        <v/>
      </c>
      <c r="AF520" t="n">
        <v>39.101293145</v>
      </c>
      <c r="AG520" t="n">
        <v/>
      </c>
      <c r="AH520" t="n">
        <v/>
      </c>
      <c r="AI520" t="n">
        <v>26.568236149</v>
      </c>
      <c r="AJ520" t="n">
        <v>23.222642931</v>
      </c>
      <c r="AK520" t="n">
        <v/>
      </c>
      <c r="AL520" t="n">
        <v/>
      </c>
      <c r="AM520" t="n">
        <v/>
      </c>
      <c r="AN520" t="n">
        <v>24.692078985</v>
      </c>
      <c r="AO520" t="n">
        <v/>
      </c>
      <c r="AP520" t="n">
        <v/>
      </c>
      <c r="AQ520" t="n">
        <v/>
      </c>
      <c r="AR520" t="n">
        <v>32.295620226</v>
      </c>
      <c r="AS520" t="n">
        <v/>
      </c>
      <c r="AT520" t="n">
        <v>25.036221759</v>
      </c>
      <c r="AU520" t="n">
        <v/>
      </c>
    </row>
    <row r="521">
      <c r="A521" s="105" t="n">
        <v>22737</v>
      </c>
      <c r="B521" t="n">
        <v>16.129205973</v>
      </c>
      <c r="C521" t="n">
        <v>28.463617909</v>
      </c>
      <c r="D521" t="n">
        <v/>
      </c>
      <c r="E521" t="n">
        <v>24.663184264</v>
      </c>
      <c r="F521" t="n">
        <v/>
      </c>
      <c r="G521" t="n">
        <v/>
      </c>
      <c r="H521" t="n">
        <v/>
      </c>
      <c r="I521" t="n">
        <v>16.127861985</v>
      </c>
      <c r="J521" t="n">
        <v/>
      </c>
      <c r="K521" t="n">
        <v>31.789832533</v>
      </c>
      <c r="L521" t="n">
        <v/>
      </c>
      <c r="M521" t="n">
        <v/>
      </c>
      <c r="N521" t="n">
        <v/>
      </c>
      <c r="O521" t="n">
        <v/>
      </c>
      <c r="P521" t="n">
        <v/>
      </c>
      <c r="Q521" t="n">
        <v>19.02794181</v>
      </c>
      <c r="R521" t="n">
        <v>39.930388906</v>
      </c>
      <c r="S521" t="n">
        <v>26.327226667</v>
      </c>
      <c r="T521" t="n">
        <v/>
      </c>
      <c r="U521" t="n">
        <v/>
      </c>
      <c r="V521" t="n">
        <v>27.256207793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/>
      </c>
      <c r="AC521" t="n">
        <v>41.583768985</v>
      </c>
      <c r="AD521" t="n">
        <v>17.330567618</v>
      </c>
      <c r="AE521" t="n">
        <v/>
      </c>
      <c r="AF521" t="n">
        <v>39.233847638</v>
      </c>
      <c r="AG521" t="n">
        <v/>
      </c>
      <c r="AH521" t="n">
        <v/>
      </c>
      <c r="AI521" t="n">
        <v>26.568236149</v>
      </c>
      <c r="AJ521" t="n">
        <v>23.863267564</v>
      </c>
      <c r="AK521" t="n">
        <v/>
      </c>
      <c r="AL521" t="n">
        <v/>
      </c>
      <c r="AM521" t="n">
        <v/>
      </c>
      <c r="AN521" t="n">
        <v>23.710665038</v>
      </c>
      <c r="AO521" t="n">
        <v/>
      </c>
      <c r="AP521" t="n">
        <v/>
      </c>
      <c r="AQ521" t="n">
        <v/>
      </c>
      <c r="AR521" t="n">
        <v>32.295620226</v>
      </c>
      <c r="AS521" t="n">
        <v/>
      </c>
      <c r="AT521" t="n">
        <v>25.089668168</v>
      </c>
      <c r="AU521" t="n">
        <v/>
      </c>
    </row>
    <row r="522">
      <c r="A522" s="105" t="n">
        <v>22767</v>
      </c>
      <c r="B522" t="n">
        <v>15.409810475</v>
      </c>
      <c r="C522" t="n">
        <v>29.177917563</v>
      </c>
      <c r="D522" t="n">
        <v/>
      </c>
      <c r="E522" t="n">
        <v>25.073414994</v>
      </c>
      <c r="F522" t="n">
        <v/>
      </c>
      <c r="G522" t="n">
        <v/>
      </c>
      <c r="H522" t="n">
        <v/>
      </c>
      <c r="I522" t="n">
        <v>15.408526431</v>
      </c>
      <c r="J522" t="n">
        <v/>
      </c>
      <c r="K522" t="n">
        <v>32.777477816</v>
      </c>
      <c r="L522" t="n">
        <v/>
      </c>
      <c r="M522" t="n">
        <v/>
      </c>
      <c r="N522" t="n">
        <v/>
      </c>
      <c r="O522" t="n">
        <v/>
      </c>
      <c r="P522" t="n">
        <v/>
      </c>
      <c r="Q522" t="n">
        <v>18.716348876</v>
      </c>
      <c r="R522" t="n">
        <v>40.227883521</v>
      </c>
      <c r="S522" t="n">
        <v>26.582669582</v>
      </c>
      <c r="T522" t="n">
        <v/>
      </c>
      <c r="U522" t="n">
        <v/>
      </c>
      <c r="V522" t="n">
        <v>27.161235373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/>
      </c>
      <c r="AC522" t="n">
        <v>42.135176996</v>
      </c>
      <c r="AD522" t="n">
        <v>17.582954525</v>
      </c>
      <c r="AE522" t="n">
        <v/>
      </c>
      <c r="AF522" t="n">
        <v>37.759230852</v>
      </c>
      <c r="AG522" t="n">
        <v/>
      </c>
      <c r="AH522" t="n">
        <v/>
      </c>
      <c r="AI522" t="n">
        <v>26.853916108</v>
      </c>
      <c r="AJ522" t="n">
        <v>23.771749759</v>
      </c>
      <c r="AK522" t="n">
        <v/>
      </c>
      <c r="AL522" t="n">
        <v/>
      </c>
      <c r="AM522" t="n">
        <v/>
      </c>
      <c r="AN522" t="n">
        <v>24.942213601</v>
      </c>
      <c r="AO522" t="n">
        <v/>
      </c>
      <c r="AP522" t="n">
        <v/>
      </c>
      <c r="AQ522" t="n">
        <v/>
      </c>
      <c r="AR522" t="n">
        <v>32.295620226</v>
      </c>
      <c r="AS522" t="n">
        <v/>
      </c>
      <c r="AT522" t="n">
        <v>25.062895384</v>
      </c>
      <c r="AU522" t="n">
        <v/>
      </c>
    </row>
    <row r="523">
      <c r="A523" s="105" t="n">
        <v>22798</v>
      </c>
      <c r="B523" t="n">
        <v>15.91531166</v>
      </c>
      <c r="C523" t="n">
        <v>29.333123008</v>
      </c>
      <c r="D523" t="n">
        <v/>
      </c>
      <c r="E523" t="n">
        <v>25.365228606</v>
      </c>
      <c r="F523" t="n">
        <v/>
      </c>
      <c r="G523" t="n">
        <v/>
      </c>
      <c r="H523" t="n">
        <v/>
      </c>
      <c r="I523" t="n">
        <v>15.913985495</v>
      </c>
      <c r="J523" t="n">
        <v/>
      </c>
      <c r="K523" t="n">
        <v>32.777477816</v>
      </c>
      <c r="L523" t="n">
        <v/>
      </c>
      <c r="M523" t="n">
        <v/>
      </c>
      <c r="N523" t="n">
        <v/>
      </c>
      <c r="O523" t="n">
        <v/>
      </c>
      <c r="P523" t="n">
        <v/>
      </c>
      <c r="Q523" t="n">
        <v>18.591711703</v>
      </c>
      <c r="R523" t="n">
        <v>39.963443861</v>
      </c>
      <c r="S523" t="n">
        <v>26.424119639</v>
      </c>
      <c r="T523" t="n">
        <v/>
      </c>
      <c r="U523" t="n">
        <v/>
      </c>
      <c r="V523" t="n">
        <v>27.905514577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/>
      </c>
      <c r="AC523" t="n">
        <v>40.956304708</v>
      </c>
      <c r="AD523" t="n">
        <v>17.330567618</v>
      </c>
      <c r="AE523" t="n">
        <v/>
      </c>
      <c r="AF523" t="n">
        <v>38.964052385</v>
      </c>
      <c r="AG523" t="n">
        <v/>
      </c>
      <c r="AH523" t="n">
        <v/>
      </c>
      <c r="AI523" t="n">
        <v>27.139596066</v>
      </c>
      <c r="AJ523" t="n">
        <v>23.497196345</v>
      </c>
      <c r="AK523" t="n">
        <v/>
      </c>
      <c r="AL523" t="n">
        <v/>
      </c>
      <c r="AM523" t="n">
        <v/>
      </c>
      <c r="AN523" t="n">
        <v>26.0530551</v>
      </c>
      <c r="AO523" t="n">
        <v/>
      </c>
      <c r="AP523" t="n">
        <v/>
      </c>
      <c r="AQ523" t="n">
        <v/>
      </c>
      <c r="AR523" t="n">
        <v>32.750488117</v>
      </c>
      <c r="AS523" t="n">
        <v/>
      </c>
      <c r="AT523" t="n">
        <v>25.009548133</v>
      </c>
      <c r="AU523" t="n">
        <v/>
      </c>
    </row>
    <row r="524">
      <c r="A524" s="105" t="n">
        <v>22828</v>
      </c>
      <c r="B524" t="n">
        <v>15.929162711</v>
      </c>
      <c r="C524" t="n">
        <v>29.33736169</v>
      </c>
      <c r="D524" t="n">
        <v/>
      </c>
      <c r="E524" t="n">
        <v>25.667380221</v>
      </c>
      <c r="F524" t="n">
        <v/>
      </c>
      <c r="G524" t="n">
        <v/>
      </c>
      <c r="H524" t="n">
        <v/>
      </c>
      <c r="I524" t="n">
        <v>15.927835391</v>
      </c>
      <c r="J524" t="n">
        <v/>
      </c>
      <c r="K524" t="n">
        <v>32.839205646</v>
      </c>
      <c r="L524" t="n">
        <v/>
      </c>
      <c r="M524" t="n">
        <v/>
      </c>
      <c r="N524" t="n">
        <v/>
      </c>
      <c r="O524" t="n">
        <v/>
      </c>
      <c r="P524" t="n">
        <v/>
      </c>
      <c r="Q524" t="n">
        <v>18.404755943</v>
      </c>
      <c r="R524" t="n">
        <v>40.591488057</v>
      </c>
      <c r="S524" t="n">
        <v>26.567838389</v>
      </c>
      <c r="T524" t="n">
        <v/>
      </c>
      <c r="U524" t="n">
        <v/>
      </c>
      <c r="V524" t="n">
        <v>27.212801153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/>
      </c>
      <c r="AC524" t="n">
        <v>42.458416166</v>
      </c>
      <c r="AD524" t="n">
        <v>16.994051742</v>
      </c>
      <c r="AE524" t="n">
        <v/>
      </c>
      <c r="AF524" t="n">
        <v>38.642357097</v>
      </c>
      <c r="AG524" t="n">
        <v/>
      </c>
      <c r="AH524" t="n">
        <v/>
      </c>
      <c r="AI524" t="n">
        <v>27.425276025</v>
      </c>
      <c r="AJ524" t="n">
        <v>23.863267564</v>
      </c>
      <c r="AK524" t="n">
        <v/>
      </c>
      <c r="AL524" t="n">
        <v/>
      </c>
      <c r="AM524" t="n">
        <v/>
      </c>
      <c r="AN524" t="n">
        <v>25.086052861</v>
      </c>
      <c r="AO524" t="n">
        <v/>
      </c>
      <c r="AP524" t="n">
        <v/>
      </c>
      <c r="AQ524" t="n">
        <v/>
      </c>
      <c r="AR524" t="n">
        <v>33.660223898</v>
      </c>
      <c r="AS524" t="n">
        <v/>
      </c>
      <c r="AT524" t="n">
        <v>25.250007396</v>
      </c>
      <c r="AU524" t="n">
        <v/>
      </c>
    </row>
    <row r="525">
      <c r="A525" s="105" t="n">
        <v>22859</v>
      </c>
      <c r="B525" t="n">
        <v>15.997283252</v>
      </c>
      <c r="C525" t="n">
        <v>29.709550746</v>
      </c>
      <c r="D525" t="n">
        <v/>
      </c>
      <c r="E525" t="n">
        <v>25.152359739</v>
      </c>
      <c r="F525" t="n">
        <v/>
      </c>
      <c r="G525" t="n">
        <v/>
      </c>
      <c r="H525" t="n">
        <v/>
      </c>
      <c r="I525" t="n">
        <v>15.995950257</v>
      </c>
      <c r="J525" t="n">
        <v/>
      </c>
      <c r="K525" t="n">
        <v>34.25894574</v>
      </c>
      <c r="L525" t="n">
        <v/>
      </c>
      <c r="M525" t="n">
        <v/>
      </c>
      <c r="N525" t="n">
        <v/>
      </c>
      <c r="O525" t="n">
        <v/>
      </c>
      <c r="P525" t="n">
        <v/>
      </c>
      <c r="Q525" t="n">
        <v>18.591711703</v>
      </c>
      <c r="R525" t="n">
        <v>40.591488057</v>
      </c>
      <c r="S525" t="n">
        <v>26.855247489</v>
      </c>
      <c r="T525" t="n">
        <v/>
      </c>
      <c r="U525" t="n">
        <v/>
      </c>
      <c r="V525" t="n">
        <v>27.047011792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/>
      </c>
      <c r="AC525" t="n">
        <v>42.534472443</v>
      </c>
      <c r="AD525" t="n">
        <v>17.330567618</v>
      </c>
      <c r="AE525" t="n">
        <v/>
      </c>
      <c r="AF525" t="n">
        <v>38.658221561</v>
      </c>
      <c r="AG525" t="n">
        <v/>
      </c>
      <c r="AH525" t="n">
        <v/>
      </c>
      <c r="AI525" t="n">
        <v>27.425276025</v>
      </c>
      <c r="AJ525" t="n">
        <v>24.000544271</v>
      </c>
      <c r="AK525" t="n">
        <v/>
      </c>
      <c r="AL525" t="n">
        <v/>
      </c>
      <c r="AM525" t="n">
        <v/>
      </c>
      <c r="AN525" t="n">
        <v>25.922604017</v>
      </c>
      <c r="AO525" t="n">
        <v/>
      </c>
      <c r="AP525" t="n">
        <v/>
      </c>
      <c r="AQ525" t="n">
        <v/>
      </c>
      <c r="AR525" t="n">
        <v>33.660223898</v>
      </c>
      <c r="AS525" t="n">
        <v/>
      </c>
      <c r="AT525" t="n">
        <v>25.276681021</v>
      </c>
      <c r="AU525" t="n">
        <v/>
      </c>
    </row>
    <row r="526">
      <c r="A526" s="105" t="n">
        <v>22890</v>
      </c>
      <c r="B526" t="n">
        <v>16.246026205</v>
      </c>
      <c r="C526" t="n">
        <v>29.687644462</v>
      </c>
      <c r="D526" t="n">
        <v/>
      </c>
      <c r="E526" t="n">
        <v>25.745385148</v>
      </c>
      <c r="F526" t="n">
        <v/>
      </c>
      <c r="G526" t="n">
        <v/>
      </c>
      <c r="H526" t="n">
        <v/>
      </c>
      <c r="I526" t="n">
        <v>16.244672482</v>
      </c>
      <c r="J526" t="n">
        <v/>
      </c>
      <c r="K526" t="n">
        <v>33.456483948</v>
      </c>
      <c r="L526" t="n">
        <v/>
      </c>
      <c r="M526" t="n">
        <v/>
      </c>
      <c r="N526" t="n">
        <v/>
      </c>
      <c r="O526" t="n">
        <v/>
      </c>
      <c r="P526" t="n">
        <v/>
      </c>
      <c r="Q526" t="n">
        <v>19.069487535</v>
      </c>
      <c r="R526" t="n">
        <v>40.888982681</v>
      </c>
      <c r="S526" t="n">
        <v>26.750973516</v>
      </c>
      <c r="T526" t="n">
        <v/>
      </c>
      <c r="U526" t="n">
        <v/>
      </c>
      <c r="V526" t="n">
        <v>27.639020025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/>
      </c>
      <c r="AC526" t="n">
        <v>41.830951889</v>
      </c>
      <c r="AD526" t="n">
        <v>17.078180711</v>
      </c>
      <c r="AE526" t="n">
        <v/>
      </c>
      <c r="AF526" t="n">
        <v>40.418795794</v>
      </c>
      <c r="AG526" t="n">
        <v/>
      </c>
      <c r="AH526" t="n">
        <v/>
      </c>
      <c r="AI526" t="n">
        <v>27.425276025</v>
      </c>
      <c r="AJ526" t="n">
        <v>24.18357988</v>
      </c>
      <c r="AK526" t="n">
        <v/>
      </c>
      <c r="AL526" t="n">
        <v/>
      </c>
      <c r="AM526" t="n">
        <v/>
      </c>
      <c r="AN526" t="n">
        <v>24.948420181</v>
      </c>
      <c r="AO526" t="n">
        <v/>
      </c>
      <c r="AP526" t="n">
        <v/>
      </c>
      <c r="AQ526" t="n">
        <v/>
      </c>
      <c r="AR526" t="n">
        <v>33.660223898</v>
      </c>
      <c r="AS526" t="n">
        <v/>
      </c>
      <c r="AT526" t="n">
        <v>25.437020249</v>
      </c>
      <c r="AU526" t="n">
        <v/>
      </c>
    </row>
    <row r="527">
      <c r="A527" s="105" t="n">
        <v>22920</v>
      </c>
      <c r="B527" t="n">
        <v>16.031590823</v>
      </c>
      <c r="C527" t="n">
        <v>29.444366199</v>
      </c>
      <c r="D527" t="n">
        <v/>
      </c>
      <c r="E527" t="n">
        <v>25.576687745</v>
      </c>
      <c r="F527" t="n">
        <v/>
      </c>
      <c r="G527" t="n">
        <v/>
      </c>
      <c r="H527" t="n">
        <v/>
      </c>
      <c r="I527" t="n">
        <v>16.030254968</v>
      </c>
      <c r="J527" t="n">
        <v/>
      </c>
      <c r="K527" t="n">
        <v>32.900933476</v>
      </c>
      <c r="L527" t="n">
        <v/>
      </c>
      <c r="M527" t="n">
        <v/>
      </c>
      <c r="N527" t="n">
        <v/>
      </c>
      <c r="O527" t="n">
        <v/>
      </c>
      <c r="P527" t="n">
        <v/>
      </c>
      <c r="Q527" t="n">
        <v>18.757894601</v>
      </c>
      <c r="R527" t="n">
        <v>41.021202511</v>
      </c>
      <c r="S527" t="n">
        <v>26.691053118</v>
      </c>
      <c r="T527" t="n">
        <v/>
      </c>
      <c r="U527" t="n">
        <v/>
      </c>
      <c r="V527" t="n">
        <v>27.911000099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/>
      </c>
      <c r="AC527" t="n">
        <v>42.401373953</v>
      </c>
      <c r="AD527" t="n">
        <v>16.994051742</v>
      </c>
      <c r="AE527" t="n">
        <v/>
      </c>
      <c r="AF527" t="n">
        <v>39.461279673</v>
      </c>
      <c r="AG527" t="n">
        <v/>
      </c>
      <c r="AH527" t="n">
        <v/>
      </c>
      <c r="AI527" t="n">
        <v>27.425276025</v>
      </c>
      <c r="AJ527" t="n">
        <v>24.709807257</v>
      </c>
      <c r="AK527" t="n">
        <v/>
      </c>
      <c r="AL527" t="n">
        <v/>
      </c>
      <c r="AM527" t="n">
        <v/>
      </c>
      <c r="AN527" t="n">
        <v>24.649426396</v>
      </c>
      <c r="AO527" t="n">
        <v/>
      </c>
      <c r="AP527" t="n">
        <v/>
      </c>
      <c r="AQ527" t="n">
        <v/>
      </c>
      <c r="AR527" t="n">
        <v>33.660223898</v>
      </c>
      <c r="AS527" t="n">
        <v/>
      </c>
      <c r="AT527" t="n">
        <v>25.463793032</v>
      </c>
      <c r="AU527" t="n">
        <v/>
      </c>
    </row>
    <row r="528">
      <c r="A528" s="105" t="n">
        <v>22951</v>
      </c>
      <c r="B528" t="n">
        <v>16.01170043</v>
      </c>
      <c r="C528" t="n">
        <v>29.505536415</v>
      </c>
      <c r="D528" t="n">
        <v/>
      </c>
      <c r="E528" t="n">
        <v>25.598773478</v>
      </c>
      <c r="F528" t="n">
        <v/>
      </c>
      <c r="G528" t="n">
        <v/>
      </c>
      <c r="H528" t="n">
        <v/>
      </c>
      <c r="I528" t="n">
        <v>16.010366233</v>
      </c>
      <c r="J528" t="n">
        <v/>
      </c>
      <c r="K528" t="n">
        <v>33.579939608</v>
      </c>
      <c r="L528" t="n">
        <v/>
      </c>
      <c r="M528" t="n">
        <v/>
      </c>
      <c r="N528" t="n">
        <v/>
      </c>
      <c r="O528" t="n">
        <v/>
      </c>
      <c r="P528" t="n">
        <v/>
      </c>
      <c r="Q528" t="n">
        <v>19.007168948</v>
      </c>
      <c r="R528" t="n">
        <v>41.219532252</v>
      </c>
      <c r="S528" t="n">
        <v>26.916180441</v>
      </c>
      <c r="T528" t="n">
        <v/>
      </c>
      <c r="U528" t="n">
        <v/>
      </c>
      <c r="V528" t="n">
        <v>27.947653269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/>
      </c>
      <c r="AC528" t="n">
        <v>43.314049273</v>
      </c>
      <c r="AD528" t="n">
        <v>17.078180711</v>
      </c>
      <c r="AE528" t="n">
        <v/>
      </c>
      <c r="AF528" t="n">
        <v>41.37085544</v>
      </c>
      <c r="AG528" t="n">
        <v/>
      </c>
      <c r="AH528" t="n">
        <v/>
      </c>
      <c r="AI528" t="n">
        <v>27.710955984</v>
      </c>
      <c r="AJ528" t="n">
        <v>24.686927806</v>
      </c>
      <c r="AK528" t="n">
        <v/>
      </c>
      <c r="AL528" t="n">
        <v/>
      </c>
      <c r="AM528" t="n">
        <v/>
      </c>
      <c r="AN528" t="n">
        <v>25.564699107</v>
      </c>
      <c r="AO528" t="n">
        <v/>
      </c>
      <c r="AP528" t="n">
        <v/>
      </c>
      <c r="AQ528" t="n">
        <v/>
      </c>
      <c r="AR528" t="n">
        <v>34.115091788</v>
      </c>
      <c r="AS528" t="n">
        <v/>
      </c>
      <c r="AT528" t="n">
        <v>25.570586693</v>
      </c>
      <c r="AU528" t="n">
        <v/>
      </c>
    </row>
    <row r="529">
      <c r="A529" s="105" t="n">
        <v>22981</v>
      </c>
      <c r="B529" t="n">
        <v>15.916612437</v>
      </c>
      <c r="C529" t="n">
        <v>29.680036027</v>
      </c>
      <c r="D529" t="n">
        <v/>
      </c>
      <c r="E529" t="n">
        <v>25.576687745</v>
      </c>
      <c r="F529" t="n">
        <v/>
      </c>
      <c r="G529" t="n">
        <v/>
      </c>
      <c r="H529" t="n">
        <v/>
      </c>
      <c r="I529" t="n">
        <v>15.915286163</v>
      </c>
      <c r="J529" t="n">
        <v/>
      </c>
      <c r="K529" t="n">
        <v>32.715749986</v>
      </c>
      <c r="L529" t="n">
        <v/>
      </c>
      <c r="M529" t="n">
        <v/>
      </c>
      <c r="N529" t="n">
        <v/>
      </c>
      <c r="O529" t="n">
        <v/>
      </c>
      <c r="P529" t="n">
        <v/>
      </c>
      <c r="Q529" t="n">
        <v>19.297989019</v>
      </c>
      <c r="R529" t="n">
        <v>40.855927717</v>
      </c>
      <c r="S529" t="n">
        <v>26.802782549</v>
      </c>
      <c r="T529" t="n">
        <v/>
      </c>
      <c r="U529" t="n">
        <v/>
      </c>
      <c r="V529" t="n">
        <v>27.745117913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/>
      </c>
      <c r="AC529" t="n">
        <v>44.245738656</v>
      </c>
      <c r="AD529" t="n">
        <v>16.994051742</v>
      </c>
      <c r="AE529" t="n">
        <v/>
      </c>
      <c r="AF529" t="n">
        <v>39.221795473</v>
      </c>
      <c r="AG529" t="n">
        <v/>
      </c>
      <c r="AH529" t="n">
        <v/>
      </c>
      <c r="AI529" t="n">
        <v>26.853916108</v>
      </c>
      <c r="AJ529" t="n">
        <v>24.046303173</v>
      </c>
      <c r="AK529" t="n">
        <v/>
      </c>
      <c r="AL529" t="n">
        <v/>
      </c>
      <c r="AM529" t="n">
        <v/>
      </c>
      <c r="AN529" t="n">
        <v>24.365428831</v>
      </c>
      <c r="AO529" t="n">
        <v/>
      </c>
      <c r="AP529" t="n">
        <v/>
      </c>
      <c r="AQ529" t="n">
        <v/>
      </c>
      <c r="AR529" t="n">
        <v>34.569959679</v>
      </c>
      <c r="AS529" t="n">
        <v/>
      </c>
      <c r="AT529" t="n">
        <v>25.570586693</v>
      </c>
      <c r="AU529" t="n">
        <v/>
      </c>
    </row>
    <row r="530">
      <c r="A530" s="105" t="n">
        <v>23012</v>
      </c>
      <c r="B530" t="n">
        <v>16.030936428</v>
      </c>
      <c r="C530" t="n">
        <v>29.276098522</v>
      </c>
      <c r="D530" t="n">
        <v/>
      </c>
      <c r="E530" t="n">
        <v>25.600183205</v>
      </c>
      <c r="F530" t="n">
        <v/>
      </c>
      <c r="G530" t="n">
        <v/>
      </c>
      <c r="H530" t="n">
        <v/>
      </c>
      <c r="I530" t="n">
        <v>16.029600628</v>
      </c>
      <c r="J530" t="n">
        <v/>
      </c>
      <c r="K530" t="n">
        <v>32.839205646</v>
      </c>
      <c r="L530" t="n">
        <v/>
      </c>
      <c r="M530" t="n">
        <v/>
      </c>
      <c r="N530" t="n">
        <v/>
      </c>
      <c r="O530" t="n">
        <v/>
      </c>
      <c r="P530" t="n">
        <v/>
      </c>
      <c r="Q530" t="n">
        <v>19.111033259</v>
      </c>
      <c r="R530" t="n">
        <v>40.956469224</v>
      </c>
      <c r="S530" t="n">
        <v>27.010811805</v>
      </c>
      <c r="T530" t="n">
        <v/>
      </c>
      <c r="U530" t="n">
        <v/>
      </c>
      <c r="V530" t="n">
        <v>28.061369942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/>
      </c>
      <c r="AC530" t="n">
        <v>44.226724582</v>
      </c>
      <c r="AD530" t="n">
        <v>17.330567618</v>
      </c>
      <c r="AE530" t="n">
        <v/>
      </c>
      <c r="AF530" t="n">
        <v>38.837865917</v>
      </c>
      <c r="AG530" t="n">
        <v/>
      </c>
      <c r="AH530" t="n">
        <v/>
      </c>
      <c r="AI530" t="n">
        <v>26.853916108</v>
      </c>
      <c r="AJ530" t="n">
        <v>24.206459331</v>
      </c>
      <c r="AK530" t="n">
        <v/>
      </c>
      <c r="AL530" t="n">
        <v/>
      </c>
      <c r="AM530" t="n">
        <v/>
      </c>
      <c r="AN530" t="n">
        <v>25.039360226</v>
      </c>
      <c r="AO530" t="n">
        <v/>
      </c>
      <c r="AP530" t="n">
        <v/>
      </c>
      <c r="AQ530" t="n">
        <v/>
      </c>
      <c r="AR530" t="n">
        <v>33.205356007</v>
      </c>
      <c r="AS530" t="n">
        <v/>
      </c>
      <c r="AT530" t="n">
        <v>25.757599546</v>
      </c>
      <c r="AU530" t="n">
        <v/>
      </c>
    </row>
    <row r="531">
      <c r="A531" s="105" t="n">
        <v>23043</v>
      </c>
      <c r="B531" t="n">
        <v>15.920894782</v>
      </c>
      <c r="C531" t="n">
        <v>29.646366828</v>
      </c>
      <c r="D531" t="n">
        <v/>
      </c>
      <c r="E531" t="n">
        <v>25.813521981</v>
      </c>
      <c r="F531" t="n">
        <v/>
      </c>
      <c r="G531" t="n">
        <v/>
      </c>
      <c r="H531" t="n">
        <v/>
      </c>
      <c r="I531" t="n">
        <v>15.919568152</v>
      </c>
      <c r="J531" t="n">
        <v/>
      </c>
      <c r="K531" t="n">
        <v>32.468838665</v>
      </c>
      <c r="L531" t="n">
        <v/>
      </c>
      <c r="M531" t="n">
        <v/>
      </c>
      <c r="N531" t="n">
        <v/>
      </c>
      <c r="O531" t="n">
        <v/>
      </c>
      <c r="P531" t="n">
        <v/>
      </c>
      <c r="Q531" t="n">
        <v>19.007168948</v>
      </c>
      <c r="R531" t="n">
        <v>40.347903562</v>
      </c>
      <c r="S531" t="n">
        <v>27.176828724</v>
      </c>
      <c r="T531" t="n">
        <v/>
      </c>
      <c r="U531" t="n">
        <v/>
      </c>
      <c r="V531" t="n">
        <v>29.194419409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/>
      </c>
      <c r="AC531" t="n">
        <v>43.180950783</v>
      </c>
      <c r="AD531" t="n">
        <v>17.835341432</v>
      </c>
      <c r="AE531" t="n">
        <v/>
      </c>
      <c r="AF531" t="n">
        <v>38.352592292</v>
      </c>
      <c r="AG531" t="n">
        <v/>
      </c>
      <c r="AH531" t="n">
        <v/>
      </c>
      <c r="AI531" t="n">
        <v>26.853916108</v>
      </c>
      <c r="AJ531" t="n">
        <v>24.57253055</v>
      </c>
      <c r="AK531" t="n">
        <v/>
      </c>
      <c r="AL531" t="n">
        <v/>
      </c>
      <c r="AM531" t="n">
        <v/>
      </c>
      <c r="AN531" t="n">
        <v>25.247938665</v>
      </c>
      <c r="AO531" t="n">
        <v/>
      </c>
      <c r="AP531" t="n">
        <v/>
      </c>
      <c r="AQ531" t="n">
        <v/>
      </c>
      <c r="AR531" t="n">
        <v>33.660223898</v>
      </c>
      <c r="AS531" t="n">
        <v/>
      </c>
      <c r="AT531" t="n">
        <v>26.051604376</v>
      </c>
      <c r="AU531" t="n">
        <v/>
      </c>
    </row>
    <row r="532">
      <c r="A532" s="105" t="n">
        <v>23071</v>
      </c>
      <c r="B532" t="n">
        <v>16.298629731</v>
      </c>
      <c r="C532" t="n">
        <v>30.50236769</v>
      </c>
      <c r="D532" t="n">
        <v/>
      </c>
      <c r="E532" t="n">
        <v>26.098756865</v>
      </c>
      <c r="F532" t="n">
        <v/>
      </c>
      <c r="G532" t="n">
        <v/>
      </c>
      <c r="H532" t="n">
        <v/>
      </c>
      <c r="I532" t="n">
        <v>16.297271625</v>
      </c>
      <c r="J532" t="n">
        <v/>
      </c>
      <c r="K532" t="n">
        <v>33.271300457</v>
      </c>
      <c r="L532" t="n">
        <v/>
      </c>
      <c r="M532" t="n">
        <v/>
      </c>
      <c r="N532" t="n">
        <v/>
      </c>
      <c r="O532" t="n">
        <v/>
      </c>
      <c r="P532" t="n">
        <v/>
      </c>
      <c r="Q532" t="n">
        <v>18.113935872</v>
      </c>
      <c r="R532" t="n">
        <v>36.270513611</v>
      </c>
      <c r="S532" t="n">
        <v>27.273145161</v>
      </c>
      <c r="T532" t="n">
        <v/>
      </c>
      <c r="U532" t="n">
        <v/>
      </c>
      <c r="V532" t="n">
        <v>29.214101522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/>
      </c>
      <c r="AC532" t="n">
        <v>44.39785121</v>
      </c>
      <c r="AD532" t="n">
        <v>17.919470401</v>
      </c>
      <c r="AE532" t="n">
        <v/>
      </c>
      <c r="AF532" t="n">
        <v>38.375223395</v>
      </c>
      <c r="AG532" t="n">
        <v/>
      </c>
      <c r="AH532" t="n">
        <v/>
      </c>
      <c r="AI532" t="n">
        <v>27.710955984</v>
      </c>
      <c r="AJ532" t="n">
        <v>24.252218233</v>
      </c>
      <c r="AK532" t="n">
        <v/>
      </c>
      <c r="AL532" t="n">
        <v/>
      </c>
      <c r="AM532" t="n">
        <v/>
      </c>
      <c r="AN532" t="n">
        <v>25.333828</v>
      </c>
      <c r="AO532" t="n">
        <v/>
      </c>
      <c r="AP532" t="n">
        <v/>
      </c>
      <c r="AQ532" t="n">
        <v/>
      </c>
      <c r="AR532" t="n">
        <v>33.205356007</v>
      </c>
      <c r="AS532" t="n">
        <v/>
      </c>
      <c r="AT532" t="n">
        <v>26.211943603</v>
      </c>
      <c r="AU532" t="n">
        <v/>
      </c>
    </row>
    <row r="533">
      <c r="A533" s="105" t="n">
        <v>23102</v>
      </c>
      <c r="B533" t="n">
        <v>16.354253849</v>
      </c>
      <c r="C533" t="n">
        <v>31.350381513</v>
      </c>
      <c r="D533" t="n">
        <v/>
      </c>
      <c r="E533" t="n">
        <v>26.139638965</v>
      </c>
      <c r="F533" t="n">
        <v/>
      </c>
      <c r="G533" t="n">
        <v/>
      </c>
      <c r="H533" t="n">
        <v/>
      </c>
      <c r="I533" t="n">
        <v>16.352891108</v>
      </c>
      <c r="J533" t="n">
        <v/>
      </c>
      <c r="K533" t="n">
        <v>33.579939608</v>
      </c>
      <c r="L533" t="n">
        <v/>
      </c>
      <c r="M533" t="n">
        <v/>
      </c>
      <c r="N533" t="n">
        <v/>
      </c>
      <c r="O533" t="n">
        <v/>
      </c>
      <c r="P533" t="n">
        <v/>
      </c>
      <c r="Q533" t="n">
        <v>19.235670432</v>
      </c>
      <c r="R533" t="n">
        <v>41.321608623</v>
      </c>
      <c r="S533" t="n">
        <v>27.922152993</v>
      </c>
      <c r="T533" t="n">
        <v/>
      </c>
      <c r="U533" t="n">
        <v/>
      </c>
      <c r="V533" t="n">
        <v>28.827669757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/>
      </c>
      <c r="AC533" t="n">
        <v>45.519681285</v>
      </c>
      <c r="AD533" t="n">
        <v>18.592502153</v>
      </c>
      <c r="AE533" t="n">
        <v/>
      </c>
      <c r="AF533" t="n">
        <v>38.994160941</v>
      </c>
      <c r="AG533" t="n">
        <v/>
      </c>
      <c r="AH533" t="n">
        <v/>
      </c>
      <c r="AI533" t="n">
        <v>28.282315901</v>
      </c>
      <c r="AJ533" t="n">
        <v>24.618289452</v>
      </c>
      <c r="AK533" t="n">
        <v/>
      </c>
      <c r="AL533" t="n">
        <v/>
      </c>
      <c r="AM533" t="n">
        <v/>
      </c>
      <c r="AN533" t="n">
        <v>25.588036929</v>
      </c>
      <c r="AO533" t="n">
        <v/>
      </c>
      <c r="AP533" t="n">
        <v/>
      </c>
      <c r="AQ533" t="n">
        <v/>
      </c>
      <c r="AR533" t="n">
        <v>34.115091788</v>
      </c>
      <c r="AS533" t="n">
        <v/>
      </c>
      <c r="AT533" t="n">
        <v>26.452402866</v>
      </c>
      <c r="AU533" t="n">
        <v/>
      </c>
    </row>
    <row r="534">
      <c r="A534" s="105" t="n">
        <v>23132</v>
      </c>
      <c r="B534" t="n">
        <v>16.518637424</v>
      </c>
      <c r="C534" t="n">
        <v>31.63778032</v>
      </c>
      <c r="D534" t="n">
        <v/>
      </c>
      <c r="E534" t="n">
        <v>26.497239865</v>
      </c>
      <c r="F534" t="n">
        <v/>
      </c>
      <c r="G534" t="n">
        <v/>
      </c>
      <c r="H534" t="n">
        <v/>
      </c>
      <c r="I534" t="n">
        <v>16.517260986</v>
      </c>
      <c r="J534" t="n">
        <v/>
      </c>
      <c r="K534" t="n">
        <v>33.826850929</v>
      </c>
      <c r="L534" t="n">
        <v/>
      </c>
      <c r="M534" t="n">
        <v/>
      </c>
      <c r="N534" t="n">
        <v/>
      </c>
      <c r="O534" t="n">
        <v/>
      </c>
      <c r="P534" t="n">
        <v/>
      </c>
      <c r="Q534" t="n">
        <v>19.484944779</v>
      </c>
      <c r="R534" t="n">
        <v>43.025592481</v>
      </c>
      <c r="S534" t="n">
        <v>28.273374798</v>
      </c>
      <c r="T534" t="n">
        <v/>
      </c>
      <c r="U534" t="n">
        <v/>
      </c>
      <c r="V534" t="n">
        <v>29.17695229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/>
      </c>
      <c r="AC534" t="n">
        <v>45.462639072</v>
      </c>
      <c r="AD534" t="n">
        <v>18.84488906</v>
      </c>
      <c r="AE534" t="n">
        <v/>
      </c>
      <c r="AF534" t="n">
        <v>39.489957403</v>
      </c>
      <c r="AG534" t="n">
        <v/>
      </c>
      <c r="AH534" t="n">
        <v/>
      </c>
      <c r="AI534" t="n">
        <v>28.282315901</v>
      </c>
      <c r="AJ534" t="n">
        <v>25.236034634</v>
      </c>
      <c r="AK534" t="n">
        <v/>
      </c>
      <c r="AL534" t="n">
        <v/>
      </c>
      <c r="AM534" t="n">
        <v/>
      </c>
      <c r="AN534" t="n">
        <v>26.290482109</v>
      </c>
      <c r="AO534" t="n">
        <v/>
      </c>
      <c r="AP534" t="n">
        <v/>
      </c>
      <c r="AQ534" t="n">
        <v/>
      </c>
      <c r="AR534" t="n">
        <v>34.569959679</v>
      </c>
      <c r="AS534" t="n">
        <v/>
      </c>
      <c r="AT534" t="n">
        <v>26.772982163</v>
      </c>
      <c r="AU534" t="n">
        <v/>
      </c>
    </row>
    <row r="535">
      <c r="A535" s="105" t="n">
        <v>23163</v>
      </c>
      <c r="B535" t="n">
        <v>16.964388993</v>
      </c>
      <c r="C535" t="n">
        <v>31.546743606</v>
      </c>
      <c r="D535" t="n">
        <v/>
      </c>
      <c r="E535" t="n">
        <v>26.862829221</v>
      </c>
      <c r="F535" t="n">
        <v/>
      </c>
      <c r="G535" t="n">
        <v/>
      </c>
      <c r="H535" t="n">
        <v/>
      </c>
      <c r="I535" t="n">
        <v>16.962975412</v>
      </c>
      <c r="J535" t="n">
        <v/>
      </c>
      <c r="K535" t="n">
        <v>33.518211778</v>
      </c>
      <c r="L535" t="n">
        <v/>
      </c>
      <c r="M535" t="n">
        <v/>
      </c>
      <c r="N535" t="n">
        <v/>
      </c>
      <c r="O535" t="n">
        <v/>
      </c>
      <c r="P535" t="n">
        <v/>
      </c>
      <c r="Q535" t="n">
        <v>20.315859269</v>
      </c>
      <c r="R535" t="n">
        <v>43.025592481</v>
      </c>
      <c r="S535" t="n">
        <v>28.271772775</v>
      </c>
      <c r="T535" t="n">
        <v/>
      </c>
      <c r="U535" t="n">
        <v/>
      </c>
      <c r="V535" t="n">
        <v>29.146450341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/>
      </c>
      <c r="AC535" t="n">
        <v>46.261229976</v>
      </c>
      <c r="AD535" t="n">
        <v>18.676631122</v>
      </c>
      <c r="AE535" t="n">
        <v/>
      </c>
      <c r="AF535" t="n">
        <v>40.094750723</v>
      </c>
      <c r="AG535" t="n">
        <v/>
      </c>
      <c r="AH535" t="n">
        <v/>
      </c>
      <c r="AI535" t="n">
        <v>28.853675818</v>
      </c>
      <c r="AJ535" t="n">
        <v>24.595410001</v>
      </c>
      <c r="AK535" t="n">
        <v/>
      </c>
      <c r="AL535" t="n">
        <v/>
      </c>
      <c r="AM535" t="n">
        <v/>
      </c>
      <c r="AN535" t="n">
        <v>24.94151467</v>
      </c>
      <c r="AO535" t="n">
        <v/>
      </c>
      <c r="AP535" t="n">
        <v/>
      </c>
      <c r="AQ535" t="n">
        <v/>
      </c>
      <c r="AR535" t="n">
        <v>35.47969546</v>
      </c>
      <c r="AS535" t="n">
        <v/>
      </c>
      <c r="AT535" t="n">
        <v>26.853201356</v>
      </c>
      <c r="AU535" t="n">
        <v/>
      </c>
    </row>
    <row r="536">
      <c r="A536" s="105" t="n">
        <v>23193</v>
      </c>
      <c r="B536" t="n">
        <v>16.43262026</v>
      </c>
      <c r="C536" t="n">
        <v>31.248311276</v>
      </c>
      <c r="D536" t="n">
        <v/>
      </c>
      <c r="E536" t="n">
        <v>26.340760102</v>
      </c>
      <c r="F536" t="n">
        <v/>
      </c>
      <c r="G536" t="n">
        <v/>
      </c>
      <c r="H536" t="n">
        <v/>
      </c>
      <c r="I536" t="n">
        <v>16.43125099</v>
      </c>
      <c r="J536" t="n">
        <v/>
      </c>
      <c r="K536" t="n">
        <v>34.073762249</v>
      </c>
      <c r="L536" t="n">
        <v/>
      </c>
      <c r="M536" t="n">
        <v/>
      </c>
      <c r="N536" t="n">
        <v/>
      </c>
      <c r="O536" t="n">
        <v/>
      </c>
      <c r="P536" t="n">
        <v/>
      </c>
      <c r="Q536" t="n">
        <v>19.381080468</v>
      </c>
      <c r="R536" t="n">
        <v>44.181867251</v>
      </c>
      <c r="S536" t="n">
        <v>28.513962505</v>
      </c>
      <c r="T536" t="n">
        <v/>
      </c>
      <c r="U536" t="n">
        <v/>
      </c>
      <c r="V536" t="n">
        <v>29.292348618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/>
      </c>
      <c r="AC536" t="n">
        <v>45.861934519</v>
      </c>
      <c r="AD536" t="n">
        <v>19.349662874</v>
      </c>
      <c r="AE536" t="n">
        <v/>
      </c>
      <c r="AF536" t="n">
        <v>40.627319031</v>
      </c>
      <c r="AG536" t="n">
        <v/>
      </c>
      <c r="AH536" t="n">
        <v/>
      </c>
      <c r="AI536" t="n">
        <v>29.139355777</v>
      </c>
      <c r="AJ536" t="n">
        <v>25.94529762</v>
      </c>
      <c r="AK536" t="n">
        <v/>
      </c>
      <c r="AL536" t="n">
        <v/>
      </c>
      <c r="AM536" t="n">
        <v/>
      </c>
      <c r="AN536" t="n">
        <v>25.602275539</v>
      </c>
      <c r="AO536" t="n">
        <v/>
      </c>
      <c r="AP536" t="n">
        <v/>
      </c>
      <c r="AQ536" t="n">
        <v/>
      </c>
      <c r="AR536" t="n">
        <v>35.024827569</v>
      </c>
      <c r="AS536" t="n">
        <v/>
      </c>
      <c r="AT536" t="n">
        <v>26.746308537</v>
      </c>
      <c r="AU536" t="n">
        <v/>
      </c>
    </row>
    <row r="537">
      <c r="A537" s="105" t="n">
        <v>23224</v>
      </c>
      <c r="B537" t="n">
        <v>16.9623283</v>
      </c>
      <c r="C537" t="n">
        <v>32.270912842</v>
      </c>
      <c r="D537" t="n">
        <v/>
      </c>
      <c r="E537" t="n">
        <v>26.351098104</v>
      </c>
      <c r="F537" t="n">
        <v/>
      </c>
      <c r="G537" t="n">
        <v/>
      </c>
      <c r="H537" t="n">
        <v/>
      </c>
      <c r="I537" t="n">
        <v>16.960914891</v>
      </c>
      <c r="J537" t="n">
        <v/>
      </c>
      <c r="K537" t="n">
        <v>35.308318852</v>
      </c>
      <c r="L537" t="n">
        <v/>
      </c>
      <c r="M537" t="n">
        <v/>
      </c>
      <c r="N537" t="n">
        <v/>
      </c>
      <c r="O537" t="n">
        <v/>
      </c>
      <c r="P537" t="n">
        <v/>
      </c>
      <c r="Q537" t="n">
        <v>19.796537713</v>
      </c>
      <c r="R537" t="n">
        <v>44.181867251</v>
      </c>
      <c r="S537" t="n">
        <v>28.898081151</v>
      </c>
      <c r="T537" t="n">
        <v/>
      </c>
      <c r="U537" t="n">
        <v/>
      </c>
      <c r="V537" t="n">
        <v>31.421086259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/>
      </c>
      <c r="AC537" t="n">
        <v>46.546441008</v>
      </c>
      <c r="AD537" t="n">
        <v>19.854436688</v>
      </c>
      <c r="AE537" t="n">
        <v/>
      </c>
      <c r="AF537" t="n">
        <v>40.454527354</v>
      </c>
      <c r="AG537" t="n">
        <v/>
      </c>
      <c r="AH537" t="n">
        <v/>
      </c>
      <c r="AI537" t="n">
        <v>29.139355777</v>
      </c>
      <c r="AJ537" t="n">
        <v>25.37331134</v>
      </c>
      <c r="AK537" t="n">
        <v/>
      </c>
      <c r="AL537" t="n">
        <v/>
      </c>
      <c r="AM537" t="n">
        <v/>
      </c>
      <c r="AN537" t="n">
        <v>26.046438904</v>
      </c>
      <c r="AO537" t="n">
        <v/>
      </c>
      <c r="AP537" t="n">
        <v/>
      </c>
      <c r="AQ537" t="n">
        <v/>
      </c>
      <c r="AR537" t="n">
        <v>35.93456335</v>
      </c>
      <c r="AS537" t="n">
        <v/>
      </c>
      <c r="AT537" t="n">
        <v>26.799754946</v>
      </c>
      <c r="AU537" t="n">
        <v/>
      </c>
    </row>
    <row r="538">
      <c r="A538" s="105" t="n">
        <v>23255</v>
      </c>
      <c r="B538" t="n">
        <v>16.97044868</v>
      </c>
      <c r="C538" t="n">
        <v>32.333283524</v>
      </c>
      <c r="D538" t="n">
        <v/>
      </c>
      <c r="E538" t="n">
        <v>27.440347625</v>
      </c>
      <c r="F538" t="n">
        <v/>
      </c>
      <c r="G538" t="n">
        <v/>
      </c>
      <c r="H538" t="n">
        <v/>
      </c>
      <c r="I538" t="n">
        <v>16.969034594</v>
      </c>
      <c r="J538" t="n">
        <v/>
      </c>
      <c r="K538" t="n">
        <v>34.32067357</v>
      </c>
      <c r="L538" t="n">
        <v/>
      </c>
      <c r="M538" t="n">
        <v/>
      </c>
      <c r="N538" t="n">
        <v/>
      </c>
      <c r="O538" t="n">
        <v/>
      </c>
      <c r="P538" t="n">
        <v/>
      </c>
      <c r="Q538" t="n">
        <v>19.983493473</v>
      </c>
      <c r="R538" t="n">
        <v>43.695014716</v>
      </c>
      <c r="S538" t="n">
        <v>28.952173978</v>
      </c>
      <c r="T538" t="n">
        <v/>
      </c>
      <c r="U538" t="n">
        <v/>
      </c>
      <c r="V538" t="n">
        <v>32.340285859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/>
      </c>
      <c r="AC538" t="n">
        <v>47.459116317</v>
      </c>
      <c r="AD538" t="n">
        <v>19.854436688</v>
      </c>
      <c r="AE538" t="n">
        <v/>
      </c>
      <c r="AF538" t="n">
        <v>40.595495598</v>
      </c>
      <c r="AG538" t="n">
        <v/>
      </c>
      <c r="AH538" t="n">
        <v/>
      </c>
      <c r="AI538" t="n">
        <v>29.139355777</v>
      </c>
      <c r="AJ538" t="n">
        <v>25.922418168</v>
      </c>
      <c r="AK538" t="n">
        <v/>
      </c>
      <c r="AL538" t="n">
        <v/>
      </c>
      <c r="AM538" t="n">
        <v/>
      </c>
      <c r="AN538" t="n">
        <v>26.553537653</v>
      </c>
      <c r="AO538" t="n">
        <v/>
      </c>
      <c r="AP538" t="n">
        <v/>
      </c>
      <c r="AQ538" t="n">
        <v/>
      </c>
      <c r="AR538" t="n">
        <v>35.93456335</v>
      </c>
      <c r="AS538" t="n">
        <v/>
      </c>
      <c r="AT538" t="n">
        <v>27.066887834</v>
      </c>
      <c r="AU538" t="n">
        <v/>
      </c>
    </row>
    <row r="539">
      <c r="A539" s="105" t="n">
        <v>23285</v>
      </c>
      <c r="B539" t="n">
        <v>16.99639963</v>
      </c>
      <c r="C539" t="n">
        <v>32.304609557</v>
      </c>
      <c r="D539" t="n">
        <v/>
      </c>
      <c r="E539" t="n">
        <v>27.421551257</v>
      </c>
      <c r="F539" t="n">
        <v/>
      </c>
      <c r="G539" t="n">
        <v/>
      </c>
      <c r="H539" t="n">
        <v/>
      </c>
      <c r="I539" t="n">
        <v>16.994983382</v>
      </c>
      <c r="J539" t="n">
        <v/>
      </c>
      <c r="K539" t="n">
        <v>34.876224041</v>
      </c>
      <c r="L539" t="n">
        <v/>
      </c>
      <c r="M539" t="n">
        <v/>
      </c>
      <c r="N539" t="n">
        <v/>
      </c>
      <c r="O539" t="n">
        <v/>
      </c>
      <c r="P539" t="n">
        <v/>
      </c>
      <c r="Q539" t="n">
        <v>20.41972358</v>
      </c>
      <c r="R539" t="n">
        <v>43.938440979</v>
      </c>
      <c r="S539" t="n">
        <v>29.306904814</v>
      </c>
      <c r="T539" t="n">
        <v/>
      </c>
      <c r="U539" t="n">
        <v/>
      </c>
      <c r="V539" t="n">
        <v>31.572998401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/>
      </c>
      <c r="AC539" t="n">
        <v>47.497144455</v>
      </c>
      <c r="AD539" t="n">
        <v>20.443339471</v>
      </c>
      <c r="AE539" t="n">
        <v/>
      </c>
      <c r="AF539" t="n">
        <v>39.246729026</v>
      </c>
      <c r="AG539" t="n">
        <v/>
      </c>
      <c r="AH539" t="n">
        <v/>
      </c>
      <c r="AI539" t="n">
        <v>29.139355777</v>
      </c>
      <c r="AJ539" t="n">
        <v>25.876659266</v>
      </c>
      <c r="AK539" t="n">
        <v/>
      </c>
      <c r="AL539" t="n">
        <v/>
      </c>
      <c r="AM539" t="n">
        <v/>
      </c>
      <c r="AN539" t="n">
        <v>26.890089927</v>
      </c>
      <c r="AO539" t="n">
        <v/>
      </c>
      <c r="AP539" t="n">
        <v/>
      </c>
      <c r="AQ539" t="n">
        <v/>
      </c>
      <c r="AR539" t="n">
        <v>35.93456335</v>
      </c>
      <c r="AS539" t="n">
        <v/>
      </c>
      <c r="AT539" t="n">
        <v>27.253999846</v>
      </c>
      <c r="AU539" t="n">
        <v/>
      </c>
    </row>
    <row r="540">
      <c r="A540" s="105" t="n">
        <v>23316</v>
      </c>
      <c r="B540" t="n">
        <v>17.546376411</v>
      </c>
      <c r="C540" t="n">
        <v>32.864449654</v>
      </c>
      <c r="D540" t="n">
        <v/>
      </c>
      <c r="E540" t="n">
        <v>27.890050728</v>
      </c>
      <c r="F540" t="n">
        <v/>
      </c>
      <c r="G540" t="n">
        <v/>
      </c>
      <c r="H540" t="n">
        <v/>
      </c>
      <c r="I540" t="n">
        <v>17.544914335</v>
      </c>
      <c r="J540" t="n">
        <v/>
      </c>
      <c r="K540" t="n">
        <v>35.123135362</v>
      </c>
      <c r="L540" t="n">
        <v/>
      </c>
      <c r="M540" t="n">
        <v/>
      </c>
      <c r="N540" t="n">
        <v/>
      </c>
      <c r="O540" t="n">
        <v/>
      </c>
      <c r="P540" t="n">
        <v/>
      </c>
      <c r="Q540" t="n">
        <v>20.108130646</v>
      </c>
      <c r="R540" t="n">
        <v>43.938440979</v>
      </c>
      <c r="S540" t="n">
        <v>29.512113553</v>
      </c>
      <c r="T540" t="n">
        <v/>
      </c>
      <c r="U540" t="n">
        <v/>
      </c>
      <c r="V540" t="n">
        <v>31.649514119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/>
      </c>
      <c r="AC540" t="n">
        <v>47.249961562</v>
      </c>
      <c r="AD540" t="n">
        <v>20.779855347</v>
      </c>
      <c r="AE540" t="n">
        <v/>
      </c>
      <c r="AF540" t="n">
        <v>40.33051216</v>
      </c>
      <c r="AG540" t="n">
        <v/>
      </c>
      <c r="AH540" t="n">
        <v/>
      </c>
      <c r="AI540" t="n">
        <v>29.710715694</v>
      </c>
      <c r="AJ540" t="n">
        <v>25.830900364</v>
      </c>
      <c r="AK540" t="n">
        <v/>
      </c>
      <c r="AL540" t="n">
        <v/>
      </c>
      <c r="AM540" t="n">
        <v/>
      </c>
      <c r="AN540" t="n">
        <v>26.766182971</v>
      </c>
      <c r="AO540" t="n">
        <v/>
      </c>
      <c r="AP540" t="n">
        <v/>
      </c>
      <c r="AQ540" t="n">
        <v/>
      </c>
      <c r="AR540" t="n">
        <v>36.389431241</v>
      </c>
      <c r="AS540" t="n">
        <v/>
      </c>
      <c r="AT540" t="n">
        <v>27.387566289</v>
      </c>
      <c r="AU540" t="n">
        <v/>
      </c>
    </row>
    <row r="541">
      <c r="A541" s="105" t="n">
        <v>23346</v>
      </c>
      <c r="B541" t="n">
        <v>16.787598187</v>
      </c>
      <c r="C541" t="n">
        <v>32.686284391</v>
      </c>
      <c r="D541" t="n">
        <v/>
      </c>
      <c r="E541" t="n">
        <v>28.183743977</v>
      </c>
      <c r="F541" t="n">
        <v/>
      </c>
      <c r="G541" t="n">
        <v/>
      </c>
      <c r="H541" t="n">
        <v/>
      </c>
      <c r="I541" t="n">
        <v>16.786199337</v>
      </c>
      <c r="J541" t="n">
        <v/>
      </c>
      <c r="K541" t="n">
        <v>34.073762249</v>
      </c>
      <c r="L541" t="n">
        <v/>
      </c>
      <c r="M541" t="n">
        <v/>
      </c>
      <c r="N541" t="n">
        <v/>
      </c>
      <c r="O541" t="n">
        <v/>
      </c>
      <c r="P541" t="n">
        <v/>
      </c>
      <c r="Q541" t="n">
        <v>20.378177856</v>
      </c>
      <c r="R541" t="n">
        <v>44.54700665</v>
      </c>
      <c r="S541" t="n">
        <v>29.387492461</v>
      </c>
      <c r="T541" t="n">
        <v/>
      </c>
      <c r="U541" t="n">
        <v/>
      </c>
      <c r="V541" t="n">
        <v>32.132839733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/>
      </c>
      <c r="AC541" t="n">
        <v>46.888694253</v>
      </c>
      <c r="AD541" t="n">
        <v>20.863984317</v>
      </c>
      <c r="AE541" t="n">
        <v/>
      </c>
      <c r="AF541" t="n">
        <v>41.754183089</v>
      </c>
      <c r="AG541" t="n">
        <v/>
      </c>
      <c r="AH541" t="n">
        <v/>
      </c>
      <c r="AI541" t="n">
        <v>29.425035735</v>
      </c>
      <c r="AJ541" t="n">
        <v>26.196971582</v>
      </c>
      <c r="AK541" t="n">
        <v/>
      </c>
      <c r="AL541" t="n">
        <v/>
      </c>
      <c r="AM541" t="n">
        <v/>
      </c>
      <c r="AN541" t="n">
        <v>27.902584915</v>
      </c>
      <c r="AO541" t="n">
        <v/>
      </c>
      <c r="AP541" t="n">
        <v/>
      </c>
      <c r="AQ541" t="n">
        <v/>
      </c>
      <c r="AR541" t="n">
        <v>36.389431241</v>
      </c>
      <c r="AS541" t="n">
        <v/>
      </c>
      <c r="AT541" t="n">
        <v>27.33411988</v>
      </c>
      <c r="AU541" t="n">
        <v/>
      </c>
    </row>
    <row r="542">
      <c r="A542" s="105" t="n">
        <v>23377</v>
      </c>
      <c r="B542" t="n">
        <v>17.579947392</v>
      </c>
      <c r="C542" t="n">
        <v>33.19432537</v>
      </c>
      <c r="D542" t="n">
        <v/>
      </c>
      <c r="E542" t="n">
        <v>28.403661481</v>
      </c>
      <c r="F542" t="n">
        <v/>
      </c>
      <c r="G542" t="n">
        <v/>
      </c>
      <c r="H542" t="n">
        <v/>
      </c>
      <c r="I542" t="n">
        <v>17.578482518</v>
      </c>
      <c r="J542" t="n">
        <v/>
      </c>
      <c r="K542" t="n">
        <v>35.678685833</v>
      </c>
      <c r="L542" t="n">
        <v/>
      </c>
      <c r="M542" t="n">
        <v/>
      </c>
      <c r="N542" t="n">
        <v/>
      </c>
      <c r="O542" t="n">
        <v/>
      </c>
      <c r="P542" t="n">
        <v/>
      </c>
      <c r="Q542" t="n">
        <v>19.952419411</v>
      </c>
      <c r="R542" t="n">
        <v>45.459855138</v>
      </c>
      <c r="S542" t="n">
        <v>29.914476962</v>
      </c>
      <c r="T542" t="n">
        <v/>
      </c>
      <c r="U542" t="n">
        <v/>
      </c>
      <c r="V542" t="n">
        <v>31.957003151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/>
      </c>
      <c r="AC542" t="n">
        <v>48.143622807</v>
      </c>
      <c r="AD542" t="n">
        <v>21.116371224</v>
      </c>
      <c r="AE542" t="n">
        <v/>
      </c>
      <c r="AF542" t="n">
        <v>41.101012754</v>
      </c>
      <c r="AG542" t="n">
        <v/>
      </c>
      <c r="AH542" t="n">
        <v/>
      </c>
      <c r="AI542" t="n">
        <v>30.56775557</v>
      </c>
      <c r="AJ542" t="n">
        <v>26.036815424</v>
      </c>
      <c r="AK542" t="n">
        <v/>
      </c>
      <c r="AL542" t="n">
        <v/>
      </c>
      <c r="AM542" t="n">
        <v/>
      </c>
      <c r="AN542" t="n">
        <v>27.695540516</v>
      </c>
      <c r="AO542" t="n">
        <v/>
      </c>
      <c r="AP542" t="n">
        <v/>
      </c>
      <c r="AQ542" t="n">
        <v/>
      </c>
      <c r="AR542" t="n">
        <v>37.299167022</v>
      </c>
      <c r="AS542" t="n">
        <v/>
      </c>
      <c r="AT542" t="n">
        <v>27.574579143</v>
      </c>
      <c r="AU542" t="n">
        <v/>
      </c>
    </row>
    <row r="543">
      <c r="A543" s="105" t="n">
        <v>23408</v>
      </c>
      <c r="B543" t="n">
        <v>17.858591918</v>
      </c>
      <c r="C543" t="n">
        <v>33.18449887</v>
      </c>
      <c r="D543" t="n">
        <v/>
      </c>
      <c r="E543" t="n">
        <v>28.883908682</v>
      </c>
      <c r="F543" t="n">
        <v/>
      </c>
      <c r="G543" t="n">
        <v/>
      </c>
      <c r="H543" t="n">
        <v/>
      </c>
      <c r="I543" t="n">
        <v>17.857103826</v>
      </c>
      <c r="J543" t="n">
        <v/>
      </c>
      <c r="K543" t="n">
        <v>36.542875456</v>
      </c>
      <c r="L543" t="n">
        <v/>
      </c>
      <c r="M543" t="n">
        <v/>
      </c>
      <c r="N543" t="n">
        <v/>
      </c>
      <c r="O543" t="n">
        <v/>
      </c>
      <c r="P543" t="n">
        <v/>
      </c>
      <c r="Q543" t="n">
        <v>20.004582599</v>
      </c>
      <c r="R543" t="n">
        <v>45.216428875</v>
      </c>
      <c r="S543" t="n">
        <v>30.197105247</v>
      </c>
      <c r="T543" t="n">
        <v/>
      </c>
      <c r="U543" t="n">
        <v/>
      </c>
      <c r="V543" t="n">
        <v>31.359849755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/>
      </c>
      <c r="AC543" t="n">
        <v>46.60348321</v>
      </c>
      <c r="AD543" t="n">
        <v>21.621145038</v>
      </c>
      <c r="AE543" t="n">
        <v/>
      </c>
      <c r="AF543" t="n">
        <v>41.892216947</v>
      </c>
      <c r="AG543" t="n">
        <v/>
      </c>
      <c r="AH543" t="n">
        <v/>
      </c>
      <c r="AI543" t="n">
        <v>30.853435528</v>
      </c>
      <c r="AJ543" t="n">
        <v>25.853779815</v>
      </c>
      <c r="AK543" t="n">
        <v/>
      </c>
      <c r="AL543" t="n">
        <v/>
      </c>
      <c r="AM543" t="n">
        <v/>
      </c>
      <c r="AN543" t="n">
        <v>27.016286379</v>
      </c>
      <c r="AO543" t="n">
        <v/>
      </c>
      <c r="AP543" t="n">
        <v/>
      </c>
      <c r="AQ543" t="n">
        <v/>
      </c>
      <c r="AR543" t="n">
        <v>37.299167022</v>
      </c>
      <c r="AS543" t="n">
        <v/>
      </c>
      <c r="AT543" t="n">
        <v>27.761591996</v>
      </c>
      <c r="AU543" t="n">
        <v/>
      </c>
    </row>
    <row r="544">
      <c r="A544" s="105" t="n">
        <v>23437</v>
      </c>
      <c r="B544" t="n">
        <v>17.631606629</v>
      </c>
      <c r="C544" t="n">
        <v>33.613378155</v>
      </c>
      <c r="D544" t="n">
        <v/>
      </c>
      <c r="E544" t="n">
        <v>28.705813096</v>
      </c>
      <c r="F544" t="n">
        <v/>
      </c>
      <c r="G544" t="n">
        <v/>
      </c>
      <c r="H544" t="n">
        <v/>
      </c>
      <c r="I544" t="n">
        <v>17.630137451</v>
      </c>
      <c r="J544" t="n">
        <v/>
      </c>
      <c r="K544" t="n">
        <v>35.925597154</v>
      </c>
      <c r="L544" t="n">
        <v/>
      </c>
      <c r="M544" t="n">
        <v/>
      </c>
      <c r="N544" t="n">
        <v/>
      </c>
      <c r="O544" t="n">
        <v/>
      </c>
      <c r="P544" t="n">
        <v/>
      </c>
      <c r="Q544" t="n">
        <v>20.539255276</v>
      </c>
      <c r="R544" t="n">
        <v>45.277285438</v>
      </c>
      <c r="S544" t="n">
        <v>30.086341542</v>
      </c>
      <c r="T544" t="n">
        <v/>
      </c>
      <c r="U544" t="n">
        <v/>
      </c>
      <c r="V544" t="n">
        <v>31.906330508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/>
      </c>
      <c r="AC544" t="n">
        <v>47.61122887</v>
      </c>
      <c r="AD544" t="n">
        <v>21.368758131</v>
      </c>
      <c r="AE544" t="n">
        <v/>
      </c>
      <c r="AF544" t="n">
        <v>43.698805965</v>
      </c>
      <c r="AG544" t="n">
        <v/>
      </c>
      <c r="AH544" t="n">
        <v/>
      </c>
      <c r="AI544" t="n">
        <v>31.424795445</v>
      </c>
      <c r="AJ544" t="n">
        <v>26.608801703</v>
      </c>
      <c r="AK544" t="n">
        <v/>
      </c>
      <c r="AL544" t="n">
        <v/>
      </c>
      <c r="AM544" t="n">
        <v/>
      </c>
      <c r="AN544" t="n">
        <v>26.285484242</v>
      </c>
      <c r="AO544" t="n">
        <v/>
      </c>
      <c r="AP544" t="n">
        <v/>
      </c>
      <c r="AQ544" t="n">
        <v/>
      </c>
      <c r="AR544" t="n">
        <v>37.299167022</v>
      </c>
      <c r="AS544" t="n">
        <v/>
      </c>
      <c r="AT544" t="n">
        <v>27.761591996</v>
      </c>
      <c r="AU544" t="n">
        <v/>
      </c>
    </row>
    <row r="545">
      <c r="A545" s="105" t="n">
        <v>23468</v>
      </c>
      <c r="B545" t="n">
        <v>17.47286037</v>
      </c>
      <c r="C545" t="n">
        <v>33.088239206</v>
      </c>
      <c r="D545" t="n">
        <v/>
      </c>
      <c r="E545" t="n">
        <v>28.912573143</v>
      </c>
      <c r="F545" t="n">
        <v/>
      </c>
      <c r="G545" t="n">
        <v/>
      </c>
      <c r="H545" t="n">
        <v/>
      </c>
      <c r="I545" t="n">
        <v>17.47140442</v>
      </c>
      <c r="J545" t="n">
        <v/>
      </c>
      <c r="K545" t="n">
        <v>35.987324984</v>
      </c>
      <c r="L545" t="n">
        <v/>
      </c>
      <c r="M545" t="n">
        <v/>
      </c>
      <c r="N545" t="n">
        <v/>
      </c>
      <c r="O545" t="n">
        <v/>
      </c>
      <c r="P545" t="n">
        <v/>
      </c>
      <c r="Q545" t="n">
        <v>20.275179137</v>
      </c>
      <c r="R545" t="n">
        <v>45.70328141</v>
      </c>
      <c r="S545" t="n">
        <v>30.404475535</v>
      </c>
      <c r="T545" t="n">
        <v/>
      </c>
      <c r="U545" t="n">
        <v/>
      </c>
      <c r="V545" t="n">
        <v>33.350817594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/>
      </c>
      <c r="AC545" t="n">
        <v>47.002778668</v>
      </c>
      <c r="AD545" t="n">
        <v>21.705274007</v>
      </c>
      <c r="AE545" t="n">
        <v/>
      </c>
      <c r="AF545" t="n">
        <v>43.516519844</v>
      </c>
      <c r="AG545" t="n">
        <v/>
      </c>
      <c r="AH545" t="n">
        <v/>
      </c>
      <c r="AI545" t="n">
        <v>30.853435528</v>
      </c>
      <c r="AJ545" t="n">
        <v>27.340944141</v>
      </c>
      <c r="AK545" t="n">
        <v/>
      </c>
      <c r="AL545" t="n">
        <v/>
      </c>
      <c r="AM545" t="n">
        <v/>
      </c>
      <c r="AN545" t="n">
        <v>27.350481425</v>
      </c>
      <c r="AO545" t="n">
        <v/>
      </c>
      <c r="AP545" t="n">
        <v/>
      </c>
      <c r="AQ545" t="n">
        <v/>
      </c>
      <c r="AR545" t="n">
        <v>36.844299131</v>
      </c>
      <c r="AS545" t="n">
        <v/>
      </c>
      <c r="AT545" t="n">
        <v>28.215836895</v>
      </c>
      <c r="AU545" t="n">
        <v/>
      </c>
    </row>
    <row r="546">
      <c r="A546" s="105" t="n">
        <v>23498</v>
      </c>
      <c r="B546" t="n">
        <v>18.541962988</v>
      </c>
      <c r="C546" t="n">
        <v>32.712399502</v>
      </c>
      <c r="D546" t="n">
        <v/>
      </c>
      <c r="E546" t="n">
        <v>29.244798946</v>
      </c>
      <c r="F546" t="n">
        <v/>
      </c>
      <c r="G546" t="n">
        <v/>
      </c>
      <c r="H546" t="n">
        <v/>
      </c>
      <c r="I546" t="n">
        <v>18.540417953</v>
      </c>
      <c r="J546" t="n">
        <v/>
      </c>
      <c r="K546" t="n">
        <v>35.925597154</v>
      </c>
      <c r="L546" t="n">
        <v/>
      </c>
      <c r="M546" t="n">
        <v/>
      </c>
      <c r="N546" t="n">
        <v/>
      </c>
      <c r="O546" t="n">
        <v/>
      </c>
      <c r="P546" t="n">
        <v/>
      </c>
      <c r="Q546" t="n">
        <v>20.627280656</v>
      </c>
      <c r="R546" t="n">
        <v>45.581568274</v>
      </c>
      <c r="S546" t="n">
        <v>30.523341407</v>
      </c>
      <c r="T546" t="n">
        <v/>
      </c>
      <c r="U546" t="n">
        <v/>
      </c>
      <c r="V546" t="n">
        <v>31.501522765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/>
      </c>
      <c r="AC546" t="n">
        <v>46.470384732</v>
      </c>
      <c r="AD546" t="n">
        <v>21.957660914</v>
      </c>
      <c r="AE546" t="n">
        <v/>
      </c>
      <c r="AF546" t="n">
        <v>43.784596543</v>
      </c>
      <c r="AG546" t="n">
        <v/>
      </c>
      <c r="AH546" t="n">
        <v/>
      </c>
      <c r="AI546" t="n">
        <v>31.710475404</v>
      </c>
      <c r="AJ546" t="n">
        <v>26.92911402</v>
      </c>
      <c r="AK546" t="n">
        <v/>
      </c>
      <c r="AL546" t="n">
        <v/>
      </c>
      <c r="AM546" t="n">
        <v/>
      </c>
      <c r="AN546" t="n">
        <v>27.437508505</v>
      </c>
      <c r="AO546" t="n">
        <v/>
      </c>
      <c r="AP546" t="n">
        <v/>
      </c>
      <c r="AQ546" t="n">
        <v/>
      </c>
      <c r="AR546" t="n">
        <v>37.754034912</v>
      </c>
      <c r="AS546" t="n">
        <v/>
      </c>
      <c r="AT546" t="n">
        <v>28.376176123</v>
      </c>
      <c r="AU546" t="n">
        <v/>
      </c>
    </row>
    <row r="547">
      <c r="A547" s="105" t="n">
        <v>23529</v>
      </c>
      <c r="B547" t="n">
        <v>17.667365331</v>
      </c>
      <c r="C547" t="n">
        <v>33.357844075</v>
      </c>
      <c r="D547" t="n">
        <v/>
      </c>
      <c r="E547" t="n">
        <v>29.27158377</v>
      </c>
      <c r="F547" t="n">
        <v/>
      </c>
      <c r="G547" t="n">
        <v/>
      </c>
      <c r="H547" t="n">
        <v/>
      </c>
      <c r="I547" t="n">
        <v>17.665893173</v>
      </c>
      <c r="J547" t="n">
        <v/>
      </c>
      <c r="K547" t="n">
        <v>36.542875456</v>
      </c>
      <c r="L547" t="n">
        <v/>
      </c>
      <c r="M547" t="n">
        <v/>
      </c>
      <c r="N547" t="n">
        <v/>
      </c>
      <c r="O547" t="n">
        <v/>
      </c>
      <c r="P547" t="n">
        <v/>
      </c>
      <c r="Q547" t="n">
        <v>20.617500058</v>
      </c>
      <c r="R547" t="n">
        <v>45.155572311</v>
      </c>
      <c r="S547" t="n">
        <v>30.705367984</v>
      </c>
      <c r="T547" t="n">
        <v/>
      </c>
      <c r="U547" t="n">
        <v/>
      </c>
      <c r="V547" t="n">
        <v>32.14453793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/>
      </c>
      <c r="AC547" t="n">
        <v>45.652779763</v>
      </c>
      <c r="AD547" t="n">
        <v>22.378305759</v>
      </c>
      <c r="AE547" t="n">
        <v/>
      </c>
      <c r="AF547" t="n">
        <v>43.712381249</v>
      </c>
      <c r="AG547" t="n">
        <v/>
      </c>
      <c r="AH547" t="n">
        <v/>
      </c>
      <c r="AI547" t="n">
        <v>30.853435528</v>
      </c>
      <c r="AJ547" t="n">
        <v>27.501100299</v>
      </c>
      <c r="AK547" t="n">
        <v/>
      </c>
      <c r="AL547" t="n">
        <v/>
      </c>
      <c r="AM547" t="n">
        <v/>
      </c>
      <c r="AN547" t="n">
        <v>29.274076405</v>
      </c>
      <c r="AO547" t="n">
        <v/>
      </c>
      <c r="AP547" t="n">
        <v/>
      </c>
      <c r="AQ547" t="n">
        <v/>
      </c>
      <c r="AR547" t="n">
        <v>37.754034912</v>
      </c>
      <c r="AS547" t="n">
        <v/>
      </c>
      <c r="AT547" t="n">
        <v>28.456296157</v>
      </c>
      <c r="AU547" t="n">
        <v/>
      </c>
    </row>
    <row r="548">
      <c r="A548" s="105" t="n">
        <v>23559</v>
      </c>
      <c r="B548" t="n">
        <v>18.085609881</v>
      </c>
      <c r="C548" t="n">
        <v>34.063820889</v>
      </c>
      <c r="D548" t="n">
        <v/>
      </c>
      <c r="E548" t="n">
        <v>29.062474177</v>
      </c>
      <c r="F548" t="n">
        <v/>
      </c>
      <c r="G548" t="n">
        <v/>
      </c>
      <c r="H548" t="n">
        <v/>
      </c>
      <c r="I548" t="n">
        <v>18.084102873</v>
      </c>
      <c r="J548" t="n">
        <v/>
      </c>
      <c r="K548" t="n">
        <v>37.283609418</v>
      </c>
      <c r="L548" t="n">
        <v/>
      </c>
      <c r="M548" t="n">
        <v/>
      </c>
      <c r="N548" t="n">
        <v/>
      </c>
      <c r="O548" t="n">
        <v/>
      </c>
      <c r="P548" t="n">
        <v/>
      </c>
      <c r="Q548" t="n">
        <v>21.090228949</v>
      </c>
      <c r="R548" t="n">
        <v>44.36443695</v>
      </c>
      <c r="S548" t="n">
        <v>30.900936062</v>
      </c>
      <c r="T548" t="n">
        <v/>
      </c>
      <c r="U548" t="n">
        <v/>
      </c>
      <c r="V548" t="n">
        <v>33.840535677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/>
      </c>
      <c r="AC548" t="n">
        <v>46.527426934</v>
      </c>
      <c r="AD548" t="n">
        <v>22.378305759</v>
      </c>
      <c r="AE548" t="n">
        <v/>
      </c>
      <c r="AF548" t="n">
        <v>43.578381668</v>
      </c>
      <c r="AG548" t="n">
        <v/>
      </c>
      <c r="AH548" t="n">
        <v/>
      </c>
      <c r="AI548" t="n">
        <v>31.139115487</v>
      </c>
      <c r="AJ548" t="n">
        <v>28.004448224</v>
      </c>
      <c r="AK548" t="n">
        <v/>
      </c>
      <c r="AL548" t="n">
        <v/>
      </c>
      <c r="AM548" t="n">
        <v/>
      </c>
      <c r="AN548" t="n">
        <v>29.21227087</v>
      </c>
      <c r="AO548" t="n">
        <v/>
      </c>
      <c r="AP548" t="n">
        <v/>
      </c>
      <c r="AQ548" t="n">
        <v/>
      </c>
      <c r="AR548" t="n">
        <v>37.299167022</v>
      </c>
      <c r="AS548" t="n">
        <v/>
      </c>
      <c r="AT548" t="n">
        <v>28.643408169</v>
      </c>
      <c r="AU548" t="n">
        <v/>
      </c>
    </row>
    <row r="549">
      <c r="A549" s="105" t="n">
        <v>23590</v>
      </c>
      <c r="B549" t="n">
        <v>18.062965773</v>
      </c>
      <c r="C549" t="n">
        <v>33.07313897</v>
      </c>
      <c r="D549" t="n">
        <v/>
      </c>
      <c r="E549" t="n">
        <v>29.312465871</v>
      </c>
      <c r="F549" t="n">
        <v/>
      </c>
      <c r="G549" t="n">
        <v/>
      </c>
      <c r="H549" t="n">
        <v/>
      </c>
      <c r="I549" t="n">
        <v>18.061460651</v>
      </c>
      <c r="J549" t="n">
        <v/>
      </c>
      <c r="K549" t="n">
        <v>36.974970267</v>
      </c>
      <c r="L549" t="n">
        <v/>
      </c>
      <c r="M549" t="n">
        <v/>
      </c>
      <c r="N549" t="n">
        <v/>
      </c>
      <c r="O549" t="n">
        <v/>
      </c>
      <c r="P549" t="n">
        <v/>
      </c>
      <c r="Q549" t="n">
        <v>21.165213532</v>
      </c>
      <c r="R549" t="n">
        <v>44.36443695</v>
      </c>
      <c r="S549" t="n">
        <v>30.813697049</v>
      </c>
      <c r="T549" t="n">
        <v/>
      </c>
      <c r="U549" t="n">
        <v/>
      </c>
      <c r="V549" t="n">
        <v>35.398483945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/>
      </c>
      <c r="AC549" t="n">
        <v>43.675316582</v>
      </c>
      <c r="AD549" t="n">
        <v>22.378305759</v>
      </c>
      <c r="AE549" t="n">
        <v/>
      </c>
      <c r="AF549" t="n">
        <v>44.838022808</v>
      </c>
      <c r="AG549" t="n">
        <v/>
      </c>
      <c r="AH549" t="n">
        <v/>
      </c>
      <c r="AI549" t="n">
        <v>31.139115487</v>
      </c>
      <c r="AJ549" t="n">
        <v>27.363823592</v>
      </c>
      <c r="AK549" t="n">
        <v/>
      </c>
      <c r="AL549" t="n">
        <v/>
      </c>
      <c r="AM549" t="n">
        <v/>
      </c>
      <c r="AN549" t="n">
        <v>28.003337703</v>
      </c>
      <c r="AO549" t="n">
        <v/>
      </c>
      <c r="AP549" t="n">
        <v/>
      </c>
      <c r="AQ549" t="n">
        <v/>
      </c>
      <c r="AR549" t="n">
        <v>39.118638584</v>
      </c>
      <c r="AS549" t="n">
        <v/>
      </c>
      <c r="AT549" t="n">
        <v>28.830421022</v>
      </c>
      <c r="AU549" t="n">
        <v/>
      </c>
    </row>
    <row r="550">
      <c r="A550" s="105" t="n">
        <v>23621</v>
      </c>
      <c r="B550" t="n">
        <v>17.905050148</v>
      </c>
      <c r="C550" t="n">
        <v>33.29557071</v>
      </c>
      <c r="D550" t="n">
        <v/>
      </c>
      <c r="E550" t="n">
        <v>29.960470655</v>
      </c>
      <c r="F550" t="n">
        <v/>
      </c>
      <c r="G550" t="n">
        <v/>
      </c>
      <c r="H550" t="n">
        <v/>
      </c>
      <c r="I550" t="n">
        <v>17.903558185</v>
      </c>
      <c r="J550" t="n">
        <v/>
      </c>
      <c r="K550" t="n">
        <v>37.036698097</v>
      </c>
      <c r="L550" t="n">
        <v/>
      </c>
      <c r="M550" t="n">
        <v/>
      </c>
      <c r="N550" t="n">
        <v/>
      </c>
      <c r="O550" t="n">
        <v/>
      </c>
      <c r="P550" t="n">
        <v/>
      </c>
      <c r="Q550" t="n">
        <v>21.204335923</v>
      </c>
      <c r="R550" t="n">
        <v>45.277285438</v>
      </c>
      <c r="S550" t="n">
        <v>31.248609247</v>
      </c>
      <c r="T550" t="n">
        <v/>
      </c>
      <c r="U550" t="n">
        <v/>
      </c>
      <c r="V550" t="n">
        <v>34.077233316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/>
      </c>
      <c r="AC550" t="n">
        <v>46.090103348</v>
      </c>
      <c r="AD550" t="n">
        <v>23.051337511</v>
      </c>
      <c r="AE550" t="n">
        <v/>
      </c>
      <c r="AF550" t="n">
        <v>43.726423553</v>
      </c>
      <c r="AG550" t="n">
        <v/>
      </c>
      <c r="AH550" t="n">
        <v/>
      </c>
      <c r="AI550" t="n">
        <v>31.424795445</v>
      </c>
      <c r="AJ550" t="n">
        <v>27.615497555</v>
      </c>
      <c r="AK550" t="n">
        <v/>
      </c>
      <c r="AL550" t="n">
        <v/>
      </c>
      <c r="AM550" t="n">
        <v/>
      </c>
      <c r="AN550" t="n">
        <v>28.55528773</v>
      </c>
      <c r="AO550" t="n">
        <v/>
      </c>
      <c r="AP550" t="n">
        <v/>
      </c>
      <c r="AQ550" t="n">
        <v/>
      </c>
      <c r="AR550" t="n">
        <v>38.663770693</v>
      </c>
      <c r="AS550" t="n">
        <v/>
      </c>
      <c r="AT550" t="n">
        <v>28.93731384</v>
      </c>
      <c r="AU550" t="n">
        <v/>
      </c>
    </row>
    <row r="551">
      <c r="A551" s="105" t="n">
        <v>23651</v>
      </c>
      <c r="B551" t="n">
        <v>18.258212079</v>
      </c>
      <c r="C551" t="n">
        <v>34.071559362</v>
      </c>
      <c r="D551" t="n">
        <v/>
      </c>
      <c r="E551" t="n">
        <v>29.907840825</v>
      </c>
      <c r="F551" t="n">
        <v/>
      </c>
      <c r="G551" t="n">
        <v/>
      </c>
      <c r="H551" t="n">
        <v/>
      </c>
      <c r="I551" t="n">
        <v>18.256690688</v>
      </c>
      <c r="J551" t="n">
        <v/>
      </c>
      <c r="K551" t="n">
        <v>37.530520738</v>
      </c>
      <c r="L551" t="n">
        <v/>
      </c>
      <c r="M551" t="n">
        <v/>
      </c>
      <c r="N551" t="n">
        <v/>
      </c>
      <c r="O551" t="n">
        <v/>
      </c>
      <c r="P551" t="n">
        <v/>
      </c>
      <c r="Q551" t="n">
        <v>21.484713059</v>
      </c>
      <c r="R551" t="n">
        <v>45.338142011</v>
      </c>
      <c r="S551" t="n">
        <v>31.096040521</v>
      </c>
      <c r="T551" t="n">
        <v/>
      </c>
      <c r="U551" t="n">
        <v/>
      </c>
      <c r="V551" t="n">
        <v>34.371168479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/>
      </c>
      <c r="AC551" t="n">
        <v>45.95700487</v>
      </c>
      <c r="AD551" t="n">
        <v>22.967208542</v>
      </c>
      <c r="AE551" t="n">
        <v/>
      </c>
      <c r="AF551" t="n">
        <v>44.521568978</v>
      </c>
      <c r="AG551" t="n">
        <v/>
      </c>
      <c r="AH551" t="n">
        <v/>
      </c>
      <c r="AI551" t="n">
        <v>31.996155363</v>
      </c>
      <c r="AJ551" t="n">
        <v>27.295185238</v>
      </c>
      <c r="AK551" t="n">
        <v/>
      </c>
      <c r="AL551" t="n">
        <v/>
      </c>
      <c r="AM551" t="n">
        <v/>
      </c>
      <c r="AN551" t="n">
        <v>29.309449176</v>
      </c>
      <c r="AO551" t="n">
        <v/>
      </c>
      <c r="AP551" t="n">
        <v/>
      </c>
      <c r="AQ551" t="n">
        <v/>
      </c>
      <c r="AR551" t="n">
        <v>39.118638584</v>
      </c>
      <c r="AS551" t="n">
        <v/>
      </c>
      <c r="AT551" t="n">
        <v>28.53651535</v>
      </c>
      <c r="AU551" t="n">
        <v/>
      </c>
    </row>
    <row r="552">
      <c r="A552" s="105" t="n">
        <v>23682</v>
      </c>
      <c r="B552" t="n">
        <v>18.193636394</v>
      </c>
      <c r="C552" t="n">
        <v>33.515855872</v>
      </c>
      <c r="D552" t="n">
        <v/>
      </c>
      <c r="E552" t="n">
        <v>30.436018763</v>
      </c>
      <c r="F552" t="n">
        <v/>
      </c>
      <c r="G552" t="n">
        <v/>
      </c>
      <c r="H552" t="n">
        <v/>
      </c>
      <c r="I552" t="n">
        <v>18.192120384</v>
      </c>
      <c r="J552" t="n">
        <v/>
      </c>
      <c r="K552" t="n">
        <v>37.468792908</v>
      </c>
      <c r="L552" t="n">
        <v/>
      </c>
      <c r="M552" t="n">
        <v/>
      </c>
      <c r="N552" t="n">
        <v/>
      </c>
      <c r="O552" t="n">
        <v/>
      </c>
      <c r="P552" t="n">
        <v/>
      </c>
      <c r="Q552" t="n">
        <v>21.458631465</v>
      </c>
      <c r="R552" t="n">
        <v>45.277285438</v>
      </c>
      <c r="S552" t="n">
        <v>31.481545426</v>
      </c>
      <c r="T552" t="n">
        <v/>
      </c>
      <c r="U552" t="n">
        <v/>
      </c>
      <c r="V552" t="n">
        <v>34.833982124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/>
      </c>
      <c r="AC552" t="n">
        <v>46.299258115</v>
      </c>
      <c r="AD552" t="n">
        <v>22.714821635</v>
      </c>
      <c r="AE552" t="n">
        <v/>
      </c>
      <c r="AF552" t="n">
        <v>43.547987381</v>
      </c>
      <c r="AG552" t="n">
        <v/>
      </c>
      <c r="AH552" t="n">
        <v/>
      </c>
      <c r="AI552" t="n">
        <v>32.281835321</v>
      </c>
      <c r="AJ552" t="n">
        <v>28.050207127</v>
      </c>
      <c r="AK552" t="n">
        <v/>
      </c>
      <c r="AL552" t="n">
        <v/>
      </c>
      <c r="AM552" t="n">
        <v/>
      </c>
      <c r="AN552" t="n">
        <v>29.491736532</v>
      </c>
      <c r="AO552" t="n">
        <v/>
      </c>
      <c r="AP552" t="n">
        <v/>
      </c>
      <c r="AQ552" t="n">
        <v/>
      </c>
      <c r="AR552" t="n">
        <v>39.573506474</v>
      </c>
      <c r="AS552" t="n">
        <v/>
      </c>
      <c r="AT552" t="n">
        <v>29.418232365</v>
      </c>
      <c r="AU552" t="n">
        <v/>
      </c>
    </row>
    <row r="553">
      <c r="A553" s="105" t="n">
        <v>23712</v>
      </c>
      <c r="B553" t="n">
        <v>18.153468703</v>
      </c>
      <c r="C553" t="n">
        <v>33.495578467</v>
      </c>
      <c r="D553" t="n">
        <v/>
      </c>
      <c r="E553" t="n">
        <v>30.443067401</v>
      </c>
      <c r="F553" t="n">
        <v/>
      </c>
      <c r="G553" t="n">
        <v/>
      </c>
      <c r="H553" t="n">
        <v/>
      </c>
      <c r="I553" t="n">
        <v>18.15195604</v>
      </c>
      <c r="J553" t="n">
        <v/>
      </c>
      <c r="K553" t="n">
        <v>37.900887719</v>
      </c>
      <c r="L553" t="n">
        <v/>
      </c>
      <c r="M553" t="n">
        <v/>
      </c>
      <c r="N553" t="n">
        <v/>
      </c>
      <c r="O553" t="n">
        <v/>
      </c>
      <c r="P553" t="n">
        <v/>
      </c>
      <c r="Q553" t="n">
        <v>21.47819266</v>
      </c>
      <c r="R553" t="n">
        <v>44.425293514</v>
      </c>
      <c r="S553" t="n">
        <v>31.839971015</v>
      </c>
      <c r="T553" t="n">
        <v/>
      </c>
      <c r="U553" t="n">
        <v/>
      </c>
      <c r="V553" t="n">
        <v>35.415635597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/>
      </c>
      <c r="AC553" t="n">
        <v>46.432356593</v>
      </c>
      <c r="AD553" t="n">
        <v>23.303724418</v>
      </c>
      <c r="AE553" t="n">
        <v/>
      </c>
      <c r="AF553" t="n">
        <v>44.27697105</v>
      </c>
      <c r="AG553" t="n">
        <v/>
      </c>
      <c r="AH553" t="n">
        <v/>
      </c>
      <c r="AI553" t="n">
        <v>32.281835321</v>
      </c>
      <c r="AJ553" t="n">
        <v>28.324760541</v>
      </c>
      <c r="AK553" t="n">
        <v/>
      </c>
      <c r="AL553" t="n">
        <v/>
      </c>
      <c r="AM553" t="n">
        <v/>
      </c>
      <c r="AN553" t="n">
        <v>29.314584467</v>
      </c>
      <c r="AO553" t="n">
        <v/>
      </c>
      <c r="AP553" t="n">
        <v/>
      </c>
      <c r="AQ553" t="n">
        <v/>
      </c>
      <c r="AR553" t="n">
        <v>40.028374365</v>
      </c>
      <c r="AS553" t="n">
        <v/>
      </c>
      <c r="AT553" t="n">
        <v>29.765584446</v>
      </c>
      <c r="AU553" t="n">
        <v/>
      </c>
    </row>
    <row r="554">
      <c r="A554" s="105" t="n">
        <v>23743</v>
      </c>
      <c r="B554" t="n">
        <v>19.098607384</v>
      </c>
      <c r="C554" t="n">
        <v>34.17621164</v>
      </c>
      <c r="D554" t="n">
        <v/>
      </c>
      <c r="E554" t="n">
        <v>30.884312138</v>
      </c>
      <c r="F554" t="n">
        <v/>
      </c>
      <c r="G554" t="n">
        <v/>
      </c>
      <c r="H554" t="n">
        <v/>
      </c>
      <c r="I554" t="n">
        <v>19.097015966</v>
      </c>
      <c r="J554" t="n">
        <v/>
      </c>
      <c r="K554" t="n">
        <v>38.765077341</v>
      </c>
      <c r="L554" t="n">
        <v/>
      </c>
      <c r="M554" t="n">
        <v/>
      </c>
      <c r="N554" t="n">
        <v>29.650908816</v>
      </c>
      <c r="O554" t="n">
        <v/>
      </c>
      <c r="P554" t="n">
        <v/>
      </c>
      <c r="Q554" t="n">
        <v>21.742268799</v>
      </c>
      <c r="R554" t="n">
        <v>44.486150077</v>
      </c>
      <c r="S554" t="n">
        <v>32.067031173</v>
      </c>
      <c r="T554" t="n">
        <v/>
      </c>
      <c r="U554" t="n">
        <v/>
      </c>
      <c r="V554" t="n">
        <v>35.675092495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/>
      </c>
      <c r="AC554" t="n">
        <v>46.356300317</v>
      </c>
      <c r="AD554" t="n">
        <v>23.051337511</v>
      </c>
      <c r="AE554" t="n">
        <v/>
      </c>
      <c r="AF554" t="n">
        <v>44.924038047</v>
      </c>
      <c r="AG554" t="n">
        <v/>
      </c>
      <c r="AH554" t="n">
        <v/>
      </c>
      <c r="AI554" t="n">
        <v>32.853195238</v>
      </c>
      <c r="AJ554" t="n">
        <v>27.981568773</v>
      </c>
      <c r="AK554" t="n">
        <v/>
      </c>
      <c r="AL554" t="n">
        <v/>
      </c>
      <c r="AM554" t="n">
        <v/>
      </c>
      <c r="AN554" t="n">
        <v>28.788206819</v>
      </c>
      <c r="AO554" t="n">
        <v/>
      </c>
      <c r="AP554" t="n">
        <v/>
      </c>
      <c r="AQ554" t="n">
        <v/>
      </c>
      <c r="AR554" t="n">
        <v>41.392978036</v>
      </c>
      <c r="AS554" t="n">
        <v/>
      </c>
      <c r="AT554" t="n">
        <v>30.086262901</v>
      </c>
      <c r="AU554" t="n">
        <v/>
      </c>
    </row>
    <row r="555">
      <c r="A555" s="105" t="n">
        <v>23774</v>
      </c>
      <c r="B555" t="n">
        <v>18.444016299</v>
      </c>
      <c r="C555" t="n">
        <v>34.054081922</v>
      </c>
      <c r="D555" t="n">
        <v/>
      </c>
      <c r="E555" t="n">
        <v>30.712325372</v>
      </c>
      <c r="F555" t="n">
        <v/>
      </c>
      <c r="G555" t="n">
        <v/>
      </c>
      <c r="H555" t="n">
        <v/>
      </c>
      <c r="I555" t="n">
        <v>18.442479425</v>
      </c>
      <c r="J555" t="n">
        <v/>
      </c>
      <c r="K555" t="n">
        <v>38.456438191</v>
      </c>
      <c r="L555" t="n">
        <v/>
      </c>
      <c r="M555" t="n">
        <v/>
      </c>
      <c r="N555" t="n">
        <v>30.613484604</v>
      </c>
      <c r="O555" t="n">
        <v/>
      </c>
      <c r="P555" t="n">
        <v/>
      </c>
      <c r="Q555" t="n">
        <v>21.941140954</v>
      </c>
      <c r="R555" t="n">
        <v>44.912146049</v>
      </c>
      <c r="S555" t="n">
        <v>32.11083234</v>
      </c>
      <c r="T555" t="n">
        <v/>
      </c>
      <c r="U555" t="n">
        <v/>
      </c>
      <c r="V555" t="n">
        <v>35.477260365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/>
      </c>
      <c r="AC555" t="n">
        <v>46.869680179</v>
      </c>
      <c r="AD555" t="n">
        <v>22.883079573</v>
      </c>
      <c r="AE555" t="n">
        <v/>
      </c>
      <c r="AF555" t="n">
        <v>45.791359932</v>
      </c>
      <c r="AG555" t="n">
        <v/>
      </c>
      <c r="AH555" t="n">
        <v/>
      </c>
      <c r="AI555" t="n">
        <v>32.56751528</v>
      </c>
      <c r="AJ555" t="n">
        <v>28.576434503</v>
      </c>
      <c r="AK555" t="n">
        <v/>
      </c>
      <c r="AL555" t="n">
        <v/>
      </c>
      <c r="AM555" t="n">
        <v/>
      </c>
      <c r="AN555" t="n">
        <v>29.77995537</v>
      </c>
      <c r="AO555" t="n">
        <v/>
      </c>
      <c r="AP555" t="n">
        <v/>
      </c>
      <c r="AQ555" t="n">
        <v/>
      </c>
      <c r="AR555" t="n">
        <v>40.938110146</v>
      </c>
      <c r="AS555" t="n">
        <v/>
      </c>
      <c r="AT555" t="n">
        <v>30.273275754</v>
      </c>
      <c r="AU555" t="n">
        <v/>
      </c>
    </row>
    <row r="556">
      <c r="A556" s="105" t="n">
        <v>23802</v>
      </c>
      <c r="B556" t="n">
        <v>18.209554209</v>
      </c>
      <c r="C556" t="n">
        <v>33.54096997</v>
      </c>
      <c r="D556" t="n">
        <v/>
      </c>
      <c r="E556" t="n">
        <v>31.354691246</v>
      </c>
      <c r="F556" t="n">
        <v/>
      </c>
      <c r="G556" t="n">
        <v/>
      </c>
      <c r="H556" t="n">
        <v/>
      </c>
      <c r="I556" t="n">
        <v>18.208036872</v>
      </c>
      <c r="J556" t="n">
        <v/>
      </c>
      <c r="K556" t="n">
        <v>38.39471036</v>
      </c>
      <c r="L556" t="n">
        <v/>
      </c>
      <c r="M556" t="n">
        <v/>
      </c>
      <c r="N556" t="n">
        <v>31.177794473</v>
      </c>
      <c r="O556" t="n">
        <v/>
      </c>
      <c r="P556" t="n">
        <v/>
      </c>
      <c r="Q556" t="n">
        <v>21.664024017</v>
      </c>
      <c r="R556" t="n">
        <v>44.912146049</v>
      </c>
      <c r="S556" t="n">
        <v>32.32761142</v>
      </c>
      <c r="T556" t="n">
        <v/>
      </c>
      <c r="U556" t="n">
        <v/>
      </c>
      <c r="V556" t="n">
        <v>35.730785411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/>
      </c>
      <c r="AC556" t="n">
        <v>46.223201838</v>
      </c>
      <c r="AD556" t="n">
        <v>23.051337511</v>
      </c>
      <c r="AE556" t="n">
        <v/>
      </c>
      <c r="AF556" t="n">
        <v>42.277293092</v>
      </c>
      <c r="AG556" t="n">
        <v/>
      </c>
      <c r="AH556" t="n">
        <v/>
      </c>
      <c r="AI556" t="n">
        <v>32.281835321</v>
      </c>
      <c r="AJ556" t="n">
        <v>28.50779615</v>
      </c>
      <c r="AK556" t="n">
        <v/>
      </c>
      <c r="AL556" t="n">
        <v/>
      </c>
      <c r="AM556" t="n">
        <v/>
      </c>
      <c r="AN556" t="n">
        <v>29.137564864</v>
      </c>
      <c r="AO556" t="n">
        <v/>
      </c>
      <c r="AP556" t="n">
        <v/>
      </c>
      <c r="AQ556" t="n">
        <v/>
      </c>
      <c r="AR556" t="n">
        <v>40.028374365</v>
      </c>
      <c r="AS556" t="n">
        <v/>
      </c>
      <c r="AT556" t="n">
        <v>30.674074244</v>
      </c>
      <c r="AU556" t="n">
        <v/>
      </c>
    </row>
    <row r="557">
      <c r="A557" s="105" t="n">
        <v>23833</v>
      </c>
      <c r="B557" t="n">
        <v>18.399820671</v>
      </c>
      <c r="C557" t="n">
        <v>34.108250818</v>
      </c>
      <c r="D557" t="n">
        <v/>
      </c>
      <c r="E557" t="n">
        <v>31.320857783</v>
      </c>
      <c r="F557" t="n">
        <v/>
      </c>
      <c r="G557" t="n">
        <v/>
      </c>
      <c r="H557" t="n">
        <v/>
      </c>
      <c r="I557" t="n">
        <v>18.39828748</v>
      </c>
      <c r="J557" t="n">
        <v/>
      </c>
      <c r="K557" t="n">
        <v>38.579893851</v>
      </c>
      <c r="L557" t="n">
        <v/>
      </c>
      <c r="M557" t="n">
        <v/>
      </c>
      <c r="N557" t="n">
        <v>31.024551365</v>
      </c>
      <c r="O557" t="n">
        <v/>
      </c>
      <c r="P557" t="n">
        <v/>
      </c>
      <c r="Q557" t="n">
        <v>22.149793706</v>
      </c>
      <c r="R557" t="n">
        <v>45.155572311</v>
      </c>
      <c r="S557" t="n">
        <v>32.420532722</v>
      </c>
      <c r="T557" t="n">
        <v/>
      </c>
      <c r="U557" t="n">
        <v/>
      </c>
      <c r="V557" t="n">
        <v>35.417792099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/>
      </c>
      <c r="AC557" t="n">
        <v>46.888694253</v>
      </c>
      <c r="AD557" t="n">
        <v>22.883079573</v>
      </c>
      <c r="AE557" t="n">
        <v/>
      </c>
      <c r="AF557" t="n">
        <v>44.031907625</v>
      </c>
      <c r="AG557" t="n">
        <v/>
      </c>
      <c r="AH557" t="n">
        <v/>
      </c>
      <c r="AI557" t="n">
        <v>32.281835321</v>
      </c>
      <c r="AJ557" t="n">
        <v>29.400094745</v>
      </c>
      <c r="AK557" t="n">
        <v/>
      </c>
      <c r="AL557" t="n">
        <v/>
      </c>
      <c r="AM557" t="n">
        <v/>
      </c>
      <c r="AN557" t="n">
        <v>29.586055163</v>
      </c>
      <c r="AO557" t="n">
        <v/>
      </c>
      <c r="AP557" t="n">
        <v/>
      </c>
      <c r="AQ557" t="n">
        <v/>
      </c>
      <c r="AR557" t="n">
        <v>40.028374365</v>
      </c>
      <c r="AS557" t="n">
        <v/>
      </c>
      <c r="AT557" t="n">
        <v>30.807640688</v>
      </c>
      <c r="AU557" t="n">
        <v/>
      </c>
    </row>
    <row r="558">
      <c r="A558" s="105" t="n">
        <v>23863</v>
      </c>
      <c r="B558" t="n">
        <v>18.555197922</v>
      </c>
      <c r="C558" t="n">
        <v>34.203989318</v>
      </c>
      <c r="D558" t="n">
        <v/>
      </c>
      <c r="E558" t="n">
        <v>31.52197892</v>
      </c>
      <c r="F558" t="n">
        <v/>
      </c>
      <c r="G558" t="n">
        <v/>
      </c>
      <c r="H558" t="n">
        <v/>
      </c>
      <c r="I558" t="n">
        <v>18.553651785</v>
      </c>
      <c r="J558" t="n">
        <v/>
      </c>
      <c r="K558" t="n">
        <v>38.579893851</v>
      </c>
      <c r="L558" t="n">
        <v/>
      </c>
      <c r="M558" t="n">
        <v/>
      </c>
      <c r="N558" t="n">
        <v>31.685693648</v>
      </c>
      <c r="O558" t="n">
        <v/>
      </c>
      <c r="P558" t="n">
        <v/>
      </c>
      <c r="Q558" t="n">
        <v>22.228038488</v>
      </c>
      <c r="R558" t="n">
        <v>45.398998574</v>
      </c>
      <c r="S558" t="n">
        <v>32.556033694</v>
      </c>
      <c r="T558" t="n">
        <v/>
      </c>
      <c r="U558" t="n">
        <v/>
      </c>
      <c r="V558" t="n">
        <v>35.924686985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/>
      </c>
      <c r="AC558" t="n">
        <v>48.504890115</v>
      </c>
      <c r="AD558" t="n">
        <v>22.546563697</v>
      </c>
      <c r="AE558" t="n">
        <v/>
      </c>
      <c r="AF558" t="n">
        <v>43.60467427</v>
      </c>
      <c r="AG558" t="n">
        <v/>
      </c>
      <c r="AH558" t="n">
        <v/>
      </c>
      <c r="AI558" t="n">
        <v>33.138875197</v>
      </c>
      <c r="AJ558" t="n">
        <v>29.49161255</v>
      </c>
      <c r="AK558" t="n">
        <v/>
      </c>
      <c r="AL558" t="n">
        <v/>
      </c>
      <c r="AM558" t="n">
        <v/>
      </c>
      <c r="AN558" t="n">
        <v>29.413289741</v>
      </c>
      <c r="AO558" t="n">
        <v/>
      </c>
      <c r="AP558" t="n">
        <v/>
      </c>
      <c r="AQ558" t="n">
        <v/>
      </c>
      <c r="AR558" t="n">
        <v>40.483242255</v>
      </c>
      <c r="AS558" t="n">
        <v/>
      </c>
      <c r="AT558" t="n">
        <v>31.04809995</v>
      </c>
      <c r="AU558" t="n">
        <v/>
      </c>
    </row>
    <row r="559">
      <c r="A559" s="105" t="n">
        <v>23894</v>
      </c>
      <c r="B559" t="n">
        <v>18.728339764</v>
      </c>
      <c r="C559" t="n">
        <v>33.925121071</v>
      </c>
      <c r="D559" t="n">
        <v/>
      </c>
      <c r="E559" t="n">
        <v>31.573668932</v>
      </c>
      <c r="F559" t="n">
        <v/>
      </c>
      <c r="G559" t="n">
        <v/>
      </c>
      <c r="H559" t="n">
        <v/>
      </c>
      <c r="I559" t="n">
        <v>18.726779199</v>
      </c>
      <c r="J559" t="n">
        <v/>
      </c>
      <c r="K559" t="n">
        <v>38.2712547</v>
      </c>
      <c r="L559" t="n">
        <v/>
      </c>
      <c r="M559" t="n">
        <v/>
      </c>
      <c r="N559" t="n">
        <v>30.997403896</v>
      </c>
      <c r="O559" t="n">
        <v/>
      </c>
      <c r="P559" t="n">
        <v/>
      </c>
      <c r="Q559" t="n">
        <v>22.948542522</v>
      </c>
      <c r="R559" t="n">
        <v>45.946707673</v>
      </c>
      <c r="S559" t="n">
        <v>32.796171647</v>
      </c>
      <c r="T559" t="n">
        <v/>
      </c>
      <c r="U559" t="n">
        <v/>
      </c>
      <c r="V559" t="n">
        <v>36.932143571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/>
      </c>
      <c r="AC559" t="n">
        <v>48.98024185</v>
      </c>
      <c r="AD559" t="n">
        <v>22.967208542</v>
      </c>
      <c r="AE559" t="n">
        <v/>
      </c>
      <c r="AF559" t="n">
        <v>43.585023113</v>
      </c>
      <c r="AG559" t="n">
        <v/>
      </c>
      <c r="AH559" t="n">
        <v/>
      </c>
      <c r="AI559" t="n">
        <v>32.853195238</v>
      </c>
      <c r="AJ559" t="n">
        <v>28.164604382</v>
      </c>
      <c r="AK559" t="n">
        <v/>
      </c>
      <c r="AL559" t="n">
        <v/>
      </c>
      <c r="AM559" t="n">
        <v/>
      </c>
      <c r="AN559" t="n">
        <v>28.879823975</v>
      </c>
      <c r="AO559" t="n">
        <v/>
      </c>
      <c r="AP559" t="n">
        <v/>
      </c>
      <c r="AQ559" t="n">
        <v/>
      </c>
      <c r="AR559" t="n">
        <v>40.938110146</v>
      </c>
      <c r="AS559" t="n">
        <v/>
      </c>
      <c r="AT559" t="n">
        <v>31.288559213</v>
      </c>
      <c r="AU559" t="n">
        <v/>
      </c>
    </row>
    <row r="560">
      <c r="A560" s="105" t="n">
        <v>23924</v>
      </c>
      <c r="B560" t="n">
        <v>18.826964317</v>
      </c>
      <c r="C560" t="n">
        <v>33.899925765</v>
      </c>
      <c r="D560" t="n">
        <v/>
      </c>
      <c r="E560" t="n">
        <v>32.396479938</v>
      </c>
      <c r="F560" t="n">
        <v/>
      </c>
      <c r="G560" t="n">
        <v/>
      </c>
      <c r="H560" t="n">
        <v/>
      </c>
      <c r="I560" t="n">
        <v>18.825395534</v>
      </c>
      <c r="J560" t="n">
        <v/>
      </c>
      <c r="K560" t="n">
        <v>38.456438191</v>
      </c>
      <c r="L560" t="n">
        <v/>
      </c>
      <c r="M560" t="n">
        <v/>
      </c>
      <c r="N560" t="n">
        <v>33.518746712</v>
      </c>
      <c r="O560" t="n">
        <v/>
      </c>
      <c r="P560" t="n">
        <v/>
      </c>
      <c r="Q560" t="n">
        <v>22.73988977</v>
      </c>
      <c r="R560" t="n">
        <v>45.885851109</v>
      </c>
      <c r="S560" t="n">
        <v>33.012708814</v>
      </c>
      <c r="T560" t="n">
        <v/>
      </c>
      <c r="U560" t="n">
        <v/>
      </c>
      <c r="V560" t="n">
        <v>36.712640853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/>
      </c>
      <c r="AC560" t="n">
        <v>49.341509158</v>
      </c>
      <c r="AD560" t="n">
        <v>22.967208542</v>
      </c>
      <c r="AE560" t="n">
        <v/>
      </c>
      <c r="AF560" t="n">
        <v>43.272774424</v>
      </c>
      <c r="AG560" t="n">
        <v/>
      </c>
      <c r="AH560" t="n">
        <v/>
      </c>
      <c r="AI560" t="n">
        <v>33.138875197</v>
      </c>
      <c r="AJ560" t="n">
        <v>28.622193406</v>
      </c>
      <c r="AK560" t="n">
        <v/>
      </c>
      <c r="AL560" t="n">
        <v/>
      </c>
      <c r="AM560" t="n">
        <v/>
      </c>
      <c r="AN560" t="n">
        <v>30.258108225</v>
      </c>
      <c r="AO560" t="n">
        <v/>
      </c>
      <c r="AP560" t="n">
        <v/>
      </c>
      <c r="AQ560" t="n">
        <v/>
      </c>
      <c r="AR560" t="n">
        <v>38.208902803</v>
      </c>
      <c r="AS560" t="n">
        <v/>
      </c>
      <c r="AT560" t="n">
        <v>31.582564043</v>
      </c>
      <c r="AU560" t="n">
        <v/>
      </c>
    </row>
    <row r="561">
      <c r="A561" s="105" t="n">
        <v>23955</v>
      </c>
      <c r="B561" t="n">
        <v>18.927402581</v>
      </c>
      <c r="C561" t="n">
        <v>33.860452463</v>
      </c>
      <c r="D561" t="n">
        <v/>
      </c>
      <c r="E561" t="n">
        <v>31.672349864</v>
      </c>
      <c r="F561" t="n">
        <v/>
      </c>
      <c r="G561" t="n">
        <v/>
      </c>
      <c r="H561" t="n">
        <v/>
      </c>
      <c r="I561" t="n">
        <v>18.925825429</v>
      </c>
      <c r="J561" t="n">
        <v/>
      </c>
      <c r="K561" t="n">
        <v>38.826805172</v>
      </c>
      <c r="L561" t="n">
        <v/>
      </c>
      <c r="M561" t="n">
        <v/>
      </c>
      <c r="N561" t="n">
        <v>32.895833089</v>
      </c>
      <c r="O561" t="n">
        <v/>
      </c>
      <c r="P561" t="n">
        <v/>
      </c>
      <c r="Q561" t="n">
        <v>22.707287777</v>
      </c>
      <c r="R561" t="n">
        <v>45.885851109</v>
      </c>
      <c r="S561" t="n">
        <v>33.086503955</v>
      </c>
      <c r="T561" t="n">
        <v/>
      </c>
      <c r="U561" t="n">
        <v/>
      </c>
      <c r="V561" t="n">
        <v>36.084857235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/>
      </c>
      <c r="AC561" t="n">
        <v>48.714044882</v>
      </c>
      <c r="AD561" t="n">
        <v>23.051337511</v>
      </c>
      <c r="AE561" t="n">
        <v/>
      </c>
      <c r="AF561" t="n">
        <v>43.136376172</v>
      </c>
      <c r="AG561" t="n">
        <v/>
      </c>
      <c r="AH561" t="n">
        <v/>
      </c>
      <c r="AI561" t="n">
        <v>32.56751528</v>
      </c>
      <c r="AJ561" t="n">
        <v>29.514492001</v>
      </c>
      <c r="AK561" t="n">
        <v/>
      </c>
      <c r="AL561" t="n">
        <v/>
      </c>
      <c r="AM561" t="n">
        <v/>
      </c>
      <c r="AN561" t="n">
        <v>29.475155383</v>
      </c>
      <c r="AO561" t="n">
        <v/>
      </c>
      <c r="AP561" t="n">
        <v/>
      </c>
      <c r="AQ561" t="n">
        <v/>
      </c>
      <c r="AR561" t="n">
        <v>41.392978036</v>
      </c>
      <c r="AS561" t="n">
        <v/>
      </c>
      <c r="AT561" t="n">
        <v>31.716130487</v>
      </c>
      <c r="AU561" t="n">
        <v/>
      </c>
    </row>
    <row r="562">
      <c r="A562" s="105" t="n">
        <v>23986</v>
      </c>
      <c r="B562" t="n">
        <v>19.160525287</v>
      </c>
      <c r="C562" t="n">
        <v>33.83658923</v>
      </c>
      <c r="D562" t="n">
        <v/>
      </c>
      <c r="E562" t="n">
        <v>32.362646476</v>
      </c>
      <c r="F562" t="n">
        <v/>
      </c>
      <c r="G562" t="n">
        <v/>
      </c>
      <c r="H562" t="n">
        <v/>
      </c>
      <c r="I562" t="n">
        <v>19.158928709</v>
      </c>
      <c r="J562" t="n">
        <v/>
      </c>
      <c r="K562" t="n">
        <v>39.135444322</v>
      </c>
      <c r="L562" t="n">
        <v/>
      </c>
      <c r="M562" t="n">
        <v/>
      </c>
      <c r="N562" t="n">
        <v>32.951615823</v>
      </c>
      <c r="O562" t="n">
        <v/>
      </c>
      <c r="P562" t="n">
        <v/>
      </c>
      <c r="Q562" t="n">
        <v>22.788792759</v>
      </c>
      <c r="R562" t="n">
        <v>46.372703635</v>
      </c>
      <c r="S562" t="n">
        <v>33.278514819</v>
      </c>
      <c r="T562" t="n">
        <v/>
      </c>
      <c r="U562" t="n">
        <v/>
      </c>
      <c r="V562" t="n">
        <v>37.102069528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/>
      </c>
      <c r="AC562" t="n">
        <v>49.341509158</v>
      </c>
      <c r="AD562" t="n">
        <v>23.13546648</v>
      </c>
      <c r="AE562" t="n">
        <v/>
      </c>
      <c r="AF562" t="n">
        <v>43.543743479</v>
      </c>
      <c r="AG562" t="n">
        <v/>
      </c>
      <c r="AH562" t="n">
        <v/>
      </c>
      <c r="AI562" t="n">
        <v>33.710235114</v>
      </c>
      <c r="AJ562" t="n">
        <v>29.674648159</v>
      </c>
      <c r="AK562" t="n">
        <v/>
      </c>
      <c r="AL562" t="n">
        <v/>
      </c>
      <c r="AM562" t="n">
        <v/>
      </c>
      <c r="AN562" t="n">
        <v>29.762978421</v>
      </c>
      <c r="AO562" t="n">
        <v/>
      </c>
      <c r="AP562" t="n">
        <v/>
      </c>
      <c r="AQ562" t="n">
        <v/>
      </c>
      <c r="AR562" t="n">
        <v>42.302713817</v>
      </c>
      <c r="AS562" t="n">
        <v/>
      </c>
      <c r="AT562" t="n">
        <v>31.796250521</v>
      </c>
      <c r="AU562" t="n">
        <v/>
      </c>
    </row>
    <row r="563">
      <c r="A563" s="105" t="n">
        <v>24016</v>
      </c>
      <c r="B563" t="n">
        <v>19.107294571</v>
      </c>
      <c r="C563" t="n">
        <v>34.482887551</v>
      </c>
      <c r="D563" t="n">
        <v/>
      </c>
      <c r="E563" t="n">
        <v>33.087246459</v>
      </c>
      <c r="F563" t="n">
        <v/>
      </c>
      <c r="G563" t="n">
        <v/>
      </c>
      <c r="H563" t="n">
        <v/>
      </c>
      <c r="I563" t="n">
        <v>19.105702429</v>
      </c>
      <c r="J563" t="n">
        <v/>
      </c>
      <c r="K563" t="n">
        <v>38.950260832</v>
      </c>
      <c r="L563" t="n">
        <v/>
      </c>
      <c r="M563" t="n">
        <v/>
      </c>
      <c r="N563" t="n">
        <v>33.199846082</v>
      </c>
      <c r="O563" t="n">
        <v/>
      </c>
      <c r="P563" t="n">
        <v/>
      </c>
      <c r="Q563" t="n">
        <v>22.195436495</v>
      </c>
      <c r="R563" t="n">
        <v>47.285552132</v>
      </c>
      <c r="S563" t="n">
        <v>33.492228349</v>
      </c>
      <c r="T563" t="n">
        <v/>
      </c>
      <c r="U563" t="n">
        <v/>
      </c>
      <c r="V563" t="n">
        <v>36.878585658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/>
      </c>
      <c r="AC563" t="n">
        <v>49.550663914</v>
      </c>
      <c r="AD563" t="n">
        <v>23.13546648</v>
      </c>
      <c r="AE563" t="n">
        <v/>
      </c>
      <c r="AF563" t="n">
        <v>43.57447218</v>
      </c>
      <c r="AG563" t="n">
        <v/>
      </c>
      <c r="AH563" t="n">
        <v/>
      </c>
      <c r="AI563" t="n">
        <v>33.995915073</v>
      </c>
      <c r="AJ563" t="n">
        <v>29.148420782</v>
      </c>
      <c r="AK563" t="n">
        <v/>
      </c>
      <c r="AL563" t="n">
        <v/>
      </c>
      <c r="AM563" t="n">
        <v/>
      </c>
      <c r="AN563" t="n">
        <v>29.523779707</v>
      </c>
      <c r="AO563" t="n">
        <v/>
      </c>
      <c r="AP563" t="n">
        <v/>
      </c>
      <c r="AQ563" t="n">
        <v/>
      </c>
      <c r="AR563" t="n">
        <v>41.847845927</v>
      </c>
      <c r="AS563" t="n">
        <v/>
      </c>
      <c r="AT563" t="n">
        <v>32.116928977</v>
      </c>
      <c r="AU563" t="n">
        <v/>
      </c>
    </row>
    <row r="564">
      <c r="A564" s="105" t="n">
        <v>24047</v>
      </c>
      <c r="B564" t="n">
        <v>19.186105892</v>
      </c>
      <c r="C564" t="n">
        <v>34.796211852</v>
      </c>
      <c r="D564" t="n">
        <v/>
      </c>
      <c r="E564" t="n">
        <v>33.239966949</v>
      </c>
      <c r="F564" t="n">
        <v/>
      </c>
      <c r="G564" t="n">
        <v/>
      </c>
      <c r="H564" t="n">
        <v/>
      </c>
      <c r="I564" t="n">
        <v>19.184507183</v>
      </c>
      <c r="J564" t="n">
        <v/>
      </c>
      <c r="K564" t="n">
        <v>38.703349511</v>
      </c>
      <c r="L564" t="n">
        <v/>
      </c>
      <c r="M564" t="n">
        <v/>
      </c>
      <c r="N564" t="n">
        <v>33.843212089</v>
      </c>
      <c r="O564" t="n">
        <v/>
      </c>
      <c r="P564" t="n">
        <v/>
      </c>
      <c r="Q564" t="n">
        <v>22.400829048</v>
      </c>
      <c r="R564" t="n">
        <v>47.285552132</v>
      </c>
      <c r="S564" t="n">
        <v>33.711468156</v>
      </c>
      <c r="T564" t="n">
        <v/>
      </c>
      <c r="U564" t="n">
        <v/>
      </c>
      <c r="V564" t="n">
        <v>37.634370237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/>
      </c>
      <c r="AC564" t="n">
        <v>50.824606542</v>
      </c>
      <c r="AD564" t="n">
        <v>23.556111325</v>
      </c>
      <c r="AE564" t="n">
        <v/>
      </c>
      <c r="AF564" t="n">
        <v>44.641768819</v>
      </c>
      <c r="AG564" t="n">
        <v/>
      </c>
      <c r="AH564" t="n">
        <v/>
      </c>
      <c r="AI564" t="n">
        <v>33.995915073</v>
      </c>
      <c r="AJ564" t="n">
        <v>29.583130355</v>
      </c>
      <c r="AK564" t="n">
        <v/>
      </c>
      <c r="AL564" t="n">
        <v/>
      </c>
      <c r="AM564" t="n">
        <v/>
      </c>
      <c r="AN564" t="n">
        <v>29.885453001</v>
      </c>
      <c r="AO564" t="n">
        <v/>
      </c>
      <c r="AP564" t="n">
        <v/>
      </c>
      <c r="AQ564" t="n">
        <v/>
      </c>
      <c r="AR564" t="n">
        <v>41.847845927</v>
      </c>
      <c r="AS564" t="n">
        <v/>
      </c>
      <c r="AT564" t="n">
        <v>32.25049542</v>
      </c>
      <c r="AU564" t="n">
        <v/>
      </c>
    </row>
    <row r="565">
      <c r="A565" s="105" t="n">
        <v>24077</v>
      </c>
      <c r="B565" t="n">
        <v>18.299256129</v>
      </c>
      <c r="C565" t="n">
        <v>35.328008986</v>
      </c>
      <c r="D565" t="n">
        <v/>
      </c>
      <c r="E565" t="n">
        <v>33.736660971</v>
      </c>
      <c r="F565" t="n">
        <v/>
      </c>
      <c r="G565" t="n">
        <v/>
      </c>
      <c r="H565" t="n">
        <v/>
      </c>
      <c r="I565" t="n">
        <v>18.297731318</v>
      </c>
      <c r="J565" t="n">
        <v/>
      </c>
      <c r="K565" t="n">
        <v>39.629266964</v>
      </c>
      <c r="L565" t="n">
        <v/>
      </c>
      <c r="M565" t="n">
        <v/>
      </c>
      <c r="N565" t="n">
        <v>34.202534433</v>
      </c>
      <c r="O565" t="n">
        <v/>
      </c>
      <c r="P565" t="n">
        <v/>
      </c>
      <c r="Q565" t="n">
        <v>22.430170841</v>
      </c>
      <c r="R565" t="n">
        <v>47.468121832</v>
      </c>
      <c r="S565" t="n">
        <v>34.051434774</v>
      </c>
      <c r="T565" t="n">
        <v/>
      </c>
      <c r="U565" t="n">
        <v/>
      </c>
      <c r="V565" t="n">
        <v>37.540727711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/>
      </c>
      <c r="AC565" t="n">
        <v>50.63446585</v>
      </c>
      <c r="AD565" t="n">
        <v>23.556111325</v>
      </c>
      <c r="AE565" t="n">
        <v/>
      </c>
      <c r="AF565" t="n">
        <v>43.529449588</v>
      </c>
      <c r="AG565" t="n">
        <v/>
      </c>
      <c r="AH565" t="n">
        <v/>
      </c>
      <c r="AI565" t="n">
        <v>33.995915073</v>
      </c>
      <c r="AJ565" t="n">
        <v>29.514492001</v>
      </c>
      <c r="AK565" t="n">
        <v/>
      </c>
      <c r="AL565" t="n">
        <v/>
      </c>
      <c r="AM565" t="n">
        <v/>
      </c>
      <c r="AN565" t="n">
        <v>31.933170702</v>
      </c>
      <c r="AO565" t="n">
        <v/>
      </c>
      <c r="AP565" t="n">
        <v/>
      </c>
      <c r="AQ565" t="n">
        <v/>
      </c>
      <c r="AR565" t="n">
        <v>41.392978036</v>
      </c>
      <c r="AS565" t="n">
        <v/>
      </c>
      <c r="AT565" t="n">
        <v>32.65129391</v>
      </c>
      <c r="AU565" t="n">
        <v/>
      </c>
    </row>
    <row r="566">
      <c r="A566" s="105" t="n">
        <v>24108</v>
      </c>
      <c r="B566" t="n">
        <v>19.355126859</v>
      </c>
      <c r="C566" t="n">
        <v>34.340132339</v>
      </c>
      <c r="D566" t="n">
        <v/>
      </c>
      <c r="E566" t="n">
        <v>33.715984966</v>
      </c>
      <c r="F566" t="n">
        <v/>
      </c>
      <c r="G566" t="n">
        <v/>
      </c>
      <c r="H566" t="n">
        <v/>
      </c>
      <c r="I566" t="n">
        <v>19.353514067</v>
      </c>
      <c r="J566" t="n">
        <v/>
      </c>
      <c r="K566" t="n">
        <v>39.320627813</v>
      </c>
      <c r="L566" t="n">
        <v/>
      </c>
      <c r="M566" t="n">
        <v/>
      </c>
      <c r="N566" t="n">
        <v>34.701632417</v>
      </c>
      <c r="O566" t="n">
        <v/>
      </c>
      <c r="P566" t="n">
        <v/>
      </c>
      <c r="Q566" t="n">
        <v>22.185655897</v>
      </c>
      <c r="R566" t="n">
        <v>46.737843034</v>
      </c>
      <c r="S566" t="n">
        <v>34.278502016</v>
      </c>
      <c r="T566" t="n">
        <v/>
      </c>
      <c r="U566" t="n">
        <v/>
      </c>
      <c r="V566" t="n">
        <v>38.798649673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/>
      </c>
      <c r="AC566" t="n">
        <v>51.801364542</v>
      </c>
      <c r="AD566" t="n">
        <v>23.892627201</v>
      </c>
      <c r="AE566" t="n">
        <v/>
      </c>
      <c r="AF566" t="n">
        <v>43.294362771</v>
      </c>
      <c r="AG566" t="n">
        <v/>
      </c>
      <c r="AH566" t="n">
        <v/>
      </c>
      <c r="AI566" t="n">
        <v>33.995915073</v>
      </c>
      <c r="AJ566" t="n">
        <v>29.468733099</v>
      </c>
      <c r="AK566" t="n">
        <v/>
      </c>
      <c r="AL566" t="n">
        <v/>
      </c>
      <c r="AM566" t="n">
        <v/>
      </c>
      <c r="AN566" t="n">
        <v>31.089563477</v>
      </c>
      <c r="AO566" t="n">
        <v/>
      </c>
      <c r="AP566" t="n">
        <v/>
      </c>
      <c r="AQ566" t="n">
        <v/>
      </c>
      <c r="AR566" t="n">
        <v>42.302713817</v>
      </c>
      <c r="AS566" t="n">
        <v/>
      </c>
      <c r="AT566" t="n">
        <v>32.971972366</v>
      </c>
      <c r="AU566" t="n">
        <v/>
      </c>
    </row>
    <row r="567">
      <c r="A567" s="105" t="n">
        <v>24139</v>
      </c>
      <c r="B567" t="n">
        <v>19.386929095</v>
      </c>
      <c r="C567" t="n">
        <v>34.78653373</v>
      </c>
      <c r="D567" t="n">
        <v/>
      </c>
      <c r="E567" t="n">
        <v>33.895960189</v>
      </c>
      <c r="F567" t="n">
        <v/>
      </c>
      <c r="G567" t="n">
        <v/>
      </c>
      <c r="H567" t="n">
        <v/>
      </c>
      <c r="I567" t="n">
        <v>19.385313652</v>
      </c>
      <c r="J567" t="n">
        <v/>
      </c>
      <c r="K567" t="n">
        <v>39.382355643</v>
      </c>
      <c r="L567" t="n">
        <v/>
      </c>
      <c r="M567" t="n">
        <v/>
      </c>
      <c r="N567" t="n">
        <v>34.811458896</v>
      </c>
      <c r="O567" t="n">
        <v/>
      </c>
      <c r="P567" t="n">
        <v/>
      </c>
      <c r="Q567" t="n">
        <v>22.612741999</v>
      </c>
      <c r="R567" t="n">
        <v>47.833261231</v>
      </c>
      <c r="S567" t="n">
        <v>34.462652461</v>
      </c>
      <c r="T567" t="n">
        <v/>
      </c>
      <c r="U567" t="n">
        <v/>
      </c>
      <c r="V567" t="n">
        <v>39.799704286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/>
      </c>
      <c r="AC567" t="n">
        <v>51.596616065</v>
      </c>
      <c r="AD567" t="n">
        <v>23.97675617</v>
      </c>
      <c r="AE567" t="n">
        <v/>
      </c>
      <c r="AF567" t="n">
        <v>42.904272155</v>
      </c>
      <c r="AG567" t="n">
        <v/>
      </c>
      <c r="AH567" t="n">
        <v/>
      </c>
      <c r="AI567" t="n">
        <v>33.995915073</v>
      </c>
      <c r="AJ567" t="n">
        <v>28.988264624</v>
      </c>
      <c r="AK567" t="n">
        <v/>
      </c>
      <c r="AL567" t="n">
        <v/>
      </c>
      <c r="AM567" t="n">
        <v/>
      </c>
      <c r="AN567" t="n">
        <v>31.030104748</v>
      </c>
      <c r="AO567" t="n">
        <v/>
      </c>
      <c r="AP567" t="n">
        <v/>
      </c>
      <c r="AQ567" t="n">
        <v/>
      </c>
      <c r="AR567" t="n">
        <v>41.392978036</v>
      </c>
      <c r="AS567" t="n">
        <v/>
      </c>
      <c r="AT567" t="n">
        <v>33.185758003</v>
      </c>
      <c r="AU567" t="n">
        <v/>
      </c>
    </row>
    <row r="568">
      <c r="A568" s="105" t="n">
        <v>24167</v>
      </c>
      <c r="B568" t="n">
        <v>19.487328019</v>
      </c>
      <c r="C568" t="n">
        <v>34.779174171</v>
      </c>
      <c r="D568" t="n">
        <v/>
      </c>
      <c r="E568" t="n">
        <v>33.791170438</v>
      </c>
      <c r="F568" t="n">
        <v/>
      </c>
      <c r="G568" t="n">
        <v/>
      </c>
      <c r="H568" t="n">
        <v/>
      </c>
      <c r="I568" t="n">
        <v>19.485704211</v>
      </c>
      <c r="J568" t="n">
        <v/>
      </c>
      <c r="K568" t="n">
        <v>40.184817435</v>
      </c>
      <c r="L568" t="n">
        <v/>
      </c>
      <c r="M568" t="n">
        <v/>
      </c>
      <c r="N568" t="n">
        <v>36.628252464</v>
      </c>
      <c r="O568" t="n">
        <v/>
      </c>
      <c r="P568" t="n">
        <v/>
      </c>
      <c r="Q568" t="n">
        <v>22.834435548</v>
      </c>
      <c r="R568" t="n">
        <v>48.076687503</v>
      </c>
      <c r="S568" t="n">
        <v>35.06051561</v>
      </c>
      <c r="T568" t="n">
        <v/>
      </c>
      <c r="U568" t="n">
        <v/>
      </c>
      <c r="V568" t="n">
        <v>40.227396293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/>
      </c>
      <c r="AC568" t="n">
        <v>52.961605899</v>
      </c>
      <c r="AD568" t="n">
        <v>24.649787922</v>
      </c>
      <c r="AE568" t="n">
        <v/>
      </c>
      <c r="AF568" t="n">
        <v>41.38361153</v>
      </c>
      <c r="AG568" t="n">
        <v/>
      </c>
      <c r="AH568" t="n">
        <v/>
      </c>
      <c r="AI568" t="n">
        <v>34.852954949</v>
      </c>
      <c r="AJ568" t="n">
        <v>29.88056322</v>
      </c>
      <c r="AK568" t="n">
        <v/>
      </c>
      <c r="AL568" t="n">
        <v/>
      </c>
      <c r="AM568" t="n">
        <v/>
      </c>
      <c r="AN568" t="n">
        <v>32.792836816</v>
      </c>
      <c r="AO568" t="n">
        <v/>
      </c>
      <c r="AP568" t="n">
        <v/>
      </c>
      <c r="AQ568" t="n">
        <v/>
      </c>
      <c r="AR568" t="n">
        <v>42.757581708</v>
      </c>
      <c r="AS568" t="n">
        <v/>
      </c>
      <c r="AT568" t="n">
        <v>33.639903744</v>
      </c>
      <c r="AU568" t="n">
        <v/>
      </c>
    </row>
    <row r="569">
      <c r="A569" s="105" t="n">
        <v>24198</v>
      </c>
      <c r="B569" t="n">
        <v>19.538349379</v>
      </c>
      <c r="C569" t="n">
        <v>34.945087354</v>
      </c>
      <c r="D569" t="n">
        <v/>
      </c>
      <c r="E569" t="n">
        <v>34.007798578</v>
      </c>
      <c r="F569" t="n">
        <v/>
      </c>
      <c r="G569" t="n">
        <v/>
      </c>
      <c r="H569" t="n">
        <v/>
      </c>
      <c r="I569" t="n">
        <v>19.536721319</v>
      </c>
      <c r="J569" t="n">
        <v/>
      </c>
      <c r="K569" t="n">
        <v>39.505811303</v>
      </c>
      <c r="L569" t="n">
        <v/>
      </c>
      <c r="M569" t="n">
        <v/>
      </c>
      <c r="N569" t="n">
        <v>35.774131296</v>
      </c>
      <c r="O569" t="n">
        <v/>
      </c>
      <c r="P569" t="n">
        <v/>
      </c>
      <c r="Q569" t="n">
        <v>22.984404714</v>
      </c>
      <c r="R569" t="n">
        <v>47.650691531</v>
      </c>
      <c r="S569" t="n">
        <v>35.04821674</v>
      </c>
      <c r="T569" t="n">
        <v/>
      </c>
      <c r="U569" t="n">
        <v/>
      </c>
      <c r="V569" t="n">
        <v>41.317252205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/>
      </c>
      <c r="AC569" t="n">
        <v>51.801364542</v>
      </c>
      <c r="AD569" t="n">
        <v>25.154561736</v>
      </c>
      <c r="AE569" t="n">
        <v/>
      </c>
      <c r="AF569" t="n">
        <v>41.474274835</v>
      </c>
      <c r="AG569" t="n">
        <v/>
      </c>
      <c r="AH569" t="n">
        <v/>
      </c>
      <c r="AI569" t="n">
        <v>35.138634907</v>
      </c>
      <c r="AJ569" t="n">
        <v>29.217059136</v>
      </c>
      <c r="AK569" t="n">
        <v/>
      </c>
      <c r="AL569" t="n">
        <v/>
      </c>
      <c r="AM569" t="n">
        <v/>
      </c>
      <c r="AN569" t="n">
        <v>32.842595646</v>
      </c>
      <c r="AO569" t="n">
        <v/>
      </c>
      <c r="AP569" t="n">
        <v/>
      </c>
      <c r="AQ569" t="n">
        <v/>
      </c>
      <c r="AR569" t="n">
        <v>41.392978036</v>
      </c>
      <c r="AS569" t="n">
        <v/>
      </c>
      <c r="AT569" t="n">
        <v>33.693350153</v>
      </c>
      <c r="AU569" t="n">
        <v/>
      </c>
    </row>
    <row r="570">
      <c r="A570" s="105" t="n">
        <v>24228</v>
      </c>
      <c r="B570" t="n">
        <v>19.47456223</v>
      </c>
      <c r="C570" t="n">
        <v>34.58400016</v>
      </c>
      <c r="D570" t="n">
        <v/>
      </c>
      <c r="E570" t="n">
        <v>34.020956036</v>
      </c>
      <c r="F570" t="n">
        <v/>
      </c>
      <c r="G570" t="n">
        <v/>
      </c>
      <c r="H570" t="n">
        <v/>
      </c>
      <c r="I570" t="n">
        <v>19.472939485</v>
      </c>
      <c r="J570" t="n">
        <v/>
      </c>
      <c r="K570" t="n">
        <v>39.320627813</v>
      </c>
      <c r="L570" t="n">
        <v/>
      </c>
      <c r="M570" t="n">
        <v/>
      </c>
      <c r="N570" t="n">
        <v>36.127608715</v>
      </c>
      <c r="O570" t="n">
        <v/>
      </c>
      <c r="P570" t="n">
        <v/>
      </c>
      <c r="Q570" t="n">
        <v>23.206098263</v>
      </c>
      <c r="R570" t="n">
        <v>48.380970329</v>
      </c>
      <c r="S570" t="n">
        <v>35.38379283</v>
      </c>
      <c r="T570" t="n">
        <v/>
      </c>
      <c r="U570" t="n">
        <v/>
      </c>
      <c r="V570" t="n">
        <v>44.597882595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/>
      </c>
      <c r="AC570" t="n">
        <v>53.780599804</v>
      </c>
      <c r="AD570" t="n">
        <v>25.406948643</v>
      </c>
      <c r="AE570" t="n">
        <v/>
      </c>
      <c r="AF570" t="n">
        <v>41.967441005</v>
      </c>
      <c r="AG570" t="n">
        <v/>
      </c>
      <c r="AH570" t="n">
        <v/>
      </c>
      <c r="AI570" t="n">
        <v>34.852954949</v>
      </c>
      <c r="AJ570" t="n">
        <v>29.766165964</v>
      </c>
      <c r="AK570" t="n">
        <v/>
      </c>
      <c r="AL570" t="n">
        <v/>
      </c>
      <c r="AM570" t="n">
        <v/>
      </c>
      <c r="AN570" t="n">
        <v>32.314491239</v>
      </c>
      <c r="AO570" t="n">
        <v/>
      </c>
      <c r="AP570" t="n">
        <v/>
      </c>
      <c r="AQ570" t="n">
        <v/>
      </c>
      <c r="AR570" t="n">
        <v>41.847845927</v>
      </c>
      <c r="AS570" t="n">
        <v/>
      </c>
      <c r="AT570" t="n">
        <v>34.014028608</v>
      </c>
      <c r="AU570" t="n">
        <v/>
      </c>
    </row>
    <row r="571">
      <c r="A571" s="105" t="n">
        <v>24259</v>
      </c>
      <c r="B571" t="n">
        <v>19.53095575</v>
      </c>
      <c r="C571" t="n">
        <v>34.96195434</v>
      </c>
      <c r="D571" t="n">
        <v/>
      </c>
      <c r="E571" t="n">
        <v>34.046801042</v>
      </c>
      <c r="F571" t="n">
        <v/>
      </c>
      <c r="G571" t="n">
        <v/>
      </c>
      <c r="H571" t="n">
        <v/>
      </c>
      <c r="I571" t="n">
        <v>19.529328306</v>
      </c>
      <c r="J571" t="n">
        <v/>
      </c>
      <c r="K571" t="n">
        <v>39.814450454</v>
      </c>
      <c r="L571" t="n">
        <v/>
      </c>
      <c r="M571" t="n">
        <v/>
      </c>
      <c r="N571" t="n">
        <v>36.33050947</v>
      </c>
      <c r="O571" t="n">
        <v/>
      </c>
      <c r="P571" t="n">
        <v/>
      </c>
      <c r="Q571" t="n">
        <v>23.440832609</v>
      </c>
      <c r="R571" t="n">
        <v>49.050392564</v>
      </c>
      <c r="S571" t="n">
        <v>35.694320143</v>
      </c>
      <c r="T571" t="n">
        <v/>
      </c>
      <c r="U571" t="n">
        <v/>
      </c>
      <c r="V571" t="n">
        <v>42.909288532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/>
      </c>
      <c r="AC571" t="n">
        <v>53.985348291</v>
      </c>
      <c r="AD571" t="n">
        <v>25.827593489</v>
      </c>
      <c r="AE571" t="n">
        <v/>
      </c>
      <c r="AF571" t="n">
        <v>42.185152776</v>
      </c>
      <c r="AG571" t="n">
        <v/>
      </c>
      <c r="AH571" t="n">
        <v/>
      </c>
      <c r="AI571" t="n">
        <v>34.852954949</v>
      </c>
      <c r="AJ571" t="n">
        <v>31.047415229</v>
      </c>
      <c r="AK571" t="n">
        <v/>
      </c>
      <c r="AL571" t="n">
        <v/>
      </c>
      <c r="AM571" t="n">
        <v/>
      </c>
      <c r="AN571" t="n">
        <v>30.867310312</v>
      </c>
      <c r="AO571" t="n">
        <v/>
      </c>
      <c r="AP571" t="n">
        <v/>
      </c>
      <c r="AQ571" t="n">
        <v/>
      </c>
      <c r="AR571" t="n">
        <v>42.757581708</v>
      </c>
      <c r="AS571" t="n">
        <v/>
      </c>
      <c r="AT571" t="n">
        <v>34.174268677</v>
      </c>
      <c r="AU571" t="n">
        <v/>
      </c>
    </row>
    <row r="572">
      <c r="A572" s="105" t="n">
        <v>24289</v>
      </c>
      <c r="B572" t="n">
        <v>19.71480008</v>
      </c>
      <c r="C572" t="n">
        <v>34.899732469</v>
      </c>
      <c r="D572" t="n">
        <v/>
      </c>
      <c r="E572" t="n">
        <v>33.902069009</v>
      </c>
      <c r="F572" t="n">
        <v/>
      </c>
      <c r="G572" t="n">
        <v/>
      </c>
      <c r="H572" t="n">
        <v/>
      </c>
      <c r="I572" t="n">
        <v>19.713157317</v>
      </c>
      <c r="J572" t="n">
        <v/>
      </c>
      <c r="K572" t="n">
        <v>39.382355643</v>
      </c>
      <c r="L572" t="n">
        <v/>
      </c>
      <c r="M572" t="n">
        <v/>
      </c>
      <c r="N572" t="n">
        <v>36.059624112</v>
      </c>
      <c r="O572" t="n">
        <v/>
      </c>
      <c r="P572" t="n">
        <v/>
      </c>
      <c r="Q572" t="n">
        <v>23.111552484</v>
      </c>
      <c r="R572" t="n">
        <v>49.354675399</v>
      </c>
      <c r="S572" t="n">
        <v>35.868821893</v>
      </c>
      <c r="T572" t="n">
        <v/>
      </c>
      <c r="U572" t="n">
        <v/>
      </c>
      <c r="V572" t="n">
        <v>42.830653973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/>
      </c>
      <c r="AC572" t="n">
        <v>54.463094731</v>
      </c>
      <c r="AD572" t="n">
        <v>26.248238334</v>
      </c>
      <c r="AE572" t="n">
        <v/>
      </c>
      <c r="AF572" t="n">
        <v>41.935014283</v>
      </c>
      <c r="AG572" t="n">
        <v/>
      </c>
      <c r="AH572" t="n">
        <v/>
      </c>
      <c r="AI572" t="n">
        <v>34.56727499</v>
      </c>
      <c r="AJ572" t="n">
        <v>29.88056322</v>
      </c>
      <c r="AK572" t="n">
        <v/>
      </c>
      <c r="AL572" t="n">
        <v/>
      </c>
      <c r="AM572" t="n">
        <v/>
      </c>
      <c r="AN572" t="n">
        <v>30.947046522</v>
      </c>
      <c r="AO572" t="n">
        <v/>
      </c>
      <c r="AP572" t="n">
        <v/>
      </c>
      <c r="AQ572" t="n">
        <v/>
      </c>
      <c r="AR572" t="n">
        <v>39.118638584</v>
      </c>
      <c r="AS572" t="n">
        <v/>
      </c>
      <c r="AT572" t="n">
        <v>34.361380689</v>
      </c>
      <c r="AU572" t="n">
        <v/>
      </c>
    </row>
    <row r="573">
      <c r="A573" s="105" t="n">
        <v>24320</v>
      </c>
      <c r="B573" t="n">
        <v>19.05406323</v>
      </c>
      <c r="C573" t="n">
        <v>35.078832532</v>
      </c>
      <c r="D573" t="n">
        <v/>
      </c>
      <c r="E573" t="n">
        <v>33.358384067</v>
      </c>
      <c r="F573" t="n">
        <v/>
      </c>
      <c r="G573" t="n">
        <v/>
      </c>
      <c r="H573" t="n">
        <v/>
      </c>
      <c r="I573" t="n">
        <v>19.052475523</v>
      </c>
      <c r="J573" t="n">
        <v/>
      </c>
      <c r="K573" t="n">
        <v>38.888533002</v>
      </c>
      <c r="L573" t="n">
        <v/>
      </c>
      <c r="M573" t="n">
        <v/>
      </c>
      <c r="N573" t="n">
        <v>37.575650787</v>
      </c>
      <c r="O573" t="n">
        <v/>
      </c>
      <c r="P573" t="n">
        <v/>
      </c>
      <c r="Q573" t="n">
        <v>23.228919657</v>
      </c>
      <c r="R573" t="n">
        <v>49.354675399</v>
      </c>
      <c r="S573" t="n">
        <v>35.979578544</v>
      </c>
      <c r="T573" t="n">
        <v/>
      </c>
      <c r="U573" t="n">
        <v/>
      </c>
      <c r="V573" t="n">
        <v>42.409245411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/>
      </c>
      <c r="AC573" t="n">
        <v>55.896334064</v>
      </c>
      <c r="AD573" t="n">
        <v>26.668883179</v>
      </c>
      <c r="AE573" t="n">
        <v/>
      </c>
      <c r="AF573" t="n">
        <v>42.04388582</v>
      </c>
      <c r="AG573" t="n">
        <v/>
      </c>
      <c r="AH573" t="n">
        <v/>
      </c>
      <c r="AI573" t="n">
        <v>35.424314866</v>
      </c>
      <c r="AJ573" t="n">
        <v>30.08647828</v>
      </c>
      <c r="AK573" t="n">
        <v/>
      </c>
      <c r="AL573" t="n">
        <v/>
      </c>
      <c r="AM573" t="n">
        <v/>
      </c>
      <c r="AN573" t="n">
        <v>31.736387174</v>
      </c>
      <c r="AO573" t="n">
        <v/>
      </c>
      <c r="AP573" t="n">
        <v/>
      </c>
      <c r="AQ573" t="n">
        <v/>
      </c>
      <c r="AR573" t="n">
        <v>41.847845927</v>
      </c>
      <c r="AS573" t="n">
        <v/>
      </c>
      <c r="AT573" t="n">
        <v>34.388054314</v>
      </c>
      <c r="AU573" t="n">
        <v/>
      </c>
    </row>
    <row r="574">
      <c r="A574" s="105" t="n">
        <v>24351</v>
      </c>
      <c r="B574" t="n">
        <v>19.610178696</v>
      </c>
      <c r="C574" t="n">
        <v>35.286098399</v>
      </c>
      <c r="D574" t="n">
        <v/>
      </c>
      <c r="E574" t="n">
        <v>34.21220908</v>
      </c>
      <c r="F574" t="n">
        <v/>
      </c>
      <c r="G574" t="n">
        <v/>
      </c>
      <c r="H574" t="n">
        <v/>
      </c>
      <c r="I574" t="n">
        <v>19.608544651</v>
      </c>
      <c r="J574" t="n">
        <v/>
      </c>
      <c r="K574" t="n">
        <v>39.135444322</v>
      </c>
      <c r="L574" t="n">
        <v/>
      </c>
      <c r="M574" t="n">
        <v/>
      </c>
      <c r="N574" t="n">
        <v>38.21991527</v>
      </c>
      <c r="O574" t="n">
        <v/>
      </c>
      <c r="P574" t="n">
        <v/>
      </c>
      <c r="Q574" t="n">
        <v>23.845097316</v>
      </c>
      <c r="R574" t="n">
        <v>49.476388526</v>
      </c>
      <c r="S574" t="n">
        <v>36.32882278</v>
      </c>
      <c r="T574" t="n">
        <v/>
      </c>
      <c r="U574" t="n">
        <v/>
      </c>
      <c r="V574" t="n">
        <v>42.722447643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/>
      </c>
      <c r="AC574" t="n">
        <v>56.032833052</v>
      </c>
      <c r="AD574" t="n">
        <v>27.089528024</v>
      </c>
      <c r="AE574" t="n">
        <v/>
      </c>
      <c r="AF574" t="n">
        <v>42.183864434</v>
      </c>
      <c r="AG574" t="n">
        <v/>
      </c>
      <c r="AH574" t="n">
        <v/>
      </c>
      <c r="AI574" t="n">
        <v>35.424314866</v>
      </c>
      <c r="AJ574" t="n">
        <v>31.230450838</v>
      </c>
      <c r="AK574" t="n">
        <v/>
      </c>
      <c r="AL574" t="n">
        <v/>
      </c>
      <c r="AM574" t="n">
        <v/>
      </c>
      <c r="AN574" t="n">
        <v>29.997437827</v>
      </c>
      <c r="AO574" t="n">
        <v/>
      </c>
      <c r="AP574" t="n">
        <v/>
      </c>
      <c r="AQ574" t="n">
        <v/>
      </c>
      <c r="AR574" t="n">
        <v>43.667317489</v>
      </c>
      <c r="AS574" t="n">
        <v/>
      </c>
      <c r="AT574" t="n">
        <v>34.70873277</v>
      </c>
      <c r="AU574" t="n">
        <v/>
      </c>
    </row>
    <row r="575">
      <c r="A575" s="105" t="n">
        <v>24381</v>
      </c>
      <c r="B575" t="n">
        <v>20.078091761</v>
      </c>
      <c r="C575" t="n">
        <v>34.817049586</v>
      </c>
      <c r="D575" t="n">
        <v/>
      </c>
      <c r="E575" t="n">
        <v>34.597534622</v>
      </c>
      <c r="F575" t="n">
        <v/>
      </c>
      <c r="G575" t="n">
        <v/>
      </c>
      <c r="H575" t="n">
        <v/>
      </c>
      <c r="I575" t="n">
        <v>20.076418726</v>
      </c>
      <c r="J575" t="n">
        <v/>
      </c>
      <c r="K575" t="n">
        <v>38.641621681</v>
      </c>
      <c r="L575" t="n">
        <v/>
      </c>
      <c r="M575" t="n">
        <v/>
      </c>
      <c r="N575" t="n">
        <v>38.37780533</v>
      </c>
      <c r="O575" t="n">
        <v/>
      </c>
      <c r="P575" t="n">
        <v/>
      </c>
      <c r="Q575" t="n">
        <v>24.330867004</v>
      </c>
      <c r="R575" t="n">
        <v>48.867822864</v>
      </c>
      <c r="S575" t="n">
        <v>36.457493714</v>
      </c>
      <c r="T575" t="n">
        <v/>
      </c>
      <c r="U575" t="n">
        <v/>
      </c>
      <c r="V575" t="n">
        <v>43.032657531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/>
      </c>
      <c r="AC575" t="n">
        <v>55.418587624</v>
      </c>
      <c r="AD575" t="n">
        <v>27.594301838</v>
      </c>
      <c r="AE575" t="n">
        <v/>
      </c>
      <c r="AF575" t="n">
        <v>42.494061473</v>
      </c>
      <c r="AG575" t="n">
        <v/>
      </c>
      <c r="AH575" t="n">
        <v/>
      </c>
      <c r="AI575" t="n">
        <v>35.709994824</v>
      </c>
      <c r="AJ575" t="n">
        <v>30.47542895</v>
      </c>
      <c r="AK575" t="n">
        <v/>
      </c>
      <c r="AL575" t="n">
        <v/>
      </c>
      <c r="AM575" t="n">
        <v/>
      </c>
      <c r="AN575" t="n">
        <v>29.979929253</v>
      </c>
      <c r="AO575" t="n">
        <v/>
      </c>
      <c r="AP575" t="n">
        <v/>
      </c>
      <c r="AQ575" t="n">
        <v/>
      </c>
      <c r="AR575" t="n">
        <v>43.212449599</v>
      </c>
      <c r="AS575" t="n">
        <v/>
      </c>
      <c r="AT575" t="n">
        <v>34.949192032</v>
      </c>
      <c r="AU575" t="n">
        <v/>
      </c>
    </row>
    <row r="576">
      <c r="A576" s="105" t="n">
        <v>24412</v>
      </c>
      <c r="B576" t="n">
        <v>19.744591169</v>
      </c>
      <c r="C576" t="n">
        <v>35.034699761</v>
      </c>
      <c r="D576" t="n">
        <v/>
      </c>
      <c r="E576" t="n">
        <v>34.454212317</v>
      </c>
      <c r="F576" t="n">
        <v/>
      </c>
      <c r="G576" t="n">
        <v/>
      </c>
      <c r="H576" t="n">
        <v/>
      </c>
      <c r="I576" t="n">
        <v>19.742945923</v>
      </c>
      <c r="J576" t="n">
        <v/>
      </c>
      <c r="K576" t="n">
        <v>38.14779904</v>
      </c>
      <c r="L576" t="n">
        <v/>
      </c>
      <c r="M576" t="n">
        <v/>
      </c>
      <c r="N576" t="n">
        <v>37.98677552</v>
      </c>
      <c r="O576" t="n">
        <v/>
      </c>
      <c r="P576" t="n">
        <v/>
      </c>
      <c r="Q576" t="n">
        <v>24.295004812</v>
      </c>
      <c r="R576" t="n">
        <v>49.415531962</v>
      </c>
      <c r="S576" t="n">
        <v>36.472436524</v>
      </c>
      <c r="T576" t="n">
        <v/>
      </c>
      <c r="U576" t="n">
        <v/>
      </c>
      <c r="V576" t="n">
        <v>42.80927365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/>
      </c>
      <c r="AC576" t="n">
        <v>55.691585588</v>
      </c>
      <c r="AD576" t="n">
        <v>28.183204621</v>
      </c>
      <c r="AE576" t="n">
        <v/>
      </c>
      <c r="AF576" t="n">
        <v>42.105101296</v>
      </c>
      <c r="AG576" t="n">
        <v/>
      </c>
      <c r="AH576" t="n">
        <v/>
      </c>
      <c r="AI576" t="n">
        <v>35.995674783</v>
      </c>
      <c r="AJ576" t="n">
        <v>31.093174131</v>
      </c>
      <c r="AK576" t="n">
        <v/>
      </c>
      <c r="AL576" t="n">
        <v/>
      </c>
      <c r="AM576" t="n">
        <v/>
      </c>
      <c r="AN576" t="n">
        <v>30.366574408</v>
      </c>
      <c r="AO576" t="n">
        <v/>
      </c>
      <c r="AP576" t="n">
        <v/>
      </c>
      <c r="AQ576" t="n">
        <v/>
      </c>
      <c r="AR576" t="n">
        <v>42.757581708</v>
      </c>
      <c r="AS576" t="n">
        <v/>
      </c>
      <c r="AT576" t="n">
        <v>34.70873277</v>
      </c>
      <c r="AU576" t="n">
        <v/>
      </c>
    </row>
    <row r="577">
      <c r="A577" s="105" t="n">
        <v>24442</v>
      </c>
      <c r="B577" t="n">
        <v>20.364030077</v>
      </c>
      <c r="C577" t="n">
        <v>34.627185177</v>
      </c>
      <c r="D577" t="n">
        <v/>
      </c>
      <c r="E577" t="n">
        <v>34.496504144</v>
      </c>
      <c r="F577" t="n">
        <v/>
      </c>
      <c r="G577" t="n">
        <v/>
      </c>
      <c r="H577" t="n">
        <v/>
      </c>
      <c r="I577" t="n">
        <v>20.362333215</v>
      </c>
      <c r="J577" t="n">
        <v/>
      </c>
      <c r="K577" t="n">
        <v>38.20952687</v>
      </c>
      <c r="L577" t="n">
        <v/>
      </c>
      <c r="M577" t="n">
        <v/>
      </c>
      <c r="N577" t="n">
        <v>39.39125605</v>
      </c>
      <c r="O577" t="n">
        <v/>
      </c>
      <c r="P577" t="n">
        <v/>
      </c>
      <c r="Q577" t="n">
        <v>24.161336643</v>
      </c>
      <c r="R577" t="n">
        <v>49.415531962</v>
      </c>
      <c r="S577" t="n">
        <v>36.745624065</v>
      </c>
      <c r="T577" t="n">
        <v/>
      </c>
      <c r="U577" t="n">
        <v/>
      </c>
      <c r="V577" t="n">
        <v>43.872937305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/>
      </c>
      <c r="AC577" t="n">
        <v>56.851826957</v>
      </c>
      <c r="AD577" t="n">
        <v>28.772107404</v>
      </c>
      <c r="AE577" t="n">
        <v/>
      </c>
      <c r="AF577" t="n">
        <v>42.466997497</v>
      </c>
      <c r="AG577" t="n">
        <v/>
      </c>
      <c r="AH577" t="n">
        <v/>
      </c>
      <c r="AI577" t="n">
        <v>35.709994824</v>
      </c>
      <c r="AJ577" t="n">
        <v>31.45924535</v>
      </c>
      <c r="AK577" t="n">
        <v/>
      </c>
      <c r="AL577" t="n">
        <v/>
      </c>
      <c r="AM577" t="n">
        <v/>
      </c>
      <c r="AN577" t="n">
        <v>30.107159446</v>
      </c>
      <c r="AO577" t="n">
        <v/>
      </c>
      <c r="AP577" t="n">
        <v/>
      </c>
      <c r="AQ577" t="n">
        <v/>
      </c>
      <c r="AR577" t="n">
        <v>41.847845927</v>
      </c>
      <c r="AS577" t="n">
        <v/>
      </c>
      <c r="AT577" t="n">
        <v>34.788852804</v>
      </c>
      <c r="AU577" t="n">
        <v/>
      </c>
    </row>
    <row r="578">
      <c r="A578" s="105" t="n">
        <v>24473</v>
      </c>
      <c r="B578" t="n">
        <v>19.546062723</v>
      </c>
      <c r="C578" t="n">
        <v>34.967248451</v>
      </c>
      <c r="D578" t="n">
        <v/>
      </c>
      <c r="E578" t="n">
        <v>34.75119493</v>
      </c>
      <c r="F578" t="n">
        <v/>
      </c>
      <c r="G578" t="n">
        <v/>
      </c>
      <c r="H578" t="n">
        <v/>
      </c>
      <c r="I578" t="n">
        <v>19.54443402</v>
      </c>
      <c r="J578" t="n">
        <v/>
      </c>
      <c r="K578" t="n">
        <v>37.530520738</v>
      </c>
      <c r="L578" t="n">
        <v/>
      </c>
      <c r="M578" t="n">
        <v/>
      </c>
      <c r="N578" t="n">
        <v>37.685564217</v>
      </c>
      <c r="O578" t="n">
        <v/>
      </c>
      <c r="P578" t="n">
        <v/>
      </c>
      <c r="Q578" t="n">
        <v>24.200459034</v>
      </c>
      <c r="R578" t="n">
        <v>49.1721057</v>
      </c>
      <c r="S578" t="n">
        <v>36.775948583</v>
      </c>
      <c r="T578" t="n">
        <v/>
      </c>
      <c r="U578" t="n">
        <v/>
      </c>
      <c r="V578" t="n">
        <v>43.967486843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/>
      </c>
      <c r="AC578" t="n">
        <v>57.056575433</v>
      </c>
      <c r="AD578" t="n">
        <v>28.940365342</v>
      </c>
      <c r="AE578" t="n">
        <v/>
      </c>
      <c r="AF578" t="n">
        <v>43.299146886</v>
      </c>
      <c r="AG578" t="n">
        <v/>
      </c>
      <c r="AH578" t="n">
        <v/>
      </c>
      <c r="AI578" t="n">
        <v>35.424314866</v>
      </c>
      <c r="AJ578" t="n">
        <v>32.05411108</v>
      </c>
      <c r="AK578" t="n">
        <v/>
      </c>
      <c r="AL578" t="n">
        <v/>
      </c>
      <c r="AM578" t="n">
        <v/>
      </c>
      <c r="AN578" t="n">
        <v>30.270740162</v>
      </c>
      <c r="AO578" t="n">
        <v/>
      </c>
      <c r="AP578" t="n">
        <v/>
      </c>
      <c r="AQ578" t="n">
        <v/>
      </c>
      <c r="AR578" t="n">
        <v>42.757581708</v>
      </c>
      <c r="AS578" t="n">
        <v/>
      </c>
      <c r="AT578" t="n">
        <v>34.952960054</v>
      </c>
      <c r="AU578" t="n">
        <v/>
      </c>
    </row>
    <row r="579">
      <c r="A579" s="105" t="n">
        <v>24504</v>
      </c>
      <c r="B579" t="n">
        <v>19.553372565</v>
      </c>
      <c r="C579" t="n">
        <v>35.567580773</v>
      </c>
      <c r="D579" t="n">
        <v/>
      </c>
      <c r="E579" t="n">
        <v>34.438235404</v>
      </c>
      <c r="F579" t="n">
        <v/>
      </c>
      <c r="G579" t="n">
        <v/>
      </c>
      <c r="H579" t="n">
        <v/>
      </c>
      <c r="I579" t="n">
        <v>19.551743253</v>
      </c>
      <c r="J579" t="n">
        <v/>
      </c>
      <c r="K579" t="n">
        <v>37.098425927</v>
      </c>
      <c r="L579" t="n">
        <v/>
      </c>
      <c r="M579" t="n">
        <v/>
      </c>
      <c r="N579" t="n">
        <v>35.893068119</v>
      </c>
      <c r="O579" t="n">
        <v/>
      </c>
      <c r="P579" t="n">
        <v/>
      </c>
      <c r="Q579" t="n">
        <v>24.236321226</v>
      </c>
      <c r="R579" t="n">
        <v>48.867822864</v>
      </c>
      <c r="S579" t="n">
        <v>36.47331657</v>
      </c>
      <c r="T579" t="n">
        <v/>
      </c>
      <c r="U579" t="n">
        <v/>
      </c>
      <c r="V579" t="n">
        <v>44.031985555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/>
      </c>
      <c r="AC579" t="n">
        <v>57.943818826</v>
      </c>
      <c r="AD579" t="n">
        <v>28.687978435</v>
      </c>
      <c r="AE579" t="n">
        <v/>
      </c>
      <c r="AF579" t="n">
        <v>42.667521077</v>
      </c>
      <c r="AG579" t="n">
        <v/>
      </c>
      <c r="AH579" t="n">
        <v/>
      </c>
      <c r="AI579" t="n">
        <v>35.709994824</v>
      </c>
      <c r="AJ579" t="n">
        <v>31.25333029</v>
      </c>
      <c r="AK579" t="n">
        <v/>
      </c>
      <c r="AL579" t="n">
        <v/>
      </c>
      <c r="AM579" t="n">
        <v/>
      </c>
      <c r="AN579" t="n">
        <v>29.103417143</v>
      </c>
      <c r="AO579" t="n">
        <v/>
      </c>
      <c r="AP579" t="n">
        <v/>
      </c>
      <c r="AQ579" t="n">
        <v/>
      </c>
      <c r="AR579" t="n">
        <v>43.212449599</v>
      </c>
      <c r="AS579" t="n">
        <v/>
      </c>
      <c r="AT579" t="n">
        <v>34.556524536</v>
      </c>
      <c r="AU579" t="n">
        <v/>
      </c>
    </row>
    <row r="580">
      <c r="A580" s="105" t="n">
        <v>24532</v>
      </c>
      <c r="B580" t="n">
        <v>19.613680327</v>
      </c>
      <c r="C580" t="n">
        <v>35.371040361</v>
      </c>
      <c r="D580" t="n">
        <v/>
      </c>
      <c r="E580" t="n">
        <v>34.488515688</v>
      </c>
      <c r="F580" t="n">
        <v/>
      </c>
      <c r="G580" t="n">
        <v/>
      </c>
      <c r="H580" t="n">
        <v/>
      </c>
      <c r="I580" t="n">
        <v>19.61204599</v>
      </c>
      <c r="J580" t="n">
        <v/>
      </c>
      <c r="K580" t="n">
        <v>36.851514606</v>
      </c>
      <c r="L580" t="n">
        <v/>
      </c>
      <c r="M580" t="n">
        <v/>
      </c>
      <c r="N580" t="n">
        <v>36.972783777</v>
      </c>
      <c r="O580" t="n">
        <v/>
      </c>
      <c r="P580" t="n">
        <v/>
      </c>
      <c r="Q580" t="n">
        <v>24.249362023</v>
      </c>
      <c r="R580" t="n">
        <v>49.1721057</v>
      </c>
      <c r="S580" t="n">
        <v>36.501109059</v>
      </c>
      <c r="T580" t="n">
        <v/>
      </c>
      <c r="U580" t="n">
        <v/>
      </c>
      <c r="V580" t="n">
        <v>44.160633801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/>
      </c>
      <c r="AC580" t="n">
        <v>57.124824921</v>
      </c>
      <c r="AD580" t="n">
        <v>29.445139156</v>
      </c>
      <c r="AE580" t="n">
        <v/>
      </c>
      <c r="AF580" t="n">
        <v>42.381548931</v>
      </c>
      <c r="AG580" t="n">
        <v/>
      </c>
      <c r="AH580" t="n">
        <v/>
      </c>
      <c r="AI580" t="n">
        <v>35.709994824</v>
      </c>
      <c r="AJ580" t="n">
        <v>30.955897424</v>
      </c>
      <c r="AK580" t="n">
        <v/>
      </c>
      <c r="AL580" t="n">
        <v/>
      </c>
      <c r="AM580" t="n">
        <v/>
      </c>
      <c r="AN580" t="n">
        <v>30.214932099</v>
      </c>
      <c r="AO580" t="n">
        <v/>
      </c>
      <c r="AP580" t="n">
        <v/>
      </c>
      <c r="AQ580" t="n">
        <v/>
      </c>
      <c r="AR580" t="n">
        <v>43.212449599</v>
      </c>
      <c r="AS580" t="n">
        <v/>
      </c>
      <c r="AT580" t="n">
        <v>34.361777323</v>
      </c>
      <c r="AU580" t="n">
        <v/>
      </c>
    </row>
    <row r="581">
      <c r="A581" s="105" t="n">
        <v>24563</v>
      </c>
      <c r="B581" t="n">
        <v>20.020721355</v>
      </c>
      <c r="C581" t="n">
        <v>34.649203053</v>
      </c>
      <c r="D581" t="n">
        <v/>
      </c>
      <c r="E581" t="n">
        <v>34.831549403</v>
      </c>
      <c r="F581" t="n">
        <v/>
      </c>
      <c r="G581" t="n">
        <v/>
      </c>
      <c r="H581" t="n">
        <v/>
      </c>
      <c r="I581" t="n">
        <v>20.0190531</v>
      </c>
      <c r="J581" t="n">
        <v/>
      </c>
      <c r="K581" t="n">
        <v>37.098425927</v>
      </c>
      <c r="L581" t="n">
        <v/>
      </c>
      <c r="M581" t="n">
        <v/>
      </c>
      <c r="N581" t="n">
        <v>38.603786259</v>
      </c>
      <c r="O581" t="n">
        <v/>
      </c>
      <c r="P581" t="n">
        <v/>
      </c>
      <c r="Q581" t="n">
        <v>24.011367477</v>
      </c>
      <c r="R581" t="n">
        <v>48.624396601</v>
      </c>
      <c r="S581" t="n">
        <v>36.798961706</v>
      </c>
      <c r="T581" t="n">
        <v/>
      </c>
      <c r="U581" t="n">
        <v/>
      </c>
      <c r="V581" t="n">
        <v>44.200706835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/>
      </c>
      <c r="AC581" t="n">
        <v>58.216816801</v>
      </c>
      <c r="AD581" t="n">
        <v>29.697526063</v>
      </c>
      <c r="AE581" t="n">
        <v/>
      </c>
      <c r="AF581" t="n">
        <v>42.42919693</v>
      </c>
      <c r="AG581" t="n">
        <v/>
      </c>
      <c r="AH581" t="n">
        <v/>
      </c>
      <c r="AI581" t="n">
        <v>36.281354742</v>
      </c>
      <c r="AJ581" t="n">
        <v>31.207571387</v>
      </c>
      <c r="AK581" t="n">
        <v/>
      </c>
      <c r="AL581" t="n">
        <v/>
      </c>
      <c r="AM581" t="n">
        <v/>
      </c>
      <c r="AN581" t="n">
        <v>29.613506991</v>
      </c>
      <c r="AO581" t="n">
        <v/>
      </c>
      <c r="AP581" t="n">
        <v/>
      </c>
      <c r="AQ581" t="n">
        <v/>
      </c>
      <c r="AR581" t="n">
        <v>43.212449599</v>
      </c>
      <c r="AS581" t="n">
        <v/>
      </c>
      <c r="AT581" t="n">
        <v>34.685827166</v>
      </c>
      <c r="AU581" t="n">
        <v/>
      </c>
    </row>
    <row r="582">
      <c r="A582" s="105" t="n">
        <v>24593</v>
      </c>
      <c r="B582" t="n">
        <v>19.793744613</v>
      </c>
      <c r="C582" t="n">
        <v>35.402112763</v>
      </c>
      <c r="D582" t="n">
        <v/>
      </c>
      <c r="E582" t="n">
        <v>34.712192466</v>
      </c>
      <c r="F582" t="n">
        <v/>
      </c>
      <c r="G582" t="n">
        <v/>
      </c>
      <c r="H582" t="n">
        <v/>
      </c>
      <c r="I582" t="n">
        <v>19.792095271</v>
      </c>
      <c r="J582" t="n">
        <v/>
      </c>
      <c r="K582" t="n">
        <v>36.542875456</v>
      </c>
      <c r="L582" t="n">
        <v/>
      </c>
      <c r="M582" t="n">
        <v/>
      </c>
      <c r="N582" t="n">
        <v>37.560009595</v>
      </c>
      <c r="O582" t="n">
        <v/>
      </c>
      <c r="P582" t="n">
        <v/>
      </c>
      <c r="Q582" t="n">
        <v>23.819015722</v>
      </c>
      <c r="R582" t="n">
        <v>48.867822864</v>
      </c>
      <c r="S582" t="n">
        <v>36.758044237</v>
      </c>
      <c r="T582" t="n">
        <v/>
      </c>
      <c r="U582" t="n">
        <v/>
      </c>
      <c r="V582" t="n">
        <v>44.498368905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/>
      </c>
      <c r="AC582" t="n">
        <v>58.626313754</v>
      </c>
      <c r="AD582" t="n">
        <v>30.370557816</v>
      </c>
      <c r="AE582" t="n">
        <v/>
      </c>
      <c r="AF582" t="n">
        <v>42.248368903</v>
      </c>
      <c r="AG582" t="n">
        <v/>
      </c>
      <c r="AH582" t="n">
        <v/>
      </c>
      <c r="AI582" t="n">
        <v>35.138634907</v>
      </c>
      <c r="AJ582" t="n">
        <v>30.338152243</v>
      </c>
      <c r="AK582" t="n">
        <v/>
      </c>
      <c r="AL582" t="n">
        <v/>
      </c>
      <c r="AM582" t="n">
        <v/>
      </c>
      <c r="AN582" t="n">
        <v>30.062717922</v>
      </c>
      <c r="AO582" t="n">
        <v/>
      </c>
      <c r="AP582" t="n">
        <v/>
      </c>
      <c r="AQ582" t="n">
        <v/>
      </c>
      <c r="AR582" t="n">
        <v>44.12218538</v>
      </c>
      <c r="AS582" t="n">
        <v/>
      </c>
      <c r="AT582" t="n">
        <v>34.38319555</v>
      </c>
      <c r="AU582" t="n">
        <v/>
      </c>
    </row>
    <row r="583">
      <c r="A583" s="105" t="n">
        <v>24624</v>
      </c>
      <c r="B583" t="n">
        <v>19.662574069</v>
      </c>
      <c r="C583" t="n">
        <v>35.076887066</v>
      </c>
      <c r="D583" t="n">
        <v/>
      </c>
      <c r="E583" t="n">
        <v>34.878070413</v>
      </c>
      <c r="F583" t="n">
        <v/>
      </c>
      <c r="G583" t="n">
        <v/>
      </c>
      <c r="H583" t="n">
        <v/>
      </c>
      <c r="I583" t="n">
        <v>19.660935658</v>
      </c>
      <c r="J583" t="n">
        <v/>
      </c>
      <c r="K583" t="n">
        <v>37.345337248</v>
      </c>
      <c r="L583" t="n">
        <v/>
      </c>
      <c r="M583" t="n">
        <v/>
      </c>
      <c r="N583" t="n">
        <v>38.809131251</v>
      </c>
      <c r="O583" t="n">
        <v/>
      </c>
      <c r="P583" t="n">
        <v/>
      </c>
      <c r="Q583" t="n">
        <v>23.437572409</v>
      </c>
      <c r="R583" t="n">
        <v>50.14581076</v>
      </c>
      <c r="S583" t="n">
        <v>37.073298125</v>
      </c>
      <c r="T583" t="n">
        <v/>
      </c>
      <c r="U583" t="n">
        <v/>
      </c>
      <c r="V583" t="n">
        <v>43.34223829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/>
      </c>
      <c r="AC583" t="n">
        <v>58.353315778</v>
      </c>
      <c r="AD583" t="n">
        <v>30.87533163</v>
      </c>
      <c r="AE583" t="n">
        <v/>
      </c>
      <c r="AF583" t="n">
        <v>41.421067558</v>
      </c>
      <c r="AG583" t="n">
        <v/>
      </c>
      <c r="AH583" t="n">
        <v/>
      </c>
      <c r="AI583" t="n">
        <v>36.5670347</v>
      </c>
      <c r="AJ583" t="n">
        <v>32.05411108</v>
      </c>
      <c r="AK583" t="n">
        <v/>
      </c>
      <c r="AL583" t="n">
        <v/>
      </c>
      <c r="AM583" t="n">
        <v/>
      </c>
      <c r="AN583" t="n">
        <v>32.139620002</v>
      </c>
      <c r="AO583" t="n">
        <v/>
      </c>
      <c r="AP583" t="n">
        <v/>
      </c>
      <c r="AQ583" t="n">
        <v/>
      </c>
      <c r="AR583" t="n">
        <v>43.667317489</v>
      </c>
      <c r="AS583" t="n">
        <v/>
      </c>
      <c r="AT583" t="n">
        <v>34.378931736</v>
      </c>
      <c r="AU583" t="n">
        <v/>
      </c>
    </row>
    <row r="584">
      <c r="A584" s="105" t="n">
        <v>24654</v>
      </c>
      <c r="B584" t="n">
        <v>19.697064125</v>
      </c>
      <c r="C584" t="n">
        <v>35.30502324</v>
      </c>
      <c r="D584" t="n">
        <v/>
      </c>
      <c r="E584" t="n">
        <v>35.00917508</v>
      </c>
      <c r="F584" t="n">
        <v/>
      </c>
      <c r="G584" t="n">
        <v/>
      </c>
      <c r="H584" t="n">
        <v/>
      </c>
      <c r="I584" t="n">
        <v>19.69542284</v>
      </c>
      <c r="J584" t="n">
        <v/>
      </c>
      <c r="K584" t="n">
        <v>38.33298253</v>
      </c>
      <c r="L584" t="n">
        <v/>
      </c>
      <c r="M584" t="n">
        <v/>
      </c>
      <c r="N584" t="n">
        <v>38.233740186</v>
      </c>
      <c r="O584" t="n">
        <v/>
      </c>
      <c r="P584" t="n">
        <v/>
      </c>
      <c r="Q584" t="n">
        <v>24.008107278</v>
      </c>
      <c r="R584" t="n">
        <v>49.719814798</v>
      </c>
      <c r="S584" t="n">
        <v>37.270572506</v>
      </c>
      <c r="T584" t="n">
        <v/>
      </c>
      <c r="U584" t="n">
        <v/>
      </c>
      <c r="V584" t="n">
        <v>43.205863971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/>
      </c>
      <c r="AC584" t="n">
        <v>58.421565278</v>
      </c>
      <c r="AD584" t="n">
        <v>31.211847506</v>
      </c>
      <c r="AE584" t="n">
        <v/>
      </c>
      <c r="AF584" t="n">
        <v>42.344927497</v>
      </c>
      <c r="AG584" t="n">
        <v/>
      </c>
      <c r="AH584" t="n">
        <v/>
      </c>
      <c r="AI584" t="n">
        <v>36.852714659</v>
      </c>
      <c r="AJ584" t="n">
        <v>29.926322122</v>
      </c>
      <c r="AK584" t="n">
        <v/>
      </c>
      <c r="AL584" t="n">
        <v/>
      </c>
      <c r="AM584" t="n">
        <v/>
      </c>
      <c r="AN584" t="n">
        <v>31.141338791</v>
      </c>
      <c r="AO584" t="n">
        <v/>
      </c>
      <c r="AP584" t="n">
        <v/>
      </c>
      <c r="AQ584" t="n">
        <v/>
      </c>
      <c r="AR584" t="n">
        <v>42.302713817</v>
      </c>
      <c r="AS584" t="n">
        <v/>
      </c>
      <c r="AT584" t="n">
        <v>34.300695712</v>
      </c>
      <c r="AU584" t="n">
        <v/>
      </c>
    </row>
    <row r="585">
      <c r="A585" s="105" t="n">
        <v>24685</v>
      </c>
      <c r="B585" t="n">
        <v>19.108965784</v>
      </c>
      <c r="C585" t="n">
        <v>35.345219587</v>
      </c>
      <c r="D585" t="n">
        <v/>
      </c>
      <c r="E585" t="n">
        <v>35.601730578</v>
      </c>
      <c r="F585" t="n">
        <v/>
      </c>
      <c r="G585" t="n">
        <v/>
      </c>
      <c r="H585" t="n">
        <v/>
      </c>
      <c r="I585" t="n">
        <v>19.107373502</v>
      </c>
      <c r="J585" t="n">
        <v/>
      </c>
      <c r="K585" t="n">
        <v>37.530520738</v>
      </c>
      <c r="L585" t="n">
        <v/>
      </c>
      <c r="M585" t="n">
        <v/>
      </c>
      <c r="N585" t="n">
        <v>38.659530346</v>
      </c>
      <c r="O585" t="n">
        <v/>
      </c>
      <c r="P585" t="n">
        <v/>
      </c>
      <c r="Q585" t="n">
        <v>24.539519756</v>
      </c>
      <c r="R585" t="n">
        <v>49.719814798</v>
      </c>
      <c r="S585" t="n">
        <v>37.603930584</v>
      </c>
      <c r="T585" t="n">
        <v/>
      </c>
      <c r="U585" t="n">
        <v/>
      </c>
      <c r="V585" t="n">
        <v>43.702407694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/>
      </c>
      <c r="AC585" t="n">
        <v>58.626313754</v>
      </c>
      <c r="AD585" t="n">
        <v>31.71662132</v>
      </c>
      <c r="AE585" t="n">
        <v/>
      </c>
      <c r="AF585" t="n">
        <v>40.962352099</v>
      </c>
      <c r="AG585" t="n">
        <v/>
      </c>
      <c r="AH585" t="n">
        <v/>
      </c>
      <c r="AI585" t="n">
        <v>36.852714659</v>
      </c>
      <c r="AJ585" t="n">
        <v>32.076990531</v>
      </c>
      <c r="AK585" t="n">
        <v/>
      </c>
      <c r="AL585" t="n">
        <v/>
      </c>
      <c r="AM585" t="n">
        <v/>
      </c>
      <c r="AN585" t="n">
        <v>30.898577566</v>
      </c>
      <c r="AO585" t="n">
        <v/>
      </c>
      <c r="AP585" t="n">
        <v/>
      </c>
      <c r="AQ585" t="n">
        <v/>
      </c>
      <c r="AR585" t="n">
        <v>43.667317489</v>
      </c>
      <c r="AS585" t="n">
        <v/>
      </c>
      <c r="AT585" t="n">
        <v>34.957818818</v>
      </c>
      <c r="AU585" t="n">
        <v/>
      </c>
    </row>
    <row r="586">
      <c r="A586" s="105" t="n">
        <v>24716</v>
      </c>
      <c r="B586" t="n">
        <v>19.77416994</v>
      </c>
      <c r="C586" t="n">
        <v>35.407320695</v>
      </c>
      <c r="D586" t="n">
        <v/>
      </c>
      <c r="E586" t="n">
        <v>35.488012552</v>
      </c>
      <c r="F586" t="n">
        <v/>
      </c>
      <c r="G586" t="n">
        <v/>
      </c>
      <c r="H586" t="n">
        <v/>
      </c>
      <c r="I586" t="n">
        <v>19.77252223</v>
      </c>
      <c r="J586" t="n">
        <v/>
      </c>
      <c r="K586" t="n">
        <v>38.518166021</v>
      </c>
      <c r="L586" t="n">
        <v/>
      </c>
      <c r="M586" t="n">
        <v/>
      </c>
      <c r="N586" t="n">
        <v>38.106987597</v>
      </c>
      <c r="O586" t="n">
        <v/>
      </c>
      <c r="P586" t="n">
        <v/>
      </c>
      <c r="Q586" t="n">
        <v>24.272183417</v>
      </c>
      <c r="R586" t="n">
        <v>50.632663295</v>
      </c>
      <c r="S586" t="n">
        <v>37.99773438</v>
      </c>
      <c r="T586" t="n">
        <v/>
      </c>
      <c r="U586" t="n">
        <v/>
      </c>
      <c r="V586" t="n">
        <v>43.629233154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/>
      </c>
      <c r="AC586" t="n">
        <v>58.353315778</v>
      </c>
      <c r="AD586" t="n">
        <v>32.642039979</v>
      </c>
      <c r="AE586" t="n">
        <v/>
      </c>
      <c r="AF586" t="n">
        <v>41.788194698</v>
      </c>
      <c r="AG586" t="n">
        <v/>
      </c>
      <c r="AH586" t="n">
        <v/>
      </c>
      <c r="AI586" t="n">
        <v>37.709754534</v>
      </c>
      <c r="AJ586" t="n">
        <v>31.436365899</v>
      </c>
      <c r="AK586" t="n">
        <v/>
      </c>
      <c r="AL586" t="n">
        <v/>
      </c>
      <c r="AM586" t="n">
        <v/>
      </c>
      <c r="AN586" t="n">
        <v>30.735664734</v>
      </c>
      <c r="AO586" t="n">
        <v/>
      </c>
      <c r="AP586" t="n">
        <v/>
      </c>
      <c r="AQ586" t="n">
        <v/>
      </c>
      <c r="AR586" t="n">
        <v>44.57705327</v>
      </c>
      <c r="AS586" t="n">
        <v/>
      </c>
      <c r="AT586" t="n">
        <v>34.901001021</v>
      </c>
      <c r="AU586" t="n">
        <v/>
      </c>
    </row>
    <row r="587">
      <c r="A587" s="105" t="n">
        <v>24746</v>
      </c>
      <c r="B587" t="n">
        <v>19.845660767</v>
      </c>
      <c r="C587" t="n">
        <v>35.995321768</v>
      </c>
      <c r="D587" t="n">
        <v/>
      </c>
      <c r="E587" t="n">
        <v>35.247419043</v>
      </c>
      <c r="F587" t="n">
        <v/>
      </c>
      <c r="G587" t="n">
        <v/>
      </c>
      <c r="H587" t="n">
        <v/>
      </c>
      <c r="I587" t="n">
        <v>19.844007099</v>
      </c>
      <c r="J587" t="n">
        <v/>
      </c>
      <c r="K587" t="n">
        <v>38.950260832</v>
      </c>
      <c r="L587" t="n">
        <v/>
      </c>
      <c r="M587" t="n">
        <v/>
      </c>
      <c r="N587" t="n">
        <v>37.689621844</v>
      </c>
      <c r="O587" t="n">
        <v/>
      </c>
      <c r="P587" t="n">
        <v/>
      </c>
      <c r="Q587" t="n">
        <v>24.950304861</v>
      </c>
      <c r="R587" t="n">
        <v>49.963241061</v>
      </c>
      <c r="S587" t="n">
        <v>38.276554197</v>
      </c>
      <c r="T587" t="n">
        <v/>
      </c>
      <c r="U587" t="n">
        <v/>
      </c>
      <c r="V587" t="n">
        <v>44.627225855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/>
      </c>
      <c r="AC587" t="n">
        <v>59.035810706</v>
      </c>
      <c r="AD587" t="n">
        <v>32.978555855</v>
      </c>
      <c r="AE587" t="n">
        <v/>
      </c>
      <c r="AF587" t="n">
        <v>42.181257271</v>
      </c>
      <c r="AG587" t="n">
        <v/>
      </c>
      <c r="AH587" t="n">
        <v/>
      </c>
      <c r="AI587" t="n">
        <v>37.424074576</v>
      </c>
      <c r="AJ587" t="n">
        <v>31.939713824</v>
      </c>
      <c r="AK587" t="n">
        <v/>
      </c>
      <c r="AL587" t="n">
        <v/>
      </c>
      <c r="AM587" t="n">
        <v/>
      </c>
      <c r="AN587" t="n">
        <v>32.020474143</v>
      </c>
      <c r="AO587" t="n">
        <v/>
      </c>
      <c r="AP587" t="n">
        <v/>
      </c>
      <c r="AQ587" t="n">
        <v/>
      </c>
      <c r="AR587" t="n">
        <v>43.667317489</v>
      </c>
      <c r="AS587" t="n">
        <v/>
      </c>
      <c r="AT587" t="n">
        <v>35.185288322</v>
      </c>
      <c r="AU587" t="n">
        <v/>
      </c>
    </row>
    <row r="588">
      <c r="A588" s="105" t="n">
        <v>24777</v>
      </c>
      <c r="B588" t="n">
        <v>19.813439058</v>
      </c>
      <c r="C588" t="n">
        <v>35.704686762</v>
      </c>
      <c r="D588" t="n">
        <v/>
      </c>
      <c r="E588" t="n">
        <v>35.78264562</v>
      </c>
      <c r="F588" t="n">
        <v/>
      </c>
      <c r="G588" t="n">
        <v/>
      </c>
      <c r="H588" t="n">
        <v/>
      </c>
      <c r="I588" t="n">
        <v>19.811788076</v>
      </c>
      <c r="J588" t="n">
        <v/>
      </c>
      <c r="K588" t="n">
        <v>39.320627813</v>
      </c>
      <c r="L588" t="n">
        <v/>
      </c>
      <c r="M588" t="n">
        <v/>
      </c>
      <c r="N588" t="n">
        <v>38.61180491</v>
      </c>
      <c r="O588" t="n">
        <v/>
      </c>
      <c r="P588" t="n">
        <v/>
      </c>
      <c r="Q588" t="n">
        <v>24.7807745</v>
      </c>
      <c r="R588" t="n">
        <v>50.571806723</v>
      </c>
      <c r="S588" t="n">
        <v>38.811478437</v>
      </c>
      <c r="T588" t="n">
        <v/>
      </c>
      <c r="U588" t="n">
        <v/>
      </c>
      <c r="V588" t="n">
        <v>44.935006556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/>
      </c>
      <c r="AC588" t="n">
        <v>59.37705817</v>
      </c>
      <c r="AD588" t="n">
        <v>33.651587607</v>
      </c>
      <c r="AE588" t="n">
        <v/>
      </c>
      <c r="AF588" t="n">
        <v>43.598353619</v>
      </c>
      <c r="AG588" t="n">
        <v/>
      </c>
      <c r="AH588" t="n">
        <v/>
      </c>
      <c r="AI588" t="n">
        <v>37.995434493</v>
      </c>
      <c r="AJ588" t="n">
        <v>32.671856262</v>
      </c>
      <c r="AK588" t="n">
        <v/>
      </c>
      <c r="AL588" t="n">
        <v/>
      </c>
      <c r="AM588" t="n">
        <v/>
      </c>
      <c r="AN588" t="n">
        <v>31.928386517</v>
      </c>
      <c r="AO588" t="n">
        <v/>
      </c>
      <c r="AP588" t="n">
        <v/>
      </c>
      <c r="AQ588" t="n">
        <v/>
      </c>
      <c r="AR588" t="n">
        <v>44.12218538</v>
      </c>
      <c r="AS588" t="n">
        <v/>
      </c>
      <c r="AT588" t="n">
        <v>35.6885175</v>
      </c>
      <c r="AU588" t="n">
        <v/>
      </c>
    </row>
    <row r="589">
      <c r="A589" s="105" t="n">
        <v>24807</v>
      </c>
      <c r="B589" t="n">
        <v>20.721293762</v>
      </c>
      <c r="C589" t="n">
        <v>36.332372346</v>
      </c>
      <c r="D589" t="n">
        <v/>
      </c>
      <c r="E589" t="n">
        <v>36.183948075</v>
      </c>
      <c r="F589" t="n">
        <v/>
      </c>
      <c r="G589" t="n">
        <v/>
      </c>
      <c r="H589" t="n">
        <v/>
      </c>
      <c r="I589" t="n">
        <v>20.719567131</v>
      </c>
      <c r="J589" t="n">
        <v/>
      </c>
      <c r="K589" t="n">
        <v>41.604557529</v>
      </c>
      <c r="L589" t="n">
        <v/>
      </c>
      <c r="M589" t="n">
        <v/>
      </c>
      <c r="N589" t="n">
        <v>38.729910882</v>
      </c>
      <c r="O589" t="n">
        <v/>
      </c>
      <c r="P589" t="n">
        <v/>
      </c>
      <c r="Q589" t="n">
        <v>24.709050117</v>
      </c>
      <c r="R589" t="n">
        <v>51.362942084</v>
      </c>
      <c r="S589" t="n">
        <v>39.510490992</v>
      </c>
      <c r="T589" t="n">
        <v/>
      </c>
      <c r="U589" t="n">
        <v/>
      </c>
      <c r="V589" t="n">
        <v>45.059907885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/>
      </c>
      <c r="AC589" t="n">
        <v>59.308808671</v>
      </c>
      <c r="AD589" t="n">
        <v>33.988103483</v>
      </c>
      <c r="AE589" t="n">
        <v/>
      </c>
      <c r="AF589" t="n">
        <v>42.18227146</v>
      </c>
      <c r="AG589" t="n">
        <v/>
      </c>
      <c r="AH589" t="n">
        <v/>
      </c>
      <c r="AI589" t="n">
        <v>38.56679441</v>
      </c>
      <c r="AJ589" t="n">
        <v>32.648976811</v>
      </c>
      <c r="AK589" t="n">
        <v/>
      </c>
      <c r="AL589" t="n">
        <v/>
      </c>
      <c r="AM589" t="n">
        <v/>
      </c>
      <c r="AN589" t="n">
        <v>29.579750451</v>
      </c>
      <c r="AO589" t="n">
        <v/>
      </c>
      <c r="AP589" t="n">
        <v/>
      </c>
      <c r="AQ589" t="n">
        <v/>
      </c>
      <c r="AR589" t="n">
        <v>44.12218538</v>
      </c>
      <c r="AS589" t="n">
        <v/>
      </c>
      <c r="AT589" t="n">
        <v>36.072855686</v>
      </c>
      <c r="AU589" t="n">
        <v/>
      </c>
    </row>
    <row r="590">
      <c r="A590" s="105" t="n">
        <v>24838</v>
      </c>
      <c r="B590" t="n">
        <v>20.234765289</v>
      </c>
      <c r="C590" t="n">
        <v>36.279312686</v>
      </c>
      <c r="D590" t="n">
        <v/>
      </c>
      <c r="E590" t="n">
        <v>35.995514486</v>
      </c>
      <c r="F590" t="n">
        <v/>
      </c>
      <c r="G590" t="n">
        <v/>
      </c>
      <c r="H590" t="n">
        <v/>
      </c>
      <c r="I590" t="n">
        <v>20.233079199</v>
      </c>
      <c r="J590" t="n">
        <v/>
      </c>
      <c r="K590" t="n">
        <v>38.33298253</v>
      </c>
      <c r="L590" t="n">
        <v/>
      </c>
      <c r="M590" t="n">
        <v/>
      </c>
      <c r="N590" t="n">
        <v>39.307562629</v>
      </c>
      <c r="O590" t="n">
        <v/>
      </c>
      <c r="P590" t="n">
        <v/>
      </c>
      <c r="Q590" t="n">
        <v>24.712310316</v>
      </c>
      <c r="R590" t="n">
        <v>51.30208552</v>
      </c>
      <c r="S590" t="n">
        <v>38.939129665</v>
      </c>
      <c r="T590" t="n">
        <v>56.137247966</v>
      </c>
      <c r="U590" t="n">
        <v/>
      </c>
      <c r="V590" t="n">
        <v>43.783261157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/>
      </c>
      <c r="AC590" t="n">
        <v>59.786555122</v>
      </c>
      <c r="AD590" t="n">
        <v>33.903974514</v>
      </c>
      <c r="AE590" t="n">
        <v/>
      </c>
      <c r="AF590" t="n">
        <v>42.094228493</v>
      </c>
      <c r="AG590" t="n">
        <v/>
      </c>
      <c r="AH590" t="n">
        <v/>
      </c>
      <c r="AI590" t="n">
        <v>38.56679441</v>
      </c>
      <c r="AJ590" t="n">
        <v>32.580338457</v>
      </c>
      <c r="AK590" t="n">
        <v/>
      </c>
      <c r="AL590" t="n">
        <v/>
      </c>
      <c r="AM590" t="n">
        <v/>
      </c>
      <c r="AN590" t="n">
        <v>30.930227119</v>
      </c>
      <c r="AO590" t="n">
        <v/>
      </c>
      <c r="AP590" t="n">
        <v/>
      </c>
      <c r="AQ590" t="n">
        <v/>
      </c>
      <c r="AR590" t="n">
        <v>43.212449599</v>
      </c>
      <c r="AS590" t="n">
        <v/>
      </c>
      <c r="AT590" t="n">
        <v>36.034084729</v>
      </c>
      <c r="AU590" t="n">
        <v/>
      </c>
    </row>
    <row r="591">
      <c r="A591" s="105" t="n">
        <v>24869</v>
      </c>
      <c r="B591" t="n">
        <v>20.142833658</v>
      </c>
      <c r="C591" t="n">
        <v>36.201252558</v>
      </c>
      <c r="D591" t="n">
        <v/>
      </c>
      <c r="E591" t="n">
        <v>35.854541727</v>
      </c>
      <c r="F591" t="n">
        <v/>
      </c>
      <c r="G591" t="n">
        <v/>
      </c>
      <c r="H591" t="n">
        <v/>
      </c>
      <c r="I591" t="n">
        <v>20.141155228</v>
      </c>
      <c r="J591" t="n">
        <v/>
      </c>
      <c r="K591" t="n">
        <v>39.197172153</v>
      </c>
      <c r="L591" t="n">
        <v/>
      </c>
      <c r="M591" t="n">
        <v/>
      </c>
      <c r="N591" t="n">
        <v>39.583394423</v>
      </c>
      <c r="O591" t="n">
        <v/>
      </c>
      <c r="P591" t="n">
        <v/>
      </c>
      <c r="Q591" t="n">
        <v>24.849238685</v>
      </c>
      <c r="R591" t="n">
        <v>51.606368356</v>
      </c>
      <c r="S591" t="n">
        <v>39.29337037</v>
      </c>
      <c r="T591" t="n">
        <v>56.880084896</v>
      </c>
      <c r="U591" t="n">
        <v/>
      </c>
      <c r="V591" t="n">
        <v>44.212397418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/>
      </c>
      <c r="AC591" t="n">
        <v>59.854804611</v>
      </c>
      <c r="AD591" t="n">
        <v>34.408748328</v>
      </c>
      <c r="AE591" t="n">
        <v/>
      </c>
      <c r="AF591" t="n">
        <v>41.855289342</v>
      </c>
      <c r="AG591" t="n">
        <v/>
      </c>
      <c r="AH591" t="n">
        <v/>
      </c>
      <c r="AI591" t="n">
        <v>38.852474369</v>
      </c>
      <c r="AJ591" t="n">
        <v>32.648976811</v>
      </c>
      <c r="AK591" t="n">
        <v/>
      </c>
      <c r="AL591" t="n">
        <v/>
      </c>
      <c r="AM591" t="n">
        <v/>
      </c>
      <c r="AN591" t="n">
        <v>31.811235806</v>
      </c>
      <c r="AO591" t="n">
        <v/>
      </c>
      <c r="AP591" t="n">
        <v/>
      </c>
      <c r="AQ591" t="n">
        <v/>
      </c>
      <c r="AR591" t="n">
        <v>42.757581708</v>
      </c>
      <c r="AS591" t="n">
        <v/>
      </c>
      <c r="AT591" t="n">
        <v>36.163189042</v>
      </c>
      <c r="AU591" t="n">
        <v/>
      </c>
    </row>
    <row r="592">
      <c r="A592" s="105" t="n">
        <v>24898</v>
      </c>
      <c r="B592" t="n">
        <v>20.745865089</v>
      </c>
      <c r="C592" t="n">
        <v>36.373142233</v>
      </c>
      <c r="D592" t="n">
        <v/>
      </c>
      <c r="E592" t="n">
        <v>36.057072591</v>
      </c>
      <c r="F592" t="n">
        <v/>
      </c>
      <c r="G592" t="n">
        <v/>
      </c>
      <c r="H592" t="n">
        <v/>
      </c>
      <c r="I592" t="n">
        <v>20.744136411</v>
      </c>
      <c r="J592" t="n">
        <v/>
      </c>
      <c r="K592" t="n">
        <v>39.690994794</v>
      </c>
      <c r="L592" t="n">
        <v/>
      </c>
      <c r="M592" t="n">
        <v/>
      </c>
      <c r="N592" t="n">
        <v>38.971204536</v>
      </c>
      <c r="O592" t="n">
        <v/>
      </c>
      <c r="P592" t="n">
        <v/>
      </c>
      <c r="Q592" t="n">
        <v>24.960085459</v>
      </c>
      <c r="R592" t="n">
        <v>52.580073417</v>
      </c>
      <c r="S592" t="n">
        <v>39.5363052</v>
      </c>
      <c r="T592" t="n">
        <v>57.304563141</v>
      </c>
      <c r="U592" t="n">
        <v/>
      </c>
      <c r="V592" t="n">
        <v>46.145768662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/>
      </c>
      <c r="AC592" t="n">
        <v>59.854804611</v>
      </c>
      <c r="AD592" t="n">
        <v>34.577006266</v>
      </c>
      <c r="AE592" t="n">
        <v/>
      </c>
      <c r="AF592" t="n">
        <v>43.754356654</v>
      </c>
      <c r="AG592" t="n">
        <v/>
      </c>
      <c r="AH592" t="n">
        <v/>
      </c>
      <c r="AI592" t="n">
        <v>39.423834286</v>
      </c>
      <c r="AJ592" t="n">
        <v>32.511700104</v>
      </c>
      <c r="AK592" t="n">
        <v/>
      </c>
      <c r="AL592" t="n">
        <v/>
      </c>
      <c r="AM592" t="n">
        <v/>
      </c>
      <c r="AN592" t="n">
        <v>31.469706289</v>
      </c>
      <c r="AO592" t="n">
        <v/>
      </c>
      <c r="AP592" t="n">
        <v/>
      </c>
      <c r="AQ592" t="n">
        <v/>
      </c>
      <c r="AR592" t="n">
        <v>43.667317489</v>
      </c>
      <c r="AS592" t="n">
        <v/>
      </c>
      <c r="AT592" t="n">
        <v>36.276031368</v>
      </c>
      <c r="AU592" t="n">
        <v/>
      </c>
    </row>
    <row r="593">
      <c r="A593" s="105" t="n">
        <v>24929</v>
      </c>
      <c r="B593" t="n">
        <v>20.766475038</v>
      </c>
      <c r="C593" t="n">
        <v>37.004963742</v>
      </c>
      <c r="D593" t="n">
        <v/>
      </c>
      <c r="E593" t="n">
        <v>36.991252077</v>
      </c>
      <c r="F593" t="n">
        <v/>
      </c>
      <c r="G593" t="n">
        <v/>
      </c>
      <c r="H593" t="n">
        <v/>
      </c>
      <c r="I593" t="n">
        <v>20.764744643</v>
      </c>
      <c r="J593" t="n">
        <v/>
      </c>
      <c r="K593" t="n">
        <v>39.814450454</v>
      </c>
      <c r="L593" t="n">
        <v/>
      </c>
      <c r="M593" t="n">
        <v/>
      </c>
      <c r="N593" t="n">
        <v>39.179573426</v>
      </c>
      <c r="O593" t="n">
        <v/>
      </c>
      <c r="P593" t="n">
        <v/>
      </c>
      <c r="Q593" t="n">
        <v>25.589303914</v>
      </c>
      <c r="R593" t="n">
        <v>52.458360281</v>
      </c>
      <c r="S593" t="n">
        <v>39.694282296</v>
      </c>
      <c r="T593" t="n">
        <v>57.092324018</v>
      </c>
      <c r="U593" t="n">
        <v/>
      </c>
      <c r="V593" t="n">
        <v>45.87632691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/>
      </c>
      <c r="AC593" t="n">
        <v>60.878546991</v>
      </c>
      <c r="AD593" t="n">
        <v>34.829393174</v>
      </c>
      <c r="AE593" t="n">
        <v/>
      </c>
      <c r="AF593" t="n">
        <v>43.845810583</v>
      </c>
      <c r="AG593" t="n">
        <v/>
      </c>
      <c r="AH593" t="n">
        <v/>
      </c>
      <c r="AI593" t="n">
        <v>39.709514245</v>
      </c>
      <c r="AJ593" t="n">
        <v>32.397302848</v>
      </c>
      <c r="AK593" t="n">
        <v/>
      </c>
      <c r="AL593" t="n">
        <v/>
      </c>
      <c r="AM593" t="n">
        <v/>
      </c>
      <c r="AN593" t="n">
        <v>30.912476817</v>
      </c>
      <c r="AO593" t="n">
        <v/>
      </c>
      <c r="AP593" t="n">
        <v/>
      </c>
      <c r="AQ593" t="n">
        <v/>
      </c>
      <c r="AR593" t="n">
        <v>45.031921161</v>
      </c>
      <c r="AS593" t="n">
        <v/>
      </c>
      <c r="AT593" t="n">
        <v>36.328585351</v>
      </c>
      <c r="AU593" t="n">
        <v/>
      </c>
    </row>
    <row r="594">
      <c r="A594" s="105" t="n">
        <v>24959</v>
      </c>
      <c r="B594" t="n">
        <v>20.804269837</v>
      </c>
      <c r="C594" t="n">
        <v>36.486337806</v>
      </c>
      <c r="D594" t="n">
        <v/>
      </c>
      <c r="E594" t="n">
        <v>37.459751548</v>
      </c>
      <c r="F594" t="n">
        <v/>
      </c>
      <c r="G594" t="n">
        <v/>
      </c>
      <c r="H594" t="n">
        <v/>
      </c>
      <c r="I594" t="n">
        <v>20.802536292</v>
      </c>
      <c r="J594" t="n">
        <v/>
      </c>
      <c r="K594" t="n">
        <v>40.863823567</v>
      </c>
      <c r="L594" t="n">
        <v/>
      </c>
      <c r="M594" t="n">
        <v/>
      </c>
      <c r="N594" t="n">
        <v>40.749527918</v>
      </c>
      <c r="O594" t="n">
        <v/>
      </c>
      <c r="P594" t="n">
        <v/>
      </c>
      <c r="Q594" t="n">
        <v>25.276324786</v>
      </c>
      <c r="R594" t="n">
        <v>35.905374212</v>
      </c>
      <c r="S594" t="n">
        <v>39.556377692</v>
      </c>
      <c r="T594" t="n">
        <v>57.729041387</v>
      </c>
      <c r="U594" t="n">
        <v/>
      </c>
      <c r="V594" t="n">
        <v>46.473093711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/>
      </c>
      <c r="AC594" t="n">
        <v>61.697540896</v>
      </c>
      <c r="AD594" t="n">
        <v>35.923069771</v>
      </c>
      <c r="AE594" t="n">
        <v/>
      </c>
      <c r="AF594" t="n">
        <v>44.40674508</v>
      </c>
      <c r="AG594" t="n">
        <v/>
      </c>
      <c r="AH594" t="n">
        <v/>
      </c>
      <c r="AI594" t="n">
        <v>39.995194203</v>
      </c>
      <c r="AJ594" t="n">
        <v>33.998864429</v>
      </c>
      <c r="AK594" t="n">
        <v/>
      </c>
      <c r="AL594" t="n">
        <v/>
      </c>
      <c r="AM594" t="n">
        <v/>
      </c>
      <c r="AN594" t="n">
        <v>32.203439427</v>
      </c>
      <c r="AO594" t="n">
        <v/>
      </c>
      <c r="AP594" t="n">
        <v/>
      </c>
      <c r="AQ594" t="n">
        <v/>
      </c>
      <c r="AR594" t="n">
        <v>44.57705327</v>
      </c>
      <c r="AS594" t="n">
        <v/>
      </c>
      <c r="AT594" t="n">
        <v>36.736027458</v>
      </c>
      <c r="AU594" t="n">
        <v/>
      </c>
    </row>
    <row r="595">
      <c r="A595" s="105" t="n">
        <v>24990</v>
      </c>
      <c r="B595" t="n">
        <v>21.955256536</v>
      </c>
      <c r="C595" t="n">
        <v>37.554732429</v>
      </c>
      <c r="D595" t="n">
        <v/>
      </c>
      <c r="E595" t="n">
        <v>37.754384615</v>
      </c>
      <c r="F595" t="n">
        <v/>
      </c>
      <c r="G595" t="n">
        <v/>
      </c>
      <c r="H595" t="n">
        <v/>
      </c>
      <c r="I595" t="n">
        <v>21.953427084</v>
      </c>
      <c r="J595" t="n">
        <v/>
      </c>
      <c r="K595" t="n">
        <v>41.542829699</v>
      </c>
      <c r="L595" t="n">
        <v/>
      </c>
      <c r="M595" t="n">
        <v/>
      </c>
      <c r="N595" t="n">
        <v>39.97592169</v>
      </c>
      <c r="O595" t="n">
        <v/>
      </c>
      <c r="P595" t="n">
        <v/>
      </c>
      <c r="Q595" t="n">
        <v>25.207860602</v>
      </c>
      <c r="R595" t="n">
        <v>45.155572311</v>
      </c>
      <c r="S595" t="n">
        <v>40.06175821</v>
      </c>
      <c r="T595" t="n">
        <v>57.835160948</v>
      </c>
      <c r="U595" t="n">
        <v/>
      </c>
      <c r="V595" t="n">
        <v>48.153951523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/>
      </c>
      <c r="AC595" t="n">
        <v>61.561041908</v>
      </c>
      <c r="AD595" t="n">
        <v>35.334166988</v>
      </c>
      <c r="AE595" t="n">
        <v/>
      </c>
      <c r="AF595" t="n">
        <v>44.819485362</v>
      </c>
      <c r="AG595" t="n">
        <v/>
      </c>
      <c r="AH595" t="n">
        <v/>
      </c>
      <c r="AI595" t="n">
        <v>41.137914038</v>
      </c>
      <c r="AJ595" t="n">
        <v>31.871075471</v>
      </c>
      <c r="AK595" t="n">
        <v/>
      </c>
      <c r="AL595" t="n">
        <v/>
      </c>
      <c r="AM595" t="n">
        <v/>
      </c>
      <c r="AN595" t="n">
        <v>31.196905503</v>
      </c>
      <c r="AO595" t="n">
        <v/>
      </c>
      <c r="AP595" t="n">
        <v/>
      </c>
      <c r="AQ595" t="n">
        <v/>
      </c>
      <c r="AR595" t="n">
        <v>45.941656942</v>
      </c>
      <c r="AS595" t="n">
        <v/>
      </c>
      <c r="AT595" t="n">
        <v>36.87098212</v>
      </c>
      <c r="AU595" t="n">
        <v/>
      </c>
    </row>
    <row r="596">
      <c r="A596" s="105" t="n">
        <v>25020</v>
      </c>
      <c r="B596" t="n">
        <v>21.377681306</v>
      </c>
      <c r="C596" t="n">
        <v>36.135992977</v>
      </c>
      <c r="D596" t="n">
        <v/>
      </c>
      <c r="E596" t="n">
        <v>37.604483581</v>
      </c>
      <c r="F596" t="n">
        <v/>
      </c>
      <c r="G596" t="n">
        <v/>
      </c>
      <c r="H596" t="n">
        <v/>
      </c>
      <c r="I596" t="n">
        <v>21.375899981</v>
      </c>
      <c r="J596" t="n">
        <v/>
      </c>
      <c r="K596" t="n">
        <v>40.987279227</v>
      </c>
      <c r="L596" t="n">
        <v/>
      </c>
      <c r="M596" t="n">
        <v/>
      </c>
      <c r="N596" t="n">
        <v>40.98146004</v>
      </c>
      <c r="O596" t="n">
        <v/>
      </c>
      <c r="P596" t="n">
        <v/>
      </c>
      <c r="Q596" t="n">
        <v>25.012248647</v>
      </c>
      <c r="R596" t="n">
        <v>54.710053247</v>
      </c>
      <c r="S596" t="n">
        <v>40.512334069</v>
      </c>
      <c r="T596" t="n">
        <v>57.835160948</v>
      </c>
      <c r="U596" t="n">
        <v/>
      </c>
      <c r="V596" t="n">
        <v>47.770629663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/>
      </c>
      <c r="AC596" t="n">
        <v>62.03878836</v>
      </c>
      <c r="AD596" t="n">
        <v>35.754811833</v>
      </c>
      <c r="AE596" t="n">
        <v/>
      </c>
      <c r="AF596" t="n">
        <v>44.754032448</v>
      </c>
      <c r="AG596" t="n">
        <v/>
      </c>
      <c r="AH596" t="n">
        <v/>
      </c>
      <c r="AI596" t="n">
        <v>40.852234079</v>
      </c>
      <c r="AJ596" t="n">
        <v>33.358239797</v>
      </c>
      <c r="AK596" t="n">
        <v/>
      </c>
      <c r="AL596" t="n">
        <v/>
      </c>
      <c r="AM596" t="n">
        <v/>
      </c>
      <c r="AN596" t="n">
        <v>31.430091056</v>
      </c>
      <c r="AO596" t="n">
        <v/>
      </c>
      <c r="AP596" t="n">
        <v/>
      </c>
      <c r="AQ596" t="n">
        <v/>
      </c>
      <c r="AR596" t="n">
        <v>50.035467956</v>
      </c>
      <c r="AS596" t="n">
        <v/>
      </c>
      <c r="AT596" t="n">
        <v>36.814461798</v>
      </c>
      <c r="AU596" t="n">
        <v/>
      </c>
    </row>
    <row r="597">
      <c r="A597" s="105" t="n">
        <v>25051</v>
      </c>
      <c r="B597" t="n">
        <v>21.669646818</v>
      </c>
      <c r="C597" t="n">
        <v>37.847900908</v>
      </c>
      <c r="D597" t="n">
        <v/>
      </c>
      <c r="E597" t="n">
        <v>38.109635969</v>
      </c>
      <c r="F597" t="n">
        <v/>
      </c>
      <c r="G597" t="n">
        <v/>
      </c>
      <c r="H597" t="n">
        <v/>
      </c>
      <c r="I597" t="n">
        <v>21.667841164</v>
      </c>
      <c r="J597" t="n">
        <v/>
      </c>
      <c r="K597" t="n">
        <v>43.765031585</v>
      </c>
      <c r="L597" t="n">
        <v/>
      </c>
      <c r="M597" t="n">
        <v/>
      </c>
      <c r="N597" t="n">
        <v>41.121689752</v>
      </c>
      <c r="O597" t="n">
        <v/>
      </c>
      <c r="P597" t="n">
        <v/>
      </c>
      <c r="Q597" t="n">
        <v>25.263283989</v>
      </c>
      <c r="R597" t="n">
        <v>54.710053247</v>
      </c>
      <c r="S597" t="n">
        <v>41.215801525</v>
      </c>
      <c r="T597" t="n">
        <v>58.259639193</v>
      </c>
      <c r="U597" t="n">
        <v/>
      </c>
      <c r="V597" t="n">
        <v>48.865343023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/>
      </c>
      <c r="AC597" t="n">
        <v>61.834039884</v>
      </c>
      <c r="AD597" t="n">
        <v>36.680230492</v>
      </c>
      <c r="AE597" t="n">
        <v/>
      </c>
      <c r="AF597" t="n">
        <v>45.088102799</v>
      </c>
      <c r="AG597" t="n">
        <v/>
      </c>
      <c r="AH597" t="n">
        <v/>
      </c>
      <c r="AI597" t="n">
        <v>41.137914038</v>
      </c>
      <c r="AJ597" t="n">
        <v>32.603217908</v>
      </c>
      <c r="AK597" t="n">
        <v/>
      </c>
      <c r="AL597" t="n">
        <v/>
      </c>
      <c r="AM597" t="n">
        <v/>
      </c>
      <c r="AN597" t="n">
        <v>33.284380313</v>
      </c>
      <c r="AO597" t="n">
        <v/>
      </c>
      <c r="AP597" t="n">
        <v/>
      </c>
      <c r="AQ597" t="n">
        <v/>
      </c>
      <c r="AR597" t="n">
        <v>46.851392723</v>
      </c>
      <c r="AS597" t="n">
        <v/>
      </c>
      <c r="AT597" t="n">
        <v>36.917189962</v>
      </c>
      <c r="AU597" t="n">
        <v/>
      </c>
    </row>
    <row r="598">
      <c r="A598" s="105" t="n">
        <v>25082</v>
      </c>
      <c r="B598" t="n">
        <v>22.054703108</v>
      </c>
      <c r="C598" t="n">
        <v>38.946965514</v>
      </c>
      <c r="D598" t="n">
        <v/>
      </c>
      <c r="E598" t="n">
        <v>38.523625972</v>
      </c>
      <c r="F598" t="n">
        <v/>
      </c>
      <c r="G598" t="n">
        <v/>
      </c>
      <c r="H598" t="n">
        <v/>
      </c>
      <c r="I598" t="n">
        <v>22.052865369</v>
      </c>
      <c r="J598" t="n">
        <v/>
      </c>
      <c r="K598" t="n">
        <v>43.086025453</v>
      </c>
      <c r="L598" t="n">
        <v/>
      </c>
      <c r="M598" t="n">
        <v/>
      </c>
      <c r="N598" t="n">
        <v>41.464250219</v>
      </c>
      <c r="O598" t="n">
        <v/>
      </c>
      <c r="P598" t="n">
        <v/>
      </c>
      <c r="Q598" t="n">
        <v>25.947925832</v>
      </c>
      <c r="R598" t="n">
        <v>53.127782515</v>
      </c>
      <c r="S598" t="n">
        <v>41.157517942</v>
      </c>
      <c r="T598" t="n">
        <v>58.153519632</v>
      </c>
      <c r="U598" t="n">
        <v/>
      </c>
      <c r="V598" t="n">
        <v>48.724600155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/>
      </c>
      <c r="AC598" t="n">
        <v>63.676776169</v>
      </c>
      <c r="AD598" t="n">
        <v>36.511972554</v>
      </c>
      <c r="AE598" t="n">
        <v/>
      </c>
      <c r="AF598" t="n">
        <v>46.504039867</v>
      </c>
      <c r="AG598" t="n">
        <v/>
      </c>
      <c r="AH598" t="n">
        <v/>
      </c>
      <c r="AI598" t="n">
        <v>41.994953913</v>
      </c>
      <c r="AJ598" t="n">
        <v>32.717615164</v>
      </c>
      <c r="AK598" t="n">
        <v/>
      </c>
      <c r="AL598" t="n">
        <v/>
      </c>
      <c r="AM598" t="n">
        <v/>
      </c>
      <c r="AN598" t="n">
        <v>35.43231408</v>
      </c>
      <c r="AO598" t="n">
        <v/>
      </c>
      <c r="AP598" t="n">
        <v/>
      </c>
      <c r="AQ598" t="n">
        <v/>
      </c>
      <c r="AR598" t="n">
        <v>46.851392723</v>
      </c>
      <c r="AS598" t="n">
        <v/>
      </c>
      <c r="AT598" t="n">
        <v>37.057003388</v>
      </c>
      <c r="AU598" t="n">
        <v/>
      </c>
    </row>
    <row r="599">
      <c r="A599" s="105" t="n">
        <v>25112</v>
      </c>
      <c r="B599" t="n">
        <v>21.858375143</v>
      </c>
      <c r="C599" t="n">
        <v>38.012554767</v>
      </c>
      <c r="D599" t="n">
        <v/>
      </c>
      <c r="E599" t="n">
        <v>38.769388483</v>
      </c>
      <c r="F599" t="n">
        <v/>
      </c>
      <c r="G599" t="n">
        <v/>
      </c>
      <c r="H599" t="n">
        <v/>
      </c>
      <c r="I599" t="n">
        <v>21.856553763</v>
      </c>
      <c r="J599" t="n">
        <v/>
      </c>
      <c r="K599" t="n">
        <v>43.209481113</v>
      </c>
      <c r="L599" t="n">
        <v/>
      </c>
      <c r="M599" t="n">
        <v/>
      </c>
      <c r="N599" t="n">
        <v>43.149238482</v>
      </c>
      <c r="O599" t="n">
        <v/>
      </c>
      <c r="P599" t="n">
        <v/>
      </c>
      <c r="Q599" t="n">
        <v>26.21852237</v>
      </c>
      <c r="R599" t="n">
        <v>55.501188608</v>
      </c>
      <c r="S599" t="n">
        <v>41.513691313</v>
      </c>
      <c r="T599" t="n">
        <v>57.729041387</v>
      </c>
      <c r="U599" t="n">
        <v/>
      </c>
      <c r="V599" t="n">
        <v>48.963194405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/>
      </c>
      <c r="AC599" t="n">
        <v>64.15452261</v>
      </c>
      <c r="AD599" t="n">
        <v>37.437391213</v>
      </c>
      <c r="AE599" t="n">
        <v/>
      </c>
      <c r="AF599" t="n">
        <v>46.391023383</v>
      </c>
      <c r="AG599" t="n">
        <v/>
      </c>
      <c r="AH599" t="n">
        <v/>
      </c>
      <c r="AI599" t="n">
        <v>42.280633872</v>
      </c>
      <c r="AJ599" t="n">
        <v>33.541275406</v>
      </c>
      <c r="AK599" t="n">
        <v/>
      </c>
      <c r="AL599" t="n">
        <v/>
      </c>
      <c r="AM599" t="n">
        <v/>
      </c>
      <c r="AN599" t="n">
        <v>33.876381613</v>
      </c>
      <c r="AO599" t="n">
        <v/>
      </c>
      <c r="AP599" t="n">
        <v/>
      </c>
      <c r="AQ599" t="n">
        <v/>
      </c>
      <c r="AR599" t="n">
        <v>46.396524832</v>
      </c>
      <c r="AS599" t="n">
        <v/>
      </c>
      <c r="AT599" t="n">
        <v>37.130578965</v>
      </c>
      <c r="AU599" t="n">
        <v/>
      </c>
    </row>
    <row r="600">
      <c r="A600" s="105" t="n">
        <v>25143</v>
      </c>
      <c r="B600" t="n">
        <v>22.372204557</v>
      </c>
      <c r="C600" t="n">
        <v>38.816137705</v>
      </c>
      <c r="D600" t="n">
        <v/>
      </c>
      <c r="E600" t="n">
        <v>39.244466682</v>
      </c>
      <c r="F600" t="n">
        <v/>
      </c>
      <c r="G600" t="n">
        <v/>
      </c>
      <c r="H600" t="n">
        <v/>
      </c>
      <c r="I600" t="n">
        <v>22.370340362</v>
      </c>
      <c r="J600" t="n">
        <v/>
      </c>
      <c r="K600" t="n">
        <v>44.690949037</v>
      </c>
      <c r="L600" t="n">
        <v/>
      </c>
      <c r="M600" t="n">
        <v/>
      </c>
      <c r="N600" t="n">
        <v>43.306771087</v>
      </c>
      <c r="O600" t="n">
        <v/>
      </c>
      <c r="P600" t="n">
        <v/>
      </c>
      <c r="Q600" t="n">
        <v>26.776016442</v>
      </c>
      <c r="R600" t="n">
        <v>56.657463368</v>
      </c>
      <c r="S600" t="n">
        <v>42.148889552</v>
      </c>
      <c r="T600" t="n">
        <v>58.153519632</v>
      </c>
      <c r="U600" t="n">
        <v/>
      </c>
      <c r="V600" t="n">
        <v>49.519298834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/>
      </c>
      <c r="AC600" t="n">
        <v>61.834039884</v>
      </c>
      <c r="AD600" t="n">
        <v>38.446938841</v>
      </c>
      <c r="AE600" t="n">
        <v/>
      </c>
      <c r="AF600" t="n">
        <v>47.103628365</v>
      </c>
      <c r="AG600" t="n">
        <v/>
      </c>
      <c r="AH600" t="n">
        <v/>
      </c>
      <c r="AI600" t="n">
        <v>42.851993789</v>
      </c>
      <c r="AJ600" t="n">
        <v>33.243842541</v>
      </c>
      <c r="AK600" t="n">
        <v/>
      </c>
      <c r="AL600" t="n">
        <v/>
      </c>
      <c r="AM600" t="n">
        <v/>
      </c>
      <c r="AN600" t="n">
        <v>33.670612473</v>
      </c>
      <c r="AO600" t="n">
        <v/>
      </c>
      <c r="AP600" t="n">
        <v/>
      </c>
      <c r="AQ600" t="n">
        <v/>
      </c>
      <c r="AR600" t="n">
        <v>46.851392723</v>
      </c>
      <c r="AS600" t="n">
        <v/>
      </c>
      <c r="AT600" t="n">
        <v>37.610902539</v>
      </c>
      <c r="AU600" t="n">
        <v/>
      </c>
    </row>
    <row r="601">
      <c r="A601" s="105" t="n">
        <v>25173</v>
      </c>
      <c r="B601" t="n">
        <v>20.749819198</v>
      </c>
      <c r="C601" t="n">
        <v>39.257856087</v>
      </c>
      <c r="D601" t="n">
        <v/>
      </c>
      <c r="E601" t="n">
        <v>39.188547488</v>
      </c>
      <c r="F601" t="n">
        <v/>
      </c>
      <c r="G601" t="n">
        <v/>
      </c>
      <c r="H601" t="n">
        <v/>
      </c>
      <c r="I601" t="n">
        <v>20.74809019</v>
      </c>
      <c r="J601" t="n">
        <v/>
      </c>
      <c r="K601" t="n">
        <v>44.444037716</v>
      </c>
      <c r="L601" t="n">
        <v/>
      </c>
      <c r="M601" t="n">
        <v/>
      </c>
      <c r="N601" t="n">
        <v>44.861238963</v>
      </c>
      <c r="O601" t="n">
        <v/>
      </c>
      <c r="P601" t="n">
        <v/>
      </c>
      <c r="Q601" t="n">
        <v>27.278087126</v>
      </c>
      <c r="R601" t="n">
        <v>56.596606805</v>
      </c>
      <c r="S601" t="n">
        <v>42.295639305</v>
      </c>
      <c r="T601" t="n">
        <v>58.790237</v>
      </c>
      <c r="U601" t="n">
        <v/>
      </c>
      <c r="V601" t="n">
        <v>49.726752779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/>
      </c>
      <c r="AC601" t="n">
        <v>64.564019573</v>
      </c>
      <c r="AD601" t="n">
        <v>38.278680903</v>
      </c>
      <c r="AE601" t="n">
        <v/>
      </c>
      <c r="AF601" t="n">
        <v>47.859746375</v>
      </c>
      <c r="AG601" t="n">
        <v/>
      </c>
      <c r="AH601" t="n">
        <v/>
      </c>
      <c r="AI601" t="n">
        <v>43.423353706</v>
      </c>
      <c r="AJ601" t="n">
        <v>33.266721992</v>
      </c>
      <c r="AK601" t="n">
        <v/>
      </c>
      <c r="AL601" t="n">
        <v/>
      </c>
      <c r="AM601" t="n">
        <v/>
      </c>
      <c r="AN601" t="n">
        <v>33.5961613</v>
      </c>
      <c r="AO601" t="n">
        <v/>
      </c>
      <c r="AP601" t="n">
        <v/>
      </c>
      <c r="AQ601" t="n">
        <v/>
      </c>
      <c r="AR601" t="n">
        <v>48.215996394</v>
      </c>
      <c r="AS601" t="n">
        <v/>
      </c>
      <c r="AT601" t="n">
        <v>37.729694372</v>
      </c>
      <c r="AU601" t="n">
        <v/>
      </c>
    </row>
    <row r="602">
      <c r="A602" s="105" t="n">
        <v>25204</v>
      </c>
      <c r="B602" t="n">
        <v>22.478921449</v>
      </c>
      <c r="C602" t="n">
        <v>40.083825271</v>
      </c>
      <c r="D602" t="n">
        <v/>
      </c>
      <c r="E602" t="n">
        <v>39.331869793</v>
      </c>
      <c r="F602" t="n">
        <v/>
      </c>
      <c r="G602" t="n">
        <v/>
      </c>
      <c r="H602" t="n">
        <v/>
      </c>
      <c r="I602" t="n">
        <v>22.477048362</v>
      </c>
      <c r="J602" t="n">
        <v/>
      </c>
      <c r="K602" t="n">
        <v>44.937860358</v>
      </c>
      <c r="L602" t="n">
        <v/>
      </c>
      <c r="M602" t="n">
        <v/>
      </c>
      <c r="N602" t="n">
        <v>45.474452918</v>
      </c>
      <c r="O602" t="n">
        <v/>
      </c>
      <c r="P602" t="n">
        <v/>
      </c>
      <c r="Q602" t="n">
        <v>27.460658284</v>
      </c>
      <c r="R602" t="n">
        <v>56.231467406</v>
      </c>
      <c r="S602" t="n">
        <v>42.631038623</v>
      </c>
      <c r="T602" t="n">
        <v>58.896356562</v>
      </c>
      <c r="U602" t="n">
        <v/>
      </c>
      <c r="V602" t="n">
        <v>49.241342895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/>
      </c>
      <c r="AC602" t="n">
        <v>65.860759918</v>
      </c>
      <c r="AD602" t="n">
        <v>38.783454717</v>
      </c>
      <c r="AE602" t="n">
        <v/>
      </c>
      <c r="AF602" t="n">
        <v>50.444955782</v>
      </c>
      <c r="AG602" t="n">
        <v/>
      </c>
      <c r="AH602" t="n">
        <v/>
      </c>
      <c r="AI602" t="n">
        <v>43.137673748</v>
      </c>
      <c r="AJ602" t="n">
        <v>34.933946541</v>
      </c>
      <c r="AK602" t="n">
        <v/>
      </c>
      <c r="AL602" t="n">
        <v/>
      </c>
      <c r="AM602" t="n">
        <v/>
      </c>
      <c r="AN602" t="n">
        <v>34.754626177</v>
      </c>
      <c r="AO602" t="n">
        <v/>
      </c>
      <c r="AP602" t="n">
        <v/>
      </c>
      <c r="AQ602" t="n">
        <v/>
      </c>
      <c r="AR602" t="n">
        <v>47.761128504</v>
      </c>
      <c r="AS602" t="n">
        <v/>
      </c>
      <c r="AT602" t="n">
        <v>37.957957144</v>
      </c>
      <c r="AU602" t="n">
        <v/>
      </c>
    </row>
    <row r="603">
      <c r="A603" s="105" t="n">
        <v>25235</v>
      </c>
      <c r="B603" t="n">
        <v>22.713581547</v>
      </c>
      <c r="C603" t="n">
        <v>39.313530811</v>
      </c>
      <c r="D603" t="n">
        <v/>
      </c>
      <c r="E603" t="n">
        <v>39.874145008</v>
      </c>
      <c r="F603" t="n">
        <v/>
      </c>
      <c r="G603" t="n">
        <v/>
      </c>
      <c r="H603" t="n">
        <v/>
      </c>
      <c r="I603" t="n">
        <v>22.711688906</v>
      </c>
      <c r="J603" t="n">
        <v/>
      </c>
      <c r="K603" t="n">
        <v>45.184771678</v>
      </c>
      <c r="L603" t="n">
        <v/>
      </c>
      <c r="M603" t="n">
        <v/>
      </c>
      <c r="N603" t="n">
        <v>43.972154559</v>
      </c>
      <c r="O603" t="n">
        <v/>
      </c>
      <c r="P603" t="n">
        <v/>
      </c>
      <c r="Q603" t="n">
        <v>27.786678209</v>
      </c>
      <c r="R603" t="n">
        <v>55.622901744</v>
      </c>
      <c r="S603" t="n">
        <v>42.809336141</v>
      </c>
      <c r="T603" t="n">
        <v>59.214715246</v>
      </c>
      <c r="U603" t="n">
        <v/>
      </c>
      <c r="V603" t="n">
        <v>50.749343439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/>
      </c>
      <c r="AC603" t="n">
        <v>63.881524645</v>
      </c>
      <c r="AD603" t="n">
        <v>39.372357501</v>
      </c>
      <c r="AE603" t="n">
        <v/>
      </c>
      <c r="AF603" t="n">
        <v>49.03276498</v>
      </c>
      <c r="AG603" t="n">
        <v/>
      </c>
      <c r="AH603" t="n">
        <v/>
      </c>
      <c r="AI603" t="n">
        <v>43.137673748</v>
      </c>
      <c r="AJ603" t="n">
        <v>33.94565531</v>
      </c>
      <c r="AK603" t="n">
        <v/>
      </c>
      <c r="AL603" t="n">
        <v/>
      </c>
      <c r="AM603" t="n">
        <v/>
      </c>
      <c r="AN603" t="n">
        <v>35.554852688</v>
      </c>
      <c r="AO603" t="n">
        <v/>
      </c>
      <c r="AP603" t="n">
        <v/>
      </c>
      <c r="AQ603" t="n">
        <v/>
      </c>
      <c r="AR603" t="n">
        <v>46.851392723</v>
      </c>
      <c r="AS603" t="n">
        <v/>
      </c>
      <c r="AT603" t="n">
        <v>38.200796209</v>
      </c>
      <c r="AU603" t="n">
        <v/>
      </c>
    </row>
    <row r="604">
      <c r="A604" s="105" t="n">
        <v>25263</v>
      </c>
      <c r="B604" t="n">
        <v>22.9328048</v>
      </c>
      <c r="C604" t="n">
        <v>39.929979904</v>
      </c>
      <c r="D604" t="n">
        <v/>
      </c>
      <c r="E604" t="n">
        <v>40.559272619</v>
      </c>
      <c r="F604" t="n">
        <v/>
      </c>
      <c r="G604" t="n">
        <v/>
      </c>
      <c r="H604" t="n">
        <v/>
      </c>
      <c r="I604" t="n">
        <v>22.930893892</v>
      </c>
      <c r="J604" t="n">
        <v/>
      </c>
      <c r="K604" t="n">
        <v>45.67859432</v>
      </c>
      <c r="L604" t="n">
        <v/>
      </c>
      <c r="M604" t="n">
        <v/>
      </c>
      <c r="N604" t="n">
        <v>46.918997702</v>
      </c>
      <c r="O604" t="n">
        <v/>
      </c>
      <c r="P604" t="n">
        <v/>
      </c>
      <c r="Q604" t="n">
        <v>28.265927499</v>
      </c>
      <c r="R604" t="n">
        <v>55.622901744</v>
      </c>
      <c r="S604" t="n">
        <v>43.147220204</v>
      </c>
      <c r="T604" t="n">
        <v>59.108595684</v>
      </c>
      <c r="U604" t="n">
        <v/>
      </c>
      <c r="V604" t="n">
        <v>50.922696966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/>
      </c>
      <c r="AC604" t="n">
        <v>65.860759918</v>
      </c>
      <c r="AD604" t="n">
        <v>39.45648647</v>
      </c>
      <c r="AE604" t="n">
        <v/>
      </c>
      <c r="AF604" t="n">
        <v>49.26689375</v>
      </c>
      <c r="AG604" t="n">
        <v/>
      </c>
      <c r="AH604" t="n">
        <v/>
      </c>
      <c r="AI604" t="n">
        <v>43.994713624</v>
      </c>
      <c r="AJ604" t="n">
        <v>34.590193069</v>
      </c>
      <c r="AK604" t="n">
        <v/>
      </c>
      <c r="AL604" t="n">
        <v/>
      </c>
      <c r="AM604" t="n">
        <v/>
      </c>
      <c r="AN604" t="n">
        <v>34.029587818</v>
      </c>
      <c r="AO604" t="n">
        <v/>
      </c>
      <c r="AP604" t="n">
        <v/>
      </c>
      <c r="AQ604" t="n">
        <v/>
      </c>
      <c r="AR604" t="n">
        <v>47.761128504</v>
      </c>
      <c r="AS604" t="n">
        <v/>
      </c>
      <c r="AT604" t="n">
        <v>38.500353913</v>
      </c>
      <c r="AU604" t="n">
        <v/>
      </c>
    </row>
    <row r="605">
      <c r="A605" s="105" t="n">
        <v>25294</v>
      </c>
      <c r="B605" t="n">
        <v>22.876801919</v>
      </c>
      <c r="C605" t="n">
        <v>40.791154988</v>
      </c>
      <c r="D605" t="n">
        <v/>
      </c>
      <c r="E605" t="n">
        <v>40.176296622</v>
      </c>
      <c r="F605" t="n">
        <v/>
      </c>
      <c r="G605" t="n">
        <v/>
      </c>
      <c r="H605" t="n">
        <v/>
      </c>
      <c r="I605" t="n">
        <v>22.874895678</v>
      </c>
      <c r="J605" t="n">
        <v/>
      </c>
      <c r="K605" t="n">
        <v>45.98723347</v>
      </c>
      <c r="L605" t="n">
        <v/>
      </c>
      <c r="M605" t="n">
        <v/>
      </c>
      <c r="N605" t="n">
        <v>47.020003672</v>
      </c>
      <c r="O605" t="n">
        <v/>
      </c>
      <c r="P605" t="n">
        <v/>
      </c>
      <c r="Q605" t="n">
        <v>28.415896664</v>
      </c>
      <c r="R605" t="n">
        <v>57.448598729</v>
      </c>
      <c r="S605" t="n">
        <v>43.49248309</v>
      </c>
      <c r="T605" t="n">
        <v>60.063671737</v>
      </c>
      <c r="U605" t="n">
        <v/>
      </c>
      <c r="V605" t="n">
        <v>51.373750968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/>
      </c>
      <c r="AC605" t="n">
        <v>66.20200738200001</v>
      </c>
      <c r="AD605" t="n">
        <v>40.550163067</v>
      </c>
      <c r="AE605" t="n">
        <v/>
      </c>
      <c r="AF605" t="n">
        <v>49.326021744</v>
      </c>
      <c r="AG605" t="n">
        <v/>
      </c>
      <c r="AH605" t="n">
        <v/>
      </c>
      <c r="AI605" t="n">
        <v>44.566073541</v>
      </c>
      <c r="AJ605" t="n">
        <v>33.601901839</v>
      </c>
      <c r="AK605" t="n">
        <v/>
      </c>
      <c r="AL605" t="n">
        <v/>
      </c>
      <c r="AM605" t="n">
        <v/>
      </c>
      <c r="AN605" t="n">
        <v>34.077489507</v>
      </c>
      <c r="AO605" t="n">
        <v/>
      </c>
      <c r="AP605" t="n">
        <v/>
      </c>
      <c r="AQ605" t="n">
        <v/>
      </c>
      <c r="AR605" t="n">
        <v>48.670864285</v>
      </c>
      <c r="AS605" t="n">
        <v/>
      </c>
      <c r="AT605" t="n">
        <v>38.358656476</v>
      </c>
      <c r="AU605" t="n">
        <v/>
      </c>
    </row>
    <row r="606">
      <c r="A606" s="105" t="n">
        <v>25324</v>
      </c>
      <c r="B606" t="n">
        <v>23.431391425</v>
      </c>
      <c r="C606" t="n">
        <v>41.167340695</v>
      </c>
      <c r="D606" t="n">
        <v/>
      </c>
      <c r="E606" t="n">
        <v>40.141993251</v>
      </c>
      <c r="F606" t="n">
        <v/>
      </c>
      <c r="G606" t="n">
        <v/>
      </c>
      <c r="H606" t="n">
        <v/>
      </c>
      <c r="I606" t="n">
        <v>23.429438971</v>
      </c>
      <c r="J606" t="n">
        <v/>
      </c>
      <c r="K606" t="n">
        <v>46.542783942</v>
      </c>
      <c r="L606" t="n">
        <v/>
      </c>
      <c r="M606" t="n">
        <v/>
      </c>
      <c r="N606" t="n">
        <v>47.632744244</v>
      </c>
      <c r="O606" t="n">
        <v/>
      </c>
      <c r="P606" t="n">
        <v/>
      </c>
      <c r="Q606" t="n">
        <v>28.927747947</v>
      </c>
      <c r="R606" t="n">
        <v>58.787443198</v>
      </c>
      <c r="S606" t="n">
        <v>43.693529809</v>
      </c>
      <c r="T606" t="n">
        <v>60.063671737</v>
      </c>
      <c r="U606" t="n">
        <v/>
      </c>
      <c r="V606" t="n">
        <v>52.750867174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/>
      </c>
      <c r="AC606" t="n">
        <v>65.041766014</v>
      </c>
      <c r="AD606" t="n">
        <v>41.475581726</v>
      </c>
      <c r="AE606" t="n">
        <v/>
      </c>
      <c r="AF606" t="n">
        <v>48.404382556</v>
      </c>
      <c r="AG606" t="n">
        <v/>
      </c>
      <c r="AH606" t="n">
        <v/>
      </c>
      <c r="AI606" t="n">
        <v>45.137433458</v>
      </c>
      <c r="AJ606" t="n">
        <v>34.16050123</v>
      </c>
      <c r="AK606" t="n">
        <v/>
      </c>
      <c r="AL606" t="n">
        <v/>
      </c>
      <c r="AM606" t="n">
        <v/>
      </c>
      <c r="AN606" t="n">
        <v>33.283687721</v>
      </c>
      <c r="AO606" t="n">
        <v/>
      </c>
      <c r="AP606" t="n">
        <v/>
      </c>
      <c r="AQ606" t="n">
        <v/>
      </c>
      <c r="AR606" t="n">
        <v>48.215996394</v>
      </c>
      <c r="AS606" t="n">
        <v/>
      </c>
      <c r="AT606" t="n">
        <v>38.213686809</v>
      </c>
      <c r="AU606" t="n">
        <v/>
      </c>
    </row>
    <row r="607">
      <c r="A607" s="105" t="n">
        <v>25355</v>
      </c>
      <c r="B607" t="n">
        <v>23.9299857</v>
      </c>
      <c r="C607" t="n">
        <v>41.312960761</v>
      </c>
      <c r="D607" t="n">
        <v/>
      </c>
      <c r="E607" t="n">
        <v>40.203081447</v>
      </c>
      <c r="F607" t="n">
        <v/>
      </c>
      <c r="G607" t="n">
        <v/>
      </c>
      <c r="H607" t="n">
        <v/>
      </c>
      <c r="I607" t="n">
        <v>23.927991701</v>
      </c>
      <c r="J607" t="n">
        <v/>
      </c>
      <c r="K607" t="n">
        <v>47.036606583</v>
      </c>
      <c r="L607" t="n">
        <v/>
      </c>
      <c r="M607" t="n">
        <v/>
      </c>
      <c r="N607" t="n">
        <v>47.024824524</v>
      </c>
      <c r="O607" t="n">
        <v/>
      </c>
      <c r="P607" t="n">
        <v/>
      </c>
      <c r="Q607" t="n">
        <v>28.82668177</v>
      </c>
      <c r="R607" t="n">
        <v>58.0571644</v>
      </c>
      <c r="S607" t="n">
        <v>43.951500748</v>
      </c>
      <c r="T607" t="n">
        <v>60.488149982</v>
      </c>
      <c r="U607" t="n">
        <v/>
      </c>
      <c r="V607" t="n">
        <v>53.543411309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/>
      </c>
      <c r="AC607" t="n">
        <v>66.81625280999999</v>
      </c>
      <c r="AD607" t="n">
        <v>41.13906585</v>
      </c>
      <c r="AE607" t="n">
        <v/>
      </c>
      <c r="AF607" t="n">
        <v>50.515942575</v>
      </c>
      <c r="AG607" t="n">
        <v/>
      </c>
      <c r="AH607" t="n">
        <v/>
      </c>
      <c r="AI607" t="n">
        <v>45.708793375</v>
      </c>
      <c r="AJ607" t="n">
        <v>34.504254701</v>
      </c>
      <c r="AK607" t="n">
        <v/>
      </c>
      <c r="AL607" t="n">
        <v/>
      </c>
      <c r="AM607" t="n">
        <v/>
      </c>
      <c r="AN607" t="n">
        <v>35.426454357</v>
      </c>
      <c r="AO607" t="n">
        <v/>
      </c>
      <c r="AP607" t="n">
        <v/>
      </c>
      <c r="AQ607" t="n">
        <v/>
      </c>
      <c r="AR607" t="n">
        <v>49.580600066</v>
      </c>
      <c r="AS607" t="n">
        <v/>
      </c>
      <c r="AT607" t="n">
        <v>38.587018406</v>
      </c>
      <c r="AU607" t="n">
        <v/>
      </c>
    </row>
    <row r="608">
      <c r="A608" s="105" t="n">
        <v>25385</v>
      </c>
      <c r="B608" t="n">
        <v>23.894449932</v>
      </c>
      <c r="C608" t="n">
        <v>42.164511436</v>
      </c>
      <c r="D608" t="n">
        <v/>
      </c>
      <c r="E608" t="n">
        <v>40.547524889</v>
      </c>
      <c r="F608" t="n">
        <v/>
      </c>
      <c r="G608" t="n">
        <v/>
      </c>
      <c r="H608" t="n">
        <v/>
      </c>
      <c r="I608" t="n">
        <v>23.892458894</v>
      </c>
      <c r="J608" t="n">
        <v/>
      </c>
      <c r="K608" t="n">
        <v>46.913150923</v>
      </c>
      <c r="L608" t="n">
        <v/>
      </c>
      <c r="M608" t="n">
        <v/>
      </c>
      <c r="N608" t="n">
        <v>47.309959886</v>
      </c>
      <c r="O608" t="n">
        <v/>
      </c>
      <c r="P608" t="n">
        <v/>
      </c>
      <c r="Q608" t="n">
        <v>29.530884808</v>
      </c>
      <c r="R608" t="n">
        <v>58.300590663</v>
      </c>
      <c r="S608" t="n">
        <v>44.162451789</v>
      </c>
      <c r="T608" t="n">
        <v>60.27591086</v>
      </c>
      <c r="U608" t="n">
        <v/>
      </c>
      <c r="V608" t="n">
        <v>54.116349386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/>
      </c>
      <c r="AC608" t="n">
        <v>67.089250775</v>
      </c>
      <c r="AD608" t="n">
        <v>41.727968633</v>
      </c>
      <c r="AE608" t="n">
        <v/>
      </c>
      <c r="AF608" t="n">
        <v>50.875183147</v>
      </c>
      <c r="AG608" t="n">
        <v/>
      </c>
      <c r="AH608" t="n">
        <v/>
      </c>
      <c r="AI608" t="n">
        <v>46.280153292</v>
      </c>
      <c r="AJ608" t="n">
        <v>34.848008173</v>
      </c>
      <c r="AK608" t="n">
        <v/>
      </c>
      <c r="AL608" t="n">
        <v/>
      </c>
      <c r="AM608" t="n">
        <v/>
      </c>
      <c r="AN608" t="n">
        <v>31.467261942</v>
      </c>
      <c r="AO608" t="n">
        <v/>
      </c>
      <c r="AP608" t="n">
        <v/>
      </c>
      <c r="AQ608" t="n">
        <v/>
      </c>
      <c r="AR608" t="n">
        <v>53.21954319</v>
      </c>
      <c r="AS608" t="n">
        <v/>
      </c>
      <c r="AT608" t="n">
        <v>38.790789039</v>
      </c>
      <c r="AU608" t="n">
        <v/>
      </c>
    </row>
    <row r="609">
      <c r="A609" s="105" t="n">
        <v>25416</v>
      </c>
      <c r="B609" t="n">
        <v>24.408806401</v>
      </c>
      <c r="C609" t="n">
        <v>41.697021791</v>
      </c>
      <c r="D609" t="n">
        <v/>
      </c>
      <c r="E609" t="n">
        <v>39.806008174</v>
      </c>
      <c r="F609" t="n">
        <v/>
      </c>
      <c r="G609" t="n">
        <v/>
      </c>
      <c r="H609" t="n">
        <v/>
      </c>
      <c r="I609" t="n">
        <v>24.406772503</v>
      </c>
      <c r="J609" t="n">
        <v/>
      </c>
      <c r="K609" t="n">
        <v>48.209435356</v>
      </c>
      <c r="L609" t="n">
        <v/>
      </c>
      <c r="M609" t="n">
        <v/>
      </c>
      <c r="N609" t="n">
        <v>48.46005608</v>
      </c>
      <c r="O609" t="n">
        <v/>
      </c>
      <c r="P609" t="n">
        <v/>
      </c>
      <c r="Q609" t="n">
        <v>29.801481346</v>
      </c>
      <c r="R609" t="n">
        <v>58.300590663</v>
      </c>
      <c r="S609" t="n">
        <v>44.322585649</v>
      </c>
      <c r="T609" t="n">
        <v>59.426954369</v>
      </c>
      <c r="U609" t="n">
        <v/>
      </c>
      <c r="V609" t="n">
        <v>54.498770065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/>
      </c>
      <c r="AC609" t="n">
        <v>66.06550839400001</v>
      </c>
      <c r="AD609" t="n">
        <v>42.064484509</v>
      </c>
      <c r="AE609" t="n">
        <v/>
      </c>
      <c r="AF609" t="n">
        <v>50.370699096</v>
      </c>
      <c r="AG609" t="n">
        <v/>
      </c>
      <c r="AH609" t="n">
        <v/>
      </c>
      <c r="AI609" t="n">
        <v>46.85151321</v>
      </c>
      <c r="AJ609" t="n">
        <v>35.320669196</v>
      </c>
      <c r="AK609" t="n">
        <v/>
      </c>
      <c r="AL609" t="n">
        <v/>
      </c>
      <c r="AM609" t="n">
        <v/>
      </c>
      <c r="AN609" t="n">
        <v>38.098520717</v>
      </c>
      <c r="AO609" t="n">
        <v/>
      </c>
      <c r="AP609" t="n">
        <v/>
      </c>
      <c r="AQ609" t="n">
        <v/>
      </c>
      <c r="AR609" t="n">
        <v>49.125732175</v>
      </c>
      <c r="AS609" t="n">
        <v/>
      </c>
      <c r="AT609" t="n">
        <v>38.879932493</v>
      </c>
      <c r="AU609" t="n">
        <v/>
      </c>
    </row>
    <row r="610">
      <c r="A610" s="105" t="n">
        <v>25447</v>
      </c>
      <c r="B610" t="n">
        <v>24.310676705</v>
      </c>
      <c r="C610" t="n">
        <v>41.299856696</v>
      </c>
      <c r="D610" t="n">
        <v/>
      </c>
      <c r="E610" t="n">
        <v>39.930064202</v>
      </c>
      <c r="F610" t="n">
        <v/>
      </c>
      <c r="G610" t="n">
        <v/>
      </c>
      <c r="H610" t="n">
        <v/>
      </c>
      <c r="I610" t="n">
        <v>24.308650984</v>
      </c>
      <c r="J610" t="n">
        <v/>
      </c>
      <c r="K610" t="n">
        <v>47.777340545</v>
      </c>
      <c r="L610" t="n">
        <v/>
      </c>
      <c r="M610" t="n">
        <v/>
      </c>
      <c r="N610" t="n">
        <v>49.158132444</v>
      </c>
      <c r="O610" t="n">
        <v/>
      </c>
      <c r="P610" t="n">
        <v/>
      </c>
      <c r="Q610" t="n">
        <v>29.690634571</v>
      </c>
      <c r="R610" t="n">
        <v>57.570311866</v>
      </c>
      <c r="S610" t="n">
        <v>44.237317073</v>
      </c>
      <c r="T610" t="n">
        <v>59.53307393</v>
      </c>
      <c r="U610" t="n">
        <v/>
      </c>
      <c r="V610" t="n">
        <v>54.806224488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/>
      </c>
      <c r="AC610" t="n">
        <v>62.448285312</v>
      </c>
      <c r="AD610" t="n">
        <v>42.989903168</v>
      </c>
      <c r="AE610" t="n">
        <v/>
      </c>
      <c r="AF610" t="n">
        <v>51.554636039</v>
      </c>
      <c r="AG610" t="n">
        <v/>
      </c>
      <c r="AH610" t="n">
        <v/>
      </c>
      <c r="AI610" t="n">
        <v>46.565833251</v>
      </c>
      <c r="AJ610" t="n">
        <v>35.234730828</v>
      </c>
      <c r="AK610" t="n">
        <v/>
      </c>
      <c r="AL610" t="n">
        <v/>
      </c>
      <c r="AM610" t="n">
        <v/>
      </c>
      <c r="AN610" t="n">
        <v>36.225868172</v>
      </c>
      <c r="AO610" t="n">
        <v/>
      </c>
      <c r="AP610" t="n">
        <v/>
      </c>
      <c r="AQ610" t="n">
        <v/>
      </c>
      <c r="AR610" t="n">
        <v>50.035467956</v>
      </c>
      <c r="AS610" t="n">
        <v/>
      </c>
      <c r="AT610" t="n">
        <v>38.871206549</v>
      </c>
      <c r="AU610" t="n">
        <v/>
      </c>
    </row>
    <row r="611">
      <c r="A611" s="105" t="n">
        <v>25477</v>
      </c>
      <c r="B611" t="n">
        <v>24.464222494</v>
      </c>
      <c r="C611" t="n">
        <v>41.740176005</v>
      </c>
      <c r="D611" t="n">
        <v/>
      </c>
      <c r="E611" t="n">
        <v>39.617104677</v>
      </c>
      <c r="F611" t="n">
        <v/>
      </c>
      <c r="G611" t="n">
        <v/>
      </c>
      <c r="H611" t="n">
        <v/>
      </c>
      <c r="I611" t="n">
        <v>24.462183979</v>
      </c>
      <c r="J611" t="n">
        <v/>
      </c>
      <c r="K611" t="n">
        <v>48.394618847</v>
      </c>
      <c r="L611" t="n">
        <v/>
      </c>
      <c r="M611" t="n">
        <v/>
      </c>
      <c r="N611" t="n">
        <v>50.394646469</v>
      </c>
      <c r="O611" t="n">
        <v/>
      </c>
      <c r="P611" t="n">
        <v/>
      </c>
      <c r="Q611" t="n">
        <v>29.974271906</v>
      </c>
      <c r="R611" t="n">
        <v>59.517721996</v>
      </c>
      <c r="S611" t="n">
        <v>44.439234655</v>
      </c>
      <c r="T611" t="n">
        <v>58.577997878</v>
      </c>
      <c r="U611" t="n">
        <v/>
      </c>
      <c r="V611" t="n">
        <v>55.155315865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/>
      </c>
      <c r="AC611" t="n">
        <v>59.581806646</v>
      </c>
      <c r="AD611" t="n">
        <v>44.167708735</v>
      </c>
      <c r="AE611" t="n">
        <v/>
      </c>
      <c r="AF611" t="n">
        <v>51.811391371</v>
      </c>
      <c r="AG611" t="n">
        <v/>
      </c>
      <c r="AH611" t="n">
        <v/>
      </c>
      <c r="AI611" t="n">
        <v>47.137193168</v>
      </c>
      <c r="AJ611" t="n">
        <v>35.277700012</v>
      </c>
      <c r="AK611" t="n">
        <v/>
      </c>
      <c r="AL611" t="n">
        <v/>
      </c>
      <c r="AM611" t="n">
        <v/>
      </c>
      <c r="AN611" t="n">
        <v>34.696552935</v>
      </c>
      <c r="AO611" t="n">
        <v/>
      </c>
      <c r="AP611" t="n">
        <v/>
      </c>
      <c r="AQ611" t="n">
        <v/>
      </c>
      <c r="AR611" t="n">
        <v>51.400071628</v>
      </c>
      <c r="AS611" t="n">
        <v/>
      </c>
      <c r="AT611" t="n">
        <v>38.882510613</v>
      </c>
      <c r="AU611" t="n">
        <v/>
      </c>
    </row>
    <row r="612">
      <c r="A612" s="105" t="n">
        <v>25508</v>
      </c>
      <c r="B612" t="n">
        <v>25.030918196</v>
      </c>
      <c r="C612" t="n">
        <v>42.024250003</v>
      </c>
      <c r="D612" t="n">
        <v/>
      </c>
      <c r="E612" t="n">
        <v>40.097351877</v>
      </c>
      <c r="F612" t="n">
        <v/>
      </c>
      <c r="G612" t="n">
        <v/>
      </c>
      <c r="H612" t="n">
        <v/>
      </c>
      <c r="I612" t="n">
        <v>25.02883246</v>
      </c>
      <c r="J612" t="n">
        <v/>
      </c>
      <c r="K612" t="n">
        <v>49.135352809</v>
      </c>
      <c r="L612" t="n">
        <v/>
      </c>
      <c r="M612" t="n">
        <v/>
      </c>
      <c r="N612" t="n">
        <v>48.050119653</v>
      </c>
      <c r="O612" t="n">
        <v/>
      </c>
      <c r="P612" t="n">
        <v/>
      </c>
      <c r="Q612" t="n">
        <v>30.668694346</v>
      </c>
      <c r="R612" t="n">
        <v>58.118020964</v>
      </c>
      <c r="S612" t="n">
        <v>44.349856797</v>
      </c>
      <c r="T612" t="n">
        <v>59.745313053</v>
      </c>
      <c r="U612" t="n">
        <v/>
      </c>
      <c r="V612" t="n">
        <v>55.659953694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/>
      </c>
      <c r="AC612" t="n">
        <v>58.28506629</v>
      </c>
      <c r="AD612" t="n">
        <v>44.167708735</v>
      </c>
      <c r="AE612" t="n">
        <v/>
      </c>
      <c r="AF612" t="n">
        <v>52.832824892</v>
      </c>
      <c r="AG612" t="n">
        <v/>
      </c>
      <c r="AH612" t="n">
        <v/>
      </c>
      <c r="AI612" t="n">
        <v>48.279913002</v>
      </c>
      <c r="AJ612" t="n">
        <v>35.879268587</v>
      </c>
      <c r="AK612" t="n">
        <v/>
      </c>
      <c r="AL612" t="n">
        <v/>
      </c>
      <c r="AM612" t="n">
        <v/>
      </c>
      <c r="AN612" t="n">
        <v>35.908481652</v>
      </c>
      <c r="AO612" t="n">
        <v/>
      </c>
      <c r="AP612" t="n">
        <v/>
      </c>
      <c r="AQ612" t="n">
        <v/>
      </c>
      <c r="AR612" t="n">
        <v>52.309807409</v>
      </c>
      <c r="AS612" t="n">
        <v/>
      </c>
      <c r="AT612" t="n">
        <v>38.51602095</v>
      </c>
      <c r="AU612" t="n">
        <v/>
      </c>
    </row>
    <row r="613">
      <c r="A613" s="105" t="n">
        <v>25538</v>
      </c>
      <c r="B613" t="n">
        <v>22.918362491</v>
      </c>
      <c r="C613" t="n">
        <v>41.405943965</v>
      </c>
      <c r="D613" t="n">
        <v/>
      </c>
      <c r="E613" t="n">
        <v>40.460591687</v>
      </c>
      <c r="F613" t="n">
        <v/>
      </c>
      <c r="G613" t="n">
        <v/>
      </c>
      <c r="H613" t="n">
        <v/>
      </c>
      <c r="I613" t="n">
        <v>22.916452787</v>
      </c>
      <c r="J613" t="n">
        <v/>
      </c>
      <c r="K613" t="n">
        <v>48.764985828</v>
      </c>
      <c r="L613" t="n">
        <v/>
      </c>
      <c r="M613" t="n">
        <v/>
      </c>
      <c r="N613" t="n">
        <v>49.220803488</v>
      </c>
      <c r="O613" t="n">
        <v/>
      </c>
      <c r="P613" t="n">
        <v/>
      </c>
      <c r="Q613" t="n">
        <v>31.095780448</v>
      </c>
      <c r="R613" t="n">
        <v>58.2397341</v>
      </c>
      <c r="S613" t="n">
        <v>44.586219193</v>
      </c>
      <c r="T613" t="n">
        <v>60.27591086</v>
      </c>
      <c r="U613" t="n">
        <v/>
      </c>
      <c r="V613" t="n">
        <v>53.726622663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/>
      </c>
      <c r="AC613" t="n">
        <v>60.810297503</v>
      </c>
      <c r="AD613" t="n">
        <v>45.008998425</v>
      </c>
      <c r="AE613" t="n">
        <v/>
      </c>
      <c r="AF613" t="n">
        <v>52.543574767</v>
      </c>
      <c r="AG613" t="n">
        <v/>
      </c>
      <c r="AH613" t="n">
        <v/>
      </c>
      <c r="AI613" t="n">
        <v>47.708553085</v>
      </c>
      <c r="AJ613" t="n">
        <v>36.008176139</v>
      </c>
      <c r="AK613" t="n">
        <v/>
      </c>
      <c r="AL613" t="n">
        <v/>
      </c>
      <c r="AM613" t="n">
        <v/>
      </c>
      <c r="AN613" t="n">
        <v>37.739571597</v>
      </c>
      <c r="AO613" t="n">
        <v/>
      </c>
      <c r="AP613" t="n">
        <v/>
      </c>
      <c r="AQ613" t="n">
        <v/>
      </c>
      <c r="AR613" t="n">
        <v>51.400071628</v>
      </c>
      <c r="AS613" t="n">
        <v/>
      </c>
      <c r="AT613" t="n">
        <v>38.412697836</v>
      </c>
      <c r="AU613" t="n">
        <v/>
      </c>
    </row>
    <row r="614">
      <c r="A614" s="105" t="n">
        <v>25569</v>
      </c>
      <c r="B614" t="n">
        <v>24.227450178</v>
      </c>
      <c r="C614" t="n">
        <v>40.568903534</v>
      </c>
      <c r="D614" t="n">
        <v/>
      </c>
      <c r="E614" t="n">
        <v>40.204491174</v>
      </c>
      <c r="F614" t="n">
        <v/>
      </c>
      <c r="G614" t="n">
        <v/>
      </c>
      <c r="H614" t="n">
        <v/>
      </c>
      <c r="I614" t="n">
        <v>24.225431392</v>
      </c>
      <c r="J614" t="n">
        <v/>
      </c>
      <c r="K614" t="n">
        <v>48.888441488</v>
      </c>
      <c r="L614" t="n">
        <v/>
      </c>
      <c r="M614" t="n">
        <v/>
      </c>
      <c r="N614" t="n">
        <v>49.943486468</v>
      </c>
      <c r="O614" t="n">
        <v/>
      </c>
      <c r="P614" t="n">
        <v/>
      </c>
      <c r="Q614" t="n">
        <v>31.832585479</v>
      </c>
      <c r="R614" t="n">
        <v>59.882861395</v>
      </c>
      <c r="S614" t="n">
        <v>44.713561181</v>
      </c>
      <c r="T614" t="n">
        <v>58.790237</v>
      </c>
      <c r="U614" t="n">
        <v/>
      </c>
      <c r="V614" t="n">
        <v>56.705777897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/>
      </c>
      <c r="AC614" t="n">
        <v>68.18124265500001</v>
      </c>
      <c r="AD614" t="n">
        <v>45.597901208</v>
      </c>
      <c r="AE614" t="n">
        <v/>
      </c>
      <c r="AF614" t="n">
        <v>52.977349967</v>
      </c>
      <c r="AG614" t="n">
        <v/>
      </c>
      <c r="AH614" t="n">
        <v/>
      </c>
      <c r="AI614" t="n">
        <v>48.592234223</v>
      </c>
      <c r="AJ614" t="n">
        <v>34.890977357</v>
      </c>
      <c r="AK614" t="n">
        <v/>
      </c>
      <c r="AL614" t="n">
        <v/>
      </c>
      <c r="AM614" t="n">
        <v/>
      </c>
      <c r="AN614" t="n">
        <v>36.768161595</v>
      </c>
      <c r="AO614" t="n">
        <v/>
      </c>
      <c r="AP614" t="n">
        <v/>
      </c>
      <c r="AQ614" t="n">
        <v/>
      </c>
      <c r="AR614" t="n">
        <v>50.490335847</v>
      </c>
      <c r="AS614" t="n">
        <v/>
      </c>
      <c r="AT614" t="n">
        <v>37.701335053</v>
      </c>
      <c r="AU614" t="n">
        <v/>
      </c>
    </row>
    <row r="615">
      <c r="A615" s="105" t="n">
        <v>25600</v>
      </c>
      <c r="B615" t="n">
        <v>25.209637274</v>
      </c>
      <c r="C615" t="n">
        <v>41.718541085</v>
      </c>
      <c r="D615" t="n">
        <v/>
      </c>
      <c r="E615" t="n">
        <v>40.574779622</v>
      </c>
      <c r="F615" t="n">
        <v/>
      </c>
      <c r="G615" t="n">
        <v/>
      </c>
      <c r="H615" t="n">
        <v/>
      </c>
      <c r="I615" t="n">
        <v>25.207536646</v>
      </c>
      <c r="J615" t="n">
        <v/>
      </c>
      <c r="K615" t="n">
        <v>49.56744762</v>
      </c>
      <c r="L615" t="n">
        <v/>
      </c>
      <c r="M615" t="n">
        <v/>
      </c>
      <c r="N615" t="n">
        <v>50.038599217</v>
      </c>
      <c r="O615" t="n">
        <v/>
      </c>
      <c r="P615" t="n">
        <v/>
      </c>
      <c r="Q615" t="n">
        <v>31.718478505</v>
      </c>
      <c r="R615" t="n">
        <v>60.55228362</v>
      </c>
      <c r="S615" t="n">
        <v>45.045705234</v>
      </c>
      <c r="T615" t="n">
        <v>59.851432614</v>
      </c>
      <c r="U615" t="n">
        <v/>
      </c>
      <c r="V615" t="n">
        <v>56.434950739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/>
      </c>
      <c r="AC615" t="n">
        <v>69.00023656</v>
      </c>
      <c r="AD615" t="n">
        <v>46.102675022</v>
      </c>
      <c r="AE615" t="n">
        <v/>
      </c>
      <c r="AF615" t="n">
        <v>52.329758451</v>
      </c>
      <c r="AG615" t="n">
        <v/>
      </c>
      <c r="AH615" t="n">
        <v/>
      </c>
      <c r="AI615" t="n">
        <v>49.093185091</v>
      </c>
      <c r="AJ615" t="n">
        <v>35.36363838</v>
      </c>
      <c r="AK615" t="n">
        <v/>
      </c>
      <c r="AL615" t="n">
        <v/>
      </c>
      <c r="AM615" t="n">
        <v/>
      </c>
      <c r="AN615" t="n">
        <v>36.598556815</v>
      </c>
      <c r="AO615" t="n">
        <v/>
      </c>
      <c r="AP615" t="n">
        <v/>
      </c>
      <c r="AQ615" t="n">
        <v/>
      </c>
      <c r="AR615" t="n">
        <v>51.854939518</v>
      </c>
      <c r="AS615" t="n">
        <v/>
      </c>
      <c r="AT615" t="n">
        <v>37.676545438</v>
      </c>
      <c r="AU615" t="n">
        <v/>
      </c>
    </row>
    <row r="616">
      <c r="A616" s="105" t="n">
        <v>25628</v>
      </c>
      <c r="B616" t="n">
        <v>25.200630098</v>
      </c>
      <c r="C616" t="n">
        <v>42.750957826</v>
      </c>
      <c r="D616" t="n">
        <v/>
      </c>
      <c r="E616" t="n">
        <v>39.899990014</v>
      </c>
      <c r="F616" t="n">
        <v/>
      </c>
      <c r="G616" t="n">
        <v/>
      </c>
      <c r="H616" t="n">
        <v/>
      </c>
      <c r="I616" t="n">
        <v>25.19853022</v>
      </c>
      <c r="J616" t="n">
        <v/>
      </c>
      <c r="K616" t="n">
        <v>49.75263111</v>
      </c>
      <c r="L616" t="n">
        <v/>
      </c>
      <c r="M616" t="n">
        <v/>
      </c>
      <c r="N616" t="n">
        <v>47.473675541</v>
      </c>
      <c r="O616" t="n">
        <v/>
      </c>
      <c r="P616" t="n">
        <v/>
      </c>
      <c r="Q616" t="n">
        <v>31.571769538</v>
      </c>
      <c r="R616" t="n">
        <v>60.430570493</v>
      </c>
      <c r="S616" t="n">
        <v>45.106045083</v>
      </c>
      <c r="T616" t="n">
        <v>60.488149982</v>
      </c>
      <c r="U616" t="n">
        <v/>
      </c>
      <c r="V616" t="n">
        <v>56.724106883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/>
      </c>
      <c r="AC616" t="n">
        <v>68.72723858400001</v>
      </c>
      <c r="AD616" t="n">
        <v>46.439190898</v>
      </c>
      <c r="AE616" t="n">
        <v/>
      </c>
      <c r="AF616" t="n">
        <v>53.15822417</v>
      </c>
      <c r="AG616" t="n">
        <v/>
      </c>
      <c r="AH616" t="n">
        <v/>
      </c>
      <c r="AI616" t="n">
        <v>50.095086828</v>
      </c>
      <c r="AJ616" t="n">
        <v>37.340220841</v>
      </c>
      <c r="AK616" t="n">
        <v/>
      </c>
      <c r="AL616" t="n">
        <v/>
      </c>
      <c r="AM616" t="n">
        <v/>
      </c>
      <c r="AN616" t="n">
        <v>36.873799855</v>
      </c>
      <c r="AO616" t="n">
        <v/>
      </c>
      <c r="AP616" t="n">
        <v/>
      </c>
      <c r="AQ616" t="n">
        <v/>
      </c>
      <c r="AR616" t="n">
        <v>52.309807409</v>
      </c>
      <c r="AS616" t="n">
        <v/>
      </c>
      <c r="AT616" t="n">
        <v>37.62756116</v>
      </c>
      <c r="AU616" t="n">
        <v/>
      </c>
    </row>
    <row r="617">
      <c r="A617" s="105" t="n">
        <v>25659</v>
      </c>
      <c r="B617" t="n">
        <v>25.380118127</v>
      </c>
      <c r="C617" t="n">
        <v>41.502145501</v>
      </c>
      <c r="D617" t="n">
        <v/>
      </c>
      <c r="E617" t="n">
        <v>39.324351246</v>
      </c>
      <c r="F617" t="n">
        <v/>
      </c>
      <c r="G617" t="n">
        <v/>
      </c>
      <c r="H617" t="n">
        <v/>
      </c>
      <c r="I617" t="n">
        <v>25.378003293</v>
      </c>
      <c r="J617" t="n">
        <v/>
      </c>
      <c r="K617" t="n">
        <v>50.246453752</v>
      </c>
      <c r="L617" t="n">
        <v/>
      </c>
      <c r="M617" t="n">
        <v/>
      </c>
      <c r="N617" t="n">
        <v>52.971144054</v>
      </c>
      <c r="O617" t="n">
        <v/>
      </c>
      <c r="P617" t="n">
        <v/>
      </c>
      <c r="Q617" t="n">
        <v>32.657415889</v>
      </c>
      <c r="R617" t="n">
        <v>61.282562418</v>
      </c>
      <c r="S617" t="n">
        <v>45.166866355</v>
      </c>
      <c r="T617" t="n">
        <v>60.169791298</v>
      </c>
      <c r="U617" t="n">
        <v/>
      </c>
      <c r="V617" t="n">
        <v>57.385890893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/>
      </c>
      <c r="AC617" t="n">
        <v>68.112993156</v>
      </c>
      <c r="AD617" t="n">
        <v>46.859835743</v>
      </c>
      <c r="AE617" t="n">
        <v/>
      </c>
      <c r="AF617" t="n">
        <v>51.773441002</v>
      </c>
      <c r="AG617" t="n">
        <v/>
      </c>
      <c r="AH617" t="n">
        <v/>
      </c>
      <c r="AI617" t="n">
        <v>49.594135959</v>
      </c>
      <c r="AJ617" t="n">
        <v>35.105823276</v>
      </c>
      <c r="AK617" t="n">
        <v/>
      </c>
      <c r="AL617" t="n">
        <v/>
      </c>
      <c r="AM617" t="n">
        <v/>
      </c>
      <c r="AN617" t="n">
        <v>38.02570329</v>
      </c>
      <c r="AO617" t="n">
        <v/>
      </c>
      <c r="AP617" t="n">
        <v/>
      </c>
      <c r="AQ617" t="n">
        <v/>
      </c>
      <c r="AR617" t="n">
        <v>51.854939518</v>
      </c>
      <c r="AS617" t="n">
        <v/>
      </c>
      <c r="AT617" t="n">
        <v>37.530881662</v>
      </c>
      <c r="AU617" t="n">
        <v/>
      </c>
    </row>
    <row r="618">
      <c r="A618" s="105" t="n">
        <v>25689</v>
      </c>
      <c r="B618" t="n">
        <v>26.247269166</v>
      </c>
      <c r="C618" t="n">
        <v>42.515023322</v>
      </c>
      <c r="D618" t="n">
        <v/>
      </c>
      <c r="E618" t="n">
        <v>39.408934902</v>
      </c>
      <c r="F618" t="n">
        <v/>
      </c>
      <c r="G618" t="n">
        <v/>
      </c>
      <c r="H618" t="n">
        <v/>
      </c>
      <c r="I618" t="n">
        <v>26.245082076</v>
      </c>
      <c r="J618" t="n">
        <v/>
      </c>
      <c r="K618" t="n">
        <v>50.616820732</v>
      </c>
      <c r="L618" t="n">
        <v/>
      </c>
      <c r="M618" t="n">
        <v/>
      </c>
      <c r="N618" t="n">
        <v>49.747870124</v>
      </c>
      <c r="O618" t="n">
        <v/>
      </c>
      <c r="P618" t="n">
        <v/>
      </c>
      <c r="Q618" t="n">
        <v>33.025818404</v>
      </c>
      <c r="R618" t="n">
        <v>60.55228362</v>
      </c>
      <c r="S618" t="n">
        <v>45.180334434</v>
      </c>
      <c r="T618" t="n">
        <v>59.639193491</v>
      </c>
      <c r="U618" t="n">
        <v/>
      </c>
      <c r="V618" t="n">
        <v>57.251177222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/>
      </c>
      <c r="AC618" t="n">
        <v>67.089250775</v>
      </c>
      <c r="AD618" t="n">
        <v>47.448738526</v>
      </c>
      <c r="AE618" t="n">
        <v/>
      </c>
      <c r="AF618" t="n">
        <v>51.55611932</v>
      </c>
      <c r="AG618" t="n">
        <v/>
      </c>
      <c r="AH618" t="n">
        <v/>
      </c>
      <c r="AI618" t="n">
        <v>49.594135959</v>
      </c>
      <c r="AJ618" t="n">
        <v>35.14879246</v>
      </c>
      <c r="AK618" t="n">
        <v/>
      </c>
      <c r="AL618" t="n">
        <v/>
      </c>
      <c r="AM618" t="n">
        <v/>
      </c>
      <c r="AN618" t="n">
        <v>37.205562925</v>
      </c>
      <c r="AO618" t="n">
        <v/>
      </c>
      <c r="AP618" t="n">
        <v/>
      </c>
      <c r="AQ618" t="n">
        <v/>
      </c>
      <c r="AR618" t="n">
        <v>53.67441108</v>
      </c>
      <c r="AS618" t="n">
        <v/>
      </c>
      <c r="AT618" t="n">
        <v>37.487152782</v>
      </c>
      <c r="AU618" t="n">
        <v/>
      </c>
    </row>
    <row r="619">
      <c r="A619" s="105" t="n">
        <v>25720</v>
      </c>
      <c r="B619" t="n">
        <v>25.527676627</v>
      </c>
      <c r="C619" t="n">
        <v>42.038516544</v>
      </c>
      <c r="D619" t="n">
        <v/>
      </c>
      <c r="E619" t="n">
        <v>39.290987693</v>
      </c>
      <c r="F619" t="n">
        <v/>
      </c>
      <c r="G619" t="n">
        <v/>
      </c>
      <c r="H619" t="n">
        <v/>
      </c>
      <c r="I619" t="n">
        <v>25.525549498</v>
      </c>
      <c r="J619" t="n">
        <v/>
      </c>
      <c r="K619" t="n">
        <v>50.122998091</v>
      </c>
      <c r="L619" t="n">
        <v/>
      </c>
      <c r="M619" t="n">
        <v/>
      </c>
      <c r="N619" t="n">
        <v>50.679086239</v>
      </c>
      <c r="O619" t="n">
        <v/>
      </c>
      <c r="P619" t="n">
        <v/>
      </c>
      <c r="Q619" t="n">
        <v>32.575910908</v>
      </c>
      <c r="R619" t="n">
        <v>60.673996756</v>
      </c>
      <c r="S619" t="n">
        <v>45.179613305</v>
      </c>
      <c r="T619" t="n">
        <v>59.745313053</v>
      </c>
      <c r="U619" t="n">
        <v/>
      </c>
      <c r="V619" t="n">
        <v>57.560627909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/>
      </c>
      <c r="AC619" t="n">
        <v>67.157500263</v>
      </c>
      <c r="AD619" t="n">
        <v>48.121770278</v>
      </c>
      <c r="AE619" t="n">
        <v/>
      </c>
      <c r="AF619" t="n">
        <v>51.365066103</v>
      </c>
      <c r="AG619" t="n">
        <v/>
      </c>
      <c r="AH619" t="n">
        <v/>
      </c>
      <c r="AI619" t="n">
        <v>49.594135959</v>
      </c>
      <c r="AJ619" t="n">
        <v>35.750361035</v>
      </c>
      <c r="AK619" t="n">
        <v/>
      </c>
      <c r="AL619" t="n">
        <v/>
      </c>
      <c r="AM619" t="n">
        <v/>
      </c>
      <c r="AN619" t="n">
        <v>38.763584613</v>
      </c>
      <c r="AO619" t="n">
        <v/>
      </c>
      <c r="AP619" t="n">
        <v/>
      </c>
      <c r="AQ619" t="n">
        <v/>
      </c>
      <c r="AR619" t="n">
        <v>51.400071628</v>
      </c>
      <c r="AS619" t="n">
        <v/>
      </c>
      <c r="AT619" t="n">
        <v>37.365881987</v>
      </c>
      <c r="AU619" t="n">
        <v/>
      </c>
    </row>
    <row r="620">
      <c r="A620" s="105" t="n">
        <v>25750</v>
      </c>
      <c r="B620" t="n">
        <v>25.938505139</v>
      </c>
      <c r="C620" t="n">
        <v>43.324304577</v>
      </c>
      <c r="D620" t="n">
        <v/>
      </c>
      <c r="E620" t="n">
        <v>39.305084969</v>
      </c>
      <c r="F620" t="n">
        <v/>
      </c>
      <c r="G620" t="n">
        <v/>
      </c>
      <c r="H620" t="n">
        <v/>
      </c>
      <c r="I620" t="n">
        <v>25.936343777</v>
      </c>
      <c r="J620" t="n">
        <v/>
      </c>
      <c r="K620" t="n">
        <v>50.740276393</v>
      </c>
      <c r="L620" t="n">
        <v/>
      </c>
      <c r="M620" t="n">
        <v/>
      </c>
      <c r="N620" t="n">
        <v>52.191915116</v>
      </c>
      <c r="O620" t="n">
        <v/>
      </c>
      <c r="P620" t="n">
        <v/>
      </c>
      <c r="Q620" t="n">
        <v>33.915852799</v>
      </c>
      <c r="R620" t="n">
        <v>60.369713921</v>
      </c>
      <c r="S620" t="n">
        <v>45.408640262</v>
      </c>
      <c r="T620" t="n">
        <v>60.063671737</v>
      </c>
      <c r="U620" t="n">
        <v/>
      </c>
      <c r="V620" t="n">
        <v>58.463429676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/>
      </c>
      <c r="AC620" t="n">
        <v>69.00023656</v>
      </c>
      <c r="AD620" t="n">
        <v>48.121770278</v>
      </c>
      <c r="AE620" t="n">
        <v/>
      </c>
      <c r="AF620" t="n">
        <v>52.219759473</v>
      </c>
      <c r="AG620" t="n">
        <v/>
      </c>
      <c r="AH620" t="n">
        <v/>
      </c>
      <c r="AI620" t="n">
        <v>51.096988564</v>
      </c>
      <c r="AJ620" t="n">
        <v>36.910529002</v>
      </c>
      <c r="AK620" t="n">
        <v/>
      </c>
      <c r="AL620" t="n">
        <v/>
      </c>
      <c r="AM620" t="n">
        <v/>
      </c>
      <c r="AN620" t="n">
        <v>36.717472228</v>
      </c>
      <c r="AO620" t="n">
        <v/>
      </c>
      <c r="AP620" t="n">
        <v/>
      </c>
      <c r="AQ620" t="n">
        <v/>
      </c>
      <c r="AR620" t="n">
        <v>54.584146861</v>
      </c>
      <c r="AS620" t="n">
        <v/>
      </c>
      <c r="AT620" t="n">
        <v>37.457603562</v>
      </c>
      <c r="AU620" t="n">
        <v/>
      </c>
    </row>
    <row r="621">
      <c r="A621" s="105" t="n">
        <v>25781</v>
      </c>
      <c r="B621" t="n">
        <v>26.298869049</v>
      </c>
      <c r="C621" t="n">
        <v>42.67679232</v>
      </c>
      <c r="D621" t="n">
        <v/>
      </c>
      <c r="E621" t="n">
        <v>39.613345403</v>
      </c>
      <c r="F621" t="n">
        <v/>
      </c>
      <c r="G621" t="n">
        <v/>
      </c>
      <c r="H621" t="n">
        <v/>
      </c>
      <c r="I621" t="n">
        <v>26.296677659</v>
      </c>
      <c r="J621" t="n">
        <v/>
      </c>
      <c r="K621" t="n">
        <v>49.937814601</v>
      </c>
      <c r="L621" t="n">
        <v/>
      </c>
      <c r="M621" t="n">
        <v/>
      </c>
      <c r="N621" t="n">
        <v>50.979147878</v>
      </c>
      <c r="O621" t="n">
        <v/>
      </c>
      <c r="P621" t="n">
        <v/>
      </c>
      <c r="Q621" t="n">
        <v>33.553970683</v>
      </c>
      <c r="R621" t="n">
        <v>60.369713921</v>
      </c>
      <c r="S621" t="n">
        <v>45.160856462</v>
      </c>
      <c r="T621" t="n">
        <v>60.063671737</v>
      </c>
      <c r="U621" t="n">
        <v/>
      </c>
      <c r="V621" t="n">
        <v>58.999711106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/>
      </c>
      <c r="AC621" t="n">
        <v>67.225749763</v>
      </c>
      <c r="AD621" t="n">
        <v>47.95351234</v>
      </c>
      <c r="AE621" t="n">
        <v/>
      </c>
      <c r="AF621" t="n">
        <v>50.663322048</v>
      </c>
      <c r="AG621" t="n">
        <v/>
      </c>
      <c r="AH621" t="n">
        <v/>
      </c>
      <c r="AI621" t="n">
        <v>50.095086828</v>
      </c>
      <c r="AJ621" t="n">
        <v>36.437867978</v>
      </c>
      <c r="AK621" t="n">
        <v/>
      </c>
      <c r="AL621" t="n">
        <v/>
      </c>
      <c r="AM621" t="n">
        <v/>
      </c>
      <c r="AN621" t="n">
        <v>36.459276295</v>
      </c>
      <c r="AO621" t="n">
        <v/>
      </c>
      <c r="AP621" t="n">
        <v/>
      </c>
      <c r="AQ621" t="n">
        <v/>
      </c>
      <c r="AR621" t="n">
        <v>52.309807409</v>
      </c>
      <c r="AS621" t="n">
        <v/>
      </c>
      <c r="AT621" t="n">
        <v>37.39077076</v>
      </c>
      <c r="AU621" t="n">
        <v/>
      </c>
    </row>
    <row r="622">
      <c r="A622" s="105" t="n">
        <v>25812</v>
      </c>
      <c r="B622" t="n">
        <v>26.161634879</v>
      </c>
      <c r="C622" t="n">
        <v>42.380118452</v>
      </c>
      <c r="D622" t="n">
        <v/>
      </c>
      <c r="E622" t="n">
        <v>39.084697555</v>
      </c>
      <c r="F622" t="n">
        <v/>
      </c>
      <c r="G622" t="n">
        <v/>
      </c>
      <c r="H622" t="n">
        <v/>
      </c>
      <c r="I622" t="n">
        <v>26.159454924</v>
      </c>
      <c r="J622" t="n">
        <v/>
      </c>
      <c r="K622" t="n">
        <v>49.69090328</v>
      </c>
      <c r="L622" t="n">
        <v/>
      </c>
      <c r="M622" t="n">
        <v/>
      </c>
      <c r="N622" t="n">
        <v>51.327814113</v>
      </c>
      <c r="O622" t="n">
        <v/>
      </c>
      <c r="P622" t="n">
        <v/>
      </c>
      <c r="Q622" t="n">
        <v>32.947573622</v>
      </c>
      <c r="R622" t="n">
        <v>61.039136155</v>
      </c>
      <c r="S622" t="n">
        <v>45.125800135</v>
      </c>
      <c r="T622" t="n">
        <v>59.851432614</v>
      </c>
      <c r="U622" t="n">
        <v/>
      </c>
      <c r="V622" t="n">
        <v>59.978933007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/>
      </c>
      <c r="AC622" t="n">
        <v>69.273234524</v>
      </c>
      <c r="AD622" t="n">
        <v>48.121770278</v>
      </c>
      <c r="AE622" t="n">
        <v/>
      </c>
      <c r="AF622" t="n">
        <v>48.995958015</v>
      </c>
      <c r="AG622" t="n">
        <v/>
      </c>
      <c r="AH622" t="n">
        <v/>
      </c>
      <c r="AI622" t="n">
        <v>50.095086828</v>
      </c>
      <c r="AJ622" t="n">
        <v>36.480837162</v>
      </c>
      <c r="AK622" t="n">
        <v/>
      </c>
      <c r="AL622" t="n">
        <v/>
      </c>
      <c r="AM622" t="n">
        <v/>
      </c>
      <c r="AN622" t="n">
        <v>37.576161422</v>
      </c>
      <c r="AO622" t="n">
        <v/>
      </c>
      <c r="AP622" t="n">
        <v/>
      </c>
      <c r="AQ622" t="n">
        <v/>
      </c>
      <c r="AR622" t="n">
        <v>51.854939518</v>
      </c>
      <c r="AS622" t="n">
        <v/>
      </c>
      <c r="AT622" t="n">
        <v>37.133057926</v>
      </c>
      <c r="AU622" t="n">
        <v/>
      </c>
    </row>
    <row r="623">
      <c r="A623" s="105" t="n">
        <v>25842</v>
      </c>
      <c r="B623" t="n">
        <v>26.394837556</v>
      </c>
      <c r="C623" t="n">
        <v>42.701497461</v>
      </c>
      <c r="D623" t="n">
        <v/>
      </c>
      <c r="E623" t="n">
        <v>39.071070188</v>
      </c>
      <c r="F623" t="n">
        <v/>
      </c>
      <c r="G623" t="n">
        <v/>
      </c>
      <c r="H623" t="n">
        <v/>
      </c>
      <c r="I623" t="n">
        <v>26.392638169</v>
      </c>
      <c r="J623" t="n">
        <v/>
      </c>
      <c r="K623" t="n">
        <v>50.061270261</v>
      </c>
      <c r="L623" t="n">
        <v/>
      </c>
      <c r="M623" t="n">
        <v/>
      </c>
      <c r="N623" t="n">
        <v>51.944312816</v>
      </c>
      <c r="O623" t="n">
        <v/>
      </c>
      <c r="P623" t="n">
        <v/>
      </c>
      <c r="Q623" t="n">
        <v>32.240110385</v>
      </c>
      <c r="R623" t="n">
        <v>61.586845254</v>
      </c>
      <c r="S623" t="n">
        <v>44.860958928</v>
      </c>
      <c r="T623" t="n">
        <v>60.700389105</v>
      </c>
      <c r="U623" t="n">
        <v/>
      </c>
      <c r="V623" t="n">
        <v>60.793418769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/>
      </c>
      <c r="AC623" t="n">
        <v>67.703496203</v>
      </c>
      <c r="AD623" t="n">
        <v>48.290028216</v>
      </c>
      <c r="AE623" t="n">
        <v/>
      </c>
      <c r="AF623" t="n">
        <v>46.720913122</v>
      </c>
      <c r="AG623" t="n">
        <v/>
      </c>
      <c r="AH623" t="n">
        <v/>
      </c>
      <c r="AI623" t="n">
        <v>51.096988564</v>
      </c>
      <c r="AJ623" t="n">
        <v>36.824590634</v>
      </c>
      <c r="AK623" t="n">
        <v/>
      </c>
      <c r="AL623" t="n">
        <v/>
      </c>
      <c r="AM623" t="n">
        <v/>
      </c>
      <c r="AN623" t="n">
        <v>37.471258551</v>
      </c>
      <c r="AO623" t="n">
        <v/>
      </c>
      <c r="AP623" t="n">
        <v/>
      </c>
      <c r="AQ623" t="n">
        <v/>
      </c>
      <c r="AR623" t="n">
        <v>52.764675299</v>
      </c>
      <c r="AS623" t="n">
        <v/>
      </c>
      <c r="AT623" t="n">
        <v>36.390261912</v>
      </c>
      <c r="AU623" t="n">
        <v/>
      </c>
    </row>
    <row r="624">
      <c r="A624" s="105" t="n">
        <v>25873</v>
      </c>
      <c r="B624" t="n">
        <v>26.632833362</v>
      </c>
      <c r="C624" t="n">
        <v>42.449965889</v>
      </c>
      <c r="D624" t="n">
        <v/>
      </c>
      <c r="E624" t="n">
        <v>39.52688211</v>
      </c>
      <c r="F624" t="n">
        <v/>
      </c>
      <c r="G624" t="n">
        <v/>
      </c>
      <c r="H624" t="n">
        <v/>
      </c>
      <c r="I624" t="n">
        <v>26.630614144</v>
      </c>
      <c r="J624" t="n">
        <v/>
      </c>
      <c r="K624" t="n">
        <v>49.62917545</v>
      </c>
      <c r="L624" t="n">
        <v/>
      </c>
      <c r="M624" t="n">
        <v/>
      </c>
      <c r="N624" t="n">
        <v>52.85279655</v>
      </c>
      <c r="O624" t="n">
        <v/>
      </c>
      <c r="P624" t="n">
        <v/>
      </c>
      <c r="Q624" t="n">
        <v>32.882369637</v>
      </c>
      <c r="R624" t="n">
        <v>61.221705855</v>
      </c>
      <c r="S624" t="n">
        <v>44.582865897</v>
      </c>
      <c r="T624" t="n">
        <v>59.745313053</v>
      </c>
      <c r="U624" t="n">
        <v/>
      </c>
      <c r="V624" t="n">
        <v>61.55141276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/>
      </c>
      <c r="AC624" t="n">
        <v>68.590739607</v>
      </c>
      <c r="AD624" t="n">
        <v>47.785254402</v>
      </c>
      <c r="AE624" t="n">
        <v/>
      </c>
      <c r="AF624" t="n">
        <v>48.230047417</v>
      </c>
      <c r="AG624" t="n">
        <v/>
      </c>
      <c r="AH624" t="n">
        <v/>
      </c>
      <c r="AI624" t="n">
        <v>51.096988564</v>
      </c>
      <c r="AJ624" t="n">
        <v>36.910529002</v>
      </c>
      <c r="AK624" t="n">
        <v/>
      </c>
      <c r="AL624" t="n">
        <v/>
      </c>
      <c r="AM624" t="n">
        <v/>
      </c>
      <c r="AN624" t="n">
        <v>37.107750171</v>
      </c>
      <c r="AO624" t="n">
        <v/>
      </c>
      <c r="AP624" t="n">
        <v/>
      </c>
      <c r="AQ624" t="n">
        <v/>
      </c>
      <c r="AR624" t="n">
        <v>53.21954319</v>
      </c>
      <c r="AS624" t="n">
        <v/>
      </c>
      <c r="AT624" t="n">
        <v>36.169832659</v>
      </c>
      <c r="AU624" t="n">
        <v/>
      </c>
    </row>
    <row r="625">
      <c r="A625" s="105" t="n">
        <v>25903</v>
      </c>
      <c r="B625" t="n">
        <v>25.213749335</v>
      </c>
      <c r="C625" t="n">
        <v>43.474730495</v>
      </c>
      <c r="D625" t="n">
        <v/>
      </c>
      <c r="E625" t="n">
        <v>39.790501171</v>
      </c>
      <c r="F625" t="n">
        <v/>
      </c>
      <c r="G625" t="n">
        <v/>
      </c>
      <c r="H625" t="n">
        <v/>
      </c>
      <c r="I625" t="n">
        <v>25.211648364</v>
      </c>
      <c r="J625" t="n">
        <v/>
      </c>
      <c r="K625" t="n">
        <v>50.493365072</v>
      </c>
      <c r="L625" t="n">
        <v/>
      </c>
      <c r="M625" t="n">
        <v/>
      </c>
      <c r="N625" t="n">
        <v>51.792238696</v>
      </c>
      <c r="O625" t="n">
        <v/>
      </c>
      <c r="P625" t="n">
        <v/>
      </c>
      <c r="Q625" t="n">
        <v>33.221430359</v>
      </c>
      <c r="R625" t="n">
        <v>61.830271517</v>
      </c>
      <c r="S625" t="n">
        <v>45.370905857</v>
      </c>
      <c r="T625" t="n">
        <v>60.382030421</v>
      </c>
      <c r="U625" t="n">
        <v/>
      </c>
      <c r="V625" t="n">
        <v>61.437723114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/>
      </c>
      <c r="AC625" t="n">
        <v>68.795488084</v>
      </c>
      <c r="AD625" t="n">
        <v>48.794802031</v>
      </c>
      <c r="AE625" t="n">
        <v/>
      </c>
      <c r="AF625" t="n">
        <v>49.656341892</v>
      </c>
      <c r="AG625" t="n">
        <v/>
      </c>
      <c r="AH625" t="n">
        <v/>
      </c>
      <c r="AI625" t="n">
        <v>51.597939432</v>
      </c>
      <c r="AJ625" t="n">
        <v>37.76991268</v>
      </c>
      <c r="AK625" t="n">
        <v/>
      </c>
      <c r="AL625" t="n">
        <v/>
      </c>
      <c r="AM625" t="n">
        <v/>
      </c>
      <c r="AN625" t="n">
        <v>38.052655683</v>
      </c>
      <c r="AO625" t="n">
        <v/>
      </c>
      <c r="AP625" t="n">
        <v/>
      </c>
      <c r="AQ625" t="n">
        <v/>
      </c>
      <c r="AR625" t="n">
        <v>53.67441108</v>
      </c>
      <c r="AS625" t="n">
        <v/>
      </c>
      <c r="AT625" t="n">
        <v>37.000483067</v>
      </c>
      <c r="AU625" t="n">
        <v/>
      </c>
    </row>
    <row r="626">
      <c r="A626" s="105" t="n">
        <v>25934</v>
      </c>
      <c r="B626" t="n">
        <v>27.569413655</v>
      </c>
      <c r="C626" t="n">
        <v>43.302152313</v>
      </c>
      <c r="D626" t="n">
        <v/>
      </c>
      <c r="E626" t="n">
        <v>40.165018802</v>
      </c>
      <c r="F626" t="n">
        <v/>
      </c>
      <c r="G626" t="n">
        <v/>
      </c>
      <c r="H626" t="n">
        <v/>
      </c>
      <c r="I626" t="n">
        <v>27.567116395</v>
      </c>
      <c r="J626" t="n">
        <v/>
      </c>
      <c r="K626" t="n">
        <v>51.419282525</v>
      </c>
      <c r="L626" t="n">
        <v/>
      </c>
      <c r="M626" t="n">
        <v/>
      </c>
      <c r="N626" t="n">
        <v>51.251395441</v>
      </c>
      <c r="O626" t="n">
        <v/>
      </c>
      <c r="P626" t="n">
        <v/>
      </c>
      <c r="Q626" t="n">
        <v>34.199490134</v>
      </c>
      <c r="R626" t="n">
        <v>61.647701817</v>
      </c>
      <c r="S626" t="n">
        <v>45.711533023</v>
      </c>
      <c r="T626" t="n">
        <v>60.700389105</v>
      </c>
      <c r="U626" t="n">
        <v/>
      </c>
      <c r="V626" t="n">
        <v>62.28514899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/>
      </c>
      <c r="AC626" t="n">
        <v>70.015447753</v>
      </c>
      <c r="AD626" t="n">
        <v>48.710673062</v>
      </c>
      <c r="AE626" t="n">
        <v/>
      </c>
      <c r="AF626" t="n">
        <v>48.12667149</v>
      </c>
      <c r="AG626" t="n">
        <v/>
      </c>
      <c r="AH626" t="n">
        <v/>
      </c>
      <c r="AI626" t="n">
        <v>53.100792037</v>
      </c>
      <c r="AJ626" t="n">
        <v>36.523806346</v>
      </c>
      <c r="AK626" t="n">
        <v/>
      </c>
      <c r="AL626" t="n">
        <v/>
      </c>
      <c r="AM626" t="n">
        <v/>
      </c>
      <c r="AN626" t="n">
        <v>36.550763338</v>
      </c>
      <c r="AO626" t="n">
        <v/>
      </c>
      <c r="AP626" t="n">
        <v/>
      </c>
      <c r="AQ626" t="n">
        <v/>
      </c>
      <c r="AR626" t="n">
        <v>54.129278971</v>
      </c>
      <c r="AS626" t="n">
        <v/>
      </c>
      <c r="AT626" t="n">
        <v>37.285067843</v>
      </c>
      <c r="AU626" t="n">
        <v/>
      </c>
    </row>
    <row r="627">
      <c r="A627" s="105" t="n">
        <v>25965</v>
      </c>
      <c r="B627" t="n">
        <v>27.103390698</v>
      </c>
      <c r="C627" t="n">
        <v>43.538372112</v>
      </c>
      <c r="D627" t="n">
        <v/>
      </c>
      <c r="E627" t="n">
        <v>40.422059133</v>
      </c>
      <c r="F627" t="n">
        <v/>
      </c>
      <c r="G627" t="n">
        <v/>
      </c>
      <c r="H627" t="n">
        <v/>
      </c>
      <c r="I627" t="n">
        <v>27.101132271</v>
      </c>
      <c r="J627" t="n">
        <v/>
      </c>
      <c r="K627" t="n">
        <v>50.863732053</v>
      </c>
      <c r="L627" t="n">
        <v/>
      </c>
      <c r="M627" t="n">
        <v/>
      </c>
      <c r="N627" t="n">
        <v>51.808237343</v>
      </c>
      <c r="O627" t="n">
        <v/>
      </c>
      <c r="P627" t="n">
        <v/>
      </c>
      <c r="Q627" t="n">
        <v>27.548683664</v>
      </c>
      <c r="R627" t="n">
        <v>62.68226345</v>
      </c>
      <c r="S627" t="n">
        <v>45.33561144</v>
      </c>
      <c r="T627" t="n">
        <v>59.53307393</v>
      </c>
      <c r="U627" t="n">
        <v/>
      </c>
      <c r="V627" t="n">
        <v>62.953051104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/>
      </c>
      <c r="AC627" t="n">
        <v>65.86280740399999</v>
      </c>
      <c r="AD627" t="n">
        <v>48.458286154</v>
      </c>
      <c r="AE627" t="n">
        <v/>
      </c>
      <c r="AF627" t="n">
        <v>49.139948804</v>
      </c>
      <c r="AG627" t="n">
        <v/>
      </c>
      <c r="AH627" t="n">
        <v/>
      </c>
      <c r="AI627" t="n">
        <v>52.599841169</v>
      </c>
      <c r="AJ627" t="n">
        <v>36.738652266</v>
      </c>
      <c r="AK627" t="n">
        <v/>
      </c>
      <c r="AL627" t="n">
        <v/>
      </c>
      <c r="AM627" t="n">
        <v/>
      </c>
      <c r="AN627" t="n">
        <v>36.404242436</v>
      </c>
      <c r="AO627" t="n">
        <v/>
      </c>
      <c r="AP627" t="n">
        <v/>
      </c>
      <c r="AQ627" t="n">
        <v/>
      </c>
      <c r="AR627" t="n">
        <v>53.21954319</v>
      </c>
      <c r="AS627" t="n">
        <v/>
      </c>
      <c r="AT627" t="n">
        <v>37.214070387</v>
      </c>
      <c r="AU627" t="n">
        <v/>
      </c>
    </row>
    <row r="628">
      <c r="A628" s="105" t="n">
        <v>25993</v>
      </c>
      <c r="B628" t="n">
        <v>26.715459811</v>
      </c>
      <c r="C628" t="n">
        <v>42.721347861</v>
      </c>
      <c r="D628" t="n">
        <v/>
      </c>
      <c r="E628" t="n">
        <v>40.575719441</v>
      </c>
      <c r="F628" t="n">
        <v/>
      </c>
      <c r="G628" t="n">
        <v/>
      </c>
      <c r="H628" t="n">
        <v/>
      </c>
      <c r="I628" t="n">
        <v>26.713233708</v>
      </c>
      <c r="J628" t="n">
        <v/>
      </c>
      <c r="K628" t="n">
        <v>50.616820732</v>
      </c>
      <c r="L628" t="n">
        <v/>
      </c>
      <c r="M628" t="n">
        <v/>
      </c>
      <c r="N628" t="n">
        <v>52.633356131</v>
      </c>
      <c r="O628" t="n">
        <v/>
      </c>
      <c r="P628" t="n">
        <v/>
      </c>
      <c r="Q628" t="n">
        <v>25.546921324</v>
      </c>
      <c r="R628" t="n">
        <v>63.108259413</v>
      </c>
      <c r="S628" t="n">
        <v>45.338042348</v>
      </c>
      <c r="T628" t="n">
        <v>58.790237</v>
      </c>
      <c r="U628" t="n">
        <v/>
      </c>
      <c r="V628" t="n">
        <v>62.173864193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/>
      </c>
      <c r="AC628" t="n">
        <v>65.86280740399999</v>
      </c>
      <c r="AD628" t="n">
        <v>48.963059969</v>
      </c>
      <c r="AE628" t="n">
        <v/>
      </c>
      <c r="AF628" t="n">
        <v>49.08633597</v>
      </c>
      <c r="AG628" t="n">
        <v/>
      </c>
      <c r="AH628" t="n">
        <v/>
      </c>
      <c r="AI628" t="n">
        <v>52.098890301</v>
      </c>
      <c r="AJ628" t="n">
        <v>36.867559818</v>
      </c>
      <c r="AK628" t="n">
        <v/>
      </c>
      <c r="AL628" t="n">
        <v/>
      </c>
      <c r="AM628" t="n">
        <v/>
      </c>
      <c r="AN628" t="n">
        <v>36.499898631</v>
      </c>
      <c r="AO628" t="n">
        <v/>
      </c>
      <c r="AP628" t="n">
        <v/>
      </c>
      <c r="AQ628" t="n">
        <v/>
      </c>
      <c r="AR628" t="n">
        <v>52.309807409</v>
      </c>
      <c r="AS628" t="n">
        <v/>
      </c>
      <c r="AT628" t="n">
        <v>37.173712894</v>
      </c>
      <c r="AU628" t="n">
        <v/>
      </c>
    </row>
    <row r="629">
      <c r="A629" s="105" t="n">
        <v>26024</v>
      </c>
      <c r="B629" t="n">
        <v>27.026814934</v>
      </c>
      <c r="C629" t="n">
        <v>43.101097581</v>
      </c>
      <c r="D629" t="n">
        <v/>
      </c>
      <c r="E629" t="n">
        <v>40.641976638</v>
      </c>
      <c r="F629" t="n">
        <v/>
      </c>
      <c r="G629" t="n">
        <v/>
      </c>
      <c r="H629" t="n">
        <v/>
      </c>
      <c r="I629" t="n">
        <v>27.024562887</v>
      </c>
      <c r="J629" t="n">
        <v/>
      </c>
      <c r="K629" t="n">
        <v>50.987187713</v>
      </c>
      <c r="L629" t="n">
        <v/>
      </c>
      <c r="M629" t="n">
        <v/>
      </c>
      <c r="N629" t="n">
        <v>53.311733675</v>
      </c>
      <c r="O629" t="n">
        <v/>
      </c>
      <c r="P629" t="n">
        <v/>
      </c>
      <c r="Q629" t="n">
        <v>33.981056784</v>
      </c>
      <c r="R629" t="n">
        <v>62.925689713</v>
      </c>
      <c r="S629" t="n">
        <v>45.468155865</v>
      </c>
      <c r="T629" t="n">
        <v>59.639193491</v>
      </c>
      <c r="U629" t="n">
        <v/>
      </c>
      <c r="V629" t="n">
        <v>61.057965412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/>
      </c>
      <c r="AC629" t="n">
        <v>65.090223153</v>
      </c>
      <c r="AD629" t="n">
        <v>48.710673062</v>
      </c>
      <c r="AE629" t="n">
        <v/>
      </c>
      <c r="AF629" t="n">
        <v>50.602916525</v>
      </c>
      <c r="AG629" t="n">
        <v/>
      </c>
      <c r="AH629" t="n">
        <v/>
      </c>
      <c r="AI629" t="n">
        <v>52.098890301</v>
      </c>
      <c r="AJ629" t="n">
        <v>37.469128393</v>
      </c>
      <c r="AK629" t="n">
        <v/>
      </c>
      <c r="AL629" t="n">
        <v/>
      </c>
      <c r="AM629" t="n">
        <v/>
      </c>
      <c r="AN629" t="n">
        <v>41.367948194</v>
      </c>
      <c r="AO629" t="n">
        <v/>
      </c>
      <c r="AP629" t="n">
        <v/>
      </c>
      <c r="AQ629" t="n">
        <v/>
      </c>
      <c r="AR629" t="n">
        <v>52.764675299</v>
      </c>
      <c r="AS629" t="n">
        <v/>
      </c>
      <c r="AT629" t="n">
        <v>37.382540608</v>
      </c>
      <c r="AU629" t="n">
        <v/>
      </c>
    </row>
    <row r="630">
      <c r="A630" s="105" t="n">
        <v>26054</v>
      </c>
      <c r="B630" t="n">
        <v>27.456402674</v>
      </c>
      <c r="C630" t="n">
        <v>39.715543784</v>
      </c>
      <c r="D630" t="n">
        <v/>
      </c>
      <c r="E630" t="n">
        <v>41.216205678</v>
      </c>
      <c r="F630" t="n">
        <v/>
      </c>
      <c r="G630" t="n">
        <v/>
      </c>
      <c r="H630" t="n">
        <v/>
      </c>
      <c r="I630" t="n">
        <v>27.454114831</v>
      </c>
      <c r="J630" t="n">
        <v/>
      </c>
      <c r="K630" t="n">
        <v>50.246453752</v>
      </c>
      <c r="L630" t="n">
        <v/>
      </c>
      <c r="M630" t="n">
        <v/>
      </c>
      <c r="N630" t="n">
        <v>53.115663258</v>
      </c>
      <c r="O630" t="n">
        <v/>
      </c>
      <c r="P630" t="n">
        <v/>
      </c>
      <c r="Q630" t="n">
        <v>34.359239897</v>
      </c>
      <c r="R630" t="n">
        <v>61.830271517</v>
      </c>
      <c r="S630" t="n">
        <v>45.373054842</v>
      </c>
      <c r="T630" t="n">
        <v>59.957552175</v>
      </c>
      <c r="U630" t="n">
        <v/>
      </c>
      <c r="V630" t="n">
        <v>63.483677884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/>
      </c>
      <c r="AC630" t="n">
        <v>67.697695001</v>
      </c>
      <c r="AD630" t="n">
        <v>47.448738526</v>
      </c>
      <c r="AE630" t="n">
        <v/>
      </c>
      <c r="AF630" t="n">
        <v>51.208122092</v>
      </c>
      <c r="AG630" t="n">
        <v/>
      </c>
      <c r="AH630" t="n">
        <v/>
      </c>
      <c r="AI630" t="n">
        <v>52.599841169</v>
      </c>
      <c r="AJ630" t="n">
        <v>37.598035945</v>
      </c>
      <c r="AK630" t="n">
        <v/>
      </c>
      <c r="AL630" t="n">
        <v/>
      </c>
      <c r="AM630" t="n">
        <v/>
      </c>
      <c r="AN630" t="n">
        <v>40.346326009</v>
      </c>
      <c r="AO630" t="n">
        <v/>
      </c>
      <c r="AP630" t="n">
        <v/>
      </c>
      <c r="AQ630" t="n">
        <v/>
      </c>
      <c r="AR630" t="n">
        <v>52.764675299</v>
      </c>
      <c r="AS630" t="n">
        <v/>
      </c>
      <c r="AT630" t="n">
        <v>37.57223074</v>
      </c>
      <c r="AU630" t="n">
        <v/>
      </c>
    </row>
    <row r="631">
      <c r="A631" s="105" t="n">
        <v>26085</v>
      </c>
      <c r="B631" t="n">
        <v>26.972207085</v>
      </c>
      <c r="C631" t="n">
        <v>42.972492481</v>
      </c>
      <c r="D631" t="n">
        <v/>
      </c>
      <c r="E631" t="n">
        <v>41.487813194</v>
      </c>
      <c r="F631" t="n">
        <v/>
      </c>
      <c r="G631" t="n">
        <v/>
      </c>
      <c r="H631" t="n">
        <v/>
      </c>
      <c r="I631" t="n">
        <v>26.969959588</v>
      </c>
      <c r="J631" t="n">
        <v/>
      </c>
      <c r="K631" t="n">
        <v>50.802004223</v>
      </c>
      <c r="L631" t="n">
        <v/>
      </c>
      <c r="M631" t="n">
        <v/>
      </c>
      <c r="N631" t="n">
        <v>54.030909704</v>
      </c>
      <c r="O631" t="n">
        <v/>
      </c>
      <c r="P631" t="n">
        <v/>
      </c>
      <c r="Q631" t="n">
        <v>35.047141939</v>
      </c>
      <c r="R631" t="n">
        <v>63.047402849</v>
      </c>
      <c r="S631" t="n">
        <v>45.773954587</v>
      </c>
      <c r="T631" t="n">
        <v>59.745313053</v>
      </c>
      <c r="U631" t="n">
        <v/>
      </c>
      <c r="V631" t="n">
        <v>64.41309612800001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/>
      </c>
      <c r="AC631" t="n">
        <v>68.27713319199999</v>
      </c>
      <c r="AD631" t="n">
        <v>48.458286154</v>
      </c>
      <c r="AE631" t="n">
        <v/>
      </c>
      <c r="AF631" t="n">
        <v>50.882014863</v>
      </c>
      <c r="AG631" t="n">
        <v/>
      </c>
      <c r="AH631" t="n">
        <v/>
      </c>
      <c r="AI631" t="n">
        <v>53.100792037</v>
      </c>
      <c r="AJ631" t="n">
        <v>38.070696968</v>
      </c>
      <c r="AK631" t="n">
        <v/>
      </c>
      <c r="AL631" t="n">
        <v/>
      </c>
      <c r="AM631" t="n">
        <v/>
      </c>
      <c r="AN631" t="n">
        <v>39.62218367</v>
      </c>
      <c r="AO631" t="n">
        <v/>
      </c>
      <c r="AP631" t="n">
        <v/>
      </c>
      <c r="AQ631" t="n">
        <v/>
      </c>
      <c r="AR631" t="n">
        <v>53.21954319</v>
      </c>
      <c r="AS631" t="n">
        <v/>
      </c>
      <c r="AT631" t="n">
        <v>37.729793531</v>
      </c>
      <c r="AU631" t="n">
        <v/>
      </c>
    </row>
    <row r="632">
      <c r="A632" s="105" t="n">
        <v>26115</v>
      </c>
      <c r="B632" t="n">
        <v>27.186785747</v>
      </c>
      <c r="C632" t="n">
        <v>43.785134909</v>
      </c>
      <c r="D632" t="n">
        <v/>
      </c>
      <c r="E632" t="n">
        <v>41.61938777</v>
      </c>
      <c r="F632" t="n">
        <v/>
      </c>
      <c r="G632" t="n">
        <v/>
      </c>
      <c r="H632" t="n">
        <v/>
      </c>
      <c r="I632" t="n">
        <v>27.18452037</v>
      </c>
      <c r="J632" t="n">
        <v/>
      </c>
      <c r="K632" t="n">
        <v>51.604466015</v>
      </c>
      <c r="L632" t="n">
        <v/>
      </c>
      <c r="M632" t="n">
        <v/>
      </c>
      <c r="N632" t="n">
        <v>56.315731417</v>
      </c>
      <c r="O632" t="n">
        <v/>
      </c>
      <c r="P632" t="n">
        <v/>
      </c>
      <c r="Q632" t="n">
        <v>35.193850905</v>
      </c>
      <c r="R632" t="n">
        <v>63.412542248</v>
      </c>
      <c r="S632" t="n">
        <v>45.837008741</v>
      </c>
      <c r="T632" t="n">
        <v>59.53307393</v>
      </c>
      <c r="U632" t="n">
        <v/>
      </c>
      <c r="V632" t="n">
        <v>68.033244501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/>
      </c>
      <c r="AC632" t="n">
        <v>67.697695001</v>
      </c>
      <c r="AD632" t="n">
        <v>48.626544093</v>
      </c>
      <c r="AE632" t="n">
        <v/>
      </c>
      <c r="AF632" t="n">
        <v>50.802703119</v>
      </c>
      <c r="AG632" t="n">
        <v/>
      </c>
      <c r="AH632" t="n">
        <v/>
      </c>
      <c r="AI632" t="n">
        <v>53.100792037</v>
      </c>
      <c r="AJ632" t="n">
        <v>39.18789575</v>
      </c>
      <c r="AK632" t="n">
        <v/>
      </c>
      <c r="AL632" t="n">
        <v/>
      </c>
      <c r="AM632" t="n">
        <v/>
      </c>
      <c r="AN632" t="n">
        <v>40.989873985</v>
      </c>
      <c r="AO632" t="n">
        <v/>
      </c>
      <c r="AP632" t="n">
        <v/>
      </c>
      <c r="AQ632" t="n">
        <v/>
      </c>
      <c r="AR632" t="n">
        <v>52.764675299</v>
      </c>
      <c r="AS632" t="n">
        <v/>
      </c>
      <c r="AT632" t="n">
        <v>37.620223434</v>
      </c>
      <c r="AU632" t="n">
        <v/>
      </c>
    </row>
    <row r="633">
      <c r="A633" s="105" t="n">
        <v>26146</v>
      </c>
      <c r="B633" t="n">
        <v>27.288697599</v>
      </c>
      <c r="C633" t="n">
        <v>43.272834527</v>
      </c>
      <c r="D633" t="n">
        <v/>
      </c>
      <c r="E633" t="n">
        <v>42.771135214</v>
      </c>
      <c r="F633" t="n">
        <v/>
      </c>
      <c r="G633" t="n">
        <v/>
      </c>
      <c r="H633" t="n">
        <v/>
      </c>
      <c r="I633" t="n">
        <v>27.28642373</v>
      </c>
      <c r="J633" t="n">
        <v/>
      </c>
      <c r="K633" t="n">
        <v>49.443991959</v>
      </c>
      <c r="L633" t="n">
        <v/>
      </c>
      <c r="M633" t="n">
        <v/>
      </c>
      <c r="N633" t="n">
        <v>55.998260618</v>
      </c>
      <c r="O633" t="n">
        <v/>
      </c>
      <c r="P633" t="n">
        <v/>
      </c>
      <c r="Q633" t="n">
        <v>34.642877232</v>
      </c>
      <c r="R633" t="n">
        <v>63.412542248</v>
      </c>
      <c r="S633" t="n">
        <v>45.574794669</v>
      </c>
      <c r="T633" t="n">
        <v>59.851432614</v>
      </c>
      <c r="U633" t="n">
        <v/>
      </c>
      <c r="V633" t="n">
        <v>68.262066559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/>
      </c>
      <c r="AC633" t="n">
        <v>68.663425312</v>
      </c>
      <c r="AD633" t="n">
        <v>48.794802031</v>
      </c>
      <c r="AE633" t="n">
        <v/>
      </c>
      <c r="AF633" t="n">
        <v>51.326264446</v>
      </c>
      <c r="AG633" t="n">
        <v/>
      </c>
      <c r="AH633" t="n">
        <v/>
      </c>
      <c r="AI633" t="n">
        <v>53.601742906</v>
      </c>
      <c r="AJ633" t="n">
        <v>37.812881864</v>
      </c>
      <c r="AK633" t="n">
        <v/>
      </c>
      <c r="AL633" t="n">
        <v/>
      </c>
      <c r="AM633" t="n">
        <v/>
      </c>
      <c r="AN633" t="n">
        <v>41.285328392</v>
      </c>
      <c r="AO633" t="n">
        <v/>
      </c>
      <c r="AP633" t="n">
        <v/>
      </c>
      <c r="AQ633" t="n">
        <v/>
      </c>
      <c r="AR633" t="n">
        <v>51.854939518</v>
      </c>
      <c r="AS633" t="n">
        <v/>
      </c>
      <c r="AT633" t="n">
        <v>37.401876508</v>
      </c>
      <c r="AU633" t="n">
        <v/>
      </c>
    </row>
    <row r="634">
      <c r="A634" s="105" t="n">
        <v>26177</v>
      </c>
      <c r="B634" t="n">
        <v>27.340661055</v>
      </c>
      <c r="C634" t="n">
        <v>43.783670386</v>
      </c>
      <c r="D634" t="n">
        <v/>
      </c>
      <c r="E634" t="n">
        <v>43.038983457</v>
      </c>
      <c r="F634" t="n">
        <v/>
      </c>
      <c r="G634" t="n">
        <v/>
      </c>
      <c r="H634" t="n">
        <v/>
      </c>
      <c r="I634" t="n">
        <v>27.338382856</v>
      </c>
      <c r="J634" t="n">
        <v/>
      </c>
      <c r="K634" t="n">
        <v>50.616820732</v>
      </c>
      <c r="L634" t="n">
        <v/>
      </c>
      <c r="M634" t="n">
        <v/>
      </c>
      <c r="N634" t="n">
        <v>55.151056739</v>
      </c>
      <c r="O634" t="n">
        <v/>
      </c>
      <c r="P634" t="n">
        <v/>
      </c>
      <c r="Q634" t="n">
        <v>34.864570781</v>
      </c>
      <c r="R634" t="n">
        <v>65.238239243</v>
      </c>
      <c r="S634" t="n">
        <v>46.21613474</v>
      </c>
      <c r="T634" t="n">
        <v>59.320834807</v>
      </c>
      <c r="U634" t="n">
        <v/>
      </c>
      <c r="V634" t="n">
        <v>66.14445817799999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/>
      </c>
      <c r="AC634" t="n">
        <v>68.856571371</v>
      </c>
      <c r="AD634" t="n">
        <v>49.467833783</v>
      </c>
      <c r="AE634" t="n">
        <v/>
      </c>
      <c r="AF634" t="n">
        <v>51.827158881</v>
      </c>
      <c r="AG634" t="n">
        <v/>
      </c>
      <c r="AH634" t="n">
        <v/>
      </c>
      <c r="AI634" t="n">
        <v>53.601742906</v>
      </c>
      <c r="AJ634" t="n">
        <v>37.855851048</v>
      </c>
      <c r="AK634" t="n">
        <v/>
      </c>
      <c r="AL634" t="n">
        <v/>
      </c>
      <c r="AM634" t="n">
        <v/>
      </c>
      <c r="AN634" t="n">
        <v>38.454695733</v>
      </c>
      <c r="AO634" t="n">
        <v/>
      </c>
      <c r="AP634" t="n">
        <v/>
      </c>
      <c r="AQ634" t="n">
        <v/>
      </c>
      <c r="AR634" t="n">
        <v>51.854939518</v>
      </c>
      <c r="AS634" t="n">
        <v/>
      </c>
      <c r="AT634" t="n">
        <v>38.009817018</v>
      </c>
      <c r="AU634" t="n">
        <v/>
      </c>
    </row>
    <row r="635">
      <c r="A635" s="105" t="n">
        <v>26207</v>
      </c>
      <c r="B635" t="n">
        <v>27.678737566</v>
      </c>
      <c r="C635" t="n">
        <v>43.937726326</v>
      </c>
      <c r="D635" t="n">
        <v/>
      </c>
      <c r="E635" t="n">
        <v>43.228826773</v>
      </c>
      <c r="F635" t="n">
        <v/>
      </c>
      <c r="G635" t="n">
        <v/>
      </c>
      <c r="H635" t="n">
        <v/>
      </c>
      <c r="I635" t="n">
        <v>27.676431197</v>
      </c>
      <c r="J635" t="n">
        <v/>
      </c>
      <c r="K635" t="n">
        <v>50.740276393</v>
      </c>
      <c r="L635" t="n">
        <v/>
      </c>
      <c r="M635" t="n">
        <v/>
      </c>
      <c r="N635" t="n">
        <v>55.087400275</v>
      </c>
      <c r="O635" t="n">
        <v/>
      </c>
      <c r="P635" t="n">
        <v/>
      </c>
      <c r="Q635" t="n">
        <v>34.678739424</v>
      </c>
      <c r="R635" t="n">
        <v>65.116526107</v>
      </c>
      <c r="S635" t="n">
        <v>46.338294025</v>
      </c>
      <c r="T635" t="n">
        <v>59.426954369</v>
      </c>
      <c r="U635" t="n">
        <v/>
      </c>
      <c r="V635" t="n">
        <v>66.734239985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/>
      </c>
      <c r="AC635" t="n">
        <v>70.20859381299999</v>
      </c>
      <c r="AD635" t="n">
        <v>48.794802031</v>
      </c>
      <c r="AE635" t="n">
        <v/>
      </c>
      <c r="AF635" t="n">
        <v>51.002952553</v>
      </c>
      <c r="AG635" t="n">
        <v/>
      </c>
      <c r="AH635" t="n">
        <v/>
      </c>
      <c r="AI635" t="n">
        <v>54.102693774</v>
      </c>
      <c r="AJ635" t="n">
        <v>37.812881864</v>
      </c>
      <c r="AK635" t="n">
        <v/>
      </c>
      <c r="AL635" t="n">
        <v/>
      </c>
      <c r="AM635" t="n">
        <v/>
      </c>
      <c r="AN635" t="n">
        <v>42.666982558</v>
      </c>
      <c r="AO635" t="n">
        <v/>
      </c>
      <c r="AP635" t="n">
        <v/>
      </c>
      <c r="AQ635" t="n">
        <v/>
      </c>
      <c r="AR635" t="n">
        <v>53.21954319</v>
      </c>
      <c r="AS635" t="n">
        <v/>
      </c>
      <c r="AT635" t="n">
        <v>38.294302636</v>
      </c>
      <c r="AU635" t="n">
        <v/>
      </c>
    </row>
    <row r="636">
      <c r="A636" s="105" t="n">
        <v>26238</v>
      </c>
      <c r="B636" t="n">
        <v>27.291214646</v>
      </c>
      <c r="C636" t="n">
        <v>44.118211562</v>
      </c>
      <c r="D636" t="n">
        <v/>
      </c>
      <c r="E636" t="n">
        <v>42.944061799</v>
      </c>
      <c r="F636" t="n">
        <v/>
      </c>
      <c r="G636" t="n">
        <v/>
      </c>
      <c r="H636" t="n">
        <v/>
      </c>
      <c r="I636" t="n">
        <v>27.288940567</v>
      </c>
      <c r="J636" t="n">
        <v/>
      </c>
      <c r="K636" t="n">
        <v>49.999542431</v>
      </c>
      <c r="L636" t="n">
        <v/>
      </c>
      <c r="M636" t="n">
        <v/>
      </c>
      <c r="N636" t="n">
        <v>56.198485274</v>
      </c>
      <c r="O636" t="n">
        <v/>
      </c>
      <c r="P636" t="n">
        <v/>
      </c>
      <c r="Q636" t="n">
        <v>34.104944356</v>
      </c>
      <c r="R636" t="n">
        <v>65.846804905</v>
      </c>
      <c r="S636" t="n">
        <v>46.396620293</v>
      </c>
      <c r="T636" t="n">
        <v>59.320834807</v>
      </c>
      <c r="U636" t="n">
        <v/>
      </c>
      <c r="V636" t="n">
        <v>68.27237442099999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/>
      </c>
      <c r="AC636" t="n">
        <v>69.532582598</v>
      </c>
      <c r="AD636" t="n">
        <v>49.383704814</v>
      </c>
      <c r="AE636" t="n">
        <v/>
      </c>
      <c r="AF636" t="n">
        <v>49.974594736</v>
      </c>
      <c r="AG636" t="n">
        <v/>
      </c>
      <c r="AH636" t="n">
        <v/>
      </c>
      <c r="AI636" t="n">
        <v>53.601742906</v>
      </c>
      <c r="AJ636" t="n">
        <v>37.598035945</v>
      </c>
      <c r="AK636" t="n">
        <v/>
      </c>
      <c r="AL636" t="n">
        <v/>
      </c>
      <c r="AM636" t="n">
        <v/>
      </c>
      <c r="AN636" t="n">
        <v>47.618641009</v>
      </c>
      <c r="AO636" t="n">
        <v/>
      </c>
      <c r="AP636" t="n">
        <v/>
      </c>
      <c r="AQ636" t="n">
        <v/>
      </c>
      <c r="AR636" t="n">
        <v>52.309807409</v>
      </c>
      <c r="AS636" t="n">
        <v/>
      </c>
      <c r="AT636" t="n">
        <v>38.45682335</v>
      </c>
      <c r="AU636" t="n">
        <v/>
      </c>
    </row>
    <row r="637">
      <c r="A637" s="105" t="n">
        <v>26268</v>
      </c>
      <c r="B637" t="n">
        <v>27.944958345</v>
      </c>
      <c r="C637" t="n">
        <v>42.732308882</v>
      </c>
      <c r="D637" t="n">
        <v/>
      </c>
      <c r="E637" t="n">
        <v>43.548834937</v>
      </c>
      <c r="F637" t="n">
        <v/>
      </c>
      <c r="G637" t="n">
        <v/>
      </c>
      <c r="H637" t="n">
        <v/>
      </c>
      <c r="I637" t="n">
        <v>27.942629793</v>
      </c>
      <c r="J637" t="n">
        <v/>
      </c>
      <c r="K637" t="n">
        <v>49.135352809</v>
      </c>
      <c r="L637" t="n">
        <v/>
      </c>
      <c r="M637" t="n">
        <v/>
      </c>
      <c r="N637" t="n">
        <v>57.539232047</v>
      </c>
      <c r="O637" t="n">
        <v/>
      </c>
      <c r="P637" t="n">
        <v/>
      </c>
      <c r="Q637" t="n">
        <v>33.919112999</v>
      </c>
      <c r="R637" t="n">
        <v>65.78594834099999</v>
      </c>
      <c r="S637" t="n">
        <v>46.519424137</v>
      </c>
      <c r="T637" t="n">
        <v>59.639193491</v>
      </c>
      <c r="U637" t="n">
        <v/>
      </c>
      <c r="V637" t="n">
        <v>68.726326828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/>
      </c>
      <c r="AC637" t="n">
        <v>70.20859381299999</v>
      </c>
      <c r="AD637" t="n">
        <v>49.047188938</v>
      </c>
      <c r="AE637" t="n">
        <v/>
      </c>
      <c r="AF637" t="n">
        <v>49.407162628</v>
      </c>
      <c r="AG637" t="n">
        <v/>
      </c>
      <c r="AH637" t="n">
        <v/>
      </c>
      <c r="AI637" t="n">
        <v>52.599841169</v>
      </c>
      <c r="AJ637" t="n">
        <v>38.586327175</v>
      </c>
      <c r="AK637" t="n">
        <v/>
      </c>
      <c r="AL637" t="n">
        <v/>
      </c>
      <c r="AM637" t="n">
        <v/>
      </c>
      <c r="AN637" t="n">
        <v>41.16221471</v>
      </c>
      <c r="AO637" t="n">
        <v/>
      </c>
      <c r="AP637" t="n">
        <v/>
      </c>
      <c r="AQ637" t="n">
        <v/>
      </c>
      <c r="AR637" t="n">
        <v>52.309807409</v>
      </c>
      <c r="AS637" t="n">
        <v/>
      </c>
      <c r="AT637" t="n">
        <v>38.900755769</v>
      </c>
      <c r="AU637" t="n">
        <v/>
      </c>
    </row>
    <row r="638">
      <c r="A638" s="105" t="n">
        <v>26299</v>
      </c>
      <c r="B638" t="n">
        <v>28.516204846</v>
      </c>
      <c r="C638" t="n">
        <v>44.548283769</v>
      </c>
      <c r="D638" t="n">
        <v/>
      </c>
      <c r="E638" t="n">
        <v>43.811984088</v>
      </c>
      <c r="F638" t="n">
        <v/>
      </c>
      <c r="G638" t="n">
        <v/>
      </c>
      <c r="H638" t="n">
        <v/>
      </c>
      <c r="I638" t="n">
        <v>28.513828693</v>
      </c>
      <c r="J638" t="n">
        <v/>
      </c>
      <c r="K638" t="n">
        <v>51.048915544</v>
      </c>
      <c r="L638" t="n">
        <v/>
      </c>
      <c r="M638" t="n">
        <v/>
      </c>
      <c r="N638" t="n">
        <v>58.748212168</v>
      </c>
      <c r="O638" t="n">
        <v/>
      </c>
      <c r="P638" t="n">
        <v/>
      </c>
      <c r="Q638" t="n">
        <v>35.832849958</v>
      </c>
      <c r="R638" t="n">
        <v>66.394514003</v>
      </c>
      <c r="S638" t="n">
        <v>47.208345881</v>
      </c>
      <c r="T638" t="n">
        <v>57.941280509</v>
      </c>
      <c r="U638" t="n">
        <v/>
      </c>
      <c r="V638" t="n">
        <v>69.259089488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/>
      </c>
      <c r="AC638" t="n">
        <v>70.015447753</v>
      </c>
      <c r="AD638" t="n">
        <v>49.383704814</v>
      </c>
      <c r="AE638" t="n">
        <v/>
      </c>
      <c r="AF638" t="n">
        <v>50.242157847</v>
      </c>
      <c r="AG638" t="n">
        <v/>
      </c>
      <c r="AH638" t="n">
        <v/>
      </c>
      <c r="AI638" t="n">
        <v>53.601742906</v>
      </c>
      <c r="AJ638" t="n">
        <v>36.824590634</v>
      </c>
      <c r="AK638" t="n">
        <v/>
      </c>
      <c r="AL638" t="n">
        <v/>
      </c>
      <c r="AM638" t="n">
        <v/>
      </c>
      <c r="AN638" t="n">
        <v>41.707230485</v>
      </c>
      <c r="AO638" t="n">
        <v/>
      </c>
      <c r="AP638" t="n">
        <v/>
      </c>
      <c r="AQ638" t="n">
        <v/>
      </c>
      <c r="AR638" t="n">
        <v>51.854939518</v>
      </c>
      <c r="AS638" t="n">
        <v/>
      </c>
      <c r="AT638" t="n">
        <v>39.830762953</v>
      </c>
      <c r="AU638" t="n">
        <v/>
      </c>
    </row>
    <row r="639">
      <c r="A639" s="105" t="n">
        <v>26330</v>
      </c>
      <c r="B639" t="n">
        <v>27.616818543</v>
      </c>
      <c r="C639" t="n">
        <v>44.066625556</v>
      </c>
      <c r="D639" t="n">
        <v/>
      </c>
      <c r="E639" t="n">
        <v>43.27158851</v>
      </c>
      <c r="F639" t="n">
        <v/>
      </c>
      <c r="G639" t="n">
        <v/>
      </c>
      <c r="H639" t="n">
        <v/>
      </c>
      <c r="I639" t="n">
        <v>27.614517333</v>
      </c>
      <c r="J639" t="n">
        <v/>
      </c>
      <c r="K639" t="n">
        <v>51.419282525</v>
      </c>
      <c r="L639" t="n">
        <v/>
      </c>
      <c r="M639" t="n">
        <v/>
      </c>
      <c r="N639" t="n">
        <v>60.024916037</v>
      </c>
      <c r="O639" t="n">
        <v/>
      </c>
      <c r="P639" t="n">
        <v/>
      </c>
      <c r="Q639" t="n">
        <v>35.545952424</v>
      </c>
      <c r="R639" t="n">
        <v>65.725091769</v>
      </c>
      <c r="S639" t="n">
        <v>46.990696659</v>
      </c>
      <c r="T639" t="n">
        <v>53.272019809</v>
      </c>
      <c r="U639" t="n">
        <v/>
      </c>
      <c r="V639" t="n">
        <v>68.94989336899999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/>
      </c>
      <c r="AC639" t="n">
        <v>67.11825681000001</v>
      </c>
      <c r="AD639" t="n">
        <v>49.888478628</v>
      </c>
      <c r="AE639" t="n">
        <v/>
      </c>
      <c r="AF639" t="n">
        <v>48.281903142</v>
      </c>
      <c r="AG639" t="n">
        <v/>
      </c>
      <c r="AH639" t="n">
        <v/>
      </c>
      <c r="AI639" t="n">
        <v>53.601742906</v>
      </c>
      <c r="AJ639" t="n">
        <v>36.351929611</v>
      </c>
      <c r="AK639" t="n">
        <v/>
      </c>
      <c r="AL639" t="n">
        <v/>
      </c>
      <c r="AM639" t="n">
        <v/>
      </c>
      <c r="AN639" t="n">
        <v>42.816445672</v>
      </c>
      <c r="AO639" t="n">
        <v/>
      </c>
      <c r="AP639" t="n">
        <v/>
      </c>
      <c r="AQ639" t="n">
        <v/>
      </c>
      <c r="AR639" t="n">
        <v>52.764675299</v>
      </c>
      <c r="AS639" t="n">
        <v/>
      </c>
      <c r="AT639" t="n">
        <v>40.242171398</v>
      </c>
      <c r="AU639" t="n">
        <v/>
      </c>
    </row>
    <row r="640">
      <c r="A640" s="105" t="n">
        <v>26359</v>
      </c>
      <c r="B640" t="n">
        <v>28.33415202</v>
      </c>
      <c r="C640" t="n">
        <v>44.91972678</v>
      </c>
      <c r="D640" t="n">
        <v/>
      </c>
      <c r="E640" t="n">
        <v>43.773451534</v>
      </c>
      <c r="F640" t="n">
        <v/>
      </c>
      <c r="G640" t="n">
        <v/>
      </c>
      <c r="H640" t="n">
        <v/>
      </c>
      <c r="I640" t="n">
        <v>28.331791037</v>
      </c>
      <c r="J640" t="n">
        <v/>
      </c>
      <c r="K640" t="n">
        <v>51.974832996</v>
      </c>
      <c r="L640" t="n">
        <v/>
      </c>
      <c r="M640" t="n">
        <v/>
      </c>
      <c r="N640" t="n">
        <v>60.894688059</v>
      </c>
      <c r="O640" t="n">
        <v/>
      </c>
      <c r="P640" t="n">
        <v/>
      </c>
      <c r="Q640" t="n">
        <v>36.292538053</v>
      </c>
      <c r="R640" t="n">
        <v>66.88136653799999</v>
      </c>
      <c r="S640" t="n">
        <v>47.822476505</v>
      </c>
      <c r="T640" t="n">
        <v>58.577997878</v>
      </c>
      <c r="U640" t="n">
        <v/>
      </c>
      <c r="V640" t="n">
        <v>70.439710979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/>
      </c>
      <c r="AC640" t="n">
        <v>66.538818619</v>
      </c>
      <c r="AD640" t="n">
        <v>50.898026256</v>
      </c>
      <c r="AE640" t="n">
        <v/>
      </c>
      <c r="AF640" t="n">
        <v>50.520826066</v>
      </c>
      <c r="AG640" t="n">
        <v/>
      </c>
      <c r="AH640" t="n">
        <v/>
      </c>
      <c r="AI640" t="n">
        <v>54.603644642</v>
      </c>
      <c r="AJ640" t="n">
        <v>33.430025103</v>
      </c>
      <c r="AK640" t="n">
        <v/>
      </c>
      <c r="AL640" t="n">
        <v/>
      </c>
      <c r="AM640" t="n">
        <v/>
      </c>
      <c r="AN640" t="n">
        <v>44.238278874</v>
      </c>
      <c r="AO640" t="n">
        <v/>
      </c>
      <c r="AP640" t="n">
        <v/>
      </c>
      <c r="AQ640" t="n">
        <v/>
      </c>
      <c r="AR640" t="n">
        <v>53.21954319</v>
      </c>
      <c r="AS640" t="n">
        <v/>
      </c>
      <c r="AT640" t="n">
        <v>40.521599935</v>
      </c>
      <c r="AU640" t="n">
        <v/>
      </c>
    </row>
    <row r="641">
      <c r="A641" s="105" t="n">
        <v>26390</v>
      </c>
      <c r="B641" t="n">
        <v>28.828821888</v>
      </c>
      <c r="C641" t="n">
        <v>45.615453123</v>
      </c>
      <c r="D641" t="n">
        <v/>
      </c>
      <c r="E641" t="n">
        <v>44.910631794</v>
      </c>
      <c r="F641" t="n">
        <v/>
      </c>
      <c r="G641" t="n">
        <v/>
      </c>
      <c r="H641" t="n">
        <v/>
      </c>
      <c r="I641" t="n">
        <v>28.826419687</v>
      </c>
      <c r="J641" t="n">
        <v/>
      </c>
      <c r="K641" t="n">
        <v>51.974832996</v>
      </c>
      <c r="L641" t="n">
        <v/>
      </c>
      <c r="M641" t="n">
        <v/>
      </c>
      <c r="N641" t="n">
        <v>61.181291899</v>
      </c>
      <c r="O641" t="n">
        <v/>
      </c>
      <c r="P641" t="n">
        <v/>
      </c>
      <c r="Q641" t="n">
        <v>36.282757455</v>
      </c>
      <c r="R641" t="n">
        <v>67.3073625</v>
      </c>
      <c r="S641" t="n">
        <v>48.389882068</v>
      </c>
      <c r="T641" t="n">
        <v>60.063671737</v>
      </c>
      <c r="U641" t="n">
        <v/>
      </c>
      <c r="V641" t="n">
        <v>71.387210274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/>
      </c>
      <c r="AC641" t="n">
        <v>71.753762314</v>
      </c>
      <c r="AD641" t="n">
        <v>50.56151038</v>
      </c>
      <c r="AE641" t="n">
        <v/>
      </c>
      <c r="AF641" t="n">
        <v>51.959997743</v>
      </c>
      <c r="AG641" t="n">
        <v/>
      </c>
      <c r="AH641" t="n">
        <v/>
      </c>
      <c r="AI641" t="n">
        <v>56.106497247</v>
      </c>
      <c r="AJ641" t="n">
        <v>40.562909636</v>
      </c>
      <c r="AK641" t="n">
        <v/>
      </c>
      <c r="AL641" t="n">
        <v/>
      </c>
      <c r="AM641" t="n">
        <v/>
      </c>
      <c r="AN641" t="n">
        <v>44.101068224</v>
      </c>
      <c r="AO641" t="n">
        <v/>
      </c>
      <c r="AP641" t="n">
        <v/>
      </c>
      <c r="AQ641" t="n">
        <v/>
      </c>
      <c r="AR641" t="n">
        <v>53.21954319</v>
      </c>
      <c r="AS641" t="n">
        <v/>
      </c>
      <c r="AT641" t="n">
        <v>40.918332928</v>
      </c>
      <c r="AU641" t="n">
        <v/>
      </c>
    </row>
    <row r="642">
      <c r="A642" s="105" t="n">
        <v>26420</v>
      </c>
      <c r="B642" t="n">
        <v>28.468796368</v>
      </c>
      <c r="C642" t="n">
        <v>45.927572239</v>
      </c>
      <c r="D642" t="n">
        <v/>
      </c>
      <c r="E642" t="n">
        <v>44.591093539</v>
      </c>
      <c r="F642" t="n">
        <v/>
      </c>
      <c r="G642" t="n">
        <v/>
      </c>
      <c r="H642" t="n">
        <v/>
      </c>
      <c r="I642" t="n">
        <v>28.466424166</v>
      </c>
      <c r="J642" t="n">
        <v/>
      </c>
      <c r="K642" t="n">
        <v>51.666193845</v>
      </c>
      <c r="L642" t="n">
        <v/>
      </c>
      <c r="M642" t="n">
        <v/>
      </c>
      <c r="N642" t="n">
        <v>62.033944589</v>
      </c>
      <c r="O642" t="n">
        <v/>
      </c>
      <c r="P642" t="n">
        <v/>
      </c>
      <c r="Q642" t="n">
        <v>37.17605205</v>
      </c>
      <c r="R642" t="n">
        <v>67.976784735</v>
      </c>
      <c r="S642" t="n">
        <v>48.52824235</v>
      </c>
      <c r="T642" t="n">
        <v>61.230986912</v>
      </c>
      <c r="U642" t="n">
        <v/>
      </c>
      <c r="V642" t="n">
        <v>72.708909621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/>
      </c>
      <c r="AC642" t="n">
        <v>70.594885944</v>
      </c>
      <c r="AD642" t="n">
        <v>51.318671101</v>
      </c>
      <c r="AE642" t="n">
        <v/>
      </c>
      <c r="AF642" t="n">
        <v>51.639331194</v>
      </c>
      <c r="AG642" t="n">
        <v/>
      </c>
      <c r="AH642" t="n">
        <v/>
      </c>
      <c r="AI642" t="n">
        <v>55.10459551</v>
      </c>
      <c r="AJ642" t="n">
        <v>36.523806346</v>
      </c>
      <c r="AK642" t="n">
        <v/>
      </c>
      <c r="AL642" t="n">
        <v/>
      </c>
      <c r="AM642" t="n">
        <v/>
      </c>
      <c r="AN642" t="n">
        <v>44.04924356</v>
      </c>
      <c r="AO642" t="n">
        <v/>
      </c>
      <c r="AP642" t="n">
        <v/>
      </c>
      <c r="AQ642" t="n">
        <v/>
      </c>
      <c r="AR642" t="n">
        <v>52.764675299</v>
      </c>
      <c r="AS642" t="n">
        <v/>
      </c>
      <c r="AT642" t="n">
        <v>40.923290851</v>
      </c>
      <c r="AU642" t="n">
        <v/>
      </c>
    </row>
    <row r="643">
      <c r="A643" s="105" t="n">
        <v>26451</v>
      </c>
      <c r="B643" t="n">
        <v>28.791088915</v>
      </c>
      <c r="C643" t="n">
        <v>46.121307962</v>
      </c>
      <c r="D643" t="n">
        <v/>
      </c>
      <c r="E643" t="n">
        <v>45.044086006</v>
      </c>
      <c r="F643" t="n">
        <v/>
      </c>
      <c r="G643" t="n">
        <v/>
      </c>
      <c r="H643" t="n">
        <v/>
      </c>
      <c r="I643" t="n">
        <v>28.788689858</v>
      </c>
      <c r="J643" t="n">
        <v/>
      </c>
      <c r="K643" t="n">
        <v>51.974832996</v>
      </c>
      <c r="L643" t="n">
        <v/>
      </c>
      <c r="M643" t="n">
        <v/>
      </c>
      <c r="N643" t="n">
        <v>63.703475221</v>
      </c>
      <c r="O643" t="n">
        <v/>
      </c>
      <c r="P643" t="n">
        <v/>
      </c>
      <c r="Q643" t="n">
        <v>37.143450057</v>
      </c>
      <c r="R643" t="n">
        <v>67.42907563599999</v>
      </c>
      <c r="S643" t="n">
        <v>48.721029732</v>
      </c>
      <c r="T643" t="n">
        <v>61.443226035</v>
      </c>
      <c r="U643" t="n">
        <v/>
      </c>
      <c r="V643" t="n">
        <v>72.827750315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/>
      </c>
      <c r="AC643" t="n">
        <v>71.560616254</v>
      </c>
      <c r="AD643" t="n">
        <v>51.571058008</v>
      </c>
      <c r="AE643" t="n">
        <v/>
      </c>
      <c r="AF643" t="n">
        <v>52.015505592</v>
      </c>
      <c r="AG643" t="n">
        <v/>
      </c>
      <c r="AH643" t="n">
        <v/>
      </c>
      <c r="AI643" t="n">
        <v>55.605546379</v>
      </c>
      <c r="AJ643" t="n">
        <v>37.598035945</v>
      </c>
      <c r="AK643" t="n">
        <v/>
      </c>
      <c r="AL643" t="n">
        <v/>
      </c>
      <c r="AM643" t="n">
        <v/>
      </c>
      <c r="AN643" t="n">
        <v>44.07655063</v>
      </c>
      <c r="AO643" t="n">
        <v/>
      </c>
      <c r="AP643" t="n">
        <v/>
      </c>
      <c r="AQ643" t="n">
        <v/>
      </c>
      <c r="AR643" t="n">
        <v>53.21954319</v>
      </c>
      <c r="AS643" t="n">
        <v/>
      </c>
      <c r="AT643" t="n">
        <v>41.030381986</v>
      </c>
      <c r="AU643" t="n">
        <v/>
      </c>
    </row>
    <row r="644">
      <c r="A644" s="105" t="n">
        <v>26481</v>
      </c>
      <c r="B644" t="n">
        <v>29.135530723</v>
      </c>
      <c r="C644" t="n">
        <v>45.549171098</v>
      </c>
      <c r="D644" t="n">
        <v/>
      </c>
      <c r="E644" t="n">
        <v>45.244267324</v>
      </c>
      <c r="F644" t="n">
        <v/>
      </c>
      <c r="G644" t="n">
        <v/>
      </c>
      <c r="H644" t="n">
        <v/>
      </c>
      <c r="I644" t="n">
        <v>29.133102965</v>
      </c>
      <c r="J644" t="n">
        <v/>
      </c>
      <c r="K644" t="n">
        <v>52.221744317</v>
      </c>
      <c r="L644" t="n">
        <v/>
      </c>
      <c r="M644" t="n">
        <v/>
      </c>
      <c r="N644" t="n">
        <v>63.107293642</v>
      </c>
      <c r="O644" t="n">
        <v/>
      </c>
      <c r="P644" t="n">
        <v/>
      </c>
      <c r="Q644" t="n">
        <v>37.094547068</v>
      </c>
      <c r="R644" t="n">
        <v>68.341924134</v>
      </c>
      <c r="S644" t="n">
        <v>48.66995414</v>
      </c>
      <c r="T644" t="n">
        <v>60.806508666</v>
      </c>
      <c r="U644" t="n">
        <v/>
      </c>
      <c r="V644" t="n">
        <v>73.38397992199999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/>
      </c>
      <c r="AC644" t="n">
        <v>70.498312908</v>
      </c>
      <c r="AD644" t="n">
        <v>51.486929039</v>
      </c>
      <c r="AE644" t="n">
        <v/>
      </c>
      <c r="AF644" t="n">
        <v>52.363250744</v>
      </c>
      <c r="AG644" t="n">
        <v/>
      </c>
      <c r="AH644" t="n">
        <v/>
      </c>
      <c r="AI644" t="n">
        <v>55.10459551</v>
      </c>
      <c r="AJ644" t="n">
        <v>37.340220841</v>
      </c>
      <c r="AK644" t="n">
        <v/>
      </c>
      <c r="AL644" t="n">
        <v/>
      </c>
      <c r="AM644" t="n">
        <v/>
      </c>
      <c r="AN644" t="n">
        <v>46.049684217</v>
      </c>
      <c r="AO644" t="n">
        <v/>
      </c>
      <c r="AP644" t="n">
        <v/>
      </c>
      <c r="AQ644" t="n">
        <v/>
      </c>
      <c r="AR644" t="n">
        <v>52.309807409</v>
      </c>
      <c r="AS644" t="n">
        <v/>
      </c>
      <c r="AT644" t="n">
        <v>40.986851423</v>
      </c>
      <c r="AU644" t="n">
        <v/>
      </c>
    </row>
    <row r="645">
      <c r="A645" s="105" t="n">
        <v>26512</v>
      </c>
      <c r="B645" t="n">
        <v>29.254684091</v>
      </c>
      <c r="C645" t="n">
        <v>46.14285638</v>
      </c>
      <c r="D645" t="n">
        <v/>
      </c>
      <c r="E645" t="n">
        <v>45.327441252</v>
      </c>
      <c r="F645" t="n">
        <v/>
      </c>
      <c r="G645" t="n">
        <v/>
      </c>
      <c r="H645" t="n">
        <v/>
      </c>
      <c r="I645" t="n">
        <v>29.252246404</v>
      </c>
      <c r="J645" t="n">
        <v/>
      </c>
      <c r="K645" t="n">
        <v>51.974832996</v>
      </c>
      <c r="L645" t="n">
        <v/>
      </c>
      <c r="M645" t="n">
        <v/>
      </c>
      <c r="N645" t="n">
        <v>64.194941026</v>
      </c>
      <c r="O645" t="n">
        <v/>
      </c>
      <c r="P645" t="n">
        <v/>
      </c>
      <c r="Q645" t="n">
        <v>36.295798252</v>
      </c>
      <c r="R645" t="n">
        <v>68.341924134</v>
      </c>
      <c r="S645" t="n">
        <v>49.224982289</v>
      </c>
      <c r="T645" t="n">
        <v>61.337106473</v>
      </c>
      <c r="U645" t="n">
        <v/>
      </c>
      <c r="V645" t="n">
        <v>71.393071116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/>
      </c>
      <c r="AC645" t="n">
        <v>71.464043219</v>
      </c>
      <c r="AD645" t="n">
        <v>52.832992543</v>
      </c>
      <c r="AE645" t="n">
        <v/>
      </c>
      <c r="AF645" t="n">
        <v>54.248656218</v>
      </c>
      <c r="AG645" t="n">
        <v/>
      </c>
      <c r="AH645" t="n">
        <v/>
      </c>
      <c r="AI645" t="n">
        <v>56.106497247</v>
      </c>
      <c r="AJ645" t="n">
        <v>36.351929611</v>
      </c>
      <c r="AK645" t="n">
        <v/>
      </c>
      <c r="AL645" t="n">
        <v/>
      </c>
      <c r="AM645" t="n">
        <v/>
      </c>
      <c r="AN645" t="n">
        <v>50.217484681</v>
      </c>
      <c r="AO645" t="n">
        <v/>
      </c>
      <c r="AP645" t="n">
        <v/>
      </c>
      <c r="AQ645" t="n">
        <v/>
      </c>
      <c r="AR645" t="n">
        <v>55.948750533</v>
      </c>
      <c r="AS645" t="n">
        <v/>
      </c>
      <c r="AT645" t="n">
        <v>41.551955479</v>
      </c>
      <c r="AU645" t="n">
        <v/>
      </c>
    </row>
    <row r="646">
      <c r="A646" s="105" t="n">
        <v>26543</v>
      </c>
      <c r="B646" t="n">
        <v>29.579227986</v>
      </c>
      <c r="C646" t="n">
        <v>46.784982437</v>
      </c>
      <c r="D646" t="n">
        <v/>
      </c>
      <c r="E646" t="n">
        <v>46.446295053</v>
      </c>
      <c r="F646" t="n">
        <v/>
      </c>
      <c r="G646" t="n">
        <v/>
      </c>
      <c r="H646" t="n">
        <v/>
      </c>
      <c r="I646" t="n">
        <v>29.576763256</v>
      </c>
      <c r="J646" t="n">
        <v/>
      </c>
      <c r="K646" t="n">
        <v>52.036560826</v>
      </c>
      <c r="L646" t="n">
        <v/>
      </c>
      <c r="M646" t="n">
        <v/>
      </c>
      <c r="N646" t="n">
        <v>65.187147129</v>
      </c>
      <c r="O646" t="n">
        <v/>
      </c>
      <c r="P646" t="n">
        <v/>
      </c>
      <c r="Q646" t="n">
        <v>37.30319982</v>
      </c>
      <c r="R646" t="n">
        <v>69.498198894</v>
      </c>
      <c r="S646" t="n">
        <v>49.557167581</v>
      </c>
      <c r="T646" t="n">
        <v>62.292182526</v>
      </c>
      <c r="U646" t="n">
        <v/>
      </c>
      <c r="V646" t="n">
        <v>75.83017024999999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/>
      </c>
      <c r="AC646" t="n">
        <v>69.436009562</v>
      </c>
      <c r="AD646" t="n">
        <v>53.421895327</v>
      </c>
      <c r="AE646" t="n">
        <v/>
      </c>
      <c r="AF646" t="n">
        <v>53.595888671</v>
      </c>
      <c r="AG646" t="n">
        <v/>
      </c>
      <c r="AH646" t="n">
        <v/>
      </c>
      <c r="AI646" t="n">
        <v>56.106497247</v>
      </c>
      <c r="AJ646" t="n">
        <v>36.824590634</v>
      </c>
      <c r="AK646" t="n">
        <v/>
      </c>
      <c r="AL646" t="n">
        <v/>
      </c>
      <c r="AM646" t="n">
        <v/>
      </c>
      <c r="AN646" t="n">
        <v>49.232205505</v>
      </c>
      <c r="AO646" t="n">
        <v/>
      </c>
      <c r="AP646" t="n">
        <v/>
      </c>
      <c r="AQ646" t="n">
        <v/>
      </c>
      <c r="AR646" t="n">
        <v>56.403618423</v>
      </c>
      <c r="AS646" t="n">
        <v/>
      </c>
      <c r="AT646" t="n">
        <v>41.873030568</v>
      </c>
      <c r="AU646" t="n">
        <v/>
      </c>
    </row>
    <row r="647">
      <c r="A647" s="105" t="n">
        <v>26573</v>
      </c>
      <c r="B647" t="n">
        <v>30.420912816</v>
      </c>
      <c r="C647" t="n">
        <v>47.750110649</v>
      </c>
      <c r="D647" t="n">
        <v/>
      </c>
      <c r="E647" t="n">
        <v>47.322205798</v>
      </c>
      <c r="F647" t="n">
        <v/>
      </c>
      <c r="G647" t="n">
        <v/>
      </c>
      <c r="H647" t="n">
        <v/>
      </c>
      <c r="I647" t="n">
        <v>30.418377951</v>
      </c>
      <c r="J647" t="n">
        <v/>
      </c>
      <c r="K647" t="n">
        <v>52.715566958</v>
      </c>
      <c r="L647" t="n">
        <v/>
      </c>
      <c r="M647" t="n">
        <v/>
      </c>
      <c r="N647" t="n">
        <v>64.766544962</v>
      </c>
      <c r="O647" t="n">
        <v/>
      </c>
      <c r="P647" t="n">
        <v/>
      </c>
      <c r="Q647" t="n">
        <v>38.457310355</v>
      </c>
      <c r="R647" t="n">
        <v>70.106764556</v>
      </c>
      <c r="S647" t="n">
        <v>50.339339586</v>
      </c>
      <c r="T647" t="n">
        <v>63.035019455</v>
      </c>
      <c r="U647" t="n">
        <v/>
      </c>
      <c r="V647" t="n">
        <v>76.883496916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/>
      </c>
      <c r="AC647" t="n">
        <v>73.685222947</v>
      </c>
      <c r="AD647" t="n">
        <v>54.01079811</v>
      </c>
      <c r="AE647" t="n">
        <v/>
      </c>
      <c r="AF647" t="n">
        <v>54.846987111</v>
      </c>
      <c r="AG647" t="n">
        <v/>
      </c>
      <c r="AH647" t="n">
        <v/>
      </c>
      <c r="AI647" t="n">
        <v>56.106497247</v>
      </c>
      <c r="AJ647" t="n">
        <v>36.738652266</v>
      </c>
      <c r="AK647" t="n">
        <v/>
      </c>
      <c r="AL647" t="n">
        <v/>
      </c>
      <c r="AM647" t="n">
        <v/>
      </c>
      <c r="AN647" t="n">
        <v>46.029233317</v>
      </c>
      <c r="AO647" t="n">
        <v/>
      </c>
      <c r="AP647" t="n">
        <v/>
      </c>
      <c r="AQ647" t="n">
        <v/>
      </c>
      <c r="AR647" t="n">
        <v>55.039014752</v>
      </c>
      <c r="AS647" t="n">
        <v/>
      </c>
      <c r="AT647" t="n">
        <v>42.414534911</v>
      </c>
      <c r="AU647" t="n">
        <v/>
      </c>
    </row>
    <row r="648">
      <c r="A648" s="105" t="n">
        <v>26604</v>
      </c>
      <c r="B648" t="n">
        <v>30.302697918</v>
      </c>
      <c r="C648" t="n">
        <v>47.451478683</v>
      </c>
      <c r="D648" t="n">
        <v/>
      </c>
      <c r="E648" t="n">
        <v>47.900194112</v>
      </c>
      <c r="F648" t="n">
        <v/>
      </c>
      <c r="G648" t="n">
        <v/>
      </c>
      <c r="H648" t="n">
        <v/>
      </c>
      <c r="I648" t="n">
        <v>30.300172903</v>
      </c>
      <c r="J648" t="n">
        <v/>
      </c>
      <c r="K648" t="n">
        <v>53.64148441</v>
      </c>
      <c r="L648" t="n">
        <v/>
      </c>
      <c r="M648" t="n">
        <v/>
      </c>
      <c r="N648" t="n">
        <v>66.550616652</v>
      </c>
      <c r="O648" t="n">
        <v/>
      </c>
      <c r="P648" t="n">
        <v/>
      </c>
      <c r="Q648" t="n">
        <v>38.255178001</v>
      </c>
      <c r="R648" t="n">
        <v>70.471903955</v>
      </c>
      <c r="S648" t="n">
        <v>50.815867174</v>
      </c>
      <c r="T648" t="n">
        <v>63.565617262</v>
      </c>
      <c r="U648" t="n">
        <v/>
      </c>
      <c r="V648" t="n">
        <v>77.69848418300001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/>
      </c>
      <c r="AC648" t="n">
        <v>70.788032004</v>
      </c>
      <c r="AD648" t="n">
        <v>55.020345738</v>
      </c>
      <c r="AE648" t="n">
        <v/>
      </c>
      <c r="AF648" t="n">
        <v>53.087668737</v>
      </c>
      <c r="AG648" t="n">
        <v/>
      </c>
      <c r="AH648" t="n">
        <v/>
      </c>
      <c r="AI648" t="n">
        <v>56.607448115</v>
      </c>
      <c r="AJ648" t="n">
        <v>37.168344105</v>
      </c>
      <c r="AK648" t="n">
        <v/>
      </c>
      <c r="AL648" t="n">
        <v/>
      </c>
      <c r="AM648" t="n">
        <v/>
      </c>
      <c r="AN648" t="n">
        <v>46.968467361</v>
      </c>
      <c r="AO648" t="n">
        <v/>
      </c>
      <c r="AP648" t="n">
        <v/>
      </c>
      <c r="AQ648" t="n">
        <v/>
      </c>
      <c r="AR648" t="n">
        <v>55.039014752</v>
      </c>
      <c r="AS648" t="n">
        <v/>
      </c>
      <c r="AT648" t="n">
        <v>42.915285128</v>
      </c>
      <c r="AU648" t="n">
        <v/>
      </c>
    </row>
    <row r="649">
      <c r="A649" s="105" t="n">
        <v>26634</v>
      </c>
      <c r="B649" t="n">
        <v>33.848982914</v>
      </c>
      <c r="C649" t="n">
        <v>49.326269911</v>
      </c>
      <c r="D649" t="n">
        <v/>
      </c>
      <c r="E649" t="n">
        <v>48.152535351</v>
      </c>
      <c r="F649" t="n">
        <v/>
      </c>
      <c r="G649" t="n">
        <v/>
      </c>
      <c r="H649" t="n">
        <v/>
      </c>
      <c r="I649" t="n">
        <v>33.8461624</v>
      </c>
      <c r="J649" t="n">
        <v/>
      </c>
      <c r="K649" t="n">
        <v>54.320490542</v>
      </c>
      <c r="L649" t="n">
        <v/>
      </c>
      <c r="M649" t="n">
        <v/>
      </c>
      <c r="N649" t="n">
        <v>67.399665775</v>
      </c>
      <c r="O649" t="n">
        <v/>
      </c>
      <c r="P649" t="n">
        <v/>
      </c>
      <c r="Q649" t="n">
        <v>39.412548735</v>
      </c>
      <c r="R649" t="n">
        <v>71.871604987</v>
      </c>
      <c r="S649" t="n">
        <v>51.958523491</v>
      </c>
      <c r="T649" t="n">
        <v>64.096215069</v>
      </c>
      <c r="U649" t="n">
        <v/>
      </c>
      <c r="V649" t="n">
        <v>82.46352325399999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/>
      </c>
      <c r="AC649" t="n">
        <v>80.348762108</v>
      </c>
      <c r="AD649" t="n">
        <v>56.366409242</v>
      </c>
      <c r="AE649" t="n">
        <v/>
      </c>
      <c r="AF649" t="n">
        <v>56.276463231</v>
      </c>
      <c r="AG649" t="n">
        <v/>
      </c>
      <c r="AH649" t="n">
        <v/>
      </c>
      <c r="AI649" t="n">
        <v>58.611251588</v>
      </c>
      <c r="AJ649" t="n">
        <v>38.715234727</v>
      </c>
      <c r="AK649" t="n">
        <v/>
      </c>
      <c r="AL649" t="n">
        <v/>
      </c>
      <c r="AM649" t="n">
        <v/>
      </c>
      <c r="AN649" t="n">
        <v>46.352963134</v>
      </c>
      <c r="AO649" t="n">
        <v/>
      </c>
      <c r="AP649" t="n">
        <v/>
      </c>
      <c r="AQ649" t="n">
        <v/>
      </c>
      <c r="AR649" t="n">
        <v>56.403618423</v>
      </c>
      <c r="AS649" t="n">
        <v/>
      </c>
      <c r="AT649" t="n">
        <v>43.401161575</v>
      </c>
      <c r="AU649" t="n">
        <v/>
      </c>
    </row>
    <row r="650">
      <c r="A650" s="105" t="n">
        <v>26665</v>
      </c>
      <c r="B650" t="n">
        <v>29.595751424</v>
      </c>
      <c r="C650" t="n">
        <v>47.889830788</v>
      </c>
      <c r="D650" t="n">
        <v/>
      </c>
      <c r="E650" t="n">
        <v>48.573573993</v>
      </c>
      <c r="F650" t="n">
        <v/>
      </c>
      <c r="G650" t="n">
        <v/>
      </c>
      <c r="H650" t="n">
        <v/>
      </c>
      <c r="I650" t="n">
        <v>29.593285317</v>
      </c>
      <c r="J650" t="n">
        <v/>
      </c>
      <c r="K650" t="n">
        <v>54.814313183</v>
      </c>
      <c r="L650" t="n">
        <v/>
      </c>
      <c r="M650" t="n">
        <v/>
      </c>
      <c r="N650" t="n">
        <v>69.009124149</v>
      </c>
      <c r="O650" t="n">
        <v/>
      </c>
      <c r="P650" t="n">
        <v/>
      </c>
      <c r="Q650" t="n">
        <v>38.248657603</v>
      </c>
      <c r="R650" t="n">
        <v>71.384752452</v>
      </c>
      <c r="S650" t="n">
        <v>51.972039576</v>
      </c>
      <c r="T650" t="n">
        <v>66.006367174</v>
      </c>
      <c r="U650" t="n">
        <v/>
      </c>
      <c r="V650" t="n">
        <v>79.503260857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/>
      </c>
      <c r="AC650" t="n">
        <v>68.470279252</v>
      </c>
      <c r="AD650" t="n">
        <v>57.796601716</v>
      </c>
      <c r="AE650" t="n">
        <v/>
      </c>
      <c r="AF650" t="n">
        <v>55.386346614</v>
      </c>
      <c r="AG650" t="n">
        <v/>
      </c>
      <c r="AH650" t="n">
        <v/>
      </c>
      <c r="AI650" t="n">
        <v>58.611251588</v>
      </c>
      <c r="AJ650" t="n">
        <v>37.383190025</v>
      </c>
      <c r="AK650" t="n">
        <v/>
      </c>
      <c r="AL650" t="n">
        <v/>
      </c>
      <c r="AM650" t="n">
        <v/>
      </c>
      <c r="AN650" t="n">
        <v>48.659876931</v>
      </c>
      <c r="AO650" t="n">
        <v/>
      </c>
      <c r="AP650" t="n">
        <v/>
      </c>
      <c r="AQ650" t="n">
        <v/>
      </c>
      <c r="AR650" t="n">
        <v>56.666976785</v>
      </c>
      <c r="AS650" t="n">
        <v/>
      </c>
      <c r="AT650" t="n">
        <v>43.713709037</v>
      </c>
      <c r="AU650" t="n">
        <v/>
      </c>
    </row>
    <row r="651">
      <c r="A651" s="105" t="n">
        <v>26696</v>
      </c>
      <c r="B651" t="n">
        <v>30.062293656</v>
      </c>
      <c r="C651" t="n">
        <v>48.406272042</v>
      </c>
      <c r="D651" t="n">
        <v/>
      </c>
      <c r="E651" t="n">
        <v>50.015255413</v>
      </c>
      <c r="F651" t="n">
        <v/>
      </c>
      <c r="G651" t="n">
        <v/>
      </c>
      <c r="H651" t="n">
        <v/>
      </c>
      <c r="I651" t="n">
        <v>30.059788674</v>
      </c>
      <c r="J651" t="n">
        <v/>
      </c>
      <c r="K651" t="n">
        <v>55.308135825</v>
      </c>
      <c r="L651" t="n">
        <v/>
      </c>
      <c r="M651" t="n">
        <v/>
      </c>
      <c r="N651" t="n">
        <v>67.104647152</v>
      </c>
      <c r="O651" t="n">
        <v/>
      </c>
      <c r="P651" t="n">
        <v/>
      </c>
      <c r="Q651" t="n">
        <v>39.243018374</v>
      </c>
      <c r="R651" t="n">
        <v>72.11503125</v>
      </c>
      <c r="S651" t="n">
        <v>52.535452925</v>
      </c>
      <c r="T651" t="n">
        <v>65.475769367</v>
      </c>
      <c r="U651" t="n">
        <v/>
      </c>
      <c r="V651" t="n">
        <v>81.516519922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/>
      </c>
      <c r="AC651" t="n">
        <v>69.436009562</v>
      </c>
      <c r="AD651" t="n">
        <v>58.30137553</v>
      </c>
      <c r="AE651" t="n">
        <v/>
      </c>
      <c r="AF651" t="n">
        <v>57.489346683</v>
      </c>
      <c r="AG651" t="n">
        <v/>
      </c>
      <c r="AH651" t="n">
        <v/>
      </c>
      <c r="AI651" t="n">
        <v>59.112202457</v>
      </c>
      <c r="AJ651" t="n">
        <v>37.641005129</v>
      </c>
      <c r="AK651" t="n">
        <v/>
      </c>
      <c r="AL651" t="n">
        <v/>
      </c>
      <c r="AM651" t="n">
        <v/>
      </c>
      <c r="AN651" t="n">
        <v>49.241743592</v>
      </c>
      <c r="AO651" t="n">
        <v/>
      </c>
      <c r="AP651" t="n">
        <v/>
      </c>
      <c r="AQ651" t="n">
        <v/>
      </c>
      <c r="AR651" t="n">
        <v>57.011806259</v>
      </c>
      <c r="AS651" t="n">
        <v/>
      </c>
      <c r="AT651" t="n">
        <v>44.34782738</v>
      </c>
      <c r="AU651" t="n">
        <v/>
      </c>
    </row>
    <row r="652">
      <c r="A652" s="105" t="n">
        <v>26724</v>
      </c>
      <c r="B652" t="n">
        <v>30.200217581</v>
      </c>
      <c r="C652" t="n">
        <v>48.433810862</v>
      </c>
      <c r="D652" t="n">
        <v/>
      </c>
      <c r="E652" t="n">
        <v>50.620028551</v>
      </c>
      <c r="F652" t="n">
        <v/>
      </c>
      <c r="G652" t="n">
        <v/>
      </c>
      <c r="H652" t="n">
        <v/>
      </c>
      <c r="I652" t="n">
        <v>30.197701106</v>
      </c>
      <c r="J652" t="n">
        <v/>
      </c>
      <c r="K652" t="n">
        <v>55.678502806</v>
      </c>
      <c r="L652" t="n">
        <v/>
      </c>
      <c r="M652" t="n">
        <v/>
      </c>
      <c r="N652" t="n">
        <v>68.09094076</v>
      </c>
      <c r="O652" t="n">
        <v/>
      </c>
      <c r="P652" t="n">
        <v/>
      </c>
      <c r="Q652" t="n">
        <v>39.112610404</v>
      </c>
      <c r="R652" t="n">
        <v>72.541027212</v>
      </c>
      <c r="S652" t="n">
        <v>52.975551451</v>
      </c>
      <c r="T652" t="n">
        <v>66.218606296</v>
      </c>
      <c r="U652" t="n">
        <v/>
      </c>
      <c r="V652" t="n">
        <v>82.54960767999999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/>
      </c>
      <c r="AC652" t="n">
        <v>71.85033534999999</v>
      </c>
      <c r="AD652" t="n">
        <v>59.226794189</v>
      </c>
      <c r="AE652" t="n">
        <v/>
      </c>
      <c r="AF652" t="n">
        <v>60.24568715</v>
      </c>
      <c r="AG652" t="n">
        <v/>
      </c>
      <c r="AH652" t="n">
        <v/>
      </c>
      <c r="AI652" t="n">
        <v>57.609349852</v>
      </c>
      <c r="AJ652" t="n">
        <v>38.19960452</v>
      </c>
      <c r="AK652" t="n">
        <v/>
      </c>
      <c r="AL652" t="n">
        <v/>
      </c>
      <c r="AM652" t="n">
        <v/>
      </c>
      <c r="AN652" t="n">
        <v>47.928339997</v>
      </c>
      <c r="AO652" t="n">
        <v/>
      </c>
      <c r="AP652" t="n">
        <v/>
      </c>
      <c r="AQ652" t="n">
        <v/>
      </c>
      <c r="AR652" t="n">
        <v>57.184220995</v>
      </c>
      <c r="AS652" t="n">
        <v/>
      </c>
      <c r="AT652" t="n">
        <v>44.366964963</v>
      </c>
      <c r="AU652" t="n">
        <v/>
      </c>
    </row>
    <row r="653">
      <c r="A653" s="105" t="n">
        <v>26755</v>
      </c>
      <c r="B653" t="n">
        <v>30.62404221</v>
      </c>
      <c r="C653" t="n">
        <v>48.497679422</v>
      </c>
      <c r="D653" t="n">
        <v/>
      </c>
      <c r="E653" t="n">
        <v>50.226244643</v>
      </c>
      <c r="F653" t="n">
        <v/>
      </c>
      <c r="G653" t="n">
        <v/>
      </c>
      <c r="H653" t="n">
        <v/>
      </c>
      <c r="I653" t="n">
        <v>30.621490419</v>
      </c>
      <c r="J653" t="n">
        <v/>
      </c>
      <c r="K653" t="n">
        <v>55.369863655</v>
      </c>
      <c r="L653" t="n">
        <v/>
      </c>
      <c r="M653" t="n">
        <v/>
      </c>
      <c r="N653" t="n">
        <v>67.359099121</v>
      </c>
      <c r="O653" t="n">
        <v/>
      </c>
      <c r="P653" t="n">
        <v/>
      </c>
      <c r="Q653" t="n">
        <v>38.506213344</v>
      </c>
      <c r="R653" t="n">
        <v>71.019613053</v>
      </c>
      <c r="S653" t="n">
        <v>52.977689353</v>
      </c>
      <c r="T653" t="n">
        <v>65.581888928</v>
      </c>
      <c r="U653" t="n">
        <v/>
      </c>
      <c r="V653" t="n">
        <v>83.903372819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/>
      </c>
      <c r="AC653" t="n">
        <v>76.19612175899999</v>
      </c>
      <c r="AD653" t="n">
        <v>59.058536251</v>
      </c>
      <c r="AE653" t="n">
        <v/>
      </c>
      <c r="AF653" t="n">
        <v>57.027722879</v>
      </c>
      <c r="AG653" t="n">
        <v/>
      </c>
      <c r="AH653" t="n">
        <v/>
      </c>
      <c r="AI653" t="n">
        <v>59.613153325</v>
      </c>
      <c r="AJ653" t="n">
        <v>38.242573704</v>
      </c>
      <c r="AK653" t="n">
        <v/>
      </c>
      <c r="AL653" t="n">
        <v/>
      </c>
      <c r="AM653" t="n">
        <v/>
      </c>
      <c r="AN653" t="n">
        <v>47.759991263</v>
      </c>
      <c r="AO653" t="n">
        <v/>
      </c>
      <c r="AP653" t="n">
        <v/>
      </c>
      <c r="AQ653" t="n">
        <v/>
      </c>
      <c r="AR653" t="n">
        <v>57.299164153</v>
      </c>
      <c r="AS653" t="n">
        <v/>
      </c>
      <c r="AT653" t="n">
        <v>44.302214489</v>
      </c>
      <c r="AU653" t="n">
        <v/>
      </c>
    </row>
    <row r="654">
      <c r="A654" s="105" t="n">
        <v>26785</v>
      </c>
      <c r="B654" t="n">
        <v>30.6392722</v>
      </c>
      <c r="C654" t="n">
        <v>48.561140851</v>
      </c>
      <c r="D654" t="n">
        <v/>
      </c>
      <c r="E654" t="n">
        <v>50.347951125</v>
      </c>
      <c r="F654" t="n">
        <v/>
      </c>
      <c r="G654" t="n">
        <v/>
      </c>
      <c r="H654" t="n">
        <v/>
      </c>
      <c r="I654" t="n">
        <v>30.63671914</v>
      </c>
      <c r="J654" t="n">
        <v/>
      </c>
      <c r="K654" t="n">
        <v>55.740230636</v>
      </c>
      <c r="L654" t="n">
        <v/>
      </c>
      <c r="M654" t="n">
        <v/>
      </c>
      <c r="N654" t="n">
        <v>70.062919334</v>
      </c>
      <c r="O654" t="n">
        <v/>
      </c>
      <c r="P654" t="n">
        <v/>
      </c>
      <c r="Q654" t="n">
        <v>38.17367302</v>
      </c>
      <c r="R654" t="n">
        <v>75.036146441</v>
      </c>
      <c r="S654" t="n">
        <v>53.563781111</v>
      </c>
      <c r="T654" t="n">
        <v>65.581888928</v>
      </c>
      <c r="U654" t="n">
        <v/>
      </c>
      <c r="V654" t="n">
        <v>84.038938116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/>
      </c>
      <c r="AC654" t="n">
        <v>78.031009356</v>
      </c>
      <c r="AD654" t="n">
        <v>59.647439034</v>
      </c>
      <c r="AE654" t="n">
        <v/>
      </c>
      <c r="AF654" t="n">
        <v>57.888331082</v>
      </c>
      <c r="AG654" t="n">
        <v/>
      </c>
      <c r="AH654" t="n">
        <v/>
      </c>
      <c r="AI654" t="n">
        <v>58.611251588</v>
      </c>
      <c r="AJ654" t="n">
        <v>39.101957383</v>
      </c>
      <c r="AK654" t="n">
        <v/>
      </c>
      <c r="AL654" t="n">
        <v/>
      </c>
      <c r="AM654" t="n">
        <v/>
      </c>
      <c r="AN654" t="n">
        <v>49.678876697</v>
      </c>
      <c r="AO654" t="n">
        <v/>
      </c>
      <c r="AP654" t="n">
        <v/>
      </c>
      <c r="AQ654" t="n">
        <v/>
      </c>
      <c r="AR654" t="n">
        <v>58.50606731</v>
      </c>
      <c r="AS654" t="n">
        <v/>
      </c>
      <c r="AT654" t="n">
        <v>44.595624369</v>
      </c>
      <c r="AU654" t="n">
        <v/>
      </c>
    </row>
    <row r="655">
      <c r="A655" s="105" t="n">
        <v>26816</v>
      </c>
      <c r="B655" t="n">
        <v>31.086561645</v>
      </c>
      <c r="C655" t="n">
        <v>48.24020785</v>
      </c>
      <c r="D655" t="n">
        <v/>
      </c>
      <c r="E655" t="n">
        <v>50.721998847</v>
      </c>
      <c r="F655" t="n">
        <v/>
      </c>
      <c r="G655" t="n">
        <v/>
      </c>
      <c r="H655" t="n">
        <v/>
      </c>
      <c r="I655" t="n">
        <v>31.083971314</v>
      </c>
      <c r="J655" t="n">
        <v/>
      </c>
      <c r="K655" t="n">
        <v>55.369863655</v>
      </c>
      <c r="L655" t="n">
        <v/>
      </c>
      <c r="M655" t="n">
        <v/>
      </c>
      <c r="N655" t="n">
        <v>70.71384021199999</v>
      </c>
      <c r="O655" t="n">
        <v/>
      </c>
      <c r="P655" t="n">
        <v/>
      </c>
      <c r="Q655" t="n">
        <v>38.991983032</v>
      </c>
      <c r="R655" t="n">
        <v>73.636445409</v>
      </c>
      <c r="S655" t="n">
        <v>53.835663721</v>
      </c>
      <c r="T655" t="n">
        <v>66.855323665</v>
      </c>
      <c r="U655" t="n">
        <v/>
      </c>
      <c r="V655" t="n">
        <v>85.448444034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/>
      </c>
      <c r="AC655" t="n">
        <v>81.024773334</v>
      </c>
      <c r="AD655" t="n">
        <v>60.236341817</v>
      </c>
      <c r="AE655" t="n">
        <v/>
      </c>
      <c r="AF655" t="n">
        <v>56.548557733</v>
      </c>
      <c r="AG655" t="n">
        <v/>
      </c>
      <c r="AH655" t="n">
        <v/>
      </c>
      <c r="AI655" t="n">
        <v>59.112202457</v>
      </c>
      <c r="AJ655" t="n">
        <v>38.500388807</v>
      </c>
      <c r="AK655" t="n">
        <v/>
      </c>
      <c r="AL655" t="n">
        <v/>
      </c>
      <c r="AM655" t="n">
        <v/>
      </c>
      <c r="AN655" t="n">
        <v>50.176812992</v>
      </c>
      <c r="AO655" t="n">
        <v/>
      </c>
      <c r="AP655" t="n">
        <v/>
      </c>
      <c r="AQ655" t="n">
        <v/>
      </c>
      <c r="AR655" t="n">
        <v>57.816408363</v>
      </c>
      <c r="AS655" t="n">
        <v/>
      </c>
      <c r="AT655" t="n">
        <v>44.646790133</v>
      </c>
      <c r="AU655" t="n">
        <v/>
      </c>
    </row>
    <row r="656">
      <c r="A656" s="105" t="n">
        <v>26846</v>
      </c>
      <c r="B656" t="n">
        <v>30.882584848</v>
      </c>
      <c r="C656" t="n">
        <v>48.773576883</v>
      </c>
      <c r="D656" t="n">
        <v/>
      </c>
      <c r="E656" t="n">
        <v>51.660407516</v>
      </c>
      <c r="F656" t="n">
        <v/>
      </c>
      <c r="G656" t="n">
        <v/>
      </c>
      <c r="H656" t="n">
        <v/>
      </c>
      <c r="I656" t="n">
        <v>30.880011513</v>
      </c>
      <c r="J656" t="n">
        <v/>
      </c>
      <c r="K656" t="n">
        <v>53.39457309</v>
      </c>
      <c r="L656" t="n">
        <v/>
      </c>
      <c r="M656" t="n">
        <v/>
      </c>
      <c r="N656" t="n">
        <v>69.92962624099999</v>
      </c>
      <c r="O656" t="n">
        <v/>
      </c>
      <c r="P656" t="n">
        <v/>
      </c>
      <c r="Q656" t="n">
        <v>40.664465247</v>
      </c>
      <c r="R656" t="n">
        <v>74.731863605</v>
      </c>
      <c r="S656" t="n">
        <v>53.568053632</v>
      </c>
      <c r="T656" t="n">
        <v>66.536964981</v>
      </c>
      <c r="U656" t="n">
        <v/>
      </c>
      <c r="V656" t="n">
        <v>86.129406531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/>
      </c>
      <c r="AC656" t="n">
        <v>80.44533514299999</v>
      </c>
      <c r="AD656" t="n">
        <v>59.563310065</v>
      </c>
      <c r="AE656" t="n">
        <v/>
      </c>
      <c r="AF656" t="n">
        <v>59.035537554</v>
      </c>
      <c r="AG656" t="n">
        <v/>
      </c>
      <c r="AH656" t="n">
        <v/>
      </c>
      <c r="AI656" t="n">
        <v>59.613153325</v>
      </c>
      <c r="AJ656" t="n">
        <v>39.660556774</v>
      </c>
      <c r="AK656" t="n">
        <v/>
      </c>
      <c r="AL656" t="n">
        <v/>
      </c>
      <c r="AM656" t="n">
        <v/>
      </c>
      <c r="AN656" t="n">
        <v>49.932250616</v>
      </c>
      <c r="AO656" t="n">
        <v/>
      </c>
      <c r="AP656" t="n">
        <v/>
      </c>
      <c r="AQ656" t="n">
        <v/>
      </c>
      <c r="AR656" t="n">
        <v>57.586522048</v>
      </c>
      <c r="AS656" t="n">
        <v/>
      </c>
      <c r="AT656" t="n">
        <v>44.814863721</v>
      </c>
      <c r="AU656" t="n">
        <v/>
      </c>
    </row>
    <row r="657">
      <c r="A657" s="105" t="n">
        <v>26877</v>
      </c>
      <c r="B657" t="n">
        <v>31.213207462</v>
      </c>
      <c r="C657" t="n">
        <v>50.305413927</v>
      </c>
      <c r="D657" t="n">
        <v/>
      </c>
      <c r="E657" t="n">
        <v>50.242221556</v>
      </c>
      <c r="F657" t="n">
        <v/>
      </c>
      <c r="G657" t="n">
        <v/>
      </c>
      <c r="H657" t="n">
        <v/>
      </c>
      <c r="I657" t="n">
        <v>31.210606578</v>
      </c>
      <c r="J657" t="n">
        <v/>
      </c>
      <c r="K657" t="n">
        <v>56.357508938</v>
      </c>
      <c r="L657" t="n">
        <v/>
      </c>
      <c r="M657" t="n">
        <v/>
      </c>
      <c r="N657" t="n">
        <v>72.073725504</v>
      </c>
      <c r="O657" t="n">
        <v/>
      </c>
      <c r="P657" t="n">
        <v/>
      </c>
      <c r="Q657" t="n">
        <v>39.78421145</v>
      </c>
      <c r="R657" t="n">
        <v>74.731863605</v>
      </c>
      <c r="S657" t="n">
        <v>54.168683206</v>
      </c>
      <c r="T657" t="n">
        <v>66.536964981</v>
      </c>
      <c r="U657" t="n">
        <v/>
      </c>
      <c r="V657" t="n">
        <v>86.47166493500001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/>
      </c>
      <c r="AC657" t="n">
        <v>80.252189083</v>
      </c>
      <c r="AD657" t="n">
        <v>61.330018414</v>
      </c>
      <c r="AE657" t="n">
        <v/>
      </c>
      <c r="AF657" t="n">
        <v>59.97076391</v>
      </c>
      <c r="AG657" t="n">
        <v/>
      </c>
      <c r="AH657" t="n">
        <v/>
      </c>
      <c r="AI657" t="n">
        <v>59.613153325</v>
      </c>
      <c r="AJ657" t="n">
        <v>39.660556774</v>
      </c>
      <c r="AK657" t="n">
        <v/>
      </c>
      <c r="AL657" t="n">
        <v/>
      </c>
      <c r="AM657" t="n">
        <v/>
      </c>
      <c r="AN657" t="n">
        <v>53.40279628</v>
      </c>
      <c r="AO657" t="n">
        <v/>
      </c>
      <c r="AP657" t="n">
        <v/>
      </c>
      <c r="AQ657" t="n">
        <v/>
      </c>
      <c r="AR657" t="n">
        <v>58.218709416</v>
      </c>
      <c r="AS657" t="n">
        <v/>
      </c>
      <c r="AT657" t="n">
        <v>44.751005673</v>
      </c>
      <c r="AU657" t="n">
        <v/>
      </c>
    </row>
    <row r="658">
      <c r="A658" s="105" t="n">
        <v>26908</v>
      </c>
      <c r="B658" t="n">
        <v>31.638468641</v>
      </c>
      <c r="C658" t="n">
        <v>49.684711697</v>
      </c>
      <c r="D658" t="n">
        <v/>
      </c>
      <c r="E658" t="n">
        <v>50.739855396</v>
      </c>
      <c r="F658" t="n">
        <v/>
      </c>
      <c r="G658" t="n">
        <v/>
      </c>
      <c r="H658" t="n">
        <v/>
      </c>
      <c r="I658" t="n">
        <v>31.635832322</v>
      </c>
      <c r="J658" t="n">
        <v/>
      </c>
      <c r="K658" t="n">
        <v>56.110597617</v>
      </c>
      <c r="L658" t="n">
        <v/>
      </c>
      <c r="M658" t="n">
        <v/>
      </c>
      <c r="N658" t="n">
        <v>69.886750635</v>
      </c>
      <c r="O658" t="n">
        <v/>
      </c>
      <c r="P658" t="n">
        <v/>
      </c>
      <c r="Q658" t="n">
        <v>40.481894089</v>
      </c>
      <c r="R658" t="n">
        <v>73.575588845</v>
      </c>
      <c r="S658" t="n">
        <v>54.289940248</v>
      </c>
      <c r="T658" t="n">
        <v>66.218606296</v>
      </c>
      <c r="U658" t="n">
        <v/>
      </c>
      <c r="V658" t="n">
        <v>88.80149078399999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/>
      </c>
      <c r="AC658" t="n">
        <v>83.535672146</v>
      </c>
      <c r="AD658" t="n">
        <v>60.488728724</v>
      </c>
      <c r="AE658" t="n">
        <v/>
      </c>
      <c r="AF658" t="n">
        <v>58.708638128</v>
      </c>
      <c r="AG658" t="n">
        <v/>
      </c>
      <c r="AH658" t="n">
        <v/>
      </c>
      <c r="AI658" t="n">
        <v>61.11600593</v>
      </c>
      <c r="AJ658" t="n">
        <v>40.734786372</v>
      </c>
      <c r="AK658" t="n">
        <v/>
      </c>
      <c r="AL658" t="n">
        <v/>
      </c>
      <c r="AM658" t="n">
        <v/>
      </c>
      <c r="AN658" t="n">
        <v>52.473041528</v>
      </c>
      <c r="AO658" t="n">
        <v/>
      </c>
      <c r="AP658" t="n">
        <v/>
      </c>
      <c r="AQ658" t="n">
        <v/>
      </c>
      <c r="AR658" t="n">
        <v>59.598027309</v>
      </c>
      <c r="AS658" t="n">
        <v/>
      </c>
      <c r="AT658" t="n">
        <v>45.103414836</v>
      </c>
      <c r="AU658" t="n">
        <v/>
      </c>
    </row>
    <row r="659">
      <c r="A659" s="105" t="n">
        <v>26938</v>
      </c>
      <c r="B659" t="n">
        <v>31.428169157</v>
      </c>
      <c r="C659" t="n">
        <v>50.162590943</v>
      </c>
      <c r="D659" t="n">
        <v/>
      </c>
      <c r="E659" t="n">
        <v>51.290119067</v>
      </c>
      <c r="F659" t="n">
        <v/>
      </c>
      <c r="G659" t="n">
        <v/>
      </c>
      <c r="H659" t="n">
        <v/>
      </c>
      <c r="I659" t="n">
        <v>31.425550361</v>
      </c>
      <c r="J659" t="n">
        <v/>
      </c>
      <c r="K659" t="n">
        <v>55.740230636</v>
      </c>
      <c r="L659" t="n">
        <v/>
      </c>
      <c r="M659" t="n">
        <v/>
      </c>
      <c r="N659" t="n">
        <v>71.35740914100001</v>
      </c>
      <c r="O659" t="n">
        <v/>
      </c>
      <c r="P659" t="n">
        <v/>
      </c>
      <c r="Q659" t="n">
        <v>40.700327439</v>
      </c>
      <c r="R659" t="n">
        <v>74.731863605</v>
      </c>
      <c r="S659" t="n">
        <v>54.562574061</v>
      </c>
      <c r="T659" t="n">
        <v>66.855323665</v>
      </c>
      <c r="U659" t="n">
        <v/>
      </c>
      <c r="V659" t="n">
        <v>88.886257675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/>
      </c>
      <c r="AC659" t="n">
        <v>81.507638489</v>
      </c>
      <c r="AD659" t="n">
        <v>61.330018414</v>
      </c>
      <c r="AE659" t="n">
        <v/>
      </c>
      <c r="AF659" t="n">
        <v>59.964468276</v>
      </c>
      <c r="AG659" t="n">
        <v/>
      </c>
      <c r="AH659" t="n">
        <v/>
      </c>
      <c r="AI659" t="n">
        <v>61.11600593</v>
      </c>
      <c r="AJ659" t="n">
        <v>40.133217797</v>
      </c>
      <c r="AK659" t="n">
        <v/>
      </c>
      <c r="AL659" t="n">
        <v/>
      </c>
      <c r="AM659" t="n">
        <v/>
      </c>
      <c r="AN659" t="n">
        <v>52.885792323</v>
      </c>
      <c r="AO659" t="n">
        <v/>
      </c>
      <c r="AP659" t="n">
        <v/>
      </c>
      <c r="AQ659" t="n">
        <v/>
      </c>
      <c r="AR659" t="n">
        <v>59.138254678</v>
      </c>
      <c r="AS659" t="n">
        <v/>
      </c>
      <c r="AT659" t="n">
        <v>45.46722722</v>
      </c>
      <c r="AU659" t="n">
        <v/>
      </c>
    </row>
    <row r="660">
      <c r="A660" s="105" t="n">
        <v>26969</v>
      </c>
      <c r="B660" t="n">
        <v>31.029479701</v>
      </c>
      <c r="C660" t="n">
        <v>50.170170039</v>
      </c>
      <c r="D660" t="n">
        <v/>
      </c>
      <c r="E660" t="n">
        <v>51.914158483</v>
      </c>
      <c r="F660" t="n">
        <v/>
      </c>
      <c r="G660" t="n">
        <v/>
      </c>
      <c r="H660" t="n">
        <v/>
      </c>
      <c r="I660" t="n">
        <v>31.026894127</v>
      </c>
      <c r="J660" t="n">
        <v/>
      </c>
      <c r="K660" t="n">
        <v>56.048869787</v>
      </c>
      <c r="L660" t="n">
        <v/>
      </c>
      <c r="M660" t="n">
        <v/>
      </c>
      <c r="N660" t="n">
        <v>72.80990494300001</v>
      </c>
      <c r="O660" t="n">
        <v/>
      </c>
      <c r="P660" t="n">
        <v/>
      </c>
      <c r="Q660" t="n">
        <v>40.902459792</v>
      </c>
      <c r="R660" t="n">
        <v>75.097003004</v>
      </c>
      <c r="S660" t="n">
        <v>54.806820142</v>
      </c>
      <c r="T660" t="n">
        <v>66.112486735</v>
      </c>
      <c r="U660" t="n">
        <v/>
      </c>
      <c r="V660" t="n">
        <v>86.861065912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/>
      </c>
      <c r="AC660" t="n">
        <v>81.797357585</v>
      </c>
      <c r="AD660" t="n">
        <v>61.918921197</v>
      </c>
      <c r="AE660" t="n">
        <v/>
      </c>
      <c r="AF660" t="n">
        <v>61.723975326</v>
      </c>
      <c r="AG660" t="n">
        <v/>
      </c>
      <c r="AH660" t="n">
        <v/>
      </c>
      <c r="AI660" t="n">
        <v>61.11600593</v>
      </c>
      <c r="AJ660" t="n">
        <v>39.832433509</v>
      </c>
      <c r="AK660" t="n">
        <v/>
      </c>
      <c r="AL660" t="n">
        <v/>
      </c>
      <c r="AM660" t="n">
        <v/>
      </c>
      <c r="AN660" t="n">
        <v>53.869186885</v>
      </c>
      <c r="AO660" t="n">
        <v/>
      </c>
      <c r="AP660" t="n">
        <v/>
      </c>
      <c r="AQ660" t="n">
        <v/>
      </c>
      <c r="AR660" t="n">
        <v>58.793425204</v>
      </c>
      <c r="AS660" t="n">
        <v/>
      </c>
      <c r="AT660" t="n">
        <v>45.677740628</v>
      </c>
      <c r="AU660" t="n">
        <v/>
      </c>
    </row>
    <row r="661">
      <c r="A661" s="105" t="n">
        <v>26999</v>
      </c>
      <c r="B661" t="n">
        <v>32.749184319</v>
      </c>
      <c r="C661" t="n">
        <v>50.307778171</v>
      </c>
      <c r="D661" t="n">
        <v/>
      </c>
      <c r="E661" t="n">
        <v>51.748280536</v>
      </c>
      <c r="F661" t="n">
        <v/>
      </c>
      <c r="G661" t="n">
        <v/>
      </c>
      <c r="H661" t="n">
        <v/>
      </c>
      <c r="I661" t="n">
        <v>32.746455447</v>
      </c>
      <c r="J661" t="n">
        <v/>
      </c>
      <c r="K661" t="n">
        <v>55.493319315</v>
      </c>
      <c r="L661" t="n">
        <v/>
      </c>
      <c r="M661" t="n">
        <v/>
      </c>
      <c r="N661" t="n">
        <v>72.18671111499999</v>
      </c>
      <c r="O661" t="n">
        <v/>
      </c>
      <c r="P661" t="n">
        <v/>
      </c>
      <c r="Q661" t="n">
        <v>41.91312156</v>
      </c>
      <c r="R661" t="n">
        <v>73.08873631</v>
      </c>
      <c r="S661" t="n">
        <v>54.655513326</v>
      </c>
      <c r="T661" t="n">
        <v>65.475769367</v>
      </c>
      <c r="U661" t="n">
        <v/>
      </c>
      <c r="V661" t="n">
        <v>87.06974902499999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/>
      </c>
      <c r="AC661" t="n">
        <v>84.30825639699999</v>
      </c>
      <c r="AD661" t="n">
        <v>61.918921197</v>
      </c>
      <c r="AE661" t="n">
        <v/>
      </c>
      <c r="AF661" t="n">
        <v>59.933454005</v>
      </c>
      <c r="AG661" t="n">
        <v/>
      </c>
      <c r="AH661" t="n">
        <v/>
      </c>
      <c r="AI661" t="n">
        <v>61.616956798</v>
      </c>
      <c r="AJ661" t="n">
        <v>39.101957383</v>
      </c>
      <c r="AK661" t="n">
        <v/>
      </c>
      <c r="AL661" t="n">
        <v/>
      </c>
      <c r="AM661" t="n">
        <v/>
      </c>
      <c r="AN661" t="n">
        <v>54.448712938</v>
      </c>
      <c r="AO661" t="n">
        <v/>
      </c>
      <c r="AP661" t="n">
        <v/>
      </c>
      <c r="AQ661" t="n">
        <v/>
      </c>
      <c r="AR661" t="n">
        <v>60.402629413</v>
      </c>
      <c r="AS661" t="n">
        <v/>
      </c>
      <c r="AT661" t="n">
        <v>45.547843047</v>
      </c>
      <c r="AU661" t="n">
        <v/>
      </c>
    </row>
    <row r="662">
      <c r="A662" s="105" t="n">
        <v>27030</v>
      </c>
      <c r="B662" t="n">
        <v>32.262029934</v>
      </c>
      <c r="C662" t="n">
        <v>51.34414643</v>
      </c>
      <c r="D662" t="n">
        <v/>
      </c>
      <c r="E662" t="n">
        <v>52.468181427</v>
      </c>
      <c r="F662" t="n">
        <v/>
      </c>
      <c r="G662" t="n">
        <v/>
      </c>
      <c r="H662" t="n">
        <v/>
      </c>
      <c r="I662" t="n">
        <v>32.259341655</v>
      </c>
      <c r="J662" t="n">
        <v/>
      </c>
      <c r="K662" t="n">
        <v>55.678502806</v>
      </c>
      <c r="L662" t="n">
        <v>59.40728641</v>
      </c>
      <c r="M662" t="n">
        <v/>
      </c>
      <c r="N662" t="n">
        <v>79.407213015</v>
      </c>
      <c r="O662" t="n">
        <v/>
      </c>
      <c r="P662" t="n">
        <v/>
      </c>
      <c r="Q662" t="n">
        <v>41.34584689</v>
      </c>
      <c r="R662" t="n">
        <v>76.25327776500001</v>
      </c>
      <c r="S662" t="n">
        <v>54.394822334</v>
      </c>
      <c r="T662" t="n">
        <v>60.806508666</v>
      </c>
      <c r="U662" t="n">
        <v/>
      </c>
      <c r="V662" t="n">
        <v>86.837009649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/>
      </c>
      <c r="AC662" t="n">
        <v>83.63224518200001</v>
      </c>
      <c r="AD662" t="n">
        <v>62.255437073</v>
      </c>
      <c r="AE662" t="n">
        <v/>
      </c>
      <c r="AF662" t="n">
        <v>63.006366743</v>
      </c>
      <c r="AG662" t="n">
        <v/>
      </c>
      <c r="AH662" t="n">
        <v/>
      </c>
      <c r="AI662" t="n">
        <v>62.117907666</v>
      </c>
      <c r="AJ662" t="n">
        <v>39.703525958</v>
      </c>
      <c r="AK662" t="n">
        <v/>
      </c>
      <c r="AL662" t="n">
        <v/>
      </c>
      <c r="AM662" t="n">
        <v/>
      </c>
      <c r="AN662" t="n">
        <v>55.325772023</v>
      </c>
      <c r="AO662" t="n">
        <v/>
      </c>
      <c r="AP662" t="n">
        <v/>
      </c>
      <c r="AQ662" t="n">
        <v/>
      </c>
      <c r="AR662" t="n">
        <v>60.230214677</v>
      </c>
      <c r="AS662" t="n">
        <v/>
      </c>
      <c r="AT662" t="n">
        <v>45.245806382</v>
      </c>
      <c r="AU662" t="n">
        <v/>
      </c>
    </row>
    <row r="663">
      <c r="A663" s="105" t="n">
        <v>27061</v>
      </c>
      <c r="B663" t="n">
        <v>32.721342125</v>
      </c>
      <c r="C663" t="n">
        <v>51.601486792</v>
      </c>
      <c r="D663" t="n">
        <v/>
      </c>
      <c r="E663" t="n">
        <v>52.469591155</v>
      </c>
      <c r="F663" t="n">
        <v/>
      </c>
      <c r="G663" t="n">
        <v/>
      </c>
      <c r="H663" t="n">
        <v/>
      </c>
      <c r="I663" t="n">
        <v>32.718615574</v>
      </c>
      <c r="J663" t="n">
        <v/>
      </c>
      <c r="K663" t="n">
        <v>55.493319315</v>
      </c>
      <c r="L663" t="n">
        <v>59.40728641</v>
      </c>
      <c r="M663" t="n">
        <v/>
      </c>
      <c r="N663" t="n">
        <v>75.561228353</v>
      </c>
      <c r="O663" t="n">
        <v/>
      </c>
      <c r="P663" t="n">
        <v/>
      </c>
      <c r="Q663" t="n">
        <v>41.235000116</v>
      </c>
      <c r="R663" t="n">
        <v>76.5575606</v>
      </c>
      <c r="S663" t="n">
        <v>54.116737012</v>
      </c>
      <c r="T663" t="n">
        <v>60.806508666</v>
      </c>
      <c r="U663" t="n">
        <v/>
      </c>
      <c r="V663" t="n">
        <v>89.886155489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/>
      </c>
      <c r="AC663" t="n">
        <v>80.059043012</v>
      </c>
      <c r="AD663" t="n">
        <v>62.087179135</v>
      </c>
      <c r="AE663" t="n">
        <v/>
      </c>
      <c r="AF663" t="n">
        <v>63.18172058</v>
      </c>
      <c r="AG663" t="n">
        <v/>
      </c>
      <c r="AH663" t="n">
        <v/>
      </c>
      <c r="AI663" t="n">
        <v>63.119809403</v>
      </c>
      <c r="AJ663" t="n">
        <v>40.004310245</v>
      </c>
      <c r="AK663" t="n">
        <v/>
      </c>
      <c r="AL663" t="n">
        <v/>
      </c>
      <c r="AM663" t="n">
        <v/>
      </c>
      <c r="AN663" t="n">
        <v>53.449943467</v>
      </c>
      <c r="AO663" t="n">
        <v/>
      </c>
      <c r="AP663" t="n">
        <v/>
      </c>
      <c r="AQ663" t="n">
        <v/>
      </c>
      <c r="AR663" t="n">
        <v>60.460100992</v>
      </c>
      <c r="AS663" t="n">
        <v/>
      </c>
      <c r="AT663" t="n">
        <v>45.112239938</v>
      </c>
      <c r="AU663" t="n">
        <v/>
      </c>
    </row>
    <row r="664">
      <c r="A664" s="105" t="n">
        <v>27089</v>
      </c>
      <c r="B664" t="n">
        <v>33.006847846</v>
      </c>
      <c r="C664" t="n">
        <v>51.009635379</v>
      </c>
      <c r="D664" t="n">
        <v/>
      </c>
      <c r="E664" t="n">
        <v>52.705015663</v>
      </c>
      <c r="F664" t="n">
        <v/>
      </c>
      <c r="G664" t="n">
        <v/>
      </c>
      <c r="H664" t="n">
        <v/>
      </c>
      <c r="I664" t="n">
        <v>33.004097504</v>
      </c>
      <c r="J664" t="n">
        <v/>
      </c>
      <c r="K664" t="n">
        <v>55.184680164</v>
      </c>
      <c r="L664" t="n">
        <v>60.032626267</v>
      </c>
      <c r="M664" t="n">
        <v/>
      </c>
      <c r="N664" t="n">
        <v>74.314367358</v>
      </c>
      <c r="O664" t="n">
        <v/>
      </c>
      <c r="P664" t="n">
        <v/>
      </c>
      <c r="Q664" t="n">
        <v>41.326285695</v>
      </c>
      <c r="R664" t="n">
        <v>74.975289878</v>
      </c>
      <c r="S664" t="n">
        <v>54.146052553</v>
      </c>
      <c r="T664" t="n">
        <v>62.822780333</v>
      </c>
      <c r="U664" t="n">
        <v/>
      </c>
      <c r="V664" t="n">
        <v>85.049159105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/>
      </c>
      <c r="AC664" t="n">
        <v>84.211683361</v>
      </c>
      <c r="AD664" t="n">
        <v>60.656986662</v>
      </c>
      <c r="AE664" t="n">
        <v/>
      </c>
      <c r="AF664" t="n">
        <v>61.852690202</v>
      </c>
      <c r="AG664" t="n">
        <v/>
      </c>
      <c r="AH664" t="n">
        <v/>
      </c>
      <c r="AI664" t="n">
        <v>62.618858535</v>
      </c>
      <c r="AJ664" t="n">
        <v>40.305094533</v>
      </c>
      <c r="AK664" t="n">
        <v/>
      </c>
      <c r="AL664" t="n">
        <v/>
      </c>
      <c r="AM664" t="n">
        <v/>
      </c>
      <c r="AN664" t="n">
        <v>55.382093294</v>
      </c>
      <c r="AO664" t="n">
        <v/>
      </c>
      <c r="AP664" t="n">
        <v/>
      </c>
      <c r="AQ664" t="n">
        <v/>
      </c>
      <c r="AR664" t="n">
        <v>60.000328361</v>
      </c>
      <c r="AS664" t="n">
        <v/>
      </c>
      <c r="AT664" t="n">
        <v>45.112339097</v>
      </c>
      <c r="AU664" t="n">
        <v/>
      </c>
    </row>
    <row r="665">
      <c r="A665" s="105" t="n">
        <v>27120</v>
      </c>
      <c r="B665" t="n">
        <v>32.672059089</v>
      </c>
      <c r="C665" t="n">
        <v>51.283318562</v>
      </c>
      <c r="D665" t="n">
        <v/>
      </c>
      <c r="E665" t="n">
        <v>51.772715814</v>
      </c>
      <c r="F665" t="n">
        <v/>
      </c>
      <c r="G665" t="n">
        <v/>
      </c>
      <c r="H665" t="n">
        <v/>
      </c>
      <c r="I665" t="n">
        <v>32.669336644</v>
      </c>
      <c r="J665" t="n">
        <v/>
      </c>
      <c r="K665" t="n">
        <v>55.308135825</v>
      </c>
      <c r="L665" t="n">
        <v>57.531266839</v>
      </c>
      <c r="M665" t="n">
        <v/>
      </c>
      <c r="N665" t="n">
        <v>74.416368417</v>
      </c>
      <c r="O665" t="n">
        <v/>
      </c>
      <c r="P665" t="n">
        <v/>
      </c>
      <c r="Q665" t="n">
        <v>41.189357326</v>
      </c>
      <c r="R665" t="n">
        <v>76.192421201</v>
      </c>
      <c r="S665" t="n">
        <v>54.216209873</v>
      </c>
      <c r="T665" t="n">
        <v>66.218606296</v>
      </c>
      <c r="U665" t="n">
        <v/>
      </c>
      <c r="V665" t="n">
        <v>83.49056141299999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/>
      </c>
      <c r="AC665" t="n">
        <v>84.694548528</v>
      </c>
      <c r="AD665" t="n">
        <v>59.395052127</v>
      </c>
      <c r="AE665" t="n">
        <v/>
      </c>
      <c r="AF665" t="n">
        <v>60.784002251</v>
      </c>
      <c r="AG665" t="n">
        <v/>
      </c>
      <c r="AH665" t="n">
        <v/>
      </c>
      <c r="AI665" t="n">
        <v>62.117907666</v>
      </c>
      <c r="AJ665" t="n">
        <v>40.519940452</v>
      </c>
      <c r="AK665" t="n">
        <v/>
      </c>
      <c r="AL665" t="n">
        <v/>
      </c>
      <c r="AM665" t="n">
        <v/>
      </c>
      <c r="AN665" t="n">
        <v>54.159402023</v>
      </c>
      <c r="AO665" t="n">
        <v/>
      </c>
      <c r="AP665" t="n">
        <v/>
      </c>
      <c r="AQ665" t="n">
        <v/>
      </c>
      <c r="AR665" t="n">
        <v>61.437117833</v>
      </c>
      <c r="AS665" t="n">
        <v/>
      </c>
      <c r="AT665" t="n">
        <v>44.980755822</v>
      </c>
      <c r="AU665" t="n">
        <v/>
      </c>
    </row>
    <row r="666">
      <c r="A666" s="105" t="n">
        <v>27150</v>
      </c>
      <c r="B666" t="n">
        <v>32.384493458</v>
      </c>
      <c r="C666" t="n">
        <v>50.736905933</v>
      </c>
      <c r="D666" t="n">
        <v/>
      </c>
      <c r="E666" t="n">
        <v>52.399574684</v>
      </c>
      <c r="F666" t="n">
        <v/>
      </c>
      <c r="G666" t="n">
        <v/>
      </c>
      <c r="H666" t="n">
        <v/>
      </c>
      <c r="I666" t="n">
        <v>32.381794975</v>
      </c>
      <c r="J666" t="n">
        <v/>
      </c>
      <c r="K666" t="n">
        <v>55.925414126</v>
      </c>
      <c r="L666" t="n">
        <v>56.280587125</v>
      </c>
      <c r="M666" t="n">
        <v/>
      </c>
      <c r="N666" t="n">
        <v>74.985788953</v>
      </c>
      <c r="O666" t="n">
        <v/>
      </c>
      <c r="P666" t="n">
        <v/>
      </c>
      <c r="Q666" t="n">
        <v>41.091551349</v>
      </c>
      <c r="R666" t="n">
        <v>77.226982834</v>
      </c>
      <c r="S666" t="n">
        <v>54.589832998</v>
      </c>
      <c r="T666" t="n">
        <v>66.961443226</v>
      </c>
      <c r="U666" t="n">
        <v/>
      </c>
      <c r="V666" t="n">
        <v>85.041254483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/>
      </c>
      <c r="AC666" t="n">
        <v>83.728818206</v>
      </c>
      <c r="AD666" t="n">
        <v>59.563310065</v>
      </c>
      <c r="AE666" t="n">
        <v/>
      </c>
      <c r="AF666" t="n">
        <v>60.127404629</v>
      </c>
      <c r="AG666" t="n">
        <v/>
      </c>
      <c r="AH666" t="n">
        <v/>
      </c>
      <c r="AI666" t="n">
        <v>62.618858535</v>
      </c>
      <c r="AJ666" t="n">
        <v>41.894954338</v>
      </c>
      <c r="AK666" t="n">
        <v/>
      </c>
      <c r="AL666" t="n">
        <v/>
      </c>
      <c r="AM666" t="n">
        <v/>
      </c>
      <c r="AN666" t="n">
        <v>51.370779428</v>
      </c>
      <c r="AO666" t="n">
        <v/>
      </c>
      <c r="AP666" t="n">
        <v/>
      </c>
      <c r="AQ666" t="n">
        <v/>
      </c>
      <c r="AR666" t="n">
        <v>61.207231518</v>
      </c>
      <c r="AS666" t="n">
        <v/>
      </c>
      <c r="AT666" t="n">
        <v>45.339312809</v>
      </c>
      <c r="AU666" t="n">
        <v/>
      </c>
    </row>
    <row r="667">
      <c r="A667" s="105" t="n">
        <v>27181</v>
      </c>
      <c r="B667" t="n">
        <v>33.578615425</v>
      </c>
      <c r="C667" t="n">
        <v>52.623647404</v>
      </c>
      <c r="D667" t="n">
        <v/>
      </c>
      <c r="E667" t="n">
        <v>51.682023339</v>
      </c>
      <c r="F667" t="n">
        <v/>
      </c>
      <c r="G667" t="n">
        <v/>
      </c>
      <c r="H667" t="n">
        <v/>
      </c>
      <c r="I667" t="n">
        <v>33.57581744</v>
      </c>
      <c r="J667" t="n">
        <v/>
      </c>
      <c r="K667" t="n">
        <v>55.246407995</v>
      </c>
      <c r="L667" t="n">
        <v>55.029907411</v>
      </c>
      <c r="M667" t="n">
        <v/>
      </c>
      <c r="N667" t="n">
        <v>75.223314813</v>
      </c>
      <c r="O667" t="n">
        <v/>
      </c>
      <c r="P667" t="n">
        <v/>
      </c>
      <c r="Q667" t="n">
        <v>42.284784275</v>
      </c>
      <c r="R667" t="n">
        <v>75.88813836600001</v>
      </c>
      <c r="S667" t="n">
        <v>54.259657304</v>
      </c>
      <c r="T667" t="n">
        <v>67.27980191</v>
      </c>
      <c r="U667" t="n">
        <v/>
      </c>
      <c r="V667" t="n">
        <v>82.950657569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/>
      </c>
      <c r="AC667" t="n">
        <v>86.336290054</v>
      </c>
      <c r="AD667" t="n">
        <v>57.964859654</v>
      </c>
      <c r="AE667" t="n">
        <v/>
      </c>
      <c r="AF667" t="n">
        <v>60.527173176</v>
      </c>
      <c r="AG667" t="n">
        <v/>
      </c>
      <c r="AH667" t="n">
        <v/>
      </c>
      <c r="AI667" t="n">
        <v>63.620760271</v>
      </c>
      <c r="AJ667" t="n">
        <v>41.121509028</v>
      </c>
      <c r="AK667" t="n">
        <v/>
      </c>
      <c r="AL667" t="n">
        <v/>
      </c>
      <c r="AM667" t="n">
        <v/>
      </c>
      <c r="AN667" t="n">
        <v>51.154700811</v>
      </c>
      <c r="AO667" t="n">
        <v/>
      </c>
      <c r="AP667" t="n">
        <v/>
      </c>
      <c r="AQ667" t="n">
        <v/>
      </c>
      <c r="AR667" t="n">
        <v>62.931378884</v>
      </c>
      <c r="AS667" t="n">
        <v/>
      </c>
      <c r="AT667" t="n">
        <v>45.25492896</v>
      </c>
      <c r="AU667" t="n">
        <v/>
      </c>
    </row>
    <row r="668">
      <c r="A668" s="105" t="n">
        <v>27211</v>
      </c>
      <c r="B668" t="n">
        <v>32.940418524</v>
      </c>
      <c r="C668" t="n">
        <v>51.123083269</v>
      </c>
      <c r="D668" t="n">
        <v/>
      </c>
      <c r="E668" t="n">
        <v>51.430152008</v>
      </c>
      <c r="F668" t="n">
        <v/>
      </c>
      <c r="G668" t="n">
        <v/>
      </c>
      <c r="H668" t="n">
        <v/>
      </c>
      <c r="I668" t="n">
        <v>32.937673718</v>
      </c>
      <c r="J668" t="n">
        <v/>
      </c>
      <c r="K668" t="n">
        <v>55.184680164</v>
      </c>
      <c r="L668" t="n">
        <v>55.029907411</v>
      </c>
      <c r="M668" t="n">
        <v/>
      </c>
      <c r="N668" t="n">
        <v>74.890511954</v>
      </c>
      <c r="O668" t="n">
        <v/>
      </c>
      <c r="P668" t="n">
        <v/>
      </c>
      <c r="Q668" t="n">
        <v>43.905103302</v>
      </c>
      <c r="R668" t="n">
        <v>78.018118196</v>
      </c>
      <c r="S668" t="n">
        <v>54.022378003</v>
      </c>
      <c r="T668" t="n">
        <v>66.961443226</v>
      </c>
      <c r="U668" t="n">
        <v/>
      </c>
      <c r="V668" t="n">
        <v>76.35525512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/>
      </c>
      <c r="AC668" t="n">
        <v>81.507638489</v>
      </c>
      <c r="AD668" t="n">
        <v>57.37595687</v>
      </c>
      <c r="AE668" t="n">
        <v/>
      </c>
      <c r="AF668" t="n">
        <v>62.662684663</v>
      </c>
      <c r="AG668" t="n">
        <v/>
      </c>
      <c r="AH668" t="n">
        <v/>
      </c>
      <c r="AI668" t="n">
        <v>63.620760271</v>
      </c>
      <c r="AJ668" t="n">
        <v>41.207447395</v>
      </c>
      <c r="AK668" t="n">
        <v/>
      </c>
      <c r="AL668" t="n">
        <v/>
      </c>
      <c r="AM668" t="n">
        <v/>
      </c>
      <c r="AN668" t="n">
        <v>51.701061484</v>
      </c>
      <c r="AO668" t="n">
        <v/>
      </c>
      <c r="AP668" t="n">
        <v/>
      </c>
      <c r="AQ668" t="n">
        <v/>
      </c>
      <c r="AR668" t="n">
        <v>60.747458887</v>
      </c>
      <c r="AS668" t="n">
        <v/>
      </c>
      <c r="AT668" t="n">
        <v>45.334553203</v>
      </c>
      <c r="AU668" t="n">
        <v/>
      </c>
    </row>
    <row r="669">
      <c r="A669" s="105" t="n">
        <v>27242</v>
      </c>
      <c r="B669" t="n">
        <v>32.69728698</v>
      </c>
      <c r="C669" t="n">
        <v>51.699891695</v>
      </c>
      <c r="D669" t="n">
        <v/>
      </c>
      <c r="E669" t="n">
        <v>51.371883268</v>
      </c>
      <c r="F669" t="n">
        <v/>
      </c>
      <c r="G669" t="n">
        <v/>
      </c>
      <c r="H669" t="n">
        <v/>
      </c>
      <c r="I669" t="n">
        <v>32.694562433</v>
      </c>
      <c r="J669" t="n">
        <v/>
      </c>
      <c r="K669" t="n">
        <v>53.826667901</v>
      </c>
      <c r="L669" t="n">
        <v>53.779227697</v>
      </c>
      <c r="M669" t="n">
        <v/>
      </c>
      <c r="N669" t="n">
        <v>84.473896629</v>
      </c>
      <c r="O669" t="n">
        <v/>
      </c>
      <c r="P669" t="n">
        <v/>
      </c>
      <c r="Q669" t="n">
        <v>42.389110651</v>
      </c>
      <c r="R669" t="n">
        <v>78.018118196</v>
      </c>
      <c r="S669" t="n">
        <v>53.478183704</v>
      </c>
      <c r="T669" t="n">
        <v>67.173682349</v>
      </c>
      <c r="U669" t="n">
        <v/>
      </c>
      <c r="V669" t="n">
        <v>83.219349451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/>
      </c>
      <c r="AC669" t="n">
        <v>81.507638489</v>
      </c>
      <c r="AD669" t="n">
        <v>56.53466718</v>
      </c>
      <c r="AE669" t="n">
        <v/>
      </c>
      <c r="AF669" t="n">
        <v>63.221981518</v>
      </c>
      <c r="AG669" t="n">
        <v/>
      </c>
      <c r="AH669" t="n">
        <v/>
      </c>
      <c r="AI669" t="n">
        <v>64.121711139</v>
      </c>
      <c r="AJ669" t="n">
        <v>42.109800258</v>
      </c>
      <c r="AK669" t="n">
        <v/>
      </c>
      <c r="AL669" t="n">
        <v/>
      </c>
      <c r="AM669" t="n">
        <v/>
      </c>
      <c r="AN669" t="n">
        <v>52.467850767</v>
      </c>
      <c r="AO669" t="n">
        <v/>
      </c>
      <c r="AP669" t="n">
        <v/>
      </c>
      <c r="AQ669" t="n">
        <v/>
      </c>
      <c r="AR669" t="n">
        <v>60.919873623</v>
      </c>
      <c r="AS669" t="n">
        <v/>
      </c>
      <c r="AT669" t="n">
        <v>44.855022897</v>
      </c>
      <c r="AU669" t="n">
        <v/>
      </c>
    </row>
    <row r="670">
      <c r="A670" s="105" t="n">
        <v>27273</v>
      </c>
      <c r="B670" t="n">
        <v>32.666377785</v>
      </c>
      <c r="C670" t="n">
        <v>51.762378326</v>
      </c>
      <c r="D670" t="n">
        <v/>
      </c>
      <c r="E670" t="n">
        <v>50.712130754</v>
      </c>
      <c r="F670" t="n">
        <v/>
      </c>
      <c r="G670" t="n">
        <v/>
      </c>
      <c r="H670" t="n">
        <v/>
      </c>
      <c r="I670" t="n">
        <v>32.663655814</v>
      </c>
      <c r="J670" t="n">
        <v/>
      </c>
      <c r="K670" t="n">
        <v>53.950123561</v>
      </c>
      <c r="L670" t="n">
        <v>53.779227697</v>
      </c>
      <c r="M670" t="n">
        <v/>
      </c>
      <c r="N670" t="n">
        <v>73.83765395</v>
      </c>
      <c r="O670" t="n">
        <v/>
      </c>
      <c r="P670" t="n">
        <v/>
      </c>
      <c r="Q670" t="n">
        <v>40.997005571</v>
      </c>
      <c r="R670" t="n">
        <v>74.366724207</v>
      </c>
      <c r="S670" t="n">
        <v>53.161727892</v>
      </c>
      <c r="T670" t="n">
        <v>66.006367174</v>
      </c>
      <c r="U670" t="n">
        <v/>
      </c>
      <c r="V670" t="n">
        <v>83.070272672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/>
      </c>
      <c r="AC670" t="n">
        <v>82.4733688</v>
      </c>
      <c r="AD670" t="n">
        <v>55.945764397</v>
      </c>
      <c r="AE670" t="n">
        <v/>
      </c>
      <c r="AF670" t="n">
        <v>61.566142275</v>
      </c>
      <c r="AG670" t="n">
        <v/>
      </c>
      <c r="AH670" t="n">
        <v/>
      </c>
      <c r="AI670" t="n">
        <v>63.620760271</v>
      </c>
      <c r="AJ670" t="n">
        <v>40.906663108</v>
      </c>
      <c r="AK670" t="n">
        <v/>
      </c>
      <c r="AL670" t="n">
        <v/>
      </c>
      <c r="AM670" t="n">
        <v/>
      </c>
      <c r="AN670" t="n">
        <v>47.97516769</v>
      </c>
      <c r="AO670" t="n">
        <v/>
      </c>
      <c r="AP670" t="n">
        <v/>
      </c>
      <c r="AQ670" t="n">
        <v/>
      </c>
      <c r="AR670" t="n">
        <v>60.57504415</v>
      </c>
      <c r="AS670" t="n">
        <v/>
      </c>
      <c r="AT670" t="n">
        <v>44.861369038</v>
      </c>
      <c r="AU670" t="n">
        <v/>
      </c>
    </row>
    <row r="671">
      <c r="A671" s="105" t="n">
        <v>27303</v>
      </c>
      <c r="B671" t="n">
        <v>31.956295969</v>
      </c>
      <c r="C671" t="n">
        <v>50.756523578</v>
      </c>
      <c r="D671" t="n">
        <v/>
      </c>
      <c r="E671" t="n">
        <v>50.640234646</v>
      </c>
      <c r="F671" t="n">
        <v/>
      </c>
      <c r="G671" t="n">
        <v/>
      </c>
      <c r="H671" t="n">
        <v/>
      </c>
      <c r="I671" t="n">
        <v>31.953633166</v>
      </c>
      <c r="J671" t="n">
        <v/>
      </c>
      <c r="K671" t="n">
        <v>53.764940071</v>
      </c>
      <c r="L671" t="n">
        <v>51.903208127</v>
      </c>
      <c r="M671" t="n">
        <v/>
      </c>
      <c r="N671" t="n">
        <v>75.45180759900001</v>
      </c>
      <c r="O671" t="n">
        <v/>
      </c>
      <c r="P671" t="n">
        <v/>
      </c>
      <c r="Q671" t="n">
        <v>41.502336454</v>
      </c>
      <c r="R671" t="n">
        <v>74.488437343</v>
      </c>
      <c r="S671" t="n">
        <v>52.548136983</v>
      </c>
      <c r="T671" t="n">
        <v>64.626812876</v>
      </c>
      <c r="U671" t="n">
        <v/>
      </c>
      <c r="V671" t="n">
        <v>83.117591686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/>
      </c>
      <c r="AC671" t="n">
        <v>77.934436331</v>
      </c>
      <c r="AD671" t="n">
        <v>54.767958831</v>
      </c>
      <c r="AE671" t="n">
        <v/>
      </c>
      <c r="AF671" t="n">
        <v>61.609591458</v>
      </c>
      <c r="AG671" t="n">
        <v/>
      </c>
      <c r="AH671" t="n">
        <v/>
      </c>
      <c r="AI671" t="n">
        <v>62.618858535</v>
      </c>
      <c r="AJ671" t="n">
        <v>41.894954338</v>
      </c>
      <c r="AK671" t="n">
        <v/>
      </c>
      <c r="AL671" t="n">
        <v/>
      </c>
      <c r="AM671" t="n">
        <v/>
      </c>
      <c r="AN671" t="n">
        <v>52.024461583</v>
      </c>
      <c r="AO671" t="n">
        <v/>
      </c>
      <c r="AP671" t="n">
        <v/>
      </c>
      <c r="AQ671" t="n">
        <v/>
      </c>
      <c r="AR671" t="n">
        <v>61.034816781</v>
      </c>
      <c r="AS671" t="n">
        <v/>
      </c>
      <c r="AT671" t="n">
        <v>44.721555611</v>
      </c>
      <c r="AU671" t="n">
        <v/>
      </c>
    </row>
    <row r="672">
      <c r="A672" s="105" t="n">
        <v>27334</v>
      </c>
      <c r="B672" t="n">
        <v>31.895184328</v>
      </c>
      <c r="C672" t="n">
        <v>50.792300281</v>
      </c>
      <c r="D672" t="n">
        <v/>
      </c>
      <c r="E672" t="n">
        <v>49.728610802</v>
      </c>
      <c r="F672" t="n">
        <v/>
      </c>
      <c r="G672" t="n">
        <v/>
      </c>
      <c r="H672" t="n">
        <v/>
      </c>
      <c r="I672" t="n">
        <v>31.892526617</v>
      </c>
      <c r="J672" t="n">
        <v/>
      </c>
      <c r="K672" t="n">
        <v>53.39457309</v>
      </c>
      <c r="L672" t="n">
        <v>52.528547984</v>
      </c>
      <c r="M672" t="n">
        <v/>
      </c>
      <c r="N672" t="n">
        <v>71.687052798</v>
      </c>
      <c r="O672" t="n">
        <v/>
      </c>
      <c r="P672" t="n">
        <v/>
      </c>
      <c r="Q672" t="n">
        <v>41.378448883</v>
      </c>
      <c r="R672" t="n">
        <v>71.567322151</v>
      </c>
      <c r="S672" t="n">
        <v>51.457970421</v>
      </c>
      <c r="T672" t="n">
        <v>64.520693314</v>
      </c>
      <c r="U672" t="n">
        <v/>
      </c>
      <c r="V672" t="n">
        <v>83.36909040499999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/>
      </c>
      <c r="AC672" t="n">
        <v>78.031009356</v>
      </c>
      <c r="AD672" t="n">
        <v>53.842540172</v>
      </c>
      <c r="AE672" t="n">
        <v/>
      </c>
      <c r="AF672" t="n">
        <v>55.800327234</v>
      </c>
      <c r="AG672" t="n">
        <v/>
      </c>
      <c r="AH672" t="n">
        <v/>
      </c>
      <c r="AI672" t="n">
        <v>62.618858535</v>
      </c>
      <c r="AJ672" t="n">
        <v>42.281676994</v>
      </c>
      <c r="AK672" t="n">
        <v/>
      </c>
      <c r="AL672" t="n">
        <v/>
      </c>
      <c r="AM672" t="n">
        <v/>
      </c>
      <c r="AN672" t="n">
        <v>49.812153852</v>
      </c>
      <c r="AO672" t="n">
        <v/>
      </c>
      <c r="AP672" t="n">
        <v/>
      </c>
      <c r="AQ672" t="n">
        <v/>
      </c>
      <c r="AR672" t="n">
        <v>61.149759939</v>
      </c>
      <c r="AS672" t="n">
        <v/>
      </c>
      <c r="AT672" t="n">
        <v>43.248755024</v>
      </c>
      <c r="AU672" t="n">
        <v/>
      </c>
    </row>
    <row r="673">
      <c r="A673" s="105" t="n">
        <v>27364</v>
      </c>
      <c r="B673" t="n">
        <v>31.133765871</v>
      </c>
      <c r="C673" t="n">
        <v>48.203141473</v>
      </c>
      <c r="D673" t="n">
        <v/>
      </c>
      <c r="E673" t="n">
        <v>49.61254323</v>
      </c>
      <c r="F673" t="n">
        <v/>
      </c>
      <c r="G673" t="n">
        <v/>
      </c>
      <c r="H673" t="n">
        <v/>
      </c>
      <c r="I673" t="n">
        <v>31.131171606</v>
      </c>
      <c r="J673" t="n">
        <v/>
      </c>
      <c r="K673" t="n">
        <v>50.740276393</v>
      </c>
      <c r="L673" t="n">
        <v>50.027188556</v>
      </c>
      <c r="M673" t="n">
        <v/>
      </c>
      <c r="N673" t="n">
        <v>70.362005215</v>
      </c>
      <c r="O673" t="n">
        <v/>
      </c>
      <c r="P673" t="n">
        <v/>
      </c>
      <c r="Q673" t="n">
        <v>41.199137924</v>
      </c>
      <c r="R673" t="n">
        <v>70.350190818</v>
      </c>
      <c r="S673" t="n">
        <v>49.858998276</v>
      </c>
      <c r="T673" t="n">
        <v>63.459497701</v>
      </c>
      <c r="U673" t="n">
        <v/>
      </c>
      <c r="V673" t="n">
        <v>84.27606414900001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/>
      </c>
      <c r="AC673" t="n">
        <v>74.650953257</v>
      </c>
      <c r="AD673" t="n">
        <v>52.832992543</v>
      </c>
      <c r="AE673" t="n">
        <v/>
      </c>
      <c r="AF673" t="n">
        <v>54.170441085</v>
      </c>
      <c r="AG673" t="n">
        <v/>
      </c>
      <c r="AH673" t="n">
        <v/>
      </c>
      <c r="AI673" t="n">
        <v>59.613153325</v>
      </c>
      <c r="AJ673" t="n">
        <v>40.476971268</v>
      </c>
      <c r="AK673" t="n">
        <v/>
      </c>
      <c r="AL673" t="n">
        <v/>
      </c>
      <c r="AM673" t="n">
        <v/>
      </c>
      <c r="AN673" t="n">
        <v>52.229347013</v>
      </c>
      <c r="AO673" t="n">
        <v/>
      </c>
      <c r="AP673" t="n">
        <v/>
      </c>
      <c r="AQ673" t="n">
        <v/>
      </c>
      <c r="AR673" t="n">
        <v>59.02331152</v>
      </c>
      <c r="AS673" t="n">
        <v/>
      </c>
      <c r="AT673" t="n">
        <v>41.701387276</v>
      </c>
      <c r="AU673" t="n">
        <v/>
      </c>
    </row>
    <row r="674">
      <c r="A674" s="105" t="n">
        <v>27395</v>
      </c>
      <c r="B674" t="n">
        <v>30.957075606</v>
      </c>
      <c r="C674" t="n">
        <v>47.655059178</v>
      </c>
      <c r="D674" t="n">
        <v>47.66422211</v>
      </c>
      <c r="E674" t="n">
        <v>47.930268301</v>
      </c>
      <c r="F674" t="n">
        <v/>
      </c>
      <c r="G674" t="n">
        <v/>
      </c>
      <c r="H674" t="n">
        <v/>
      </c>
      <c r="I674" t="n">
        <v>30.954496065</v>
      </c>
      <c r="J674" t="n">
        <v/>
      </c>
      <c r="K674" t="n">
        <v>51.048915544</v>
      </c>
      <c r="L674" t="n">
        <v>51.903208127</v>
      </c>
      <c r="M674" t="n">
        <v/>
      </c>
      <c r="N674" t="n">
        <v>71.135075116</v>
      </c>
      <c r="O674" t="n">
        <v/>
      </c>
      <c r="P674" t="n">
        <v/>
      </c>
      <c r="Q674" t="n">
        <v>41.431219946</v>
      </c>
      <c r="R674" t="n">
        <v>69.559055457</v>
      </c>
      <c r="S674" t="n">
        <v>49.211610205</v>
      </c>
      <c r="T674" t="n">
        <v>63.990095508</v>
      </c>
      <c r="U674" t="n">
        <v/>
      </c>
      <c r="V674" t="n">
        <v>84.283679092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/>
      </c>
      <c r="AC674" t="n">
        <v>74.07151506700001</v>
      </c>
      <c r="AD674" t="n">
        <v>50.813897287</v>
      </c>
      <c r="AE674" t="n">
        <v/>
      </c>
      <c r="AF674" t="n">
        <v>51.008553341</v>
      </c>
      <c r="AG674" t="n">
        <v/>
      </c>
      <c r="AH674" t="n">
        <v/>
      </c>
      <c r="AI674" t="n">
        <v>59.529661514</v>
      </c>
      <c r="AJ674" t="n">
        <v>38.121029635</v>
      </c>
      <c r="AK674" t="n">
        <v/>
      </c>
      <c r="AL674" t="n">
        <v>43.242925854</v>
      </c>
      <c r="AM674" t="n">
        <v/>
      </c>
      <c r="AN674" t="n">
        <v>50.850136321</v>
      </c>
      <c r="AO674" t="n">
        <v/>
      </c>
      <c r="AP674" t="n">
        <v/>
      </c>
      <c r="AQ674" t="n">
        <v/>
      </c>
      <c r="AR674" t="n">
        <v>62.356663096</v>
      </c>
      <c r="AS674" t="n">
        <v/>
      </c>
      <c r="AT674" t="n">
        <v>41.125970741</v>
      </c>
      <c r="AU674" t="n">
        <v/>
      </c>
    </row>
    <row r="675">
      <c r="A675" s="105" t="n">
        <v>27426</v>
      </c>
      <c r="B675" t="n">
        <v>31.539261984</v>
      </c>
      <c r="C675" t="n">
        <v>46.842940572</v>
      </c>
      <c r="D675" t="n">
        <v>47.56429141</v>
      </c>
      <c r="E675" t="n">
        <v>47.962692035</v>
      </c>
      <c r="F675" t="n">
        <v/>
      </c>
      <c r="G675" t="n">
        <v/>
      </c>
      <c r="H675" t="n">
        <v/>
      </c>
      <c r="I675" t="n">
        <v>31.536633931</v>
      </c>
      <c r="J675" t="n">
        <v/>
      </c>
      <c r="K675" t="n">
        <v>50.802004223</v>
      </c>
      <c r="L675" t="n">
        <v>51.903208127</v>
      </c>
      <c r="M675" t="n">
        <v/>
      </c>
      <c r="N675" t="n">
        <v>71.45805989</v>
      </c>
      <c r="O675" t="n">
        <v/>
      </c>
      <c r="P675" t="n">
        <v/>
      </c>
      <c r="Q675" t="n">
        <v>41.532642761</v>
      </c>
      <c r="R675" t="n">
        <v>69.315629194</v>
      </c>
      <c r="S675" t="n">
        <v>48.60341169</v>
      </c>
      <c r="T675" t="n">
        <v>63.565617262</v>
      </c>
      <c r="U675" t="n">
        <v/>
      </c>
      <c r="V675" t="n">
        <v>85.59407253099999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/>
      </c>
      <c r="AC675" t="n">
        <v>74.07151506700001</v>
      </c>
      <c r="AD675" t="n">
        <v>50.309123473</v>
      </c>
      <c r="AE675" t="n">
        <v/>
      </c>
      <c r="AF675" t="n">
        <v>52.991291121</v>
      </c>
      <c r="AG675" t="n">
        <v/>
      </c>
      <c r="AH675" t="n">
        <v/>
      </c>
      <c r="AI675" t="n">
        <v>59.529661514</v>
      </c>
      <c r="AJ675" t="n">
        <v>40.92404652</v>
      </c>
      <c r="AK675" t="n">
        <v/>
      </c>
      <c r="AL675" t="n">
        <v>42.792516337</v>
      </c>
      <c r="AM675" t="n">
        <v/>
      </c>
      <c r="AN675" t="n">
        <v>51.529634482</v>
      </c>
      <c r="AO675" t="n">
        <v/>
      </c>
      <c r="AP675" t="n">
        <v/>
      </c>
      <c r="AQ675" t="n">
        <v/>
      </c>
      <c r="AR675" t="n">
        <v>61.09228836</v>
      </c>
      <c r="AS675" t="n">
        <v/>
      </c>
      <c r="AT675" t="n">
        <v>40.187931721</v>
      </c>
      <c r="AU675" t="n">
        <v/>
      </c>
    </row>
    <row r="676">
      <c r="A676" s="105" t="n">
        <v>27454</v>
      </c>
      <c r="B676" t="n">
        <v>30.764188637</v>
      </c>
      <c r="C676" t="n">
        <v>47.518357183</v>
      </c>
      <c r="D676" t="n">
        <v>46.686415275</v>
      </c>
      <c r="E676" t="n">
        <v>47.13941112</v>
      </c>
      <c r="F676" t="n">
        <v/>
      </c>
      <c r="G676" t="n">
        <v/>
      </c>
      <c r="H676" t="n">
        <v/>
      </c>
      <c r="I676" t="n">
        <v>30.761625169</v>
      </c>
      <c r="J676" t="n">
        <v/>
      </c>
      <c r="K676" t="n">
        <v>51.357554694</v>
      </c>
      <c r="L676" t="n">
        <v>48.151168985</v>
      </c>
      <c r="M676" t="n">
        <v/>
      </c>
      <c r="N676" t="n">
        <v>78.03660293599999</v>
      </c>
      <c r="O676" t="n">
        <v/>
      </c>
      <c r="P676" t="n">
        <v/>
      </c>
      <c r="Q676" t="n">
        <v>41.025528686</v>
      </c>
      <c r="R676" t="n">
        <v>68.281067561</v>
      </c>
      <c r="S676" t="n">
        <v>48.186730743</v>
      </c>
      <c r="T676" t="n">
        <v>62.292182526</v>
      </c>
      <c r="U676" t="n">
        <v/>
      </c>
      <c r="V676" t="n">
        <v>86.642405559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/>
      </c>
      <c r="AC676" t="n">
        <v>74.07151506700001</v>
      </c>
      <c r="AD676" t="n">
        <v>49.636091721</v>
      </c>
      <c r="AE676" t="n">
        <v/>
      </c>
      <c r="AF676" t="n">
        <v>52.454320599</v>
      </c>
      <c r="AG676" t="n">
        <v/>
      </c>
      <c r="AH676" t="n">
        <v/>
      </c>
      <c r="AI676" t="n">
        <v>60.124958129</v>
      </c>
      <c r="AJ676" t="n">
        <v>42.045253274</v>
      </c>
      <c r="AK676" t="n">
        <v/>
      </c>
      <c r="AL676" t="n">
        <v>42.628919081</v>
      </c>
      <c r="AM676" t="n">
        <v/>
      </c>
      <c r="AN676" t="n">
        <v>49.447278358</v>
      </c>
      <c r="AO676" t="n">
        <v/>
      </c>
      <c r="AP676" t="n">
        <v/>
      </c>
      <c r="AQ676" t="n">
        <v/>
      </c>
      <c r="AR676" t="n">
        <v>62.069305201</v>
      </c>
      <c r="AS676" t="n">
        <v/>
      </c>
      <c r="AT676" t="n">
        <v>39.742313608</v>
      </c>
      <c r="AU676" t="n">
        <v/>
      </c>
    </row>
    <row r="677">
      <c r="A677" s="105" t="n">
        <v>27485</v>
      </c>
      <c r="B677" t="n">
        <v>30.397898223</v>
      </c>
      <c r="C677" t="n">
        <v>43.360890895</v>
      </c>
      <c r="D677" t="n">
        <v>49.648522202</v>
      </c>
      <c r="E677" t="n">
        <v>47.570317855</v>
      </c>
      <c r="F677" t="n">
        <v/>
      </c>
      <c r="G677" t="n">
        <v/>
      </c>
      <c r="H677" t="n">
        <v/>
      </c>
      <c r="I677" t="n">
        <v>30.395365276</v>
      </c>
      <c r="J677" t="n">
        <v/>
      </c>
      <c r="K677" t="n">
        <v>50.678548563</v>
      </c>
      <c r="L677" t="n">
        <v>52.528547984</v>
      </c>
      <c r="M677" t="n">
        <v/>
      </c>
      <c r="N677" t="n">
        <v>68.638872478</v>
      </c>
      <c r="O677" t="n">
        <v/>
      </c>
      <c r="P677" t="n">
        <v/>
      </c>
      <c r="Q677" t="n">
        <v>41.177662908</v>
      </c>
      <c r="R677" t="n">
        <v>68.46363726</v>
      </c>
      <c r="S677" t="n">
        <v>48.19812029</v>
      </c>
      <c r="T677" t="n">
        <v>61.337106473</v>
      </c>
      <c r="U677" t="n">
        <v/>
      </c>
      <c r="V677" t="n">
        <v>87.44907485100001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/>
      </c>
      <c r="AC677" t="n">
        <v>72.526346565</v>
      </c>
      <c r="AD677" t="n">
        <v>50.813897287</v>
      </c>
      <c r="AE677" t="n">
        <v/>
      </c>
      <c r="AF677" t="n">
        <v>45.666217949</v>
      </c>
      <c r="AG677" t="n">
        <v/>
      </c>
      <c r="AH677" t="n">
        <v/>
      </c>
      <c r="AI677" t="n">
        <v>58.934364898</v>
      </c>
      <c r="AJ677" t="n">
        <v>44.287666781</v>
      </c>
      <c r="AK677" t="n">
        <v/>
      </c>
      <c r="AL677" t="n">
        <v>42.332987152</v>
      </c>
      <c r="AM677" t="n">
        <v/>
      </c>
      <c r="AN677" t="n">
        <v>47.983988994</v>
      </c>
      <c r="AO677" t="n">
        <v/>
      </c>
      <c r="AP677" t="n">
        <v/>
      </c>
      <c r="AQ677" t="n">
        <v/>
      </c>
      <c r="AR677" t="n">
        <v>59.598027309</v>
      </c>
      <c r="AS677" t="n">
        <v/>
      </c>
      <c r="AT677" t="n">
        <v>39.814798441</v>
      </c>
      <c r="AU677" t="n">
        <v/>
      </c>
    </row>
    <row r="678">
      <c r="A678" s="105" t="n">
        <v>27515</v>
      </c>
      <c r="B678" t="n">
        <v>29.988355723</v>
      </c>
      <c r="C678" t="n">
        <v>45.238461194</v>
      </c>
      <c r="D678" t="n">
        <v>47.24446928</v>
      </c>
      <c r="E678" t="n">
        <v>46.457572874</v>
      </c>
      <c r="F678" t="n">
        <v/>
      </c>
      <c r="G678" t="n">
        <v/>
      </c>
      <c r="H678" t="n">
        <v/>
      </c>
      <c r="I678" t="n">
        <v>29.985856902</v>
      </c>
      <c r="J678" t="n">
        <v/>
      </c>
      <c r="K678" t="n">
        <v>50.493365072</v>
      </c>
      <c r="L678" t="n">
        <v>51.27786827</v>
      </c>
      <c r="M678" t="n">
        <v/>
      </c>
      <c r="N678" t="n">
        <v>72.09246287000001</v>
      </c>
      <c r="O678" t="n">
        <v/>
      </c>
      <c r="P678" t="n">
        <v/>
      </c>
      <c r="Q678" t="n">
        <v>39.0984952</v>
      </c>
      <c r="R678" t="n">
        <v>66.51622713899999</v>
      </c>
      <c r="S678" t="n">
        <v>47.975785991</v>
      </c>
      <c r="T678" t="n">
        <v>60.382030421</v>
      </c>
      <c r="U678" t="n">
        <v/>
      </c>
      <c r="V678" t="n">
        <v>86.251221085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/>
      </c>
      <c r="AC678" t="n">
        <v>73.588649911</v>
      </c>
      <c r="AD678" t="n">
        <v>50.813897287</v>
      </c>
      <c r="AE678" t="n">
        <v/>
      </c>
      <c r="AF678" t="n">
        <v>45.602476789</v>
      </c>
      <c r="AG678" t="n">
        <v/>
      </c>
      <c r="AH678" t="n">
        <v/>
      </c>
      <c r="AI678" t="n">
        <v>59.529661514</v>
      </c>
      <c r="AJ678" t="n">
        <v>44.287666781</v>
      </c>
      <c r="AK678" t="n">
        <v/>
      </c>
      <c r="AL678" t="n">
        <v>42.260792151</v>
      </c>
      <c r="AM678" t="n">
        <v/>
      </c>
      <c r="AN678" t="n">
        <v>49.572191662</v>
      </c>
      <c r="AO678" t="n">
        <v/>
      </c>
      <c r="AP678" t="n">
        <v/>
      </c>
      <c r="AQ678" t="n">
        <v/>
      </c>
      <c r="AR678" t="n">
        <v>59.425612572</v>
      </c>
      <c r="AS678" t="n">
        <v/>
      </c>
      <c r="AT678" t="n">
        <v>39.7029477</v>
      </c>
      <c r="AU678" t="n">
        <v/>
      </c>
    </row>
    <row r="679">
      <c r="A679" s="105" t="n">
        <v>27546</v>
      </c>
      <c r="B679" t="n">
        <v>29.918387203</v>
      </c>
      <c r="C679" t="n">
        <v>45.184686707</v>
      </c>
      <c r="D679" t="n">
        <v>48.912111127</v>
      </c>
      <c r="E679" t="n">
        <v>47.10416793</v>
      </c>
      <c r="F679" t="n">
        <v/>
      </c>
      <c r="G679" t="n">
        <v/>
      </c>
      <c r="H679" t="n">
        <v/>
      </c>
      <c r="I679" t="n">
        <v>29.915894212</v>
      </c>
      <c r="J679" t="n">
        <v/>
      </c>
      <c r="K679" t="n">
        <v>50.369909412</v>
      </c>
      <c r="L679" t="n">
        <v>51.27786827</v>
      </c>
      <c r="M679" t="n">
        <v/>
      </c>
      <c r="N679" t="n">
        <v>72.00364448800001</v>
      </c>
      <c r="O679" t="n">
        <v/>
      </c>
      <c r="P679" t="n">
        <v/>
      </c>
      <c r="Q679" t="n">
        <v>38.540669717</v>
      </c>
      <c r="R679" t="n">
        <v>68.15935443399999</v>
      </c>
      <c r="S679" t="n">
        <v>48.343344025</v>
      </c>
      <c r="T679" t="n">
        <v>60.912628228</v>
      </c>
      <c r="U679" t="n">
        <v/>
      </c>
      <c r="V679" t="n">
        <v>86.250662636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/>
      </c>
      <c r="AC679" t="n">
        <v>74.264661137</v>
      </c>
      <c r="AD679" t="n">
        <v>51.318671101</v>
      </c>
      <c r="AE679" t="n">
        <v/>
      </c>
      <c r="AF679" t="n">
        <v>47.341763616</v>
      </c>
      <c r="AG679" t="n">
        <v/>
      </c>
      <c r="AH679" t="n">
        <v/>
      </c>
      <c r="AI679" t="n">
        <v>59.529661514</v>
      </c>
      <c r="AJ679" t="n">
        <v>44.848270158</v>
      </c>
      <c r="AK679" t="n">
        <v/>
      </c>
      <c r="AL679" t="n">
        <v>42.527292725</v>
      </c>
      <c r="AM679" t="n">
        <v/>
      </c>
      <c r="AN679" t="n">
        <v>50.253284625</v>
      </c>
      <c r="AO679" t="n">
        <v/>
      </c>
      <c r="AP679" t="n">
        <v/>
      </c>
      <c r="AQ679" t="n">
        <v/>
      </c>
      <c r="AR679" t="n">
        <v>58.276180994</v>
      </c>
      <c r="AS679" t="n">
        <v/>
      </c>
      <c r="AT679" t="n">
        <v>39.959569791</v>
      </c>
      <c r="AU679" t="n">
        <v/>
      </c>
    </row>
    <row r="680">
      <c r="A680" s="105" t="n">
        <v>27576</v>
      </c>
      <c r="B680" t="n">
        <v>29.862392955</v>
      </c>
      <c r="C680" t="n">
        <v>45.692961089</v>
      </c>
      <c r="D680" t="n">
        <v>48.390199254</v>
      </c>
      <c r="E680" t="n">
        <v>47.755931988</v>
      </c>
      <c r="F680" t="n">
        <v/>
      </c>
      <c r="G680" t="n">
        <v/>
      </c>
      <c r="H680" t="n">
        <v/>
      </c>
      <c r="I680" t="n">
        <v>29.859904629</v>
      </c>
      <c r="J680" t="n">
        <v/>
      </c>
      <c r="K680" t="n">
        <v>49.135352809</v>
      </c>
      <c r="L680" t="n">
        <v>53.15388784</v>
      </c>
      <c r="M680" t="n">
        <v>56.703943887</v>
      </c>
      <c r="N680" t="n">
        <v>71.517109744</v>
      </c>
      <c r="O680" t="n">
        <v/>
      </c>
      <c r="P680" t="n">
        <v/>
      </c>
      <c r="Q680" t="n">
        <v>41.887622613</v>
      </c>
      <c r="R680" t="n">
        <v>67.368219064</v>
      </c>
      <c r="S680" t="n">
        <v>48.326037498</v>
      </c>
      <c r="T680" t="n">
        <v>60.063671737</v>
      </c>
      <c r="U680" t="n">
        <v/>
      </c>
      <c r="V680" t="n">
        <v>86.88851427900001</v>
      </c>
      <c r="W680" t="n">
        <v/>
      </c>
      <c r="X680" t="n">
        <v/>
      </c>
      <c r="Y680" t="n">
        <v/>
      </c>
      <c r="Z680" t="n">
        <v>5.672827578</v>
      </c>
      <c r="AA680" t="n">
        <v/>
      </c>
      <c r="AB680" t="n">
        <v/>
      </c>
      <c r="AC680" t="n">
        <v>73.298930816</v>
      </c>
      <c r="AD680" t="n">
        <v>51.823444915</v>
      </c>
      <c r="AE680" t="n">
        <v/>
      </c>
      <c r="AF680" t="n">
        <v>45.995866487</v>
      </c>
      <c r="AG680" t="n">
        <v/>
      </c>
      <c r="AH680" t="n">
        <v/>
      </c>
      <c r="AI680" t="n">
        <v>58.339068283</v>
      </c>
      <c r="AJ680" t="n">
        <v>45.969476912</v>
      </c>
      <c r="AK680" t="n">
        <v/>
      </c>
      <c r="AL680" t="n">
        <v>42.548744728</v>
      </c>
      <c r="AM680" t="n">
        <v/>
      </c>
      <c r="AN680" t="n">
        <v>51.089075135</v>
      </c>
      <c r="AO680" t="n">
        <v/>
      </c>
      <c r="AP680" t="n">
        <v/>
      </c>
      <c r="AQ680" t="n">
        <v/>
      </c>
      <c r="AR680" t="n">
        <v>59.598027309</v>
      </c>
      <c r="AS680" t="n">
        <v/>
      </c>
      <c r="AT680" t="n">
        <v>40.366813581</v>
      </c>
      <c r="AU680" t="n">
        <v/>
      </c>
    </row>
    <row r="681">
      <c r="A681" s="105" t="n">
        <v>27607</v>
      </c>
      <c r="B681" t="n">
        <v>30.289648961</v>
      </c>
      <c r="C681" t="n">
        <v>45.056615474</v>
      </c>
      <c r="D681" t="n">
        <v>48.624412774</v>
      </c>
      <c r="E681" t="n">
        <v>47.393162087</v>
      </c>
      <c r="F681" t="n">
        <v/>
      </c>
      <c r="G681" t="n">
        <v/>
      </c>
      <c r="H681" t="n">
        <v/>
      </c>
      <c r="I681" t="n">
        <v>30.287125034</v>
      </c>
      <c r="J681" t="n">
        <v/>
      </c>
      <c r="K681" t="n">
        <v>51.048915544</v>
      </c>
      <c r="L681" t="n">
        <v>51.27786827</v>
      </c>
      <c r="M681" t="n">
        <v>57.475490915</v>
      </c>
      <c r="N681" t="n">
        <v>76.72544035599999</v>
      </c>
      <c r="O681" t="n">
        <v/>
      </c>
      <c r="P681" t="n">
        <v/>
      </c>
      <c r="Q681" t="n">
        <v>39.352052237</v>
      </c>
      <c r="R681" t="n">
        <v>67.368219064</v>
      </c>
      <c r="S681" t="n">
        <v>48.749410792</v>
      </c>
      <c r="T681" t="n">
        <v>59.320834807</v>
      </c>
      <c r="U681" t="n">
        <v/>
      </c>
      <c r="V681" t="n">
        <v>89.207134716</v>
      </c>
      <c r="W681" t="n">
        <v/>
      </c>
      <c r="X681" t="n">
        <v/>
      </c>
      <c r="Y681" t="n">
        <v/>
      </c>
      <c r="Z681" t="n">
        <v>5.765067846</v>
      </c>
      <c r="AA681" t="n">
        <v/>
      </c>
      <c r="AB681" t="n">
        <v/>
      </c>
      <c r="AC681" t="n">
        <v>73.78179597099999</v>
      </c>
      <c r="AD681" t="n">
        <v>51.823444915</v>
      </c>
      <c r="AE681" t="n">
        <v/>
      </c>
      <c r="AF681" t="n">
        <v>36.727866876</v>
      </c>
      <c r="AG681" t="n">
        <v/>
      </c>
      <c r="AH681" t="n">
        <v/>
      </c>
      <c r="AI681" t="n">
        <v>58.339068283</v>
      </c>
      <c r="AJ681" t="n">
        <v>43.727063404</v>
      </c>
      <c r="AK681" t="n">
        <v/>
      </c>
      <c r="AL681" t="n">
        <v>42.934843685</v>
      </c>
      <c r="AM681" t="n">
        <v/>
      </c>
      <c r="AN681" t="n">
        <v>45.984480511</v>
      </c>
      <c r="AO681" t="n">
        <v/>
      </c>
      <c r="AP681" t="n">
        <v/>
      </c>
      <c r="AQ681" t="n">
        <v/>
      </c>
      <c r="AR681" t="n">
        <v>59.368140993</v>
      </c>
      <c r="AS681" t="n">
        <v/>
      </c>
      <c r="AT681" t="n">
        <v>40.76384405</v>
      </c>
      <c r="AU681" t="n">
        <v/>
      </c>
    </row>
    <row r="682">
      <c r="A682" s="105" t="n">
        <v>27638</v>
      </c>
      <c r="B682" t="n">
        <v>29.870487451</v>
      </c>
      <c r="C682" t="n">
        <v>45.99883523</v>
      </c>
      <c r="D682" t="n">
        <v>49.947703713</v>
      </c>
      <c r="E682" t="n">
        <v>47.625297231</v>
      </c>
      <c r="F682" t="n">
        <v/>
      </c>
      <c r="G682" t="n">
        <v/>
      </c>
      <c r="H682" t="n">
        <v/>
      </c>
      <c r="I682" t="n">
        <v>29.867998451</v>
      </c>
      <c r="J682" t="n">
        <v/>
      </c>
      <c r="K682" t="n">
        <v>50.987187713</v>
      </c>
      <c r="L682" t="n">
        <v>52.528547984</v>
      </c>
      <c r="M682" t="n">
        <v>57.380238195</v>
      </c>
      <c r="N682" t="n">
        <v>72.65328510499999</v>
      </c>
      <c r="O682" t="n">
        <v/>
      </c>
      <c r="P682" t="n">
        <v/>
      </c>
      <c r="Q682" t="n">
        <v>37.830710012</v>
      </c>
      <c r="R682" t="n">
        <v>67.855071599</v>
      </c>
      <c r="S682" t="n">
        <v>49.107512233</v>
      </c>
      <c r="T682" t="n">
        <v>60.382030421</v>
      </c>
      <c r="U682" t="n">
        <v/>
      </c>
      <c r="V682" t="n">
        <v>88.258631147</v>
      </c>
      <c r="W682" t="n">
        <v/>
      </c>
      <c r="X682" t="n">
        <v/>
      </c>
      <c r="Y682" t="n">
        <v/>
      </c>
      <c r="Z682" t="n">
        <v>5.534465756</v>
      </c>
      <c r="AA682" t="n">
        <v/>
      </c>
      <c r="AB682" t="n">
        <v/>
      </c>
      <c r="AC682" t="n">
        <v>72.719492636</v>
      </c>
      <c r="AD682" t="n">
        <v>52.24408976</v>
      </c>
      <c r="AE682" t="n">
        <v/>
      </c>
      <c r="AF682" t="n">
        <v>47.484058759</v>
      </c>
      <c r="AG682" t="n">
        <v/>
      </c>
      <c r="AH682" t="n">
        <v/>
      </c>
      <c r="AI682" t="n">
        <v>58.934364898</v>
      </c>
      <c r="AJ682" t="n">
        <v>44.287666781</v>
      </c>
      <c r="AK682" t="n">
        <v/>
      </c>
      <c r="AL682" t="n">
        <v>43.13533927</v>
      </c>
      <c r="AM682" t="n">
        <v/>
      </c>
      <c r="AN682" t="n">
        <v>48.797927366</v>
      </c>
      <c r="AO682" t="n">
        <v/>
      </c>
      <c r="AP682" t="n">
        <v/>
      </c>
      <c r="AQ682" t="n">
        <v/>
      </c>
      <c r="AR682" t="n">
        <v>58.678482047</v>
      </c>
      <c r="AS682" t="n">
        <v/>
      </c>
      <c r="AT682" t="n">
        <v>41.287599028</v>
      </c>
      <c r="AU682" t="n">
        <v/>
      </c>
    </row>
    <row r="683">
      <c r="A683" s="105" t="n">
        <v>27668</v>
      </c>
      <c r="B683" t="n">
        <v>29.718183365</v>
      </c>
      <c r="C683" t="n">
        <v>45.870237573</v>
      </c>
      <c r="D683" t="n">
        <v>49.400528855</v>
      </c>
      <c r="E683" t="n">
        <v>47.169955218</v>
      </c>
      <c r="F683" t="n">
        <v/>
      </c>
      <c r="G683" t="n">
        <v/>
      </c>
      <c r="H683" t="n">
        <v/>
      </c>
      <c r="I683" t="n">
        <v>29.715707056</v>
      </c>
      <c r="J683" t="n">
        <v/>
      </c>
      <c r="K683" t="n">
        <v>51.974832996</v>
      </c>
      <c r="L683" t="n">
        <v>54.404567554</v>
      </c>
      <c r="M683" t="n">
        <v>58.342290662</v>
      </c>
      <c r="N683" t="n">
        <v>72.799628574</v>
      </c>
      <c r="O683" t="n">
        <v/>
      </c>
      <c r="P683" t="n">
        <v/>
      </c>
      <c r="Q683" t="n">
        <v>38.337824087</v>
      </c>
      <c r="R683" t="n">
        <v>69.924194856</v>
      </c>
      <c r="S683" t="n">
        <v>49.570625977</v>
      </c>
      <c r="T683" t="n">
        <v>61.124867351</v>
      </c>
      <c r="U683" t="n">
        <v/>
      </c>
      <c r="V683" t="n">
        <v>86.781373315</v>
      </c>
      <c r="W683" t="n">
        <v/>
      </c>
      <c r="X683" t="n">
        <v/>
      </c>
      <c r="Y683" t="n">
        <v/>
      </c>
      <c r="Z683" t="n">
        <v>5.472971771</v>
      </c>
      <c r="AA683" t="n">
        <v/>
      </c>
      <c r="AB683" t="n">
        <v/>
      </c>
      <c r="AC683" t="n">
        <v>74.168088102</v>
      </c>
      <c r="AD683" t="n">
        <v>52.412347698</v>
      </c>
      <c r="AE683" t="n">
        <v/>
      </c>
      <c r="AF683" t="n">
        <v>46.581258885</v>
      </c>
      <c r="AG683" t="n">
        <v/>
      </c>
      <c r="AH683" t="n">
        <v/>
      </c>
      <c r="AI683" t="n">
        <v>59.529661514</v>
      </c>
      <c r="AJ683" t="n">
        <v>43.727063404</v>
      </c>
      <c r="AK683" t="n">
        <v/>
      </c>
      <c r="AL683" t="n">
        <v>43.496189228</v>
      </c>
      <c r="AM683" t="n">
        <v/>
      </c>
      <c r="AN683" t="n">
        <v>50.95342899</v>
      </c>
      <c r="AO683" t="n">
        <v/>
      </c>
      <c r="AP683" t="n">
        <v/>
      </c>
      <c r="AQ683" t="n">
        <v/>
      </c>
      <c r="AR683" t="n">
        <v>58.563538889</v>
      </c>
      <c r="AS683" t="n">
        <v/>
      </c>
      <c r="AT683" t="n">
        <v>41.465191828</v>
      </c>
      <c r="AU683" t="n">
        <v/>
      </c>
    </row>
    <row r="684">
      <c r="A684" s="105" t="n">
        <v>27699</v>
      </c>
      <c r="B684" t="n">
        <v>30.720485607</v>
      </c>
      <c r="C684" t="n">
        <v>47.22997819</v>
      </c>
      <c r="D684" t="n">
        <v>50.990296889</v>
      </c>
      <c r="E684" t="n">
        <v>48.238528735</v>
      </c>
      <c r="F684" t="n">
        <v/>
      </c>
      <c r="G684" t="n">
        <v/>
      </c>
      <c r="H684" t="n">
        <v/>
      </c>
      <c r="I684" t="n">
        <v>30.71792578</v>
      </c>
      <c r="J684" t="n">
        <v/>
      </c>
      <c r="K684" t="n">
        <v>52.715566958</v>
      </c>
      <c r="L684" t="n">
        <v>55.029907411</v>
      </c>
      <c r="M684" t="n">
        <v>58.818554259</v>
      </c>
      <c r="N684" t="n">
        <v>72.118668598</v>
      </c>
      <c r="O684" t="n">
        <v/>
      </c>
      <c r="P684" t="n">
        <v/>
      </c>
      <c r="Q684" t="n">
        <v>39.605609275</v>
      </c>
      <c r="R684" t="n">
        <v>68.707063533</v>
      </c>
      <c r="S684" t="n">
        <v>49.675297555</v>
      </c>
      <c r="T684" t="n">
        <v>61.230986912</v>
      </c>
      <c r="U684" t="n">
        <v/>
      </c>
      <c r="V684" t="n">
        <v>90.59302615199999</v>
      </c>
      <c r="W684" t="n">
        <v/>
      </c>
      <c r="X684" t="n">
        <v/>
      </c>
      <c r="Y684" t="n">
        <v/>
      </c>
      <c r="Z684" t="n">
        <v>6.041791489</v>
      </c>
      <c r="AA684" t="n">
        <v/>
      </c>
      <c r="AB684" t="n">
        <v/>
      </c>
      <c r="AC684" t="n">
        <v>76.292694794</v>
      </c>
      <c r="AD684" t="n">
        <v>51.571058008</v>
      </c>
      <c r="AE684" t="n">
        <v/>
      </c>
      <c r="AF684" t="n">
        <v>47.388605859</v>
      </c>
      <c r="AG684" t="n">
        <v/>
      </c>
      <c r="AH684" t="n">
        <v/>
      </c>
      <c r="AI684" t="n">
        <v>61.910847974</v>
      </c>
      <c r="AJ684" t="n">
        <v>44.287666781</v>
      </c>
      <c r="AK684" t="n">
        <v/>
      </c>
      <c r="AL684" t="n">
        <v>43.655820297</v>
      </c>
      <c r="AM684" t="n">
        <v/>
      </c>
      <c r="AN684" t="n">
        <v>50.168397561</v>
      </c>
      <c r="AO684" t="n">
        <v/>
      </c>
      <c r="AP684" t="n">
        <v/>
      </c>
      <c r="AQ684" t="n">
        <v/>
      </c>
      <c r="AR684" t="n">
        <v>59.368140993</v>
      </c>
      <c r="AS684" t="n">
        <v/>
      </c>
      <c r="AT684" t="n">
        <v>41.523992794</v>
      </c>
      <c r="AU684" t="n">
        <v/>
      </c>
    </row>
    <row r="685">
      <c r="A685" s="105" t="n">
        <v>27729</v>
      </c>
      <c r="B685" t="n">
        <v>31.524741145</v>
      </c>
      <c r="C685" t="n">
        <v>46.954762042</v>
      </c>
      <c r="D685" t="n">
        <v>49.934871047</v>
      </c>
      <c r="E685" t="n">
        <v>49.133705757</v>
      </c>
      <c r="F685" t="n">
        <v/>
      </c>
      <c r="G685" t="n">
        <v/>
      </c>
      <c r="H685" t="n">
        <v/>
      </c>
      <c r="I685" t="n">
        <v>31.522114302</v>
      </c>
      <c r="J685" t="n">
        <v/>
      </c>
      <c r="K685" t="n">
        <v>52.653839128</v>
      </c>
      <c r="L685" t="n">
        <v>55.655247268</v>
      </c>
      <c r="M685" t="n">
        <v>59.199565137</v>
      </c>
      <c r="N685" t="n">
        <v>73.06460105799999</v>
      </c>
      <c r="O685" t="n">
        <v/>
      </c>
      <c r="P685" t="n">
        <v/>
      </c>
      <c r="Q685" t="n">
        <v>38.591381124</v>
      </c>
      <c r="R685" t="n">
        <v>72.236744386</v>
      </c>
      <c r="S685" t="n">
        <v>50.291483147</v>
      </c>
      <c r="T685" t="n">
        <v>60.912628228</v>
      </c>
      <c r="U685" t="n">
        <v/>
      </c>
      <c r="V685" t="n">
        <v>90.30059907499999</v>
      </c>
      <c r="W685" t="n">
        <v/>
      </c>
      <c r="X685" t="n">
        <v/>
      </c>
      <c r="Y685" t="n">
        <v/>
      </c>
      <c r="Z685" t="n">
        <v>5.903429668</v>
      </c>
      <c r="AA685" t="n">
        <v/>
      </c>
      <c r="AB685" t="n">
        <v/>
      </c>
      <c r="AC685" t="n">
        <v>76.099548734</v>
      </c>
      <c r="AD685" t="n">
        <v>52.664734605</v>
      </c>
      <c r="AE685" t="n">
        <v/>
      </c>
      <c r="AF685" t="n">
        <v>48.140861751</v>
      </c>
      <c r="AG685" t="n">
        <v/>
      </c>
      <c r="AH685" t="n">
        <v/>
      </c>
      <c r="AI685" t="n">
        <v>60.124958129</v>
      </c>
      <c r="AJ685" t="n">
        <v>40.363443143</v>
      </c>
      <c r="AK685" t="n">
        <v/>
      </c>
      <c r="AL685" t="n">
        <v>44.095074605</v>
      </c>
      <c r="AM685" t="n">
        <v/>
      </c>
      <c r="AN685" t="n">
        <v>48.73384521</v>
      </c>
      <c r="AO685" t="n">
        <v/>
      </c>
      <c r="AP685" t="n">
        <v/>
      </c>
      <c r="AQ685" t="n">
        <v/>
      </c>
      <c r="AR685" t="n">
        <v>58.621010468</v>
      </c>
      <c r="AS685" t="n">
        <v/>
      </c>
      <c r="AT685" t="n">
        <v>42.091179178</v>
      </c>
      <c r="AU685" t="n">
        <v/>
      </c>
    </row>
    <row r="686">
      <c r="A686" s="105" t="n">
        <v>27760</v>
      </c>
      <c r="B686" t="n">
        <v>31.079677434</v>
      </c>
      <c r="C686" t="n">
        <v>47.660484222</v>
      </c>
      <c r="D686" t="n">
        <v>51.717876716</v>
      </c>
      <c r="E686" t="n">
        <v>49.068858288</v>
      </c>
      <c r="F686" t="n">
        <v/>
      </c>
      <c r="G686" t="n">
        <v/>
      </c>
      <c r="H686" t="n">
        <v/>
      </c>
      <c r="I686" t="n">
        <v>31.077087677</v>
      </c>
      <c r="J686" t="n">
        <v/>
      </c>
      <c r="K686" t="n">
        <v>53.33284526</v>
      </c>
      <c r="L686" t="n">
        <v>54.404567554</v>
      </c>
      <c r="M686" t="n">
        <v>59.875859445</v>
      </c>
      <c r="N686" t="n">
        <v>71.577863807</v>
      </c>
      <c r="O686" t="n">
        <v/>
      </c>
      <c r="P686" t="n">
        <v/>
      </c>
      <c r="Q686" t="n">
        <v>39.656320682</v>
      </c>
      <c r="R686" t="n">
        <v>72.419314085</v>
      </c>
      <c r="S686" t="n">
        <v>50.987655565</v>
      </c>
      <c r="T686" t="n">
        <v>61.337106473</v>
      </c>
      <c r="U686" t="n">
        <v/>
      </c>
      <c r="V686" t="n">
        <v>92.852230057</v>
      </c>
      <c r="W686" t="n">
        <v/>
      </c>
      <c r="X686" t="n">
        <v/>
      </c>
      <c r="Y686" t="n">
        <v/>
      </c>
      <c r="Z686" t="n">
        <v>6.141720101</v>
      </c>
      <c r="AA686" t="n">
        <v/>
      </c>
      <c r="AB686" t="n">
        <v/>
      </c>
      <c r="AC686" t="n">
        <v>78.610447546</v>
      </c>
      <c r="AD686" t="n">
        <v>53.590153265</v>
      </c>
      <c r="AE686" t="n">
        <v/>
      </c>
      <c r="AF686" t="n">
        <v>48.773538136</v>
      </c>
      <c r="AG686" t="n">
        <v/>
      </c>
      <c r="AH686" t="n">
        <v/>
      </c>
      <c r="AI686" t="n">
        <v>63.101441204</v>
      </c>
      <c r="AJ686" t="n">
        <v>42.045253274</v>
      </c>
      <c r="AK686" t="n">
        <v/>
      </c>
      <c r="AL686" t="n">
        <v>44.635955789</v>
      </c>
      <c r="AM686" t="n">
        <v/>
      </c>
      <c r="AN686" t="n">
        <v>49.024579786</v>
      </c>
      <c r="AO686" t="n">
        <v/>
      </c>
      <c r="AP686" t="n">
        <v/>
      </c>
      <c r="AQ686" t="n">
        <v/>
      </c>
      <c r="AR686" t="n">
        <v>57.011806259</v>
      </c>
      <c r="AS686" t="n">
        <v/>
      </c>
      <c r="AT686" t="n">
        <v>42.652911846</v>
      </c>
      <c r="AU686" t="n">
        <v/>
      </c>
    </row>
    <row r="687">
      <c r="A687" s="105" t="n">
        <v>27791</v>
      </c>
      <c r="B687" t="n">
        <v>31.310558772</v>
      </c>
      <c r="C687" t="n">
        <v>48.723263922</v>
      </c>
      <c r="D687" t="n">
        <v>54.92707596</v>
      </c>
      <c r="E687" t="n">
        <v>49.389336361</v>
      </c>
      <c r="F687" t="n">
        <v/>
      </c>
      <c r="G687" t="n">
        <v/>
      </c>
      <c r="H687" t="n">
        <v/>
      </c>
      <c r="I687" t="n">
        <v>31.307949776</v>
      </c>
      <c r="J687" t="n">
        <v/>
      </c>
      <c r="K687" t="n">
        <v>54.382218372</v>
      </c>
      <c r="L687" t="n">
        <v>56.905926982</v>
      </c>
      <c r="M687" t="n">
        <v>60.256870323</v>
      </c>
      <c r="N687" t="n">
        <v>70.984125269</v>
      </c>
      <c r="O687" t="n">
        <v/>
      </c>
      <c r="P687" t="n">
        <v/>
      </c>
      <c r="Q687" t="n">
        <v>39.402763645</v>
      </c>
      <c r="R687" t="n">
        <v>72.541027212</v>
      </c>
      <c r="S687" t="n">
        <v>51.59575928</v>
      </c>
      <c r="T687" t="n">
        <v>61.973823842</v>
      </c>
      <c r="U687" t="n">
        <v/>
      </c>
      <c r="V687" t="n">
        <v>88.503934935</v>
      </c>
      <c r="W687" t="n">
        <v/>
      </c>
      <c r="X687" t="n">
        <v/>
      </c>
      <c r="Y687" t="n">
        <v/>
      </c>
      <c r="Z687" t="n">
        <v>5.849622608</v>
      </c>
      <c r="AA687" t="n">
        <v/>
      </c>
      <c r="AB687" t="n">
        <v/>
      </c>
      <c r="AC687" t="n">
        <v>78.031009356</v>
      </c>
      <c r="AD687" t="n">
        <v>54.936216769</v>
      </c>
      <c r="AE687" t="n">
        <v/>
      </c>
      <c r="AF687" t="n">
        <v>48.467271857</v>
      </c>
      <c r="AG687" t="n">
        <v/>
      </c>
      <c r="AH687" t="n">
        <v/>
      </c>
      <c r="AI687" t="n">
        <v>63.101441204</v>
      </c>
      <c r="AJ687" t="n">
        <v>44.848270158</v>
      </c>
      <c r="AK687" t="n">
        <v/>
      </c>
      <c r="AL687" t="n">
        <v>45.107750411</v>
      </c>
      <c r="AM687" t="n">
        <v/>
      </c>
      <c r="AN687" t="n">
        <v>50.140716919</v>
      </c>
      <c r="AO687" t="n">
        <v/>
      </c>
      <c r="AP687" t="n">
        <v/>
      </c>
      <c r="AQ687" t="n">
        <v/>
      </c>
      <c r="AR687" t="n">
        <v>57.758936784</v>
      </c>
      <c r="AS687" t="n">
        <v/>
      </c>
      <c r="AT687" t="n">
        <v>43.085837677</v>
      </c>
      <c r="AU687" t="n">
        <v/>
      </c>
    </row>
    <row r="688">
      <c r="A688" s="105" t="n">
        <v>27820</v>
      </c>
      <c r="B688" t="n">
        <v>31.258651488</v>
      </c>
      <c r="C688" t="n">
        <v>48.251469063</v>
      </c>
      <c r="D688" t="n">
        <v>52.823973414</v>
      </c>
      <c r="E688" t="n">
        <v>50.158107809</v>
      </c>
      <c r="F688" t="n">
        <v/>
      </c>
      <c r="G688" t="n">
        <v/>
      </c>
      <c r="H688" t="n">
        <v/>
      </c>
      <c r="I688" t="n">
        <v>31.256046817</v>
      </c>
      <c r="J688" t="n">
        <v/>
      </c>
      <c r="K688" t="n">
        <v>54.320490542</v>
      </c>
      <c r="L688" t="n">
        <v>56.280587125</v>
      </c>
      <c r="M688" t="n">
        <v>60.552153753</v>
      </c>
      <c r="N688" t="n">
        <v>73.791839341</v>
      </c>
      <c r="O688" t="n">
        <v/>
      </c>
      <c r="P688" t="n">
        <v/>
      </c>
      <c r="Q688" t="n">
        <v>39.554897867</v>
      </c>
      <c r="R688" t="n">
        <v>73.332162582</v>
      </c>
      <c r="S688" t="n">
        <v>51.828256261</v>
      </c>
      <c r="T688" t="n">
        <v>62.186062964</v>
      </c>
      <c r="U688" t="n">
        <v/>
      </c>
      <c r="V688" t="n">
        <v>93.867917925</v>
      </c>
      <c r="W688" t="n">
        <v/>
      </c>
      <c r="X688" t="n">
        <v/>
      </c>
      <c r="Y688" t="n">
        <v/>
      </c>
      <c r="Z688" t="n">
        <v>5.872683384</v>
      </c>
      <c r="AA688" t="n">
        <v/>
      </c>
      <c r="AB688" t="n">
        <v/>
      </c>
      <c r="AC688" t="n">
        <v>77.64471723600001</v>
      </c>
      <c r="AD688" t="n">
        <v>55.777506459</v>
      </c>
      <c r="AE688" t="n">
        <v/>
      </c>
      <c r="AF688" t="n">
        <v>47.931519803</v>
      </c>
      <c r="AG688" t="n">
        <v/>
      </c>
      <c r="AH688" t="n">
        <v/>
      </c>
      <c r="AI688" t="n">
        <v>62.506144589</v>
      </c>
      <c r="AJ688" t="n">
        <v>45.408873535</v>
      </c>
      <c r="AK688" t="n">
        <v/>
      </c>
      <c r="AL688" t="n">
        <v>45.352376975</v>
      </c>
      <c r="AM688" t="n">
        <v/>
      </c>
      <c r="AN688" t="n">
        <v>50.459776605</v>
      </c>
      <c r="AO688" t="n">
        <v/>
      </c>
      <c r="AP688" t="n">
        <v/>
      </c>
      <c r="AQ688" t="n">
        <v/>
      </c>
      <c r="AR688" t="n">
        <v>57.356635732</v>
      </c>
      <c r="AS688" t="n">
        <v/>
      </c>
      <c r="AT688" t="n">
        <v>43.169527416</v>
      </c>
      <c r="AU688" t="n">
        <v/>
      </c>
    </row>
    <row r="689">
      <c r="A689" s="105" t="n">
        <v>27851</v>
      </c>
      <c r="B689" t="n">
        <v>30.917537403</v>
      </c>
      <c r="C689" t="n">
        <v>49.889463963</v>
      </c>
      <c r="D689" t="n">
        <v>53.873997546</v>
      </c>
      <c r="E689" t="n">
        <v>50.777448132</v>
      </c>
      <c r="F689" t="n">
        <v/>
      </c>
      <c r="G689" t="n">
        <v/>
      </c>
      <c r="H689" t="n">
        <v/>
      </c>
      <c r="I689" t="n">
        <v>30.914961156</v>
      </c>
      <c r="J689" t="n">
        <v/>
      </c>
      <c r="K689" t="n">
        <v>54.629129693</v>
      </c>
      <c r="L689" t="n">
        <v>57.531266839</v>
      </c>
      <c r="M689" t="n">
        <v>61.314175508</v>
      </c>
      <c r="N689" t="n">
        <v>75.28965295099999</v>
      </c>
      <c r="O689" t="n">
        <v/>
      </c>
      <c r="P689" t="n">
        <v/>
      </c>
      <c r="Q689" t="n">
        <v>39.453475052</v>
      </c>
      <c r="R689" t="n">
        <v>74.24501108</v>
      </c>
      <c r="S689" t="n">
        <v>52.316831734</v>
      </c>
      <c r="T689" t="n">
        <v>62.716660771</v>
      </c>
      <c r="U689" t="n">
        <v/>
      </c>
      <c r="V689" t="n">
        <v>94.98505709200001</v>
      </c>
      <c r="W689" t="n">
        <v/>
      </c>
      <c r="X689" t="n">
        <v/>
      </c>
      <c r="Y689" t="n">
        <v/>
      </c>
      <c r="Z689" t="n">
        <v>5.918803518</v>
      </c>
      <c r="AA689" t="n">
        <v/>
      </c>
      <c r="AB689" t="n">
        <v/>
      </c>
      <c r="AC689" t="n">
        <v>79.672750892</v>
      </c>
      <c r="AD689" t="n">
        <v>56.53466718</v>
      </c>
      <c r="AE689" t="n">
        <v/>
      </c>
      <c r="AF689" t="n">
        <v>48.63379774</v>
      </c>
      <c r="AG689" t="n">
        <v/>
      </c>
      <c r="AH689" t="n">
        <v/>
      </c>
      <c r="AI689" t="n">
        <v>63.101441204</v>
      </c>
      <c r="AJ689" t="n">
        <v>44.848270158</v>
      </c>
      <c r="AK689" t="n">
        <v/>
      </c>
      <c r="AL689" t="n">
        <v>45.798175895</v>
      </c>
      <c r="AM689" t="n">
        <v/>
      </c>
      <c r="AN689" t="n">
        <v>50.36466549</v>
      </c>
      <c r="AO689" t="n">
        <v/>
      </c>
      <c r="AP689" t="n">
        <v/>
      </c>
      <c r="AQ689" t="n">
        <v/>
      </c>
      <c r="AR689" t="n">
        <v>58.678482047</v>
      </c>
      <c r="AS689" t="n">
        <v/>
      </c>
      <c r="AT689" t="n">
        <v>43.391047412</v>
      </c>
      <c r="AU689" t="n">
        <v/>
      </c>
    </row>
    <row r="690">
      <c r="A690" s="105" t="n">
        <v>27881</v>
      </c>
      <c r="B690" t="n">
        <v>32.227337245</v>
      </c>
      <c r="C690" t="n">
        <v>48.968712758</v>
      </c>
      <c r="D690" t="n">
        <v>54.917411146</v>
      </c>
      <c r="E690" t="n">
        <v>51.443779375</v>
      </c>
      <c r="F690" t="n">
        <v/>
      </c>
      <c r="G690" t="n">
        <v/>
      </c>
      <c r="H690" t="n">
        <v/>
      </c>
      <c r="I690" t="n">
        <v>32.224651858</v>
      </c>
      <c r="J690" t="n">
        <v/>
      </c>
      <c r="K690" t="n">
        <v>54.937768844</v>
      </c>
      <c r="L690" t="n">
        <v>60.032626267</v>
      </c>
      <c r="M690" t="n">
        <v>62.466733414</v>
      </c>
      <c r="N690" t="n">
        <v>76.31341064</v>
      </c>
      <c r="O690" t="n">
        <v/>
      </c>
      <c r="P690" t="n">
        <v/>
      </c>
      <c r="Q690" t="n">
        <v>40.619837425</v>
      </c>
      <c r="R690" t="n">
        <v>74.24501108</v>
      </c>
      <c r="S690" t="n">
        <v>52.803068107</v>
      </c>
      <c r="T690" t="n">
        <v>63.671736823</v>
      </c>
      <c r="U690" t="n">
        <v/>
      </c>
      <c r="V690" t="n">
        <v>95.66733481599999</v>
      </c>
      <c r="W690" t="n">
        <v/>
      </c>
      <c r="X690" t="n">
        <v/>
      </c>
      <c r="Y690" t="n">
        <v/>
      </c>
      <c r="Z690" t="n">
        <v>6.23396037</v>
      </c>
      <c r="AA690" t="n">
        <v/>
      </c>
      <c r="AB690" t="n">
        <v/>
      </c>
      <c r="AC690" t="n">
        <v>85.08084064800001</v>
      </c>
      <c r="AD690" t="n">
        <v>56.366409242</v>
      </c>
      <c r="AE690" t="n">
        <v/>
      </c>
      <c r="AF690" t="n">
        <v>52.733908097</v>
      </c>
      <c r="AG690" t="n">
        <v/>
      </c>
      <c r="AH690" t="n">
        <v/>
      </c>
      <c r="AI690" t="n">
        <v>63.696737819</v>
      </c>
      <c r="AJ690" t="n">
        <v>45.408873535</v>
      </c>
      <c r="AK690" t="n">
        <v/>
      </c>
      <c r="AL690" t="n">
        <v>46.234871918</v>
      </c>
      <c r="AM690" t="n">
        <v/>
      </c>
      <c r="AN690" t="n">
        <v>51.939785608</v>
      </c>
      <c r="AO690" t="n">
        <v/>
      </c>
      <c r="AP690" t="n">
        <v/>
      </c>
      <c r="AQ690" t="n">
        <v/>
      </c>
      <c r="AR690" t="n">
        <v>58.793425204</v>
      </c>
      <c r="AS690" t="n">
        <v/>
      </c>
      <c r="AT690" t="n">
        <v>43.56616125</v>
      </c>
      <c r="AU690" t="n">
        <v/>
      </c>
    </row>
    <row r="691">
      <c r="A691" s="105" t="n">
        <v>27912</v>
      </c>
      <c r="B691" t="n">
        <v>32.104949998</v>
      </c>
      <c r="C691" t="n">
        <v>50.177591376</v>
      </c>
      <c r="D691" t="n">
        <v>54.23192075</v>
      </c>
      <c r="E691" t="n">
        <v>50.7144803</v>
      </c>
      <c r="F691" t="n">
        <v/>
      </c>
      <c r="G691" t="n">
        <v/>
      </c>
      <c r="H691" t="n">
        <v/>
      </c>
      <c r="I691" t="n">
        <v>32.102274808</v>
      </c>
      <c r="J691" t="n">
        <v/>
      </c>
      <c r="K691" t="n">
        <v>55.555047145</v>
      </c>
      <c r="L691" t="n">
        <v>58.156606696</v>
      </c>
      <c r="M691" t="n">
        <v>62.466733414</v>
      </c>
      <c r="N691" t="n">
        <v>76.75452419299999</v>
      </c>
      <c r="O691" t="n">
        <v/>
      </c>
      <c r="P691" t="n">
        <v/>
      </c>
      <c r="Q691" t="n">
        <v>40.11272335</v>
      </c>
      <c r="R691" t="n">
        <v>74.427580779</v>
      </c>
      <c r="S691" t="n">
        <v>52.937208838</v>
      </c>
      <c r="T691" t="n">
        <v>62.398302087</v>
      </c>
      <c r="U691" t="n">
        <v/>
      </c>
      <c r="V691" t="n">
        <v>97.535009364</v>
      </c>
      <c r="W691" t="n">
        <v/>
      </c>
      <c r="X691" t="n">
        <v/>
      </c>
      <c r="Y691" t="n">
        <v/>
      </c>
      <c r="Z691" t="n">
        <v>6.018730712</v>
      </c>
      <c r="AA691" t="n">
        <v/>
      </c>
      <c r="AB691" t="n">
        <v/>
      </c>
      <c r="AC691" t="n">
        <v>84.597975492</v>
      </c>
      <c r="AD691" t="n">
        <v>57.37595687</v>
      </c>
      <c r="AE691" t="n">
        <v/>
      </c>
      <c r="AF691" t="n">
        <v>49.682766211</v>
      </c>
      <c r="AG691" t="n">
        <v/>
      </c>
      <c r="AH691" t="n">
        <v/>
      </c>
      <c r="AI691" t="n">
        <v>64.88733105</v>
      </c>
      <c r="AJ691" t="n">
        <v>45.969476912</v>
      </c>
      <c r="AK691" t="n">
        <v/>
      </c>
      <c r="AL691" t="n">
        <v>46.371801106</v>
      </c>
      <c r="AM691" t="n">
        <v/>
      </c>
      <c r="AN691" t="n">
        <v>50.928403323</v>
      </c>
      <c r="AO691" t="n">
        <v/>
      </c>
      <c r="AP691" t="n">
        <v/>
      </c>
      <c r="AQ691" t="n">
        <v/>
      </c>
      <c r="AR691" t="n">
        <v>59.598027309</v>
      </c>
      <c r="AS691" t="n">
        <v/>
      </c>
      <c r="AT691" t="n">
        <v>43.621590829</v>
      </c>
      <c r="AU691" t="n">
        <v/>
      </c>
    </row>
    <row r="692">
      <c r="A692" s="105" t="n">
        <v>27942</v>
      </c>
      <c r="B692" t="n">
        <v>32.214934767</v>
      </c>
      <c r="C692" t="n">
        <v>49.940407121</v>
      </c>
      <c r="D692" t="n">
        <v>54.780726499</v>
      </c>
      <c r="E692" t="n">
        <v>50.747843853</v>
      </c>
      <c r="F692" t="n">
        <v/>
      </c>
      <c r="G692" t="n">
        <v/>
      </c>
      <c r="H692" t="n">
        <v/>
      </c>
      <c r="I692" t="n">
        <v>32.212250412</v>
      </c>
      <c r="J692" t="n">
        <v/>
      </c>
      <c r="K692" t="n">
        <v>53.51802875</v>
      </c>
      <c r="L692" t="n">
        <v>58.156606696</v>
      </c>
      <c r="M692" t="n">
        <v>62.180975255</v>
      </c>
      <c r="N692" t="n">
        <v>77.34864768200001</v>
      </c>
      <c r="O692" t="n">
        <v/>
      </c>
      <c r="P692" t="n">
        <v/>
      </c>
      <c r="Q692" t="n">
        <v>38.946360977</v>
      </c>
      <c r="R692" t="n">
        <v>75.52299896700001</v>
      </c>
      <c r="S692" t="n">
        <v>52.980093507</v>
      </c>
      <c r="T692" t="n">
        <v>62.61054121</v>
      </c>
      <c r="U692" t="n">
        <v/>
      </c>
      <c r="V692" t="n">
        <v>96.927555838</v>
      </c>
      <c r="W692" t="n">
        <v/>
      </c>
      <c r="X692" t="n">
        <v/>
      </c>
      <c r="Y692" t="n">
        <v/>
      </c>
      <c r="Z692" t="n">
        <v>6.23396037</v>
      </c>
      <c r="AA692" t="n">
        <v/>
      </c>
      <c r="AB692" t="n">
        <v/>
      </c>
      <c r="AC692" t="n">
        <v>85.75685186299999</v>
      </c>
      <c r="AD692" t="n">
        <v>57.880730685</v>
      </c>
      <c r="AE692" t="n">
        <v/>
      </c>
      <c r="AF692" t="n">
        <v>47.92881965</v>
      </c>
      <c r="AG692" t="n">
        <v/>
      </c>
      <c r="AH692" t="n">
        <v/>
      </c>
      <c r="AI692" t="n">
        <v>64.29203443500001</v>
      </c>
      <c r="AJ692" t="n">
        <v>47.090683666</v>
      </c>
      <c r="AK692" t="n">
        <v/>
      </c>
      <c r="AL692" t="n">
        <v>46.412152274</v>
      </c>
      <c r="AM692" t="n">
        <v/>
      </c>
      <c r="AN692" t="n">
        <v>50.711995395</v>
      </c>
      <c r="AO692" t="n">
        <v/>
      </c>
      <c r="AP692" t="n">
        <v/>
      </c>
      <c r="AQ692" t="n">
        <v/>
      </c>
      <c r="AR692" t="n">
        <v>59.770442046</v>
      </c>
      <c r="AS692" t="n">
        <v/>
      </c>
      <c r="AT692" t="n">
        <v>43.853224988</v>
      </c>
      <c r="AU692" t="n">
        <v/>
      </c>
    </row>
    <row r="693">
      <c r="A693" s="105" t="n">
        <v>27973</v>
      </c>
      <c r="B693" t="n">
        <v>32.356850779</v>
      </c>
      <c r="C693" t="n">
        <v>49.621280106</v>
      </c>
      <c r="D693" t="n">
        <v>54.854877138</v>
      </c>
      <c r="E693" t="n">
        <v>51.268033335</v>
      </c>
      <c r="F693" t="n">
        <v/>
      </c>
      <c r="G693" t="n">
        <v/>
      </c>
      <c r="H693" t="n">
        <v/>
      </c>
      <c r="I693" t="n">
        <v>32.354154599</v>
      </c>
      <c r="J693" t="n">
        <v/>
      </c>
      <c r="K693" t="n">
        <v>55.246407995</v>
      </c>
      <c r="L693" t="n">
        <v>58.156606696</v>
      </c>
      <c r="M693" t="n">
        <v>62.180975255</v>
      </c>
      <c r="N693" t="n">
        <v>78.170130751</v>
      </c>
      <c r="O693" t="n">
        <v/>
      </c>
      <c r="P693" t="n">
        <v/>
      </c>
      <c r="Q693" t="n">
        <v>40.214146165</v>
      </c>
      <c r="R693" t="n">
        <v>75.52299896700001</v>
      </c>
      <c r="S693" t="n">
        <v>53.210954718</v>
      </c>
      <c r="T693" t="n">
        <v>62.504421648</v>
      </c>
      <c r="U693" t="n">
        <v/>
      </c>
      <c r="V693" t="n">
        <v>96.856904688</v>
      </c>
      <c r="W693" t="n">
        <v/>
      </c>
      <c r="X693" t="n">
        <v/>
      </c>
      <c r="Y693" t="n">
        <v/>
      </c>
      <c r="Z693" t="n">
        <v>6.618298132</v>
      </c>
      <c r="AA693" t="n">
        <v/>
      </c>
      <c r="AB693" t="n">
        <v/>
      </c>
      <c r="AC693" t="n">
        <v>81.990503645</v>
      </c>
      <c r="AD693" t="n">
        <v>58.048988623</v>
      </c>
      <c r="AE693" t="n">
        <v/>
      </c>
      <c r="AF693" t="n">
        <v>46.102363884</v>
      </c>
      <c r="AG693" t="n">
        <v/>
      </c>
      <c r="AH693" t="n">
        <v/>
      </c>
      <c r="AI693" t="n">
        <v>64.29203443500001</v>
      </c>
      <c r="AJ693" t="n">
        <v>47.651287043</v>
      </c>
      <c r="AK693" t="n">
        <v/>
      </c>
      <c r="AL693" t="n">
        <v>46.592828488</v>
      </c>
      <c r="AM693" t="n">
        <v/>
      </c>
      <c r="AN693" t="n">
        <v>46.740638785</v>
      </c>
      <c r="AO693" t="n">
        <v/>
      </c>
      <c r="AP693" t="n">
        <v/>
      </c>
      <c r="AQ693" t="n">
        <v/>
      </c>
      <c r="AR693" t="n">
        <v>58.621010468</v>
      </c>
      <c r="AS693" t="n">
        <v/>
      </c>
      <c r="AT693" t="n">
        <v>44.161706953</v>
      </c>
      <c r="AU693" t="n">
        <v/>
      </c>
    </row>
    <row r="694">
      <c r="A694" s="105" t="n">
        <v>28004</v>
      </c>
      <c r="B694" t="n">
        <v>33.116473767</v>
      </c>
      <c r="C694" t="n">
        <v>50.728071655</v>
      </c>
      <c r="D694" t="n">
        <v>55.058718895</v>
      </c>
      <c r="E694" t="n">
        <v>51.396318546</v>
      </c>
      <c r="F694" t="n">
        <v/>
      </c>
      <c r="G694" t="n">
        <v/>
      </c>
      <c r="H694" t="n">
        <v/>
      </c>
      <c r="I694" t="n">
        <v>33.113714291</v>
      </c>
      <c r="J694" t="n">
        <v/>
      </c>
      <c r="K694" t="n">
        <v>55.801958466</v>
      </c>
      <c r="L694" t="n">
        <v>58.156606696</v>
      </c>
      <c r="M694" t="n">
        <v>63.42878588</v>
      </c>
      <c r="N694" t="n">
        <v>77.02127206199999</v>
      </c>
      <c r="O694" t="n">
        <v/>
      </c>
      <c r="P694" t="n">
        <v/>
      </c>
      <c r="Q694" t="n">
        <v>41.025528686</v>
      </c>
      <c r="R694" t="n">
        <v>78.200687895</v>
      </c>
      <c r="S694" t="n">
        <v>53.717136967</v>
      </c>
      <c r="T694" t="n">
        <v>63.565617262</v>
      </c>
      <c r="U694" t="n">
        <v/>
      </c>
      <c r="V694" t="n">
        <v>97.83504911999999</v>
      </c>
      <c r="W694" t="n">
        <v/>
      </c>
      <c r="X694" t="n">
        <v/>
      </c>
      <c r="Y694" t="n">
        <v/>
      </c>
      <c r="Z694" t="n">
        <v>6.426129251</v>
      </c>
      <c r="AA694" t="n">
        <v/>
      </c>
      <c r="AB694" t="n">
        <v/>
      </c>
      <c r="AC694" t="n">
        <v>85.08084064800001</v>
      </c>
      <c r="AD694" t="n">
        <v>57.964859654</v>
      </c>
      <c r="AE694" t="n">
        <v/>
      </c>
      <c r="AF694" t="n">
        <v>52.678199688</v>
      </c>
      <c r="AG694" t="n">
        <v/>
      </c>
      <c r="AH694" t="n">
        <v/>
      </c>
      <c r="AI694" t="n">
        <v>66.673220895</v>
      </c>
      <c r="AJ694" t="n">
        <v>47.090683666</v>
      </c>
      <c r="AK694" t="n">
        <v/>
      </c>
      <c r="AL694" t="n">
        <v>47.010574805</v>
      </c>
      <c r="AM694" t="n">
        <v/>
      </c>
      <c r="AN694" t="n">
        <v>52.246040198</v>
      </c>
      <c r="AO694" t="n">
        <v/>
      </c>
      <c r="AP694" t="n">
        <v/>
      </c>
      <c r="AQ694" t="n">
        <v/>
      </c>
      <c r="AR694" t="n">
        <v>57.47157889</v>
      </c>
      <c r="AS694" t="n">
        <v/>
      </c>
      <c r="AT694" t="n">
        <v>44.30152038</v>
      </c>
      <c r="AU694" t="n">
        <v/>
      </c>
    </row>
    <row r="695">
      <c r="A695" s="105" t="n">
        <v>28034</v>
      </c>
      <c r="B695" t="n">
        <v>33.300073381</v>
      </c>
      <c r="C695" t="n">
        <v>51.078888482</v>
      </c>
      <c r="D695" t="n">
        <v>55.527987479</v>
      </c>
      <c r="E695" t="n">
        <v>50.525106893</v>
      </c>
      <c r="F695" t="n">
        <v/>
      </c>
      <c r="G695" t="n">
        <v/>
      </c>
      <c r="H695" t="n">
        <v/>
      </c>
      <c r="I695" t="n">
        <v>33.297298606</v>
      </c>
      <c r="J695" t="n">
        <v/>
      </c>
      <c r="K695" t="n">
        <v>55.801958466</v>
      </c>
      <c r="L695" t="n">
        <v>58.156606696</v>
      </c>
      <c r="M695" t="n">
        <v>63.619291319</v>
      </c>
      <c r="N695" t="n">
        <v>77.57934450499999</v>
      </c>
      <c r="O695" t="n">
        <v/>
      </c>
      <c r="P695" t="n">
        <v/>
      </c>
      <c r="Q695" t="n">
        <v>41.076240093</v>
      </c>
      <c r="R695" t="n">
        <v>75.70556867499999</v>
      </c>
      <c r="S695" t="n">
        <v>53.78209768</v>
      </c>
      <c r="T695" t="n">
        <v>64.94517156000001</v>
      </c>
      <c r="U695" t="n">
        <v/>
      </c>
      <c r="V695" t="n">
        <v>99.539998285</v>
      </c>
      <c r="W695" t="n">
        <v/>
      </c>
      <c r="X695" t="n">
        <v/>
      </c>
      <c r="Y695" t="n">
        <v/>
      </c>
      <c r="Z695" t="n">
        <v>6.426129251</v>
      </c>
      <c r="AA695" t="n">
        <v/>
      </c>
      <c r="AB695" t="n">
        <v/>
      </c>
      <c r="AC695" t="n">
        <v>87.3985934</v>
      </c>
      <c r="AD695" t="n">
        <v>57.964859654</v>
      </c>
      <c r="AE695" t="n">
        <v/>
      </c>
      <c r="AF695" t="n">
        <v>53.094449041</v>
      </c>
      <c r="AG695" t="n">
        <v/>
      </c>
      <c r="AH695" t="n">
        <v/>
      </c>
      <c r="AI695" t="n">
        <v>64.29203443500001</v>
      </c>
      <c r="AJ695" t="n">
        <v>46.530080289</v>
      </c>
      <c r="AK695" t="n">
        <v/>
      </c>
      <c r="AL695" t="n">
        <v>47.069020733</v>
      </c>
      <c r="AM695" t="n">
        <v/>
      </c>
      <c r="AN695" t="n">
        <v>52.570912362</v>
      </c>
      <c r="AO695" t="n">
        <v/>
      </c>
      <c r="AP695" t="n">
        <v/>
      </c>
      <c r="AQ695" t="n">
        <v/>
      </c>
      <c r="AR695" t="n">
        <v>58.621010468</v>
      </c>
      <c r="AS695" t="n">
        <v/>
      </c>
      <c r="AT695" t="n">
        <v>44.293587703</v>
      </c>
      <c r="AU695" t="n">
        <v/>
      </c>
    </row>
    <row r="696">
      <c r="A696" s="105" t="n">
        <v>28065</v>
      </c>
      <c r="B696" t="n">
        <v>32.925219575</v>
      </c>
      <c r="C696" t="n">
        <v>50.856121079</v>
      </c>
      <c r="D696" t="n">
        <v>54.620118954</v>
      </c>
      <c r="E696" t="n">
        <v>51.536351487</v>
      </c>
      <c r="F696" t="n">
        <v/>
      </c>
      <c r="G696" t="n">
        <v/>
      </c>
      <c r="H696" t="n">
        <v/>
      </c>
      <c r="I696" t="n">
        <v>32.922476035</v>
      </c>
      <c r="J696" t="n">
        <v/>
      </c>
      <c r="K696" t="n">
        <v>55.863686296</v>
      </c>
      <c r="L696" t="n">
        <v>58.156606696</v>
      </c>
      <c r="M696" t="n">
        <v>64.009827469</v>
      </c>
      <c r="N696" t="n">
        <v>78.353953795</v>
      </c>
      <c r="O696" t="n">
        <v/>
      </c>
      <c r="P696" t="n">
        <v/>
      </c>
      <c r="Q696" t="n">
        <v>40.062011943</v>
      </c>
      <c r="R696" t="n">
        <v>77.652978797</v>
      </c>
      <c r="S696" t="n">
        <v>54.436255597</v>
      </c>
      <c r="T696" t="n">
        <v>65.475769367</v>
      </c>
      <c r="U696" t="n">
        <v/>
      </c>
      <c r="V696" t="n">
        <v>100.831670439</v>
      </c>
      <c r="W696" t="n">
        <v/>
      </c>
      <c r="X696" t="n">
        <v/>
      </c>
      <c r="Y696" t="n">
        <v/>
      </c>
      <c r="Z696" t="n">
        <v>6.418442325</v>
      </c>
      <c r="AA696" t="n">
        <v/>
      </c>
      <c r="AB696" t="n">
        <v/>
      </c>
      <c r="AC696" t="n">
        <v>87.495166435</v>
      </c>
      <c r="AD696" t="n">
        <v>58.806149344</v>
      </c>
      <c r="AE696" t="n">
        <v/>
      </c>
      <c r="AF696" t="n">
        <v>49.331160546</v>
      </c>
      <c r="AG696" t="n">
        <v/>
      </c>
      <c r="AH696" t="n">
        <v/>
      </c>
      <c r="AI696" t="n">
        <v>64.29203443500001</v>
      </c>
      <c r="AJ696" t="n">
        <v>44.848270158</v>
      </c>
      <c r="AK696" t="n">
        <v/>
      </c>
      <c r="AL696" t="n">
        <v>47.564517414</v>
      </c>
      <c r="AM696" t="n">
        <v/>
      </c>
      <c r="AN696" t="n">
        <v>54.90368761</v>
      </c>
      <c r="AO696" t="n">
        <v/>
      </c>
      <c r="AP696" t="n">
        <v/>
      </c>
      <c r="AQ696" t="n">
        <v/>
      </c>
      <c r="AR696" t="n">
        <v>57.9888231</v>
      </c>
      <c r="AS696" t="n">
        <v/>
      </c>
      <c r="AT696" t="n">
        <v>44.972327353</v>
      </c>
      <c r="AU696" t="n">
        <v/>
      </c>
    </row>
    <row r="697">
      <c r="A697" s="105" t="n">
        <v>28095</v>
      </c>
      <c r="B697" t="n">
        <v>33.325245305</v>
      </c>
      <c r="C697" t="n">
        <v>49.1707701</v>
      </c>
      <c r="D697" t="n">
        <v>55.245024482</v>
      </c>
      <c r="E697" t="n">
        <v>51.689071977</v>
      </c>
      <c r="F697" t="n">
        <v/>
      </c>
      <c r="G697" t="n">
        <v/>
      </c>
      <c r="H697" t="n">
        <v/>
      </c>
      <c r="I697" t="n">
        <v>33.322468432</v>
      </c>
      <c r="J697" t="n">
        <v/>
      </c>
      <c r="K697" t="n">
        <v>55.925414126</v>
      </c>
      <c r="L697" t="n">
        <v>58.156606696</v>
      </c>
      <c r="M697" t="n">
        <v>64.009827469</v>
      </c>
      <c r="N697" t="n">
        <v>76.14243031700001</v>
      </c>
      <c r="O697" t="n">
        <v/>
      </c>
      <c r="P697" t="n">
        <v/>
      </c>
      <c r="Q697" t="n">
        <v>41.583354168</v>
      </c>
      <c r="R697" t="n">
        <v>77.409552534</v>
      </c>
      <c r="S697" t="n">
        <v>54.764942967</v>
      </c>
      <c r="T697" t="n">
        <v>65.900247612</v>
      </c>
      <c r="U697" t="n">
        <v/>
      </c>
      <c r="V697" t="n">
        <v>99.968788524</v>
      </c>
      <c r="W697" t="n">
        <v/>
      </c>
      <c r="X697" t="n">
        <v/>
      </c>
      <c r="Y697" t="n">
        <v/>
      </c>
      <c r="Z697" t="n">
        <v>6.241647295</v>
      </c>
      <c r="AA697" t="n">
        <v/>
      </c>
      <c r="AB697" t="n">
        <v/>
      </c>
      <c r="AC697" t="n">
        <v>87.88145855499999</v>
      </c>
      <c r="AD697" t="n">
        <v>59.058536251</v>
      </c>
      <c r="AE697" t="n">
        <v/>
      </c>
      <c r="AF697" t="n">
        <v>43.983482997</v>
      </c>
      <c r="AG697" t="n">
        <v/>
      </c>
      <c r="AH697" t="n">
        <v/>
      </c>
      <c r="AI697" t="n">
        <v>64.88733105</v>
      </c>
      <c r="AJ697" t="n">
        <v>45.969476912</v>
      </c>
      <c r="AK697" t="n">
        <v/>
      </c>
      <c r="AL697" t="n">
        <v>47.763733026</v>
      </c>
      <c r="AM697" t="n">
        <v/>
      </c>
      <c r="AN697" t="n">
        <v>55.037105822</v>
      </c>
      <c r="AO697" t="n">
        <v/>
      </c>
      <c r="AP697" t="n">
        <v/>
      </c>
      <c r="AQ697" t="n">
        <v/>
      </c>
      <c r="AR697" t="n">
        <v>58.563538889</v>
      </c>
      <c r="AS697" t="n">
        <v/>
      </c>
      <c r="AT697" t="n">
        <v>45.449973649</v>
      </c>
      <c r="AU697" t="n">
        <v/>
      </c>
    </row>
    <row r="698">
      <c r="A698" s="105" t="n">
        <v>28126</v>
      </c>
      <c r="B698" t="n">
        <v>33.098004131</v>
      </c>
      <c r="C698" t="n">
        <v>50.165346598</v>
      </c>
      <c r="D698" t="n">
        <v>54.320824852</v>
      </c>
      <c r="E698" t="n">
        <v>52.658024743</v>
      </c>
      <c r="F698" t="n">
        <v/>
      </c>
      <c r="G698" t="n">
        <v/>
      </c>
      <c r="H698" t="n">
        <v/>
      </c>
      <c r="I698" t="n">
        <v>33.095246194</v>
      </c>
      <c r="J698" t="n">
        <v/>
      </c>
      <c r="K698" t="n">
        <v>56.234053277</v>
      </c>
      <c r="L698" t="n">
        <v>60.032626267</v>
      </c>
      <c r="M698" t="n">
        <v>64.971879935</v>
      </c>
      <c r="N698" t="n">
        <v>79.200437616</v>
      </c>
      <c r="O698" t="n">
        <v/>
      </c>
      <c r="P698" t="n">
        <v/>
      </c>
      <c r="Q698" t="n">
        <v>41.583354168</v>
      </c>
      <c r="R698" t="n">
        <v>78.200687895</v>
      </c>
      <c r="S698" t="n">
        <v>55.039420956</v>
      </c>
      <c r="T698" t="n">
        <v>67.173682349</v>
      </c>
      <c r="U698" t="n">
        <v/>
      </c>
      <c r="V698" t="n">
        <v>98.697742562</v>
      </c>
      <c r="W698" t="n">
        <v/>
      </c>
      <c r="X698" t="n">
        <v/>
      </c>
      <c r="Y698" t="n">
        <v/>
      </c>
      <c r="Z698" t="n">
        <v>6.30314128</v>
      </c>
      <c r="AA698" t="n">
        <v/>
      </c>
      <c r="AB698" t="n">
        <v/>
      </c>
      <c r="AC698" t="n">
        <v>90.29578434299999</v>
      </c>
      <c r="AD698" t="n">
        <v>59.563310065</v>
      </c>
      <c r="AE698" t="n">
        <v/>
      </c>
      <c r="AF698" t="n">
        <v>50.10115762</v>
      </c>
      <c r="AG698" t="n">
        <v/>
      </c>
      <c r="AH698" t="n">
        <v/>
      </c>
      <c r="AI698" t="n">
        <v>64.88733105</v>
      </c>
      <c r="AJ698" t="n">
        <v>45.969476912</v>
      </c>
      <c r="AK698" t="n">
        <v/>
      </c>
      <c r="AL698" t="n">
        <v>48.037742652</v>
      </c>
      <c r="AM698" t="n">
        <v/>
      </c>
      <c r="AN698" t="n">
        <v>55.71213838</v>
      </c>
      <c r="AO698" t="n">
        <v/>
      </c>
      <c r="AP698" t="n">
        <v/>
      </c>
      <c r="AQ698" t="n">
        <v/>
      </c>
      <c r="AR698" t="n">
        <v>56.666976785</v>
      </c>
      <c r="AS698" t="n">
        <v/>
      </c>
      <c r="AT698" t="n">
        <v>45.144466437</v>
      </c>
      <c r="AU698" t="n">
        <v/>
      </c>
    </row>
    <row r="699">
      <c r="A699" s="105" t="n">
        <v>28157</v>
      </c>
      <c r="B699" t="n">
        <v>33.10919146</v>
      </c>
      <c r="C699" t="n">
        <v>50.002452113</v>
      </c>
      <c r="D699" t="n">
        <v>54.57486571</v>
      </c>
      <c r="E699" t="n">
        <v>51.97430686</v>
      </c>
      <c r="F699" t="n">
        <v/>
      </c>
      <c r="G699" t="n">
        <v/>
      </c>
      <c r="H699" t="n">
        <v/>
      </c>
      <c r="I699" t="n">
        <v>33.10643259</v>
      </c>
      <c r="J699" t="n">
        <v/>
      </c>
      <c r="K699" t="n">
        <v>56.048869787</v>
      </c>
      <c r="L699" t="n">
        <v>59.40728641</v>
      </c>
      <c r="M699" t="n">
        <v>64.390838347</v>
      </c>
      <c r="N699" t="n">
        <v>80.633654671</v>
      </c>
      <c r="O699" t="n">
        <v/>
      </c>
      <c r="P699" t="n">
        <v/>
      </c>
      <c r="Q699" t="n">
        <v>42.141179651</v>
      </c>
      <c r="R699" t="n">
        <v>77.348695961</v>
      </c>
      <c r="S699" t="n">
        <v>55.014603193</v>
      </c>
      <c r="T699" t="n">
        <v>66.961443226</v>
      </c>
      <c r="U699" t="n">
        <v/>
      </c>
      <c r="V699" t="n">
        <v>97.268075275</v>
      </c>
      <c r="W699" t="n">
        <v/>
      </c>
      <c r="X699" t="n">
        <v/>
      </c>
      <c r="Y699" t="n">
        <v/>
      </c>
      <c r="Z699" t="n">
        <v>6.549117221</v>
      </c>
      <c r="AA699" t="n">
        <v/>
      </c>
      <c r="AB699" t="n">
        <v/>
      </c>
      <c r="AC699" t="n">
        <v>87.495166435</v>
      </c>
      <c r="AD699" t="n">
        <v>58.722020375</v>
      </c>
      <c r="AE699" t="n">
        <v/>
      </c>
      <c r="AF699" t="n">
        <v>48.066938214</v>
      </c>
      <c r="AG699" t="n">
        <v/>
      </c>
      <c r="AH699" t="n">
        <v/>
      </c>
      <c r="AI699" t="n">
        <v>64.29203443500001</v>
      </c>
      <c r="AJ699" t="n">
        <v>45.408873535</v>
      </c>
      <c r="AK699" t="n">
        <v/>
      </c>
      <c r="AL699" t="n">
        <v>48.05268891</v>
      </c>
      <c r="AM699" t="n">
        <v/>
      </c>
      <c r="AN699" t="n">
        <v>55.800038464</v>
      </c>
      <c r="AO699" t="n">
        <v/>
      </c>
      <c r="AP699" t="n">
        <v/>
      </c>
      <c r="AQ699" t="n">
        <v/>
      </c>
      <c r="AR699" t="n">
        <v>56.95433468</v>
      </c>
      <c r="AS699" t="n">
        <v/>
      </c>
      <c r="AT699" t="n">
        <v>45.86743076</v>
      </c>
      <c r="AU699" t="n">
        <v/>
      </c>
    </row>
    <row r="700">
      <c r="A700" s="105" t="n">
        <v>28185</v>
      </c>
      <c r="B700" t="n">
        <v>33.677219777</v>
      </c>
      <c r="C700" t="n">
        <v>50.156339428</v>
      </c>
      <c r="D700" t="n">
        <v>55.920265585</v>
      </c>
      <c r="E700" t="n">
        <v>52.061240062</v>
      </c>
      <c r="F700" t="n">
        <v/>
      </c>
      <c r="G700" t="n">
        <v/>
      </c>
      <c r="H700" t="n">
        <v/>
      </c>
      <c r="I700" t="n">
        <v>33.674413576</v>
      </c>
      <c r="J700" t="n">
        <v/>
      </c>
      <c r="K700" t="n">
        <v>56.666148088</v>
      </c>
      <c r="L700" t="n">
        <v>58.156606696</v>
      </c>
      <c r="M700" t="n">
        <v>64.105080188</v>
      </c>
      <c r="N700" t="n">
        <v>80.558490014</v>
      </c>
      <c r="O700" t="n">
        <v/>
      </c>
      <c r="P700" t="n">
        <v/>
      </c>
      <c r="Q700" t="n">
        <v>37.070038899</v>
      </c>
      <c r="R700" t="n">
        <v>77.835548496</v>
      </c>
      <c r="S700" t="n">
        <v>55.349728964</v>
      </c>
      <c r="T700" t="n">
        <v>66.961443226</v>
      </c>
      <c r="U700" t="n">
        <v/>
      </c>
      <c r="V700" t="n">
        <v>94.387602446</v>
      </c>
      <c r="W700" t="n">
        <v/>
      </c>
      <c r="X700" t="n">
        <v/>
      </c>
      <c r="Y700" t="n">
        <v/>
      </c>
      <c r="Z700" t="n">
        <v>6.441503101</v>
      </c>
      <c r="AA700" t="n">
        <v/>
      </c>
      <c r="AB700" t="n">
        <v/>
      </c>
      <c r="AC700" t="n">
        <v>83.82539124100001</v>
      </c>
      <c r="AD700" t="n">
        <v>59.563310065</v>
      </c>
      <c r="AE700" t="n">
        <v/>
      </c>
      <c r="AF700" t="n">
        <v>49.255705161</v>
      </c>
      <c r="AG700" t="n">
        <v/>
      </c>
      <c r="AH700" t="n">
        <v/>
      </c>
      <c r="AI700" t="n">
        <v>63.696737819</v>
      </c>
      <c r="AJ700" t="n">
        <v>45.969476912</v>
      </c>
      <c r="AK700" t="n">
        <v/>
      </c>
      <c r="AL700" t="n">
        <v>48.257685705</v>
      </c>
      <c r="AM700" t="n">
        <v/>
      </c>
      <c r="AN700" t="n">
        <v>55.561639958</v>
      </c>
      <c r="AO700" t="n">
        <v/>
      </c>
      <c r="AP700" t="n">
        <v/>
      </c>
      <c r="AQ700" t="n">
        <v/>
      </c>
      <c r="AR700" t="n">
        <v>56.322147312</v>
      </c>
      <c r="AS700" t="n">
        <v/>
      </c>
      <c r="AT700" t="n">
        <v>46.441459077</v>
      </c>
      <c r="AU700" t="n">
        <v/>
      </c>
    </row>
    <row r="701">
      <c r="A701" s="105" t="n">
        <v>28216</v>
      </c>
      <c r="B701" t="n">
        <v>33.727255088</v>
      </c>
      <c r="C701" t="n">
        <v>49.542448738</v>
      </c>
      <c r="D701" t="n">
        <v>55.321142313</v>
      </c>
      <c r="E701" t="n">
        <v>51.69283125</v>
      </c>
      <c r="F701" t="n">
        <v/>
      </c>
      <c r="G701" t="n">
        <v/>
      </c>
      <c r="H701" t="n">
        <v/>
      </c>
      <c r="I701" t="n">
        <v>33.724444717</v>
      </c>
      <c r="J701" t="n">
        <v/>
      </c>
      <c r="K701" t="n">
        <v>56.048869787</v>
      </c>
      <c r="L701" t="n">
        <v>55.029907411</v>
      </c>
      <c r="M701" t="n">
        <v>64.105080188</v>
      </c>
      <c r="N701" t="n">
        <v>80.822690591</v>
      </c>
      <c r="O701" t="n">
        <v/>
      </c>
      <c r="P701" t="n">
        <v/>
      </c>
      <c r="Q701" t="n">
        <v>37.678575789</v>
      </c>
      <c r="R701" t="n">
        <v>75.827281802</v>
      </c>
      <c r="S701" t="n">
        <v>55.50579253</v>
      </c>
      <c r="T701" t="n">
        <v>66.32472585799999</v>
      </c>
      <c r="U701" t="n">
        <v/>
      </c>
      <c r="V701" t="n">
        <v>94.52180527500001</v>
      </c>
      <c r="W701" t="n">
        <v/>
      </c>
      <c r="X701" t="n">
        <v/>
      </c>
      <c r="Y701" t="n">
        <v/>
      </c>
      <c r="Z701" t="n">
        <v>6.495310161</v>
      </c>
      <c r="AA701" t="n">
        <v/>
      </c>
      <c r="AB701" t="n">
        <v/>
      </c>
      <c r="AC701" t="n">
        <v>87.97803159</v>
      </c>
      <c r="AD701" t="n">
        <v>59.226794189</v>
      </c>
      <c r="AE701" t="n">
        <v/>
      </c>
      <c r="AF701" t="n">
        <v>49.333237508</v>
      </c>
      <c r="AG701" t="n">
        <v/>
      </c>
      <c r="AH701" t="n">
        <v/>
      </c>
      <c r="AI701" t="n">
        <v>64.88733105</v>
      </c>
      <c r="AJ701" t="n">
        <v>43.727063404</v>
      </c>
      <c r="AK701" t="n">
        <v/>
      </c>
      <c r="AL701" t="n">
        <v>48.380262041</v>
      </c>
      <c r="AM701" t="n">
        <v/>
      </c>
      <c r="AN701" t="n">
        <v>56.745973844</v>
      </c>
      <c r="AO701" t="n">
        <v/>
      </c>
      <c r="AP701" t="n">
        <v/>
      </c>
      <c r="AQ701" t="n">
        <v/>
      </c>
      <c r="AR701" t="n">
        <v>55.91984626</v>
      </c>
      <c r="AS701" t="n">
        <v/>
      </c>
      <c r="AT701" t="n">
        <v>46.891836796</v>
      </c>
      <c r="AU701" t="n">
        <v/>
      </c>
    </row>
    <row r="702">
      <c r="A702" s="105" t="n">
        <v>28246</v>
      </c>
      <c r="B702" t="n">
        <v>33.518530236</v>
      </c>
      <c r="C702" t="n">
        <v>49.557405781</v>
      </c>
      <c r="D702" t="n">
        <v>57.248090963</v>
      </c>
      <c r="E702" t="n">
        <v>52.310291937</v>
      </c>
      <c r="F702" t="n">
        <v/>
      </c>
      <c r="G702" t="n">
        <v/>
      </c>
      <c r="H702" t="n">
        <v/>
      </c>
      <c r="I702" t="n">
        <v>33.515737258</v>
      </c>
      <c r="J702" t="n">
        <v/>
      </c>
      <c r="K702" t="n">
        <v>55.555047145</v>
      </c>
      <c r="L702" t="n">
        <v>56.280587125</v>
      </c>
      <c r="M702" t="n">
        <v>63.619291319</v>
      </c>
      <c r="N702" t="n">
        <v>79.573611357</v>
      </c>
      <c r="O702" t="n">
        <v/>
      </c>
      <c r="P702" t="n">
        <v/>
      </c>
      <c r="Q702" t="n">
        <v>39.808454905</v>
      </c>
      <c r="R702" t="n">
        <v>75.157859577</v>
      </c>
      <c r="S702" t="n">
        <v>55.517778081</v>
      </c>
      <c r="T702" t="n">
        <v>68.128758401</v>
      </c>
      <c r="U702" t="n">
        <v/>
      </c>
      <c r="V702" t="n">
        <v>95.754881248</v>
      </c>
      <c r="W702" t="n">
        <v/>
      </c>
      <c r="X702" t="n">
        <v/>
      </c>
      <c r="Y702" t="n">
        <v/>
      </c>
      <c r="Z702" t="n">
        <v>6.595238773</v>
      </c>
      <c r="AA702" t="n">
        <v/>
      </c>
      <c r="AB702" t="n">
        <v/>
      </c>
      <c r="AC702" t="n">
        <v>84.501402457</v>
      </c>
      <c r="AD702" t="n">
        <v>58.974407282</v>
      </c>
      <c r="AE702" t="n">
        <v/>
      </c>
      <c r="AF702" t="n">
        <v>51.361452313</v>
      </c>
      <c r="AG702" t="n">
        <v/>
      </c>
      <c r="AH702" t="n">
        <v/>
      </c>
      <c r="AI702" t="n">
        <v>63.696737819</v>
      </c>
      <c r="AJ702" t="n">
        <v>41.484649897</v>
      </c>
      <c r="AK702" t="n">
        <v/>
      </c>
      <c r="AL702" t="n">
        <v>48.360122419</v>
      </c>
      <c r="AM702" t="n">
        <v/>
      </c>
      <c r="AN702" t="n">
        <v>57.001940939</v>
      </c>
      <c r="AO702" t="n">
        <v/>
      </c>
      <c r="AP702" t="n">
        <v/>
      </c>
      <c r="AQ702" t="n">
        <v/>
      </c>
      <c r="AR702" t="n">
        <v>55.689959944</v>
      </c>
      <c r="AS702" t="n">
        <v/>
      </c>
      <c r="AT702" t="n">
        <v>47.25961552</v>
      </c>
      <c r="AU702" t="n">
        <v/>
      </c>
    </row>
    <row r="703">
      <c r="A703" s="105" t="n">
        <v>28277</v>
      </c>
      <c r="B703" t="n">
        <v>33.248631767</v>
      </c>
      <c r="C703" t="n">
        <v>49.365410573</v>
      </c>
      <c r="D703" t="n">
        <v>55.832827942</v>
      </c>
      <c r="E703" t="n">
        <v>52.843638876</v>
      </c>
      <c r="F703" t="n">
        <v/>
      </c>
      <c r="G703" t="n">
        <v/>
      </c>
      <c r="H703" t="n">
        <v/>
      </c>
      <c r="I703" t="n">
        <v>33.245861278</v>
      </c>
      <c r="J703" t="n">
        <v/>
      </c>
      <c r="K703" t="n">
        <v>56.542692428</v>
      </c>
      <c r="L703" t="n">
        <v>58.156606696</v>
      </c>
      <c r="M703" t="n">
        <v>63.333533161</v>
      </c>
      <c r="N703" t="n">
        <v>78.53499095799999</v>
      </c>
      <c r="O703" t="n">
        <v/>
      </c>
      <c r="P703" t="n">
        <v/>
      </c>
      <c r="Q703" t="n">
        <v>41.329797131</v>
      </c>
      <c r="R703" t="n">
        <v>77.957261632</v>
      </c>
      <c r="S703" t="n">
        <v>55.658748265</v>
      </c>
      <c r="T703" t="n">
        <v>65.36964980499999</v>
      </c>
      <c r="U703" t="n">
        <v/>
      </c>
      <c r="V703" t="n">
        <v>98.451682848</v>
      </c>
      <c r="W703" t="n">
        <v/>
      </c>
      <c r="X703" t="n">
        <v/>
      </c>
      <c r="Y703" t="n">
        <v/>
      </c>
      <c r="Z703" t="n">
        <v>6.741286102</v>
      </c>
      <c r="AA703" t="n">
        <v/>
      </c>
      <c r="AB703" t="n">
        <v/>
      </c>
      <c r="AC703" t="n">
        <v>80.541908179</v>
      </c>
      <c r="AD703" t="n">
        <v>59.479181096</v>
      </c>
      <c r="AE703" t="n">
        <v/>
      </c>
      <c r="AF703" t="n">
        <v>50.108058678</v>
      </c>
      <c r="AG703" t="n">
        <v/>
      </c>
      <c r="AH703" t="n">
        <v/>
      </c>
      <c r="AI703" t="n">
        <v>64.88733105</v>
      </c>
      <c r="AJ703" t="n">
        <v>45.408873535</v>
      </c>
      <c r="AK703" t="n">
        <v/>
      </c>
      <c r="AL703" t="n">
        <v>48.499964501</v>
      </c>
      <c r="AM703" t="n">
        <v/>
      </c>
      <c r="AN703" t="n">
        <v>58.233251761</v>
      </c>
      <c r="AO703" t="n">
        <v/>
      </c>
      <c r="AP703" t="n">
        <v/>
      </c>
      <c r="AQ703" t="n">
        <v/>
      </c>
      <c r="AR703" t="n">
        <v>55.230187313</v>
      </c>
      <c r="AS703" t="n">
        <v/>
      </c>
      <c r="AT703" t="n">
        <v>47.615495228</v>
      </c>
      <c r="AU703" t="n">
        <v/>
      </c>
    </row>
    <row r="704">
      <c r="A704" s="105" t="n">
        <v>28307</v>
      </c>
      <c r="B704" t="n">
        <v>33.880866402</v>
      </c>
      <c r="C704" t="n">
        <v>50.150003991</v>
      </c>
      <c r="D704" t="n">
        <v>55.989992091</v>
      </c>
      <c r="E704" t="n">
        <v>52.541957171</v>
      </c>
      <c r="F704" t="n">
        <v/>
      </c>
      <c r="G704" t="n">
        <v/>
      </c>
      <c r="H704" t="n">
        <v/>
      </c>
      <c r="I704" t="n">
        <v>33.878043232</v>
      </c>
      <c r="J704" t="n">
        <v/>
      </c>
      <c r="K704" t="n">
        <v>54.135307052</v>
      </c>
      <c r="L704" t="n">
        <v>57.531266839</v>
      </c>
      <c r="M704" t="n">
        <v>62.762016844</v>
      </c>
      <c r="N704" t="n">
        <v>79.653037541</v>
      </c>
      <c r="O704" t="n">
        <v/>
      </c>
      <c r="P704" t="n">
        <v/>
      </c>
      <c r="Q704" t="n">
        <v>38.642092532</v>
      </c>
      <c r="R704" t="n">
        <v>75.766425239</v>
      </c>
      <c r="S704" t="n">
        <v>55.233170287</v>
      </c>
      <c r="T704" t="n">
        <v>65.68800849</v>
      </c>
      <c r="U704" t="n">
        <v/>
      </c>
      <c r="V704" t="n">
        <v>100.283541321</v>
      </c>
      <c r="W704" t="n">
        <v/>
      </c>
      <c r="X704" t="n">
        <v/>
      </c>
      <c r="Y704" t="n">
        <v/>
      </c>
      <c r="Z704" t="n">
        <v>6.641358908</v>
      </c>
      <c r="AA704" t="n">
        <v/>
      </c>
      <c r="AB704" t="n">
        <v/>
      </c>
      <c r="AC704" t="n">
        <v>83.439099111</v>
      </c>
      <c r="AD704" t="n">
        <v>58.30137553</v>
      </c>
      <c r="AE704" t="n">
        <v/>
      </c>
      <c r="AF704" t="n">
        <v>49.466874334</v>
      </c>
      <c r="AG704" t="n">
        <v/>
      </c>
      <c r="AH704" t="n">
        <v/>
      </c>
      <c r="AI704" t="n">
        <v>64.88733105</v>
      </c>
      <c r="AJ704" t="n">
        <v>42.605856651</v>
      </c>
      <c r="AK704" t="n">
        <v/>
      </c>
      <c r="AL704" t="n">
        <v>48.206994492</v>
      </c>
      <c r="AM704" t="n">
        <v/>
      </c>
      <c r="AN704" t="n">
        <v>57.585637023</v>
      </c>
      <c r="AO704" t="n">
        <v/>
      </c>
      <c r="AP704" t="n">
        <v/>
      </c>
      <c r="AQ704" t="n">
        <v/>
      </c>
      <c r="AR704" t="n">
        <v>55.460073629</v>
      </c>
      <c r="AS704" t="n">
        <v/>
      </c>
      <c r="AT704" t="n">
        <v>47.677270948</v>
      </c>
      <c r="AU704" t="n">
        <v/>
      </c>
    </row>
    <row r="705">
      <c r="A705" s="105" t="n">
        <v>28338</v>
      </c>
      <c r="B705" t="n">
        <v>33.354631293</v>
      </c>
      <c r="C705" t="n">
        <v>50.715229271</v>
      </c>
      <c r="D705" t="n">
        <v>55.541374868</v>
      </c>
      <c r="E705" t="n">
        <v>52.688098932</v>
      </c>
      <c r="F705" t="n">
        <v/>
      </c>
      <c r="G705" t="n">
        <v/>
      </c>
      <c r="H705" t="n">
        <v/>
      </c>
      <c r="I705" t="n">
        <v>33.351851972</v>
      </c>
      <c r="J705" t="n">
        <v/>
      </c>
      <c r="K705" t="n">
        <v>56.480964598</v>
      </c>
      <c r="L705" t="n">
        <v>61.283305981</v>
      </c>
      <c r="M705" t="n">
        <v>63.619291319</v>
      </c>
      <c r="N705" t="n">
        <v>80.346162564</v>
      </c>
      <c r="O705" t="n">
        <v/>
      </c>
      <c r="P705" t="n">
        <v/>
      </c>
      <c r="Q705" t="n">
        <v>40.670548833</v>
      </c>
      <c r="R705" t="n">
        <v>75.766425239</v>
      </c>
      <c r="S705" t="n">
        <v>55.786550596</v>
      </c>
      <c r="T705" t="n">
        <v>66.32472585799999</v>
      </c>
      <c r="U705" t="n">
        <v/>
      </c>
      <c r="V705" t="n">
        <v>99.186383738</v>
      </c>
      <c r="W705" t="n">
        <v/>
      </c>
      <c r="X705" t="n">
        <v/>
      </c>
      <c r="Y705" t="n">
        <v/>
      </c>
      <c r="Z705" t="n">
        <v>6.748973027</v>
      </c>
      <c r="AA705" t="n">
        <v/>
      </c>
      <c r="AB705" t="n">
        <v/>
      </c>
      <c r="AC705" t="n">
        <v>82.56994183499999</v>
      </c>
      <c r="AD705" t="n">
        <v>59.563310065</v>
      </c>
      <c r="AE705" t="n">
        <v/>
      </c>
      <c r="AF705" t="n">
        <v>45.613277915</v>
      </c>
      <c r="AG705" t="n">
        <v/>
      </c>
      <c r="AH705" t="n">
        <v/>
      </c>
      <c r="AI705" t="n">
        <v>63.696737819</v>
      </c>
      <c r="AJ705" t="n">
        <v>44.848270158</v>
      </c>
      <c r="AK705" t="n">
        <v/>
      </c>
      <c r="AL705" t="n">
        <v>48.641518756</v>
      </c>
      <c r="AM705" t="n">
        <v/>
      </c>
      <c r="AN705" t="n">
        <v>58.15232795</v>
      </c>
      <c r="AO705" t="n">
        <v/>
      </c>
      <c r="AP705" t="n">
        <v/>
      </c>
      <c r="AQ705" t="n">
        <v/>
      </c>
      <c r="AR705" t="n">
        <v>54.540528367</v>
      </c>
      <c r="AS705" t="n">
        <v/>
      </c>
      <c r="AT705" t="n">
        <v>47.726453543</v>
      </c>
      <c r="AU705" t="n">
        <v/>
      </c>
    </row>
    <row r="706">
      <c r="A706" s="105" t="n">
        <v>28369</v>
      </c>
      <c r="B706" t="n">
        <v>33.021889702</v>
      </c>
      <c r="C706" t="n">
        <v>48.971719239</v>
      </c>
      <c r="D706" t="n">
        <v>55.383607339</v>
      </c>
      <c r="E706" t="n">
        <v>52.460192971</v>
      </c>
      <c r="F706" t="n">
        <v/>
      </c>
      <c r="G706" t="n">
        <v/>
      </c>
      <c r="H706" t="n">
        <v/>
      </c>
      <c r="I706" t="n">
        <v>33.019138108</v>
      </c>
      <c r="J706" t="n">
        <v/>
      </c>
      <c r="K706" t="n">
        <v>56.604420258</v>
      </c>
      <c r="L706" t="n">
        <v>60.032626267</v>
      </c>
      <c r="M706" t="n">
        <v>63.724069311</v>
      </c>
      <c r="N706" t="n">
        <v>80.060895954</v>
      </c>
      <c r="O706" t="n">
        <v/>
      </c>
      <c r="P706" t="n">
        <v/>
      </c>
      <c r="Q706" t="n">
        <v>41.989045428</v>
      </c>
      <c r="R706" t="n">
        <v>76.192421201</v>
      </c>
      <c r="S706" t="n">
        <v>55.918045507</v>
      </c>
      <c r="T706" t="n">
        <v>66.536964981</v>
      </c>
      <c r="U706" t="n">
        <v/>
      </c>
      <c r="V706" t="n">
        <v>101.440862383</v>
      </c>
      <c r="W706" t="n">
        <v/>
      </c>
      <c r="X706" t="n">
        <v/>
      </c>
      <c r="Y706" t="n">
        <v/>
      </c>
      <c r="Z706" t="n">
        <v>6.787407654</v>
      </c>
      <c r="AA706" t="n">
        <v/>
      </c>
      <c r="AB706" t="n">
        <v/>
      </c>
      <c r="AC706" t="n">
        <v>82.376795765</v>
      </c>
      <c r="AD706" t="n">
        <v>59.563310065</v>
      </c>
      <c r="AE706" t="n">
        <v/>
      </c>
      <c r="AF706" t="n">
        <v>48.911326549</v>
      </c>
      <c r="AG706" t="n">
        <v/>
      </c>
      <c r="AH706" t="n">
        <v/>
      </c>
      <c r="AI706" t="n">
        <v>64.29203443500001</v>
      </c>
      <c r="AJ706" t="n">
        <v>45.408873535</v>
      </c>
      <c r="AK706" t="n">
        <v/>
      </c>
      <c r="AL706" t="n">
        <v>48.74879537</v>
      </c>
      <c r="AM706" t="n">
        <v/>
      </c>
      <c r="AN706" t="n">
        <v>61.357306974</v>
      </c>
      <c r="AO706" t="n">
        <v/>
      </c>
      <c r="AP706" t="n">
        <v/>
      </c>
      <c r="AQ706" t="n">
        <v/>
      </c>
      <c r="AR706" t="n">
        <v>54.88535784</v>
      </c>
      <c r="AS706" t="n">
        <v/>
      </c>
      <c r="AT706" t="n">
        <v>47.924076351</v>
      </c>
      <c r="AU706" t="n">
        <v/>
      </c>
    </row>
    <row r="707">
      <c r="A707" s="105" t="n">
        <v>28399</v>
      </c>
      <c r="B707" t="n">
        <v>34.503475769</v>
      </c>
      <c r="C707" t="n">
        <v>49.423382045</v>
      </c>
      <c r="D707" t="n">
        <v>55.676284083</v>
      </c>
      <c r="E707" t="n">
        <v>52.81826378</v>
      </c>
      <c r="F707" t="n">
        <v/>
      </c>
      <c r="G707" t="n">
        <v/>
      </c>
      <c r="H707" t="n">
        <v/>
      </c>
      <c r="I707" t="n">
        <v>34.500600719</v>
      </c>
      <c r="J707" t="n">
        <v/>
      </c>
      <c r="K707" t="n">
        <v>56.357508938</v>
      </c>
      <c r="L707" t="n">
        <v>58.156606696</v>
      </c>
      <c r="M707" t="n">
        <v>63.619291319</v>
      </c>
      <c r="N707" t="n">
        <v>80.315731399</v>
      </c>
      <c r="O707" t="n">
        <v/>
      </c>
      <c r="P707" t="n">
        <v/>
      </c>
      <c r="Q707" t="n">
        <v>41.786199798</v>
      </c>
      <c r="R707" t="n">
        <v>75.279572704</v>
      </c>
      <c r="S707" t="n">
        <v>55.854515972</v>
      </c>
      <c r="T707" t="n">
        <v>66.32472585799999</v>
      </c>
      <c r="U707" t="n">
        <v/>
      </c>
      <c r="V707" t="n">
        <v>101.960263853</v>
      </c>
      <c r="W707" t="n">
        <v/>
      </c>
      <c r="X707" t="n">
        <v/>
      </c>
      <c r="Y707" t="n">
        <v/>
      </c>
      <c r="Z707" t="n">
        <v>6.964202685</v>
      </c>
      <c r="AA707" t="n">
        <v/>
      </c>
      <c r="AB707" t="n">
        <v/>
      </c>
      <c r="AC707" t="n">
        <v>83.439099111</v>
      </c>
      <c r="AD707" t="n">
        <v>59.058536251</v>
      </c>
      <c r="AE707" t="n">
        <v/>
      </c>
      <c r="AF707" t="n">
        <v>50.34666697</v>
      </c>
      <c r="AG707" t="n">
        <v/>
      </c>
      <c r="AH707" t="n">
        <v/>
      </c>
      <c r="AI707" t="n">
        <v>63.696737819</v>
      </c>
      <c r="AJ707" t="n">
        <v>47.090683666</v>
      </c>
      <c r="AK707" t="n">
        <v/>
      </c>
      <c r="AL707" t="n">
        <v>48.72076211</v>
      </c>
      <c r="AM707" t="n">
        <v/>
      </c>
      <c r="AN707" t="n">
        <v>59.969965728</v>
      </c>
      <c r="AO707" t="n">
        <v/>
      </c>
      <c r="AP707" t="n">
        <v/>
      </c>
      <c r="AQ707" t="n">
        <v/>
      </c>
      <c r="AR707" t="n">
        <v>54.023284157</v>
      </c>
      <c r="AS707" t="n">
        <v/>
      </c>
      <c r="AT707" t="n">
        <v>47.994082223</v>
      </c>
      <c r="AU707" t="n">
        <v/>
      </c>
    </row>
    <row r="708">
      <c r="A708" s="105" t="n">
        <v>28430</v>
      </c>
      <c r="B708" t="n">
        <v>33.656449465</v>
      </c>
      <c r="C708" t="n">
        <v>50.160892491</v>
      </c>
      <c r="D708" t="n">
        <v>56.341277715</v>
      </c>
      <c r="E708" t="n">
        <v>52.97662318</v>
      </c>
      <c r="F708" t="n">
        <v/>
      </c>
      <c r="G708" t="n">
        <v/>
      </c>
      <c r="H708" t="n">
        <v/>
      </c>
      <c r="I708" t="n">
        <v>33.653644995</v>
      </c>
      <c r="J708" t="n">
        <v/>
      </c>
      <c r="K708" t="n">
        <v>56.419236768</v>
      </c>
      <c r="L708" t="n">
        <v>57.531266839</v>
      </c>
      <c r="M708" t="n">
        <v>63.143027722</v>
      </c>
      <c r="N708" t="n">
        <v>78.213064798</v>
      </c>
      <c r="O708" t="n">
        <v/>
      </c>
      <c r="P708" t="n">
        <v/>
      </c>
      <c r="Q708" t="n">
        <v>41.380508538</v>
      </c>
      <c r="R708" t="n">
        <v>76.61841716399999</v>
      </c>
      <c r="S708" t="n">
        <v>55.972330133</v>
      </c>
      <c r="T708" t="n">
        <v>65.794128051</v>
      </c>
      <c r="U708" t="n">
        <v/>
      </c>
      <c r="V708" t="n">
        <v>99.67143963700001</v>
      </c>
      <c r="W708" t="n">
        <v/>
      </c>
      <c r="X708" t="n">
        <v/>
      </c>
      <c r="Y708" t="n">
        <v/>
      </c>
      <c r="Z708" t="n">
        <v>6.933454983</v>
      </c>
      <c r="AA708" t="n">
        <v/>
      </c>
      <c r="AB708" t="n">
        <v/>
      </c>
      <c r="AC708" t="n">
        <v>80.638481203</v>
      </c>
      <c r="AD708" t="n">
        <v>60.236341817</v>
      </c>
      <c r="AE708" t="n">
        <v/>
      </c>
      <c r="AF708" t="n">
        <v>49.971967647</v>
      </c>
      <c r="AG708" t="n">
        <v/>
      </c>
      <c r="AH708" t="n">
        <v/>
      </c>
      <c r="AI708" t="n">
        <v>63.101441204</v>
      </c>
      <c r="AJ708" t="n">
        <v>47.651287043</v>
      </c>
      <c r="AK708" t="n">
        <v/>
      </c>
      <c r="AL708" t="n">
        <v>48.729808476</v>
      </c>
      <c r="AM708" t="n">
        <v/>
      </c>
      <c r="AN708" t="n">
        <v>60.330528286</v>
      </c>
      <c r="AO708" t="n">
        <v/>
      </c>
      <c r="AP708" t="n">
        <v/>
      </c>
      <c r="AQ708" t="n">
        <v/>
      </c>
      <c r="AR708" t="n">
        <v>53.103738894</v>
      </c>
      <c r="AS708" t="n">
        <v/>
      </c>
      <c r="AT708" t="n">
        <v>48.084316421</v>
      </c>
      <c r="AU708" t="n">
        <v/>
      </c>
    </row>
    <row r="709">
      <c r="A709" s="105" t="n">
        <v>28460</v>
      </c>
      <c r="B709" t="n">
        <v>32.731428153</v>
      </c>
      <c r="C709" t="n">
        <v>49.457842385</v>
      </c>
      <c r="D709" t="n">
        <v>56.736796661</v>
      </c>
      <c r="E709" t="n">
        <v>53.111487119</v>
      </c>
      <c r="F709" t="n">
        <v/>
      </c>
      <c r="G709" t="n">
        <v/>
      </c>
      <c r="H709" t="n">
        <v/>
      </c>
      <c r="I709" t="n">
        <v>32.728700761</v>
      </c>
      <c r="J709" t="n">
        <v/>
      </c>
      <c r="K709" t="n">
        <v>57.530337711</v>
      </c>
      <c r="L709" t="n">
        <v>59.40728641</v>
      </c>
      <c r="M709" t="n">
        <v>64.009827469</v>
      </c>
      <c r="N709" t="n">
        <v>81.01587576</v>
      </c>
      <c r="O709" t="n">
        <v/>
      </c>
      <c r="P709" t="n">
        <v/>
      </c>
      <c r="Q709" t="n">
        <v>40.467703203</v>
      </c>
      <c r="R709" t="n">
        <v>74.549293906</v>
      </c>
      <c r="S709" t="n">
        <v>56.351945195</v>
      </c>
      <c r="T709" t="n">
        <v>67.067562787</v>
      </c>
      <c r="U709" t="n">
        <v/>
      </c>
      <c r="V709" t="n">
        <v>102.243337324</v>
      </c>
      <c r="W709" t="n">
        <v/>
      </c>
      <c r="X709" t="n">
        <v/>
      </c>
      <c r="Y709" t="n">
        <v/>
      </c>
      <c r="Z709" t="n">
        <v>7.179432342</v>
      </c>
      <c r="AA709" t="n">
        <v/>
      </c>
      <c r="AB709" t="n">
        <v/>
      </c>
      <c r="AC709" t="n">
        <v>82.956233955</v>
      </c>
      <c r="AD709" t="n">
        <v>60.656986662</v>
      </c>
      <c r="AE709" t="n">
        <v/>
      </c>
      <c r="AF709" t="n">
        <v>49.625369299</v>
      </c>
      <c r="AG709" t="n">
        <v/>
      </c>
      <c r="AH709" t="n">
        <v/>
      </c>
      <c r="AI709" t="n">
        <v>64.88733105</v>
      </c>
      <c r="AJ709" t="n">
        <v>48.772493797</v>
      </c>
      <c r="AK709" t="n">
        <v/>
      </c>
      <c r="AL709" t="n">
        <v>49.099595914</v>
      </c>
      <c r="AM709" t="n">
        <v/>
      </c>
      <c r="AN709" t="n">
        <v>60.559690827</v>
      </c>
      <c r="AO709" t="n">
        <v/>
      </c>
      <c r="AP709" t="n">
        <v/>
      </c>
      <c r="AQ709" t="n">
        <v/>
      </c>
      <c r="AR709" t="n">
        <v>53.161210473</v>
      </c>
      <c r="AS709" t="n">
        <v/>
      </c>
      <c r="AT709" t="n">
        <v>48.155313877</v>
      </c>
      <c r="AU709" t="n">
        <v/>
      </c>
    </row>
    <row r="710">
      <c r="A710" s="105" t="n">
        <v>28491</v>
      </c>
      <c r="B710" t="n">
        <v>33.944216601</v>
      </c>
      <c r="C710" t="n">
        <v>49.209356552</v>
      </c>
      <c r="D710" t="n">
        <v>57.204214029</v>
      </c>
      <c r="E710" t="n">
        <v>53.211577779</v>
      </c>
      <c r="F710" t="n">
        <v/>
      </c>
      <c r="G710" t="n">
        <v/>
      </c>
      <c r="H710" t="n">
        <v/>
      </c>
      <c r="I710" t="n">
        <v>33.941388152</v>
      </c>
      <c r="J710" t="n">
        <v/>
      </c>
      <c r="K710" t="n">
        <v>57.715521201</v>
      </c>
      <c r="L710" t="n">
        <v>61.283305981</v>
      </c>
      <c r="M710" t="n">
        <v>64.29558562699999</v>
      </c>
      <c r="N710" t="n">
        <v>81.843673426</v>
      </c>
      <c r="O710" t="n">
        <v/>
      </c>
      <c r="P710" t="n">
        <v/>
      </c>
      <c r="Q710" t="n">
        <v>41.380508538</v>
      </c>
      <c r="R710" t="n">
        <v>76.314134337</v>
      </c>
      <c r="S710" t="n">
        <v>56.160419319</v>
      </c>
      <c r="T710" t="n">
        <v>66.961443226</v>
      </c>
      <c r="U710" t="n">
        <v/>
      </c>
      <c r="V710" t="n">
        <v>97.964371855</v>
      </c>
      <c r="W710" t="n">
        <v/>
      </c>
      <c r="X710" t="n">
        <v/>
      </c>
      <c r="Y710" t="n">
        <v/>
      </c>
      <c r="Z710" t="n">
        <v>7.14868464</v>
      </c>
      <c r="AA710" t="n">
        <v/>
      </c>
      <c r="AB710" t="n">
        <v/>
      </c>
      <c r="AC710" t="n">
        <v>82.18364970499999</v>
      </c>
      <c r="AD710" t="n">
        <v>61.245889445</v>
      </c>
      <c r="AE710" t="n">
        <v/>
      </c>
      <c r="AF710" t="n">
        <v>52.40271957</v>
      </c>
      <c r="AG710" t="n">
        <v/>
      </c>
      <c r="AH710" t="n">
        <v/>
      </c>
      <c r="AI710" t="n">
        <v>64.88733105</v>
      </c>
      <c r="AJ710" t="n">
        <v>48.772493797</v>
      </c>
      <c r="AK710" t="n">
        <v/>
      </c>
      <c r="AL710" t="n">
        <v>49.000787595</v>
      </c>
      <c r="AM710" t="n">
        <v/>
      </c>
      <c r="AN710" t="n">
        <v>61.976396254</v>
      </c>
      <c r="AO710" t="n">
        <v/>
      </c>
      <c r="AP710" t="n">
        <v/>
      </c>
      <c r="AQ710" t="n">
        <v/>
      </c>
      <c r="AR710" t="n">
        <v>54.827886261</v>
      </c>
      <c r="AS710" t="n">
        <v/>
      </c>
      <c r="AT710" t="n">
        <v>47.466460065</v>
      </c>
      <c r="AU710" t="n">
        <v/>
      </c>
    </row>
    <row r="711">
      <c r="A711" s="105" t="n">
        <v>28522</v>
      </c>
      <c r="B711" t="n">
        <v>33.701361764</v>
      </c>
      <c r="C711" t="n">
        <v>49.194843264</v>
      </c>
      <c r="D711" t="n">
        <v>57.185132277</v>
      </c>
      <c r="E711" t="n">
        <v>53.606771414</v>
      </c>
      <c r="F711" t="n">
        <v/>
      </c>
      <c r="G711" t="n">
        <v/>
      </c>
      <c r="H711" t="n">
        <v/>
      </c>
      <c r="I711" t="n">
        <v>33.698553551</v>
      </c>
      <c r="J711" t="n">
        <v/>
      </c>
      <c r="K711" t="n">
        <v>56.048869787</v>
      </c>
      <c r="L711" t="n">
        <v>57.531266839</v>
      </c>
      <c r="M711" t="n">
        <v>63.724069311</v>
      </c>
      <c r="N711" t="n">
        <v>81.553500697</v>
      </c>
      <c r="O711" t="n">
        <v/>
      </c>
      <c r="P711" t="n">
        <v/>
      </c>
      <c r="Q711" t="n">
        <v>42.293313874</v>
      </c>
      <c r="R711" t="n">
        <v>76.131564638</v>
      </c>
      <c r="S711" t="n">
        <v>56.010324228</v>
      </c>
      <c r="T711" t="n">
        <v>66.961443226</v>
      </c>
      <c r="U711" t="n">
        <v/>
      </c>
      <c r="V711" t="n">
        <v>105.404748548</v>
      </c>
      <c r="W711" t="n">
        <v/>
      </c>
      <c r="X711" t="n">
        <v/>
      </c>
      <c r="Y711" t="n">
        <v/>
      </c>
      <c r="Z711" t="n">
        <v>6.941141908</v>
      </c>
      <c r="AA711" t="n">
        <v/>
      </c>
      <c r="AB711" t="n">
        <v/>
      </c>
      <c r="AC711" t="n">
        <v>82.28022274</v>
      </c>
      <c r="AD711" t="n">
        <v>60.8252446</v>
      </c>
      <c r="AE711" t="n">
        <v/>
      </c>
      <c r="AF711" t="n">
        <v>50.217071128</v>
      </c>
      <c r="AG711" t="n">
        <v/>
      </c>
      <c r="AH711" t="n">
        <v/>
      </c>
      <c r="AI711" t="n">
        <v>64.88733105</v>
      </c>
      <c r="AJ711" t="n">
        <v>48.772493797</v>
      </c>
      <c r="AK711" t="n">
        <v/>
      </c>
      <c r="AL711" t="n">
        <v>48.885736335</v>
      </c>
      <c r="AM711" t="n">
        <v/>
      </c>
      <c r="AN711" t="n">
        <v>60.540630099</v>
      </c>
      <c r="AO711" t="n">
        <v/>
      </c>
      <c r="AP711" t="n">
        <v/>
      </c>
      <c r="AQ711" t="n">
        <v/>
      </c>
      <c r="AR711" t="n">
        <v>53.965812578</v>
      </c>
      <c r="AS711" t="n">
        <v/>
      </c>
      <c r="AT711" t="n">
        <v>47.723280473</v>
      </c>
      <c r="AU711" t="n">
        <v/>
      </c>
    </row>
    <row r="712">
      <c r="A712" s="105" t="n">
        <v>28550</v>
      </c>
      <c r="B712" t="n">
        <v>33.418102019</v>
      </c>
      <c r="C712" t="n">
        <v>50.37812397</v>
      </c>
      <c r="D712" t="n">
        <v>57.980190375</v>
      </c>
      <c r="E712" t="n">
        <v>53.412229006</v>
      </c>
      <c r="F712" t="n">
        <v/>
      </c>
      <c r="G712" t="n">
        <v/>
      </c>
      <c r="H712" t="n">
        <v/>
      </c>
      <c r="I712" t="n">
        <v>33.415317409</v>
      </c>
      <c r="J712" t="n">
        <v/>
      </c>
      <c r="K712" t="n">
        <v>54.876041014</v>
      </c>
      <c r="L712" t="n">
        <v>53.15388784</v>
      </c>
      <c r="M712" t="n">
        <v>63.238280441</v>
      </c>
      <c r="N712" t="n">
        <v>82.039656505</v>
      </c>
      <c r="O712" t="n">
        <v/>
      </c>
      <c r="P712" t="n">
        <v/>
      </c>
      <c r="Q712" t="n">
        <v>41.887622613</v>
      </c>
      <c r="R712" t="n">
        <v>77.287839398</v>
      </c>
      <c r="S712" t="n">
        <v>56.433320889</v>
      </c>
      <c r="T712" t="n">
        <v>66.218606296</v>
      </c>
      <c r="U712" t="n">
        <v/>
      </c>
      <c r="V712" t="n">
        <v>106.006351764</v>
      </c>
      <c r="W712" t="n">
        <v/>
      </c>
      <c r="X712" t="n">
        <v/>
      </c>
      <c r="Y712" t="n">
        <v/>
      </c>
      <c r="Z712" t="n">
        <v>7.117938356</v>
      </c>
      <c r="AA712" t="n">
        <v/>
      </c>
      <c r="AB712" t="n">
        <v/>
      </c>
      <c r="AC712" t="n">
        <v>81.024773334</v>
      </c>
      <c r="AD712" t="n">
        <v>62.171308104</v>
      </c>
      <c r="AE712" t="n">
        <v/>
      </c>
      <c r="AF712" t="n">
        <v>49.658535607</v>
      </c>
      <c r="AG712" t="n">
        <v/>
      </c>
      <c r="AH712" t="n">
        <v/>
      </c>
      <c r="AI712" t="n">
        <v>64.29203443500001</v>
      </c>
      <c r="AJ712" t="n">
        <v>49.333097174</v>
      </c>
      <c r="AK712" t="n">
        <v/>
      </c>
      <c r="AL712" t="n">
        <v>49.217611364</v>
      </c>
      <c r="AM712" t="n">
        <v/>
      </c>
      <c r="AN712" t="n">
        <v>60.79604659</v>
      </c>
      <c r="AO712" t="n">
        <v/>
      </c>
      <c r="AP712" t="n">
        <v/>
      </c>
      <c r="AQ712" t="n">
        <v/>
      </c>
      <c r="AR712" t="n">
        <v>54.023284157</v>
      </c>
      <c r="AS712" t="n">
        <v/>
      </c>
      <c r="AT712" t="n">
        <v>48.642479385</v>
      </c>
      <c r="AU712" t="n">
        <v/>
      </c>
    </row>
    <row r="713">
      <c r="A713" s="105" t="n">
        <v>28581</v>
      </c>
      <c r="B713" t="n">
        <v>34.842221922</v>
      </c>
      <c r="C713" t="n">
        <v>49.729293038</v>
      </c>
      <c r="D713" t="n">
        <v>60.244048064</v>
      </c>
      <c r="E713" t="n">
        <v>54.411725871</v>
      </c>
      <c r="F713" t="n">
        <v/>
      </c>
      <c r="G713" t="n">
        <v/>
      </c>
      <c r="H713" t="n">
        <v/>
      </c>
      <c r="I713" t="n">
        <v>34.839318646</v>
      </c>
      <c r="J713" t="n">
        <v/>
      </c>
      <c r="K713" t="n">
        <v>55.987141957</v>
      </c>
      <c r="L713" t="n">
        <v>63.784665409</v>
      </c>
      <c r="M713" t="n">
        <v>65.162385374</v>
      </c>
      <c r="N713" t="n">
        <v>79.579473838</v>
      </c>
      <c r="O713" t="n">
        <v/>
      </c>
      <c r="P713" t="n">
        <v/>
      </c>
      <c r="Q713" t="n">
        <v>41.887622613</v>
      </c>
      <c r="R713" t="n">
        <v>79.90467175400001</v>
      </c>
      <c r="S713" t="n">
        <v>57.774791813</v>
      </c>
      <c r="T713" t="n">
        <v>70.251149629</v>
      </c>
      <c r="U713" t="n">
        <v/>
      </c>
      <c r="V713" t="n">
        <v>106.490741793</v>
      </c>
      <c r="W713" t="n">
        <v/>
      </c>
      <c r="X713" t="n">
        <v/>
      </c>
      <c r="Y713" t="n">
        <v/>
      </c>
      <c r="Z713" t="n">
        <v>7.133310789</v>
      </c>
      <c r="AA713" t="n">
        <v/>
      </c>
      <c r="AB713" t="n">
        <v/>
      </c>
      <c r="AC713" t="n">
        <v>85.46713277800001</v>
      </c>
      <c r="AD713" t="n">
        <v>62.171308104</v>
      </c>
      <c r="AE713" t="n">
        <v/>
      </c>
      <c r="AF713" t="n">
        <v>50.508332126</v>
      </c>
      <c r="AG713" t="n">
        <v/>
      </c>
      <c r="AH713" t="n">
        <v/>
      </c>
      <c r="AI713" t="n">
        <v>63.696737819</v>
      </c>
      <c r="AJ713" t="n">
        <v>49.893700551</v>
      </c>
      <c r="AK713" t="n">
        <v/>
      </c>
      <c r="AL713" t="n">
        <v>50.22191493</v>
      </c>
      <c r="AM713" t="n">
        <v/>
      </c>
      <c r="AN713" t="n">
        <v>61.427786293</v>
      </c>
      <c r="AO713" t="n">
        <v/>
      </c>
      <c r="AP713" t="n">
        <v/>
      </c>
      <c r="AQ713" t="n">
        <v/>
      </c>
      <c r="AR713" t="n">
        <v>54.023284157</v>
      </c>
      <c r="AS713" t="n">
        <v/>
      </c>
      <c r="AT713" t="n">
        <v>49.605010543</v>
      </c>
      <c r="AU713" t="n">
        <v/>
      </c>
    </row>
    <row r="714">
      <c r="A714" s="105" t="n">
        <v>28611</v>
      </c>
      <c r="B714" t="n">
        <v>33.800479278</v>
      </c>
      <c r="C714" t="n">
        <v>50.937960487</v>
      </c>
      <c r="D714" t="n">
        <v>58.052697792</v>
      </c>
      <c r="E714" t="n">
        <v>53.758082176</v>
      </c>
      <c r="F714" t="n">
        <v/>
      </c>
      <c r="G714" t="n">
        <v/>
      </c>
      <c r="H714" t="n">
        <v/>
      </c>
      <c r="I714" t="n">
        <v>33.797662806</v>
      </c>
      <c r="J714" t="n">
        <v/>
      </c>
      <c r="K714" t="n">
        <v>55.925414126</v>
      </c>
      <c r="L714" t="n">
        <v>60.657966124</v>
      </c>
      <c r="M714" t="n">
        <v>64.20033290799999</v>
      </c>
      <c r="N714" t="n">
        <v>80.64492751500001</v>
      </c>
      <c r="O714" t="n">
        <v/>
      </c>
      <c r="P714" t="n">
        <v/>
      </c>
      <c r="Q714" t="n">
        <v>42.090468244</v>
      </c>
      <c r="R714" t="n">
        <v>78.504970731</v>
      </c>
      <c r="S714" t="n">
        <v>57.525038052</v>
      </c>
      <c r="T714" t="n">
        <v>67.916519278</v>
      </c>
      <c r="U714" t="n">
        <v/>
      </c>
      <c r="V714" t="n">
        <v>104.12739932</v>
      </c>
      <c r="W714" t="n">
        <v/>
      </c>
      <c r="X714" t="n">
        <v/>
      </c>
      <c r="Y714" t="n">
        <v/>
      </c>
      <c r="Z714" t="n">
        <v>6.979576535</v>
      </c>
      <c r="AA714" t="n">
        <v/>
      </c>
      <c r="AB714" t="n">
        <v/>
      </c>
      <c r="AC714" t="n">
        <v>83.245953051</v>
      </c>
      <c r="AD714" t="n">
        <v>62.339566042</v>
      </c>
      <c r="AE714" t="n">
        <v/>
      </c>
      <c r="AF714" t="n">
        <v>49.790756093</v>
      </c>
      <c r="AG714" t="n">
        <v/>
      </c>
      <c r="AH714" t="n">
        <v/>
      </c>
      <c r="AI714" t="n">
        <v>63.101441204</v>
      </c>
      <c r="AJ714" t="n">
        <v>47.090683666</v>
      </c>
      <c r="AK714" t="n">
        <v/>
      </c>
      <c r="AL714" t="n">
        <v>50.019549935</v>
      </c>
      <c r="AM714" t="n">
        <v/>
      </c>
      <c r="AN714" t="n">
        <v>61.584532378</v>
      </c>
      <c r="AO714" t="n">
        <v/>
      </c>
      <c r="AP714" t="n">
        <v/>
      </c>
      <c r="AQ714" t="n">
        <v/>
      </c>
      <c r="AR714" t="n">
        <v>53.218682052</v>
      </c>
      <c r="AS714" t="n">
        <v/>
      </c>
      <c r="AT714" t="n">
        <v>49.848642876</v>
      </c>
      <c r="AU714" t="n">
        <v/>
      </c>
    </row>
    <row r="715">
      <c r="A715" s="105" t="n">
        <v>28642</v>
      </c>
      <c r="B715" t="n">
        <v>33.743341725</v>
      </c>
      <c r="C715" t="n">
        <v>49.308673021</v>
      </c>
      <c r="D715" t="n">
        <v>57.860027101</v>
      </c>
      <c r="E715" t="n">
        <v>54.838873332</v>
      </c>
      <c r="F715" t="n">
        <v/>
      </c>
      <c r="G715" t="n">
        <v/>
      </c>
      <c r="H715" t="n">
        <v/>
      </c>
      <c r="I715" t="n">
        <v>33.740530014</v>
      </c>
      <c r="J715" t="n">
        <v/>
      </c>
      <c r="K715" t="n">
        <v>55.616774976</v>
      </c>
      <c r="L715" t="n">
        <v>60.032626267</v>
      </c>
      <c r="M715" t="n">
        <v>64.105080188</v>
      </c>
      <c r="N715" t="n">
        <v>81.463194641</v>
      </c>
      <c r="O715" t="n">
        <v/>
      </c>
      <c r="P715" t="n">
        <v/>
      </c>
      <c r="Q715" t="n">
        <v>41.481931353</v>
      </c>
      <c r="R715" t="n">
        <v>77.044413135</v>
      </c>
      <c r="S715" t="n">
        <v>57.728920328</v>
      </c>
      <c r="T715" t="n">
        <v>67.916519278</v>
      </c>
      <c r="U715" t="n">
        <v/>
      </c>
      <c r="V715" t="n">
        <v>104.41372281</v>
      </c>
      <c r="W715" t="n">
        <v/>
      </c>
      <c r="X715" t="n">
        <v/>
      </c>
      <c r="Y715" t="n">
        <v/>
      </c>
      <c r="Z715" t="n">
        <v>7.371601223</v>
      </c>
      <c r="AA715" t="n">
        <v/>
      </c>
      <c r="AB715" t="n">
        <v/>
      </c>
      <c r="AC715" t="n">
        <v>84.30825639699999</v>
      </c>
      <c r="AD715" t="n">
        <v>62.676081919</v>
      </c>
      <c r="AE715" t="n">
        <v/>
      </c>
      <c r="AF715" t="n">
        <v>49.568276036</v>
      </c>
      <c r="AG715" t="n">
        <v/>
      </c>
      <c r="AH715" t="n">
        <v/>
      </c>
      <c r="AI715" t="n">
        <v>64.29203443500001</v>
      </c>
      <c r="AJ715" t="n">
        <v>49.333097174</v>
      </c>
      <c r="AK715" t="n">
        <v/>
      </c>
      <c r="AL715" t="n">
        <v>50.198237</v>
      </c>
      <c r="AM715" t="n">
        <v/>
      </c>
      <c r="AN715" t="n">
        <v>62.033436884</v>
      </c>
      <c r="AO715" t="n">
        <v/>
      </c>
      <c r="AP715" t="n">
        <v/>
      </c>
      <c r="AQ715" t="n">
        <v/>
      </c>
      <c r="AR715" t="n">
        <v>52.988795737</v>
      </c>
      <c r="AS715" t="n">
        <v/>
      </c>
      <c r="AT715" t="n">
        <v>50.16813143</v>
      </c>
      <c r="AU715" t="n">
        <v/>
      </c>
    </row>
    <row r="716">
      <c r="A716" s="105" t="n">
        <v>28672</v>
      </c>
      <c r="B716" t="n">
        <v>34.373015588</v>
      </c>
      <c r="C716" t="n">
        <v>51.047861925</v>
      </c>
      <c r="D716" t="n">
        <v>59.050295669</v>
      </c>
      <c r="E716" t="n">
        <v>54.027340147</v>
      </c>
      <c r="F716" t="n">
        <v/>
      </c>
      <c r="G716" t="n">
        <v/>
      </c>
      <c r="H716" t="n">
        <v/>
      </c>
      <c r="I716" t="n">
        <v>34.370151409</v>
      </c>
      <c r="J716" t="n">
        <v/>
      </c>
      <c r="K716" t="n">
        <v>57.098242899</v>
      </c>
      <c r="L716" t="n">
        <v>59.40728641</v>
      </c>
      <c r="M716" t="n">
        <v>64.971879935</v>
      </c>
      <c r="N716" t="n">
        <v>81.03234844799999</v>
      </c>
      <c r="O716" t="n">
        <v/>
      </c>
      <c r="P716" t="n">
        <v/>
      </c>
      <c r="Q716" t="n">
        <v>38.69280394</v>
      </c>
      <c r="R716" t="n">
        <v>76.983556562</v>
      </c>
      <c r="S716" t="n">
        <v>58.134246067</v>
      </c>
      <c r="T716" t="n">
        <v>68.97771489199999</v>
      </c>
      <c r="U716" t="n">
        <v/>
      </c>
      <c r="V716" t="n">
        <v>106.023470115</v>
      </c>
      <c r="W716" t="n">
        <v/>
      </c>
      <c r="X716" t="n">
        <v/>
      </c>
      <c r="Y716" t="n">
        <v/>
      </c>
      <c r="Z716" t="n">
        <v>7.479215342</v>
      </c>
      <c r="AA716" t="n">
        <v/>
      </c>
      <c r="AB716" t="n">
        <v/>
      </c>
      <c r="AC716" t="n">
        <v>86.43286308899999</v>
      </c>
      <c r="AD716" t="n">
        <v>63.096726764</v>
      </c>
      <c r="AE716" t="n">
        <v/>
      </c>
      <c r="AF716" t="n">
        <v>52.537047817</v>
      </c>
      <c r="AG716" t="n">
        <v/>
      </c>
      <c r="AH716" t="n">
        <v/>
      </c>
      <c r="AI716" t="n">
        <v>65.482627665</v>
      </c>
      <c r="AJ716" t="n">
        <v>49.333097174</v>
      </c>
      <c r="AK716" t="n">
        <v/>
      </c>
      <c r="AL716" t="n">
        <v>50.531331375</v>
      </c>
      <c r="AM716" t="n">
        <v/>
      </c>
      <c r="AN716" t="n">
        <v>61.984829464</v>
      </c>
      <c r="AO716" t="n">
        <v/>
      </c>
      <c r="AP716" t="n">
        <v/>
      </c>
      <c r="AQ716" t="n">
        <v/>
      </c>
      <c r="AR716" t="n">
        <v>53.33362521</v>
      </c>
      <c r="AS716" t="n">
        <v/>
      </c>
      <c r="AT716" t="n">
        <v>50.124501708</v>
      </c>
      <c r="AU716" t="n">
        <v/>
      </c>
    </row>
    <row r="717">
      <c r="A717" s="105" t="n">
        <v>28703</v>
      </c>
      <c r="B717" t="n">
        <v>34.289139824</v>
      </c>
      <c r="C717" t="n">
        <v>51.091502292</v>
      </c>
      <c r="D717" t="n">
        <v>59.745688582</v>
      </c>
      <c r="E717" t="n">
        <v>54.286730024</v>
      </c>
      <c r="F717" t="n">
        <v/>
      </c>
      <c r="G717" t="n">
        <v/>
      </c>
      <c r="H717" t="n">
        <v/>
      </c>
      <c r="I717" t="n">
        <v>34.286282634</v>
      </c>
      <c r="J717" t="n">
        <v/>
      </c>
      <c r="K717" t="n">
        <v>57.653793371</v>
      </c>
      <c r="L717" t="n">
        <v>60.657966124</v>
      </c>
      <c r="M717" t="n">
        <v>65.352890813</v>
      </c>
      <c r="N717" t="n">
        <v>81.661102474</v>
      </c>
      <c r="O717" t="n">
        <v/>
      </c>
      <c r="P717" t="n">
        <v/>
      </c>
      <c r="Q717" t="n">
        <v>42.597582319</v>
      </c>
      <c r="R717" t="n">
        <v>76.983556562</v>
      </c>
      <c r="S717" t="n">
        <v>58.479404332</v>
      </c>
      <c r="T717" t="n">
        <v>69.508312699</v>
      </c>
      <c r="U717" t="n">
        <v/>
      </c>
      <c r="V717" t="n">
        <v>105.818621228</v>
      </c>
      <c r="W717" t="n">
        <v/>
      </c>
      <c r="X717" t="n">
        <v/>
      </c>
      <c r="Y717" t="n">
        <v/>
      </c>
      <c r="Z717" t="n">
        <v>6.787407654</v>
      </c>
      <c r="AA717" t="n">
        <v/>
      </c>
      <c r="AB717" t="n">
        <v/>
      </c>
      <c r="AC717" t="n">
        <v>86.239717029</v>
      </c>
      <c r="AD717" t="n">
        <v>63.938016454</v>
      </c>
      <c r="AE717" t="n">
        <v/>
      </c>
      <c r="AF717" t="n">
        <v>51.94388638</v>
      </c>
      <c r="AG717" t="n">
        <v/>
      </c>
      <c r="AH717" t="n">
        <v/>
      </c>
      <c r="AI717" t="n">
        <v>64.29203443500001</v>
      </c>
      <c r="AJ717" t="n">
        <v>51.014907305</v>
      </c>
      <c r="AK717" t="n">
        <v/>
      </c>
      <c r="AL717" t="n">
        <v>50.819223853</v>
      </c>
      <c r="AM717" t="n">
        <v/>
      </c>
      <c r="AN717" t="n">
        <v>61.531562813</v>
      </c>
      <c r="AO717" t="n">
        <v/>
      </c>
      <c r="AP717" t="n">
        <v/>
      </c>
      <c r="AQ717" t="n">
        <v/>
      </c>
      <c r="AR717" t="n">
        <v>54.540528367</v>
      </c>
      <c r="AS717" t="n">
        <v/>
      </c>
      <c r="AT717" t="n">
        <v>50.335015116</v>
      </c>
      <c r="AU717" t="n">
        <v/>
      </c>
    </row>
    <row r="718">
      <c r="A718" s="105" t="n">
        <v>28734</v>
      </c>
      <c r="B718" t="n">
        <v>35.030885843</v>
      </c>
      <c r="C718" t="n">
        <v>51.905841545</v>
      </c>
      <c r="D718" t="n">
        <v>60.038300788</v>
      </c>
      <c r="E718" t="n">
        <v>55.650406517</v>
      </c>
      <c r="F718" t="n">
        <v/>
      </c>
      <c r="G718" t="n">
        <v/>
      </c>
      <c r="H718" t="n">
        <v/>
      </c>
      <c r="I718" t="n">
        <v>35.027966845</v>
      </c>
      <c r="J718" t="n">
        <v/>
      </c>
      <c r="K718" t="n">
        <v>58.579710823</v>
      </c>
      <c r="L718" t="n">
        <v>60.657966124</v>
      </c>
      <c r="M718" t="n">
        <v>66.21969056</v>
      </c>
      <c r="N718" t="n">
        <v>83.62871048</v>
      </c>
      <c r="O718" t="n">
        <v/>
      </c>
      <c r="P718" t="n">
        <v/>
      </c>
      <c r="Q718" t="n">
        <v>43.459676247</v>
      </c>
      <c r="R718" t="n">
        <v>78.322401031</v>
      </c>
      <c r="S718" t="n">
        <v>58.930840548</v>
      </c>
      <c r="T718" t="n">
        <v>69.508312699</v>
      </c>
      <c r="U718" t="n">
        <v/>
      </c>
      <c r="V718" t="n">
        <v>106.564342102</v>
      </c>
      <c r="W718" t="n">
        <v/>
      </c>
      <c r="X718" t="n">
        <v/>
      </c>
      <c r="Y718" t="n">
        <v/>
      </c>
      <c r="Z718" t="n">
        <v>7.402347506</v>
      </c>
      <c r="AA718" t="n">
        <v/>
      </c>
      <c r="AB718" t="n">
        <v/>
      </c>
      <c r="AC718" t="n">
        <v>87.3985934</v>
      </c>
      <c r="AD718" t="n">
        <v>64.442790268</v>
      </c>
      <c r="AE718" t="n">
        <v/>
      </c>
      <c r="AF718" t="n">
        <v>51.599774613</v>
      </c>
      <c r="AG718" t="n">
        <v/>
      </c>
      <c r="AH718" t="n">
        <v/>
      </c>
      <c r="AI718" t="n">
        <v>64.29203443500001</v>
      </c>
      <c r="AJ718" t="n">
        <v>51.575510682</v>
      </c>
      <c r="AK718" t="n">
        <v/>
      </c>
      <c r="AL718" t="n">
        <v>51.246758241</v>
      </c>
      <c r="AM718" t="n">
        <v/>
      </c>
      <c r="AN718" t="n">
        <v>61.952615436</v>
      </c>
      <c r="AO718" t="n">
        <v/>
      </c>
      <c r="AP718" t="n">
        <v/>
      </c>
      <c r="AQ718" t="n">
        <v/>
      </c>
      <c r="AR718" t="n">
        <v>55.230187313</v>
      </c>
      <c r="AS718" t="n">
        <v/>
      </c>
      <c r="AT718" t="n">
        <v>50.457376654</v>
      </c>
      <c r="AU718" t="n">
        <v/>
      </c>
    </row>
    <row r="719">
      <c r="A719" s="105" t="n">
        <v>28764</v>
      </c>
      <c r="B719" t="n">
        <v>34.853771577</v>
      </c>
      <c r="C719" t="n">
        <v>53.046637675</v>
      </c>
      <c r="D719" t="n">
        <v>60.614002113</v>
      </c>
      <c r="E719" t="n">
        <v>55.836490559</v>
      </c>
      <c r="F719" t="n">
        <v/>
      </c>
      <c r="G719" t="n">
        <v/>
      </c>
      <c r="H719" t="n">
        <v/>
      </c>
      <c r="I719" t="n">
        <v>34.850867338</v>
      </c>
      <c r="J719" t="n">
        <v/>
      </c>
      <c r="K719" t="n">
        <v>57.592065541</v>
      </c>
      <c r="L719" t="n">
        <v>60.657966124</v>
      </c>
      <c r="M719" t="n">
        <v>66.029185121</v>
      </c>
      <c r="N719" t="n">
        <v>83.373365776</v>
      </c>
      <c r="O719" t="n">
        <v/>
      </c>
      <c r="P719" t="n">
        <v/>
      </c>
      <c r="Q719" t="n">
        <v>43.814656099</v>
      </c>
      <c r="R719" t="n">
        <v>79.478675791</v>
      </c>
      <c r="S719" t="n">
        <v>59.030676862</v>
      </c>
      <c r="T719" t="n">
        <v>68.128758401</v>
      </c>
      <c r="U719" t="n">
        <v/>
      </c>
      <c r="V719" t="n">
        <v>107.559470376</v>
      </c>
      <c r="W719" t="n">
        <v/>
      </c>
      <c r="X719" t="n">
        <v/>
      </c>
      <c r="Y719" t="n">
        <v/>
      </c>
      <c r="Z719" t="n">
        <v>7.348540446</v>
      </c>
      <c r="AA719" t="n">
        <v/>
      </c>
      <c r="AB719" t="n">
        <v/>
      </c>
      <c r="AC719" t="n">
        <v>88.460896746</v>
      </c>
      <c r="AD719" t="n">
        <v>64.526919237</v>
      </c>
      <c r="AE719" t="n">
        <v/>
      </c>
      <c r="AF719" t="n">
        <v>51.600430367</v>
      </c>
      <c r="AG719" t="n">
        <v/>
      </c>
      <c r="AH719" t="n">
        <v/>
      </c>
      <c r="AI719" t="n">
        <v>64.88733105</v>
      </c>
      <c r="AJ719" t="n">
        <v>51.575510682</v>
      </c>
      <c r="AK719" t="n">
        <v/>
      </c>
      <c r="AL719" t="n">
        <v>51.349896046</v>
      </c>
      <c r="AM719" t="n">
        <v/>
      </c>
      <c r="AN719" t="n">
        <v>61.276472841</v>
      </c>
      <c r="AO719" t="n">
        <v/>
      </c>
      <c r="AP719" t="n">
        <v/>
      </c>
      <c r="AQ719" t="n">
        <v/>
      </c>
      <c r="AR719" t="n">
        <v>55.632488365</v>
      </c>
      <c r="AS719" t="n">
        <v/>
      </c>
      <c r="AT719" t="n">
        <v>50.850539943</v>
      </c>
      <c r="AU719" t="n">
        <v/>
      </c>
    </row>
    <row r="720">
      <c r="A720" s="105" t="n">
        <v>28795</v>
      </c>
      <c r="B720" t="n">
        <v>34.850424597</v>
      </c>
      <c r="C720" t="n">
        <v>52.342484587</v>
      </c>
      <c r="D720" t="n">
        <v>60.346345062</v>
      </c>
      <c r="E720" t="n">
        <v>56.368427772</v>
      </c>
      <c r="F720" t="n">
        <v/>
      </c>
      <c r="G720" t="n">
        <v/>
      </c>
      <c r="H720" t="n">
        <v/>
      </c>
      <c r="I720" t="n">
        <v>34.847520637</v>
      </c>
      <c r="J720" t="n">
        <v/>
      </c>
      <c r="K720" t="n">
        <v>58.024160352</v>
      </c>
      <c r="L720" t="n">
        <v>60.657966124</v>
      </c>
      <c r="M720" t="n">
        <v>66.314943279</v>
      </c>
      <c r="N720" t="n">
        <v>83.455794376</v>
      </c>
      <c r="O720" t="n">
        <v/>
      </c>
      <c r="P720" t="n">
        <v/>
      </c>
      <c r="Q720" t="n">
        <v>44.068213137</v>
      </c>
      <c r="R720" t="n">
        <v>79.965528326</v>
      </c>
      <c r="S720" t="n">
        <v>59.404256928</v>
      </c>
      <c r="T720" t="n">
        <v>68.55323664700001</v>
      </c>
      <c r="U720" t="n">
        <v/>
      </c>
      <c r="V720" t="n">
        <v>110.270747487</v>
      </c>
      <c r="W720" t="n">
        <v/>
      </c>
      <c r="X720" t="n">
        <v/>
      </c>
      <c r="Y720" t="n">
        <v/>
      </c>
      <c r="Z720" t="n">
        <v>7.602203313</v>
      </c>
      <c r="AA720" t="n">
        <v/>
      </c>
      <c r="AB720" t="n">
        <v/>
      </c>
      <c r="AC720" t="n">
        <v>88.36432370999999</v>
      </c>
      <c r="AD720" t="n">
        <v>64.86343511299999</v>
      </c>
      <c r="AE720" t="n">
        <v/>
      </c>
      <c r="AF720" t="n">
        <v>51.105514794</v>
      </c>
      <c r="AG720" t="n">
        <v/>
      </c>
      <c r="AH720" t="n">
        <v/>
      </c>
      <c r="AI720" t="n">
        <v>66.07792428</v>
      </c>
      <c r="AJ720" t="n">
        <v>52.136114059</v>
      </c>
      <c r="AK720" t="n">
        <v/>
      </c>
      <c r="AL720" t="n">
        <v>51.671080027</v>
      </c>
      <c r="AM720" t="n">
        <v/>
      </c>
      <c r="AN720" t="n">
        <v>64.157537809</v>
      </c>
      <c r="AO720" t="n">
        <v/>
      </c>
      <c r="AP720" t="n">
        <v/>
      </c>
      <c r="AQ720" t="n">
        <v/>
      </c>
      <c r="AR720" t="n">
        <v>55.91984626</v>
      </c>
      <c r="AS720" t="n">
        <v/>
      </c>
      <c r="AT720" t="n">
        <v>51.238844467</v>
      </c>
      <c r="AU720" t="n">
        <v/>
      </c>
    </row>
    <row r="721">
      <c r="A721" s="105" t="n">
        <v>28825</v>
      </c>
      <c r="B721" t="n">
        <v>35.608651098</v>
      </c>
      <c r="C721" t="n">
        <v>54.472892855</v>
      </c>
      <c r="D721" t="n">
        <v>61.958819694</v>
      </c>
      <c r="E721" t="n">
        <v>57.248097791</v>
      </c>
      <c r="F721" t="n">
        <v/>
      </c>
      <c r="G721" t="n">
        <v/>
      </c>
      <c r="H721" t="n">
        <v/>
      </c>
      <c r="I721" t="n">
        <v>35.605683958</v>
      </c>
      <c r="J721" t="n">
        <v/>
      </c>
      <c r="K721" t="n">
        <v>59.875995257</v>
      </c>
      <c r="L721" t="n">
        <v>61.908645838</v>
      </c>
      <c r="M721" t="n">
        <v>68.334300932</v>
      </c>
      <c r="N721" t="n">
        <v>83.70261903399999</v>
      </c>
      <c r="O721" t="n">
        <v/>
      </c>
      <c r="P721" t="n">
        <v/>
      </c>
      <c r="Q721" t="n">
        <v>44.778172842</v>
      </c>
      <c r="R721" t="n">
        <v>80.148098026</v>
      </c>
      <c r="S721" t="n">
        <v>60.391291437</v>
      </c>
      <c r="T721" t="n">
        <v>70.675627874</v>
      </c>
      <c r="U721" t="n">
        <v/>
      </c>
      <c r="V721" t="n">
        <v>111.085903232</v>
      </c>
      <c r="W721" t="n">
        <v/>
      </c>
      <c r="X721" t="n">
        <v/>
      </c>
      <c r="Y721" t="n">
        <v/>
      </c>
      <c r="Z721" t="n">
        <v>7.571457029</v>
      </c>
      <c r="AA721" t="n">
        <v/>
      </c>
      <c r="AB721" t="n">
        <v/>
      </c>
      <c r="AC721" t="n">
        <v>93.86898650099999</v>
      </c>
      <c r="AD721" t="n">
        <v>65.452337896</v>
      </c>
      <c r="AE721" t="n">
        <v/>
      </c>
      <c r="AF721" t="n">
        <v>51.440147975</v>
      </c>
      <c r="AG721" t="n">
        <v/>
      </c>
      <c r="AH721" t="n">
        <v/>
      </c>
      <c r="AI721" t="n">
        <v>68.459110741</v>
      </c>
      <c r="AJ721" t="n">
        <v>51.014907305</v>
      </c>
      <c r="AK721" t="n">
        <v/>
      </c>
      <c r="AL721" t="n">
        <v>52.489282848</v>
      </c>
      <c r="AM721" t="n">
        <v/>
      </c>
      <c r="AN721" t="n">
        <v>65.372724584</v>
      </c>
      <c r="AO721" t="n">
        <v/>
      </c>
      <c r="AP721" t="n">
        <v/>
      </c>
      <c r="AQ721" t="n">
        <v/>
      </c>
      <c r="AR721" t="n">
        <v>55.804903102</v>
      </c>
      <c r="AS721" t="n">
        <v/>
      </c>
      <c r="AT721" t="n">
        <v>51.503300076</v>
      </c>
      <c r="AU721" t="n">
        <v/>
      </c>
    </row>
    <row r="722">
      <c r="A722" s="105" t="n">
        <v>28856</v>
      </c>
      <c r="B722" t="n">
        <v>35.589676363</v>
      </c>
      <c r="C722" t="n">
        <v>49.27786999</v>
      </c>
      <c r="D722" t="n">
        <v>62.491604391</v>
      </c>
      <c r="E722" t="n">
        <v>57.159754861</v>
      </c>
      <c r="F722" t="n">
        <v/>
      </c>
      <c r="G722" t="n">
        <v/>
      </c>
      <c r="H722" t="n">
        <v/>
      </c>
      <c r="I722" t="n">
        <v>35.586710803</v>
      </c>
      <c r="J722" t="n">
        <v/>
      </c>
      <c r="K722" t="n">
        <v>58.271071673</v>
      </c>
      <c r="L722" t="n">
        <v>57.531266839</v>
      </c>
      <c r="M722" t="n">
        <v>65.733901691</v>
      </c>
      <c r="N722" t="n">
        <v>83.436511747</v>
      </c>
      <c r="O722" t="n">
        <v/>
      </c>
      <c r="P722" t="n">
        <v/>
      </c>
      <c r="Q722" t="n">
        <v>45.589555363</v>
      </c>
      <c r="R722" t="n">
        <v>79.296106092</v>
      </c>
      <c r="S722" t="n">
        <v>59.274051822</v>
      </c>
      <c r="T722" t="n">
        <v>65.794128051</v>
      </c>
      <c r="U722" t="n">
        <v/>
      </c>
      <c r="V722" t="n">
        <v>111.746843087</v>
      </c>
      <c r="W722" t="n">
        <v/>
      </c>
      <c r="X722" t="n">
        <v/>
      </c>
      <c r="Y722" t="n">
        <v/>
      </c>
      <c r="Z722" t="n">
        <v>7.463841491</v>
      </c>
      <c r="AA722" t="n">
        <v/>
      </c>
      <c r="AB722" t="n">
        <v/>
      </c>
      <c r="AC722" t="n">
        <v>87.784885531</v>
      </c>
      <c r="AD722" t="n">
        <v>65.368208927</v>
      </c>
      <c r="AE722" t="n">
        <v/>
      </c>
      <c r="AF722" t="n">
        <v>50.213924658</v>
      </c>
      <c r="AG722" t="n">
        <v/>
      </c>
      <c r="AH722" t="n">
        <v/>
      </c>
      <c r="AI722" t="n">
        <v>66.30116051100001</v>
      </c>
      <c r="AJ722" t="n">
        <v>50.454303928</v>
      </c>
      <c r="AK722" t="n">
        <v/>
      </c>
      <c r="AL722" t="n">
        <v>51.536439825</v>
      </c>
      <c r="AM722" t="n">
        <v/>
      </c>
      <c r="AN722" t="n">
        <v>62.839697443</v>
      </c>
      <c r="AO722" t="n">
        <v/>
      </c>
      <c r="AP722" t="n">
        <v/>
      </c>
      <c r="AQ722" t="n">
        <v/>
      </c>
      <c r="AR722" t="n">
        <v>55.345130471</v>
      </c>
      <c r="AS722" t="n">
        <v/>
      </c>
      <c r="AT722" t="n">
        <v>51.216038021</v>
      </c>
      <c r="AU722" t="n">
        <v/>
      </c>
    </row>
    <row r="723">
      <c r="A723" s="105" t="n">
        <v>28887</v>
      </c>
      <c r="B723" t="n">
        <v>35.505620262</v>
      </c>
      <c r="C723" t="n">
        <v>51.621735058</v>
      </c>
      <c r="D723" t="n">
        <v>62.234359245</v>
      </c>
      <c r="E723" t="n">
        <v>57.250447337</v>
      </c>
      <c r="F723" t="n">
        <v/>
      </c>
      <c r="G723" t="n">
        <v/>
      </c>
      <c r="H723" t="n">
        <v/>
      </c>
      <c r="I723" t="n">
        <v>35.502661707</v>
      </c>
      <c r="J723" t="n">
        <v/>
      </c>
      <c r="K723" t="n">
        <v>58.085888182</v>
      </c>
      <c r="L723" t="n">
        <v>58.781946553</v>
      </c>
      <c r="M723" t="n">
        <v>66.600701438</v>
      </c>
      <c r="N723" t="n">
        <v>78.716250671</v>
      </c>
      <c r="O723" t="n">
        <v/>
      </c>
      <c r="P723" t="n">
        <v/>
      </c>
      <c r="Q723" t="n">
        <v>46.24880366</v>
      </c>
      <c r="R723" t="n">
        <v>79.478675791</v>
      </c>
      <c r="S723" t="n">
        <v>59.898985773</v>
      </c>
      <c r="T723" t="n">
        <v>70.675627874</v>
      </c>
      <c r="U723" t="n">
        <v/>
      </c>
      <c r="V723" t="n">
        <v>110.918643847</v>
      </c>
      <c r="W723" t="n">
        <v/>
      </c>
      <c r="X723" t="n">
        <v/>
      </c>
      <c r="Y723" t="n">
        <v/>
      </c>
      <c r="Z723" t="n">
        <v>7.563770104</v>
      </c>
      <c r="AA723" t="n">
        <v/>
      </c>
      <c r="AB723" t="n">
        <v/>
      </c>
      <c r="AC723" t="n">
        <v>90.488930403</v>
      </c>
      <c r="AD723" t="n">
        <v>65.28407995800001</v>
      </c>
      <c r="AE723" t="n">
        <v/>
      </c>
      <c r="AF723" t="n">
        <v>53.65768111</v>
      </c>
      <c r="AG723" t="n">
        <v/>
      </c>
      <c r="AH723" t="n">
        <v/>
      </c>
      <c r="AI723" t="n">
        <v>65.63145181900001</v>
      </c>
      <c r="AJ723" t="n">
        <v>50.454303928</v>
      </c>
      <c r="AK723" t="n">
        <v/>
      </c>
      <c r="AL723" t="n">
        <v>51.926606996</v>
      </c>
      <c r="AM723" t="n">
        <v/>
      </c>
      <c r="AN723" t="n">
        <v>60.590924342</v>
      </c>
      <c r="AO723" t="n">
        <v/>
      </c>
      <c r="AP723" t="n">
        <v/>
      </c>
      <c r="AQ723" t="n">
        <v/>
      </c>
      <c r="AR723" t="n">
        <v>55.91984626</v>
      </c>
      <c r="AS723" t="n">
        <v/>
      </c>
      <c r="AT723" t="n">
        <v>51.472858429</v>
      </c>
      <c r="AU723" t="n">
        <v/>
      </c>
    </row>
    <row r="724">
      <c r="A724" s="105" t="n">
        <v>28915</v>
      </c>
      <c r="B724" t="n">
        <v>35.930902749</v>
      </c>
      <c r="C724" t="n">
        <v>51.561763374</v>
      </c>
      <c r="D724" t="n">
        <v>61.542567066</v>
      </c>
      <c r="E724" t="n">
        <v>57.125921399</v>
      </c>
      <c r="F724" t="n">
        <v/>
      </c>
      <c r="G724" t="n">
        <v/>
      </c>
      <c r="H724" t="n">
        <v/>
      </c>
      <c r="I724" t="n">
        <v>35.927908757</v>
      </c>
      <c r="J724" t="n">
        <v/>
      </c>
      <c r="K724" t="n">
        <v>58.332799503</v>
      </c>
      <c r="L724" t="n">
        <v>60.657966124</v>
      </c>
      <c r="M724" t="n">
        <v>67.276995746</v>
      </c>
      <c r="N724" t="n">
        <v>81.46122678</v>
      </c>
      <c r="O724" t="n">
        <v/>
      </c>
      <c r="P724" t="n">
        <v/>
      </c>
      <c r="Q724" t="n">
        <v>46.908051958</v>
      </c>
      <c r="R724" t="n">
        <v>80.574093988</v>
      </c>
      <c r="S724" t="n">
        <v>60.171934443</v>
      </c>
      <c r="T724" t="n">
        <v>71.630703926</v>
      </c>
      <c r="U724" t="n">
        <v/>
      </c>
      <c r="V724" t="n">
        <v>113.471147758</v>
      </c>
      <c r="W724" t="n">
        <v/>
      </c>
      <c r="X724" t="n">
        <v/>
      </c>
      <c r="Y724" t="n">
        <v/>
      </c>
      <c r="Z724" t="n">
        <v>7.802059119</v>
      </c>
      <c r="AA724" t="n">
        <v/>
      </c>
      <c r="AB724" t="n">
        <v/>
      </c>
      <c r="AC724" t="n">
        <v>89.619773127</v>
      </c>
      <c r="AD724" t="n">
        <v>65.872982741</v>
      </c>
      <c r="AE724" t="n">
        <v/>
      </c>
      <c r="AF724" t="n">
        <v>53.698930966</v>
      </c>
      <c r="AG724" t="n">
        <v/>
      </c>
      <c r="AH724" t="n">
        <v/>
      </c>
      <c r="AI724" t="n">
        <v>66.30116051100001</v>
      </c>
      <c r="AJ724" t="n">
        <v>51.014907305</v>
      </c>
      <c r="AK724" t="n">
        <v/>
      </c>
      <c r="AL724" t="n">
        <v>52.260520971</v>
      </c>
      <c r="AM724" t="n">
        <v/>
      </c>
      <c r="AN724" t="n">
        <v>67.731154863</v>
      </c>
      <c r="AO724" t="n">
        <v/>
      </c>
      <c r="AP724" t="n">
        <v/>
      </c>
      <c r="AQ724" t="n">
        <v/>
      </c>
      <c r="AR724" t="n">
        <v>55.977317839</v>
      </c>
      <c r="AS724" t="n">
        <v/>
      </c>
      <c r="AT724" t="n">
        <v>51.628537209</v>
      </c>
      <c r="AU724" t="n">
        <v/>
      </c>
    </row>
    <row r="725">
      <c r="A725" s="105" t="n">
        <v>28946</v>
      </c>
      <c r="B725" t="n">
        <v>36.050584157</v>
      </c>
      <c r="C725" t="n">
        <v>53.609448061</v>
      </c>
      <c r="D725" t="n">
        <v>63.538199073</v>
      </c>
      <c r="E725" t="n">
        <v>56.759862134</v>
      </c>
      <c r="F725" t="n">
        <v/>
      </c>
      <c r="G725" t="n">
        <v/>
      </c>
      <c r="H725" t="n">
        <v/>
      </c>
      <c r="I725" t="n">
        <v>36.047580192</v>
      </c>
      <c r="J725" t="n">
        <v/>
      </c>
      <c r="K725" t="n">
        <v>59.690811766</v>
      </c>
      <c r="L725" t="n">
        <v>60.657966124</v>
      </c>
      <c r="M725" t="n">
        <v>67.658006624</v>
      </c>
      <c r="N725" t="n">
        <v>81.425060449</v>
      </c>
      <c r="O725" t="n">
        <v/>
      </c>
      <c r="P725" t="n">
        <v/>
      </c>
      <c r="Q725" t="n">
        <v>47.110897588</v>
      </c>
      <c r="R725" t="n">
        <v>79.17439295600001</v>
      </c>
      <c r="S725" t="n">
        <v>60.033076035</v>
      </c>
      <c r="T725" t="n">
        <v>71.524584365</v>
      </c>
      <c r="U725" t="n">
        <v/>
      </c>
      <c r="V725" t="n">
        <v>113.932207228</v>
      </c>
      <c r="W725" t="n">
        <v/>
      </c>
      <c r="X725" t="n">
        <v/>
      </c>
      <c r="Y725" t="n">
        <v/>
      </c>
      <c r="Z725" t="n">
        <v>7.83280682</v>
      </c>
      <c r="AA725" t="n">
        <v/>
      </c>
      <c r="AB725" t="n">
        <v/>
      </c>
      <c r="AC725" t="n">
        <v>90.006065247</v>
      </c>
      <c r="AD725" t="n">
        <v>66.125369648</v>
      </c>
      <c r="AE725" t="n">
        <v/>
      </c>
      <c r="AF725" t="n">
        <v>52.891069396</v>
      </c>
      <c r="AG725" t="n">
        <v/>
      </c>
      <c r="AH725" t="n">
        <v/>
      </c>
      <c r="AI725" t="n">
        <v>68.31028658699999</v>
      </c>
      <c r="AJ725" t="n">
        <v>51.575510682</v>
      </c>
      <c r="AK725" t="n">
        <v/>
      </c>
      <c r="AL725" t="n">
        <v>52.211127807</v>
      </c>
      <c r="AM725" t="n">
        <v/>
      </c>
      <c r="AN725" t="n">
        <v>66.253259628</v>
      </c>
      <c r="AO725" t="n">
        <v/>
      </c>
      <c r="AP725" t="n">
        <v/>
      </c>
      <c r="AQ725" t="n">
        <v/>
      </c>
      <c r="AR725" t="n">
        <v>57.241692574</v>
      </c>
      <c r="AS725" t="n">
        <v/>
      </c>
      <c r="AT725" t="n">
        <v>51.021786601</v>
      </c>
      <c r="AU725" t="n">
        <v/>
      </c>
    </row>
    <row r="726">
      <c r="A726" s="105" t="n">
        <v>28976</v>
      </c>
      <c r="B726" t="n">
        <v>36.058364564</v>
      </c>
      <c r="C726" t="n">
        <v>53.00600035</v>
      </c>
      <c r="D726" t="n">
        <v>62.642100799</v>
      </c>
      <c r="E726" t="n">
        <v>57.727405173</v>
      </c>
      <c r="F726" t="n">
        <v/>
      </c>
      <c r="G726" t="n">
        <v/>
      </c>
      <c r="H726" t="n">
        <v/>
      </c>
      <c r="I726" t="n">
        <v>36.055359951</v>
      </c>
      <c r="J726" t="n">
        <v/>
      </c>
      <c r="K726" t="n">
        <v>59.567356106</v>
      </c>
      <c r="L726" t="n">
        <v>62.533985695</v>
      </c>
      <c r="M726" t="n">
        <v>67.943764782</v>
      </c>
      <c r="N726" t="n">
        <v>83.18588469700001</v>
      </c>
      <c r="O726" t="n">
        <v/>
      </c>
      <c r="P726" t="n">
        <v/>
      </c>
      <c r="Q726" t="n">
        <v>46.755917736</v>
      </c>
      <c r="R726" t="n">
        <v>81.486942485</v>
      </c>
      <c r="S726" t="n">
        <v>60.567109986</v>
      </c>
      <c r="T726" t="n">
        <v>72.58577997899999</v>
      </c>
      <c r="U726" t="n">
        <v/>
      </c>
      <c r="V726" t="n">
        <v>115.116118428</v>
      </c>
      <c r="W726" t="n">
        <v/>
      </c>
      <c r="X726" t="n">
        <v/>
      </c>
      <c r="Y726" t="n">
        <v/>
      </c>
      <c r="Z726" t="n">
        <v>7.679071149</v>
      </c>
      <c r="AA726" t="n">
        <v/>
      </c>
      <c r="AB726" t="n">
        <v/>
      </c>
      <c r="AC726" t="n">
        <v>87.88145855499999</v>
      </c>
      <c r="AD726" t="n">
        <v>67.555562122</v>
      </c>
      <c r="AE726" t="n">
        <v/>
      </c>
      <c r="AF726" t="n">
        <v>51.545564243</v>
      </c>
      <c r="AG726" t="n">
        <v/>
      </c>
      <c r="AH726" t="n">
        <v/>
      </c>
      <c r="AI726" t="n">
        <v>67.64057789500001</v>
      </c>
      <c r="AJ726" t="n">
        <v>52.696717436</v>
      </c>
      <c r="AK726" t="n">
        <v/>
      </c>
      <c r="AL726" t="n">
        <v>52.651695473</v>
      </c>
      <c r="AM726" t="n">
        <v/>
      </c>
      <c r="AN726" t="n">
        <v>66.30720208699999</v>
      </c>
      <c r="AO726" t="n">
        <v/>
      </c>
      <c r="AP726" t="n">
        <v/>
      </c>
      <c r="AQ726" t="n">
        <v/>
      </c>
      <c r="AR726" t="n">
        <v>57.816408363</v>
      </c>
      <c r="AS726" t="n">
        <v/>
      </c>
      <c r="AT726" t="n">
        <v>51.469288725</v>
      </c>
      <c r="AU726" t="n">
        <v/>
      </c>
    </row>
    <row r="727">
      <c r="A727" s="105" t="n">
        <v>29007</v>
      </c>
      <c r="B727" t="n">
        <v>37.108927737</v>
      </c>
      <c r="C727" t="n">
        <v>54.988917191</v>
      </c>
      <c r="D727" t="n">
        <v>63.05472553</v>
      </c>
      <c r="E727" t="n">
        <v>57.341139812</v>
      </c>
      <c r="F727" t="n">
        <v/>
      </c>
      <c r="G727" t="n">
        <v/>
      </c>
      <c r="H727" t="n">
        <v/>
      </c>
      <c r="I727" t="n">
        <v>37.105835584</v>
      </c>
      <c r="J727" t="n">
        <v/>
      </c>
      <c r="K727" t="n">
        <v>60.740184879</v>
      </c>
      <c r="L727" t="n">
        <v>61.908645838</v>
      </c>
      <c r="M727" t="n">
        <v>68.71531181</v>
      </c>
      <c r="N727" t="n">
        <v>84.213613193</v>
      </c>
      <c r="O727" t="n">
        <v/>
      </c>
      <c r="P727" t="n">
        <v/>
      </c>
      <c r="Q727" t="n">
        <v>46.806629143</v>
      </c>
      <c r="R727" t="n">
        <v>82.095508147</v>
      </c>
      <c r="S727" t="n">
        <v>60.846775174</v>
      </c>
      <c r="T727" t="n">
        <v>73.75309515399999</v>
      </c>
      <c r="U727" t="n">
        <v/>
      </c>
      <c r="V727" t="n">
        <v>113.908130985</v>
      </c>
      <c r="W727" t="n">
        <v/>
      </c>
      <c r="X727" t="n">
        <v/>
      </c>
      <c r="Y727" t="n">
        <v/>
      </c>
      <c r="Z727" t="n">
        <v>7.640637939</v>
      </c>
      <c r="AA727" t="n">
        <v/>
      </c>
      <c r="AB727" t="n">
        <v/>
      </c>
      <c r="AC727" t="n">
        <v>87.3985934</v>
      </c>
      <c r="AD727" t="n">
        <v>67.807949029</v>
      </c>
      <c r="AE727" t="n">
        <v/>
      </c>
      <c r="AF727" t="n">
        <v>53.185865548</v>
      </c>
      <c r="AG727" t="n">
        <v/>
      </c>
      <c r="AH727" t="n">
        <v/>
      </c>
      <c r="AI727" t="n">
        <v>66.97086920300001</v>
      </c>
      <c r="AJ727" t="n">
        <v>52.136114059</v>
      </c>
      <c r="AK727" t="n">
        <v/>
      </c>
      <c r="AL727" t="n">
        <v>52.914060433</v>
      </c>
      <c r="AM727" t="n">
        <v/>
      </c>
      <c r="AN727" t="n">
        <v>65.75937958599999</v>
      </c>
      <c r="AO727" t="n">
        <v/>
      </c>
      <c r="AP727" t="n">
        <v/>
      </c>
      <c r="AQ727" t="n">
        <v/>
      </c>
      <c r="AR727" t="n">
        <v>59.138254678</v>
      </c>
      <c r="AS727" t="n">
        <v/>
      </c>
      <c r="AT727" t="n">
        <v>51.469883676</v>
      </c>
      <c r="AU727" t="n">
        <v/>
      </c>
    </row>
    <row r="728">
      <c r="A728" s="105" t="n">
        <v>29037</v>
      </c>
      <c r="B728" t="n">
        <v>37.477523325</v>
      </c>
      <c r="C728" t="n">
        <v>54.086657123</v>
      </c>
      <c r="D728" t="n">
        <v>62.441230728</v>
      </c>
      <c r="E728" t="n">
        <v>57.97504732</v>
      </c>
      <c r="F728" t="n">
        <v/>
      </c>
      <c r="G728" t="n">
        <v/>
      </c>
      <c r="H728" t="n">
        <v/>
      </c>
      <c r="I728" t="n">
        <v>37.474400458</v>
      </c>
      <c r="J728" t="n">
        <v/>
      </c>
      <c r="K728" t="n">
        <v>61.04882403</v>
      </c>
      <c r="L728" t="n">
        <v>64.410005265</v>
      </c>
      <c r="M728" t="n">
        <v>68.71531181</v>
      </c>
      <c r="N728" t="n">
        <v>83.74102589899999</v>
      </c>
      <c r="O728" t="n">
        <v/>
      </c>
      <c r="P728" t="n">
        <v/>
      </c>
      <c r="Q728" t="n">
        <v>47.770145886</v>
      </c>
      <c r="R728" t="n">
        <v>83.92120514200001</v>
      </c>
      <c r="S728" t="n">
        <v>60.938702035</v>
      </c>
      <c r="T728" t="n">
        <v>72.904138663</v>
      </c>
      <c r="U728" t="n">
        <v/>
      </c>
      <c r="V728" t="n">
        <v>111.654286517</v>
      </c>
      <c r="W728" t="n">
        <v/>
      </c>
      <c r="X728" t="n">
        <v/>
      </c>
      <c r="Y728" t="n">
        <v/>
      </c>
      <c r="Z728" t="n">
        <v>7.76362591</v>
      </c>
      <c r="AA728" t="n">
        <v/>
      </c>
      <c r="AB728" t="n">
        <v/>
      </c>
      <c r="AC728" t="n">
        <v>86.722582184</v>
      </c>
      <c r="AD728" t="n">
        <v>68.312722843</v>
      </c>
      <c r="AE728" t="n">
        <v/>
      </c>
      <c r="AF728" t="n">
        <v>51.135511469</v>
      </c>
      <c r="AG728" t="n">
        <v/>
      </c>
      <c r="AH728" t="n">
        <v/>
      </c>
      <c r="AI728" t="n">
        <v>68.31028658699999</v>
      </c>
      <c r="AJ728" t="n">
        <v>53.257320813</v>
      </c>
      <c r="AK728" t="n">
        <v/>
      </c>
      <c r="AL728" t="n">
        <v>52.970586682</v>
      </c>
      <c r="AM728" t="n">
        <v/>
      </c>
      <c r="AN728" t="n">
        <v>62.376810826</v>
      </c>
      <c r="AO728" t="n">
        <v/>
      </c>
      <c r="AP728" t="n">
        <v/>
      </c>
      <c r="AQ728" t="n">
        <v/>
      </c>
      <c r="AR728" t="n">
        <v>58.046294679</v>
      </c>
      <c r="AS728" t="n">
        <v/>
      </c>
      <c r="AT728" t="n">
        <v>51.389664482</v>
      </c>
      <c r="AU728" t="n">
        <v/>
      </c>
    </row>
    <row r="729">
      <c r="A729" s="105" t="n">
        <v>29068</v>
      </c>
      <c r="B729" t="n">
        <v>37.540769657</v>
      </c>
      <c r="C729" t="n">
        <v>54.339740965</v>
      </c>
      <c r="D729" t="n">
        <v>63.857885385</v>
      </c>
      <c r="E729" t="n">
        <v>57.947792587</v>
      </c>
      <c r="F729" t="n">
        <v/>
      </c>
      <c r="G729" t="n">
        <v/>
      </c>
      <c r="H729" t="n">
        <v/>
      </c>
      <c r="I729" t="n">
        <v>37.53764152</v>
      </c>
      <c r="J729" t="n">
        <v/>
      </c>
      <c r="K729" t="n">
        <v>60.184634408</v>
      </c>
      <c r="L729" t="n">
        <v>62.533985695</v>
      </c>
      <c r="M729" t="n">
        <v>69.105847959</v>
      </c>
      <c r="N729" t="n">
        <v>84.596747538</v>
      </c>
      <c r="O729" t="n">
        <v/>
      </c>
      <c r="P729" t="n">
        <v/>
      </c>
      <c r="Q729" t="n">
        <v>47.212320403</v>
      </c>
      <c r="R729" t="n">
        <v>83.92120514200001</v>
      </c>
      <c r="S729" t="n">
        <v>61.001110155</v>
      </c>
      <c r="T729" t="n">
        <v>70.35726919</v>
      </c>
      <c r="U729" t="n">
        <v/>
      </c>
      <c r="V729" t="n">
        <v>113.468607682</v>
      </c>
      <c r="W729" t="n">
        <v/>
      </c>
      <c r="X729" t="n">
        <v/>
      </c>
      <c r="Y729" t="n">
        <v/>
      </c>
      <c r="Z729" t="n">
        <v>7.809746044</v>
      </c>
      <c r="AA729" t="n">
        <v/>
      </c>
      <c r="AB729" t="n">
        <v/>
      </c>
      <c r="AC729" t="n">
        <v>93.86898650099999</v>
      </c>
      <c r="AD729" t="n">
        <v>69.322270471</v>
      </c>
      <c r="AE729" t="n">
        <v/>
      </c>
      <c r="AF729" t="n">
        <v>52.03102835</v>
      </c>
      <c r="AG729" t="n">
        <v/>
      </c>
      <c r="AH729" t="n">
        <v/>
      </c>
      <c r="AI729" t="n">
        <v>67.64057789500001</v>
      </c>
      <c r="AJ729" t="n">
        <v>55.499734321</v>
      </c>
      <c r="AK729" t="n">
        <v/>
      </c>
      <c r="AL729" t="n">
        <v>53.074950891</v>
      </c>
      <c r="AM729" t="n">
        <v/>
      </c>
      <c r="AN729" t="n">
        <v>70.53513176</v>
      </c>
      <c r="AO729" t="n">
        <v/>
      </c>
      <c r="AP729" t="n">
        <v/>
      </c>
      <c r="AQ729" t="n">
        <v/>
      </c>
      <c r="AR729" t="n">
        <v>59.54055573</v>
      </c>
      <c r="AS729" t="n">
        <v/>
      </c>
      <c r="AT729" t="n">
        <v>51.056690378</v>
      </c>
      <c r="AU729" t="n">
        <v/>
      </c>
    </row>
    <row r="730">
      <c r="A730" s="105" t="n">
        <v>29099</v>
      </c>
      <c r="B730" t="n">
        <v>37.904339687</v>
      </c>
      <c r="C730" t="n">
        <v>55.076727749</v>
      </c>
      <c r="D730" t="n">
        <v>62.649866081</v>
      </c>
      <c r="E730" t="n">
        <v>57.82843565</v>
      </c>
      <c r="F730" t="n">
        <v/>
      </c>
      <c r="G730" t="n">
        <v/>
      </c>
      <c r="H730" t="n">
        <v/>
      </c>
      <c r="I730" t="n">
        <v>37.901181255</v>
      </c>
      <c r="J730" t="n">
        <v/>
      </c>
      <c r="K730" t="n">
        <v>60.308090068</v>
      </c>
      <c r="L730" t="n">
        <v>62.533985695</v>
      </c>
      <c r="M730" t="n">
        <v>69.20110067900001</v>
      </c>
      <c r="N730" t="n">
        <v>83.34509695200001</v>
      </c>
      <c r="O730" t="n">
        <v/>
      </c>
      <c r="P730" t="n">
        <v/>
      </c>
      <c r="Q730" t="n">
        <v>46.958763366</v>
      </c>
      <c r="R730" t="n">
        <v>82.70407380899999</v>
      </c>
      <c r="S730" t="n">
        <v>60.842058101</v>
      </c>
      <c r="T730" t="n">
        <v>70.14503006699999</v>
      </c>
      <c r="U730" t="n">
        <v/>
      </c>
      <c r="V730" t="n">
        <v>111.867734724</v>
      </c>
      <c r="W730" t="n">
        <v/>
      </c>
      <c r="X730" t="n">
        <v/>
      </c>
      <c r="Y730" t="n">
        <v/>
      </c>
      <c r="Z730" t="n">
        <v>8.109529044</v>
      </c>
      <c r="AA730" t="n">
        <v/>
      </c>
      <c r="AB730" t="n">
        <v/>
      </c>
      <c r="AC730" t="n">
        <v>95.607301073</v>
      </c>
      <c r="AD730" t="n">
        <v>68.060335936</v>
      </c>
      <c r="AE730" t="n">
        <v/>
      </c>
      <c r="AF730" t="n">
        <v>54.235594722</v>
      </c>
      <c r="AG730" t="n">
        <v/>
      </c>
      <c r="AH730" t="n">
        <v/>
      </c>
      <c r="AI730" t="n">
        <v>68.97999527899999</v>
      </c>
      <c r="AJ730" t="n">
        <v>57.742147829</v>
      </c>
      <c r="AK730" t="n">
        <v/>
      </c>
      <c r="AL730" t="n">
        <v>52.966225277</v>
      </c>
      <c r="AM730" t="n">
        <v/>
      </c>
      <c r="AN730" t="n">
        <v>68.298033116</v>
      </c>
      <c r="AO730" t="n">
        <v/>
      </c>
      <c r="AP730" t="n">
        <v/>
      </c>
      <c r="AQ730" t="n">
        <v/>
      </c>
      <c r="AR730" t="n">
        <v>60.05779994</v>
      </c>
      <c r="AS730" t="n">
        <v/>
      </c>
      <c r="AT730" t="n">
        <v>51.05143498</v>
      </c>
      <c r="AU730" t="n">
        <v/>
      </c>
    </row>
    <row r="731">
      <c r="A731" s="105" t="n">
        <v>29129</v>
      </c>
      <c r="B731" t="n">
        <v>37.195641216</v>
      </c>
      <c r="C731" t="n">
        <v>53.939385012</v>
      </c>
      <c r="D731" t="n">
        <v>64.88745385999999</v>
      </c>
      <c r="E731" t="n">
        <v>57.741502449</v>
      </c>
      <c r="F731" t="n">
        <v/>
      </c>
      <c r="G731" t="n">
        <v/>
      </c>
      <c r="H731" t="n">
        <v/>
      </c>
      <c r="I731" t="n">
        <v>37.192541838</v>
      </c>
      <c r="J731" t="n">
        <v/>
      </c>
      <c r="K731" t="n">
        <v>59.629083936</v>
      </c>
      <c r="L731" t="n">
        <v>65.660684979</v>
      </c>
      <c r="M731" t="n">
        <v>68.62005909</v>
      </c>
      <c r="N731" t="n">
        <v>82.532192072</v>
      </c>
      <c r="O731" t="n">
        <v/>
      </c>
      <c r="P731" t="n">
        <v/>
      </c>
      <c r="Q731" t="n">
        <v>47.415166033</v>
      </c>
      <c r="R731" t="n">
        <v>81.97379502</v>
      </c>
      <c r="S731" t="n">
        <v>61.070057148</v>
      </c>
      <c r="T731" t="n">
        <v>70.35726919</v>
      </c>
      <c r="U731" t="n">
        <v/>
      </c>
      <c r="V731" t="n">
        <v>114.367235816</v>
      </c>
      <c r="W731" t="n">
        <v/>
      </c>
      <c r="X731" t="n">
        <v/>
      </c>
      <c r="Y731" t="n">
        <v/>
      </c>
      <c r="Z731" t="n">
        <v>8.001914924999999</v>
      </c>
      <c r="AA731" t="n">
        <v/>
      </c>
      <c r="AB731" t="n">
        <v/>
      </c>
      <c r="AC731" t="n">
        <v>94.834716822</v>
      </c>
      <c r="AD731" t="n">
        <v>69.49052840900001</v>
      </c>
      <c r="AE731" t="n">
        <v/>
      </c>
      <c r="AF731" t="n">
        <v>50.942404592</v>
      </c>
      <c r="AG731" t="n">
        <v/>
      </c>
      <c r="AH731" t="n">
        <v/>
      </c>
      <c r="AI731" t="n">
        <v>68.31028658699999</v>
      </c>
      <c r="AJ731" t="n">
        <v>54.939130944</v>
      </c>
      <c r="AK731" t="n">
        <v/>
      </c>
      <c r="AL731" t="n">
        <v>53.085286566</v>
      </c>
      <c r="AM731" t="n">
        <v/>
      </c>
      <c r="AN731" t="n">
        <v>69.04288052299999</v>
      </c>
      <c r="AO731" t="n">
        <v/>
      </c>
      <c r="AP731" t="n">
        <v/>
      </c>
      <c r="AQ731" t="n">
        <v/>
      </c>
      <c r="AR731" t="n">
        <v>58.621010468</v>
      </c>
      <c r="AS731" t="n">
        <v/>
      </c>
      <c r="AT731" t="n">
        <v>51.405827311</v>
      </c>
      <c r="AU731" t="n">
        <v/>
      </c>
    </row>
    <row r="732">
      <c r="A732" s="105" t="n">
        <v>29160</v>
      </c>
      <c r="B732" t="n">
        <v>37.023564387</v>
      </c>
      <c r="C732" t="n">
        <v>53.827864588</v>
      </c>
      <c r="D732" t="n">
        <v>64.189040535</v>
      </c>
      <c r="E732" t="n">
        <v>57.255146429</v>
      </c>
      <c r="F732" t="n">
        <v/>
      </c>
      <c r="G732" t="n">
        <v/>
      </c>
      <c r="H732" t="n">
        <v/>
      </c>
      <c r="I732" t="n">
        <v>37.020479347</v>
      </c>
      <c r="J732" t="n">
        <v/>
      </c>
      <c r="K732" t="n">
        <v>61.17227969</v>
      </c>
      <c r="L732" t="n">
        <v>65.660684979</v>
      </c>
      <c r="M732" t="n">
        <v>69.391606118</v>
      </c>
      <c r="N732" t="n">
        <v>82.24510696999999</v>
      </c>
      <c r="O732" t="n">
        <v/>
      </c>
      <c r="P732" t="n">
        <v/>
      </c>
      <c r="Q732" t="n">
        <v>48.581528406</v>
      </c>
      <c r="R732" t="n">
        <v>82.33893440999999</v>
      </c>
      <c r="S732" t="n">
        <v>61.475640847</v>
      </c>
      <c r="T732" t="n">
        <v>71.31234524200001</v>
      </c>
      <c r="U732" t="n">
        <v/>
      </c>
      <c r="V732" t="n">
        <v>108.109507963</v>
      </c>
      <c r="W732" t="n">
        <v/>
      </c>
      <c r="X732" t="n">
        <v/>
      </c>
      <c r="Y732" t="n">
        <v/>
      </c>
      <c r="Z732" t="n">
        <v>8.040348134</v>
      </c>
      <c r="AA732" t="n">
        <v/>
      </c>
      <c r="AB732" t="n">
        <v/>
      </c>
      <c r="AC732" t="n">
        <v>95.414155002</v>
      </c>
      <c r="AD732" t="n">
        <v>70.331818099</v>
      </c>
      <c r="AE732" t="n">
        <v/>
      </c>
      <c r="AF732" t="n">
        <v>52.917943424</v>
      </c>
      <c r="AG732" t="n">
        <v/>
      </c>
      <c r="AH732" t="n">
        <v/>
      </c>
      <c r="AI732" t="n">
        <v>69.64970397099999</v>
      </c>
      <c r="AJ732" t="n">
        <v>57.181544452</v>
      </c>
      <c r="AK732" t="n">
        <v/>
      </c>
      <c r="AL732" t="n">
        <v>53.392136145</v>
      </c>
      <c r="AM732" t="n">
        <v/>
      </c>
      <c r="AN732" t="n">
        <v>69.741097751</v>
      </c>
      <c r="AO732" t="n">
        <v/>
      </c>
      <c r="AP732" t="n">
        <v/>
      </c>
      <c r="AQ732" t="n">
        <v/>
      </c>
      <c r="AR732" t="n">
        <v>59.080783099</v>
      </c>
      <c r="AS732" t="n">
        <v/>
      </c>
      <c r="AT732" t="n">
        <v>51.323525791</v>
      </c>
      <c r="AU732" t="n">
        <v/>
      </c>
    </row>
    <row r="733">
      <c r="A733" s="105" t="n">
        <v>29190</v>
      </c>
      <c r="B733" t="n">
        <v>40.057977618</v>
      </c>
      <c r="C733" t="n">
        <v>55.835073108</v>
      </c>
      <c r="D733" t="n">
        <v>65.431556445</v>
      </c>
      <c r="E733" t="n">
        <v>56.511280168</v>
      </c>
      <c r="F733" t="n">
        <v/>
      </c>
      <c r="G733" t="n">
        <v/>
      </c>
      <c r="H733" t="n">
        <v/>
      </c>
      <c r="I733" t="n">
        <v>40.054639732</v>
      </c>
      <c r="J733" t="n">
        <v/>
      </c>
      <c r="K733" t="n">
        <v>62.098197143</v>
      </c>
      <c r="L733" t="n">
        <v>65.035345122</v>
      </c>
      <c r="M733" t="n">
        <v>70.163153145</v>
      </c>
      <c r="N733" t="n">
        <v>80.701155399</v>
      </c>
      <c r="O733" t="n">
        <v/>
      </c>
      <c r="P733" t="n">
        <v/>
      </c>
      <c r="Q733" t="n">
        <v>48.226548554</v>
      </c>
      <c r="R733" t="n">
        <v>82.217221283</v>
      </c>
      <c r="S733" t="n">
        <v>61.741699178</v>
      </c>
      <c r="T733" t="n">
        <v>71.736823488</v>
      </c>
      <c r="U733" t="n">
        <v/>
      </c>
      <c r="V733" t="n">
        <v>112.712602408</v>
      </c>
      <c r="W733" t="n">
        <v/>
      </c>
      <c r="X733" t="n">
        <v/>
      </c>
      <c r="Y733" t="n">
        <v/>
      </c>
      <c r="Z733" t="n">
        <v>7.732878208</v>
      </c>
      <c r="AA733" t="n">
        <v/>
      </c>
      <c r="AB733" t="n">
        <v/>
      </c>
      <c r="AC733" t="n">
        <v>98.311345945</v>
      </c>
      <c r="AD733" t="n">
        <v>70.079431192</v>
      </c>
      <c r="AE733" t="n">
        <v/>
      </c>
      <c r="AF733" t="n">
        <v>55.317226494</v>
      </c>
      <c r="AG733" t="n">
        <v/>
      </c>
      <c r="AH733" t="n">
        <v/>
      </c>
      <c r="AI733" t="n">
        <v>66.30116051100001</v>
      </c>
      <c r="AJ733" t="n">
        <v>56.060337698</v>
      </c>
      <c r="AK733" t="n">
        <v/>
      </c>
      <c r="AL733" t="n">
        <v>53.600692477</v>
      </c>
      <c r="AM733" t="n">
        <v/>
      </c>
      <c r="AN733" t="n">
        <v>69.61237362</v>
      </c>
      <c r="AO733" t="n">
        <v/>
      </c>
      <c r="AP733" t="n">
        <v/>
      </c>
      <c r="AQ733" t="n">
        <v/>
      </c>
      <c r="AR733" t="n">
        <v>60.747458887</v>
      </c>
      <c r="AS733" t="n">
        <v/>
      </c>
      <c r="AT733" t="n">
        <v>51.36150348</v>
      </c>
      <c r="AU733" t="n">
        <v/>
      </c>
    </row>
    <row r="734">
      <c r="A734" s="105" t="n">
        <v>29221</v>
      </c>
      <c r="B734" t="n">
        <v>37.969392142</v>
      </c>
      <c r="C734" t="n">
        <v>55.372013703</v>
      </c>
      <c r="D734" t="n">
        <v>66.434550509</v>
      </c>
      <c r="E734" t="n">
        <v>57.271593251</v>
      </c>
      <c r="F734" t="n">
        <v/>
      </c>
      <c r="G734" t="n">
        <v/>
      </c>
      <c r="H734" t="n">
        <v/>
      </c>
      <c r="I734" t="n">
        <v>37.966228289</v>
      </c>
      <c r="J734" t="n">
        <v/>
      </c>
      <c r="K734" t="n">
        <v>61.727830162</v>
      </c>
      <c r="L734" t="n">
        <v>64.410005265</v>
      </c>
      <c r="M734" t="n">
        <v>68.16119166</v>
      </c>
      <c r="N734" t="n">
        <v>83.395276897</v>
      </c>
      <c r="O734" t="n">
        <v/>
      </c>
      <c r="P734" t="n">
        <v/>
      </c>
      <c r="Q734" t="n">
        <v>49.595756557</v>
      </c>
      <c r="R734" t="n">
        <v>81.730510747</v>
      </c>
      <c r="S734" t="n">
        <v>61.813548131</v>
      </c>
      <c r="T734" t="n">
        <v>71.20622568100001</v>
      </c>
      <c r="U734" t="n">
        <v/>
      </c>
      <c r="V734" t="n">
        <v>112.972690368</v>
      </c>
      <c r="W734" t="n">
        <v/>
      </c>
      <c r="X734" t="n">
        <v/>
      </c>
      <c r="Y734" t="n">
        <v/>
      </c>
      <c r="Z734" t="n">
        <v>7.87151083</v>
      </c>
      <c r="AA734" t="n">
        <v/>
      </c>
      <c r="AB734" t="n">
        <v/>
      </c>
      <c r="AC734" t="n">
        <v>97.38665917100001</v>
      </c>
      <c r="AD734" t="n">
        <v>70.584205006</v>
      </c>
      <c r="AE734" t="n">
        <v/>
      </c>
      <c r="AF734" t="n">
        <v>54.504220466</v>
      </c>
      <c r="AG734" t="n">
        <v/>
      </c>
      <c r="AH734" t="n">
        <v>54.656029921</v>
      </c>
      <c r="AI734" t="n">
        <v>68.97999527899999</v>
      </c>
      <c r="AJ734" t="n">
        <v>57.742147829</v>
      </c>
      <c r="AK734" t="n">
        <v/>
      </c>
      <c r="AL734" t="n">
        <v>53.7379751</v>
      </c>
      <c r="AM734" t="n">
        <v/>
      </c>
      <c r="AN734" t="n">
        <v>71.702825623</v>
      </c>
      <c r="AO734" t="n">
        <v/>
      </c>
      <c r="AP734" t="n">
        <v/>
      </c>
      <c r="AQ734" t="n">
        <v/>
      </c>
      <c r="AR734" t="n">
        <v>60.05779994</v>
      </c>
      <c r="AS734" t="n">
        <v/>
      </c>
      <c r="AT734" t="n">
        <v>51.629528794</v>
      </c>
      <c r="AU734" t="n">
        <v/>
      </c>
    </row>
    <row r="735">
      <c r="A735" s="105" t="n">
        <v>29252</v>
      </c>
      <c r="B735" t="n">
        <v>37.758010036</v>
      </c>
      <c r="C735" t="n">
        <v>54.117760215</v>
      </c>
      <c r="D735" t="n">
        <v>67.26571679600001</v>
      </c>
      <c r="E735" t="n">
        <v>56.250480563</v>
      </c>
      <c r="F735" t="n">
        <v/>
      </c>
      <c r="G735" t="n">
        <v/>
      </c>
      <c r="H735" t="n">
        <v/>
      </c>
      <c r="I735" t="n">
        <v>37.754863798</v>
      </c>
      <c r="J735" t="n">
        <v/>
      </c>
      <c r="K735" t="n">
        <v>61.666102331</v>
      </c>
      <c r="L735" t="n">
        <v>63.784665409</v>
      </c>
      <c r="M735" t="n">
        <v>67.578617373</v>
      </c>
      <c r="N735" t="n">
        <v>82.824557216</v>
      </c>
      <c r="O735" t="n">
        <v/>
      </c>
      <c r="P735" t="n">
        <v/>
      </c>
      <c r="Q735" t="n">
        <v>49.139353889</v>
      </c>
      <c r="R735" t="n">
        <v>81.487023622</v>
      </c>
      <c r="S735" t="n">
        <v>62.103721111</v>
      </c>
      <c r="T735" t="n">
        <v>69.61443226</v>
      </c>
      <c r="U735" t="n">
        <v/>
      </c>
      <c r="V735" t="n">
        <v>112.858153946</v>
      </c>
      <c r="W735" t="n">
        <v/>
      </c>
      <c r="X735" t="n">
        <v/>
      </c>
      <c r="Y735" t="n">
        <v/>
      </c>
      <c r="Z735" t="n">
        <v>7.579140427</v>
      </c>
      <c r="AA735" t="n">
        <v/>
      </c>
      <c r="AB735" t="n">
        <v/>
      </c>
      <c r="AC735" t="n">
        <v>98.970939757</v>
      </c>
      <c r="AD735" t="n">
        <v>73.192203046</v>
      </c>
      <c r="AE735" t="n">
        <v/>
      </c>
      <c r="AF735" t="n">
        <v>52.397302714</v>
      </c>
      <c r="AG735" t="n">
        <v/>
      </c>
      <c r="AH735" t="n">
        <v>54.222251906</v>
      </c>
      <c r="AI735" t="n">
        <v>66.30116051100001</v>
      </c>
      <c r="AJ735" t="n">
        <v>58.863354583</v>
      </c>
      <c r="AK735" t="n">
        <v/>
      </c>
      <c r="AL735" t="n">
        <v>53.846740283</v>
      </c>
      <c r="AM735" t="n">
        <v/>
      </c>
      <c r="AN735" t="n">
        <v>69.95048515800001</v>
      </c>
      <c r="AO735" t="n">
        <v/>
      </c>
      <c r="AP735" t="n">
        <v/>
      </c>
      <c r="AQ735" t="n">
        <v/>
      </c>
      <c r="AR735" t="n">
        <v>59.598027309</v>
      </c>
      <c r="AS735" t="n">
        <v/>
      </c>
      <c r="AT735" t="n">
        <v>51.651541972</v>
      </c>
      <c r="AU735" t="n">
        <v/>
      </c>
    </row>
    <row r="736">
      <c r="A736" s="105" t="n">
        <v>29281</v>
      </c>
      <c r="B736" t="n">
        <v>39.216872935</v>
      </c>
      <c r="C736" t="n">
        <v>54.94920267</v>
      </c>
      <c r="D736" t="n">
        <v>69.746584271</v>
      </c>
      <c r="E736" t="n">
        <v>56.903654348</v>
      </c>
      <c r="F736" t="n">
        <v/>
      </c>
      <c r="G736" t="n">
        <v/>
      </c>
      <c r="H736" t="n">
        <v/>
      </c>
      <c r="I736" t="n">
        <v>39.213605135</v>
      </c>
      <c r="J736" t="n">
        <v/>
      </c>
      <c r="K736" t="n">
        <v>61.11055186</v>
      </c>
      <c r="L736" t="n">
        <v>64.410005265</v>
      </c>
      <c r="M736" t="n">
        <v>67.611438459</v>
      </c>
      <c r="N736" t="n">
        <v>85.81096767</v>
      </c>
      <c r="O736" t="n">
        <v/>
      </c>
      <c r="P736" t="n">
        <v/>
      </c>
      <c r="Q736" t="n">
        <v>50.204293447</v>
      </c>
      <c r="R736" t="n">
        <v>82.055160241</v>
      </c>
      <c r="S736" t="n">
        <v>61.79987956</v>
      </c>
      <c r="T736" t="n">
        <v>69.296073576</v>
      </c>
      <c r="U736" t="n">
        <v/>
      </c>
      <c r="V736" t="n">
        <v>113.719099185</v>
      </c>
      <c r="W736" t="n">
        <v/>
      </c>
      <c r="X736" t="n">
        <v/>
      </c>
      <c r="Y736" t="n">
        <v/>
      </c>
      <c r="Z736" t="n">
        <v>7.714080613</v>
      </c>
      <c r="AA736" t="n">
        <v/>
      </c>
      <c r="AB736" t="n">
        <v/>
      </c>
      <c r="AC736" t="n">
        <v>101.393957115</v>
      </c>
      <c r="AD736" t="n">
        <v>71.257236758</v>
      </c>
      <c r="AE736" t="n">
        <v/>
      </c>
      <c r="AF736" t="n">
        <v>53.566800688</v>
      </c>
      <c r="AG736" t="n">
        <v/>
      </c>
      <c r="AH736" t="n">
        <v>55.234400608</v>
      </c>
      <c r="AI736" t="n">
        <v>69.64970397099999</v>
      </c>
      <c r="AJ736" t="n">
        <v>56.620941075</v>
      </c>
      <c r="AK736" t="n">
        <v/>
      </c>
      <c r="AL736" t="n">
        <v>53.842838629</v>
      </c>
      <c r="AM736" t="n">
        <v/>
      </c>
      <c r="AN736" t="n">
        <v>70.828536305</v>
      </c>
      <c r="AO736" t="n">
        <v/>
      </c>
      <c r="AP736" t="n">
        <v/>
      </c>
      <c r="AQ736" t="n">
        <v/>
      </c>
      <c r="AR736" t="n">
        <v>60.402629413</v>
      </c>
      <c r="AS736" t="n">
        <v/>
      </c>
      <c r="AT736" t="n">
        <v>51.432203461</v>
      </c>
      <c r="AU736" t="n">
        <v/>
      </c>
    </row>
    <row r="737">
      <c r="A737" s="105" t="n">
        <v>29312</v>
      </c>
      <c r="B737" t="n">
        <v>37.956914262</v>
      </c>
      <c r="C737" t="n">
        <v>53.214657699</v>
      </c>
      <c r="D737" t="n">
        <v>66.712121307</v>
      </c>
      <c r="E737" t="n">
        <v>55.639598605</v>
      </c>
      <c r="F737" t="n">
        <v/>
      </c>
      <c r="G737" t="n">
        <v/>
      </c>
      <c r="H737" t="n">
        <v/>
      </c>
      <c r="I737" t="n">
        <v>37.95375145</v>
      </c>
      <c r="J737" t="n">
        <v/>
      </c>
      <c r="K737" t="n">
        <v>60.493273558</v>
      </c>
      <c r="L737" t="n">
        <v>63.784665409</v>
      </c>
      <c r="M737" t="n">
        <v>67.45553829799999</v>
      </c>
      <c r="N737" t="n">
        <v>82.655513677</v>
      </c>
      <c r="O737" t="n">
        <v/>
      </c>
      <c r="P737" t="n">
        <v/>
      </c>
      <c r="Q737" t="n">
        <v>50.457850485</v>
      </c>
      <c r="R737" t="n">
        <v>82.055160241</v>
      </c>
      <c r="S737" t="n">
        <v>61.090627337</v>
      </c>
      <c r="T737" t="n">
        <v>67.27980191</v>
      </c>
      <c r="U737" t="n">
        <v/>
      </c>
      <c r="V737" t="n">
        <v>115.664563184</v>
      </c>
      <c r="W737" t="n">
        <v/>
      </c>
      <c r="X737" t="n">
        <v/>
      </c>
      <c r="Y737" t="n">
        <v/>
      </c>
      <c r="Z737" t="n">
        <v>7.669100551</v>
      </c>
      <c r="AA737" t="n">
        <v/>
      </c>
      <c r="AB737" t="n">
        <v/>
      </c>
      <c r="AC737" t="n">
        <v>99.71648355799999</v>
      </c>
      <c r="AD737" t="n">
        <v>72.519171294</v>
      </c>
      <c r="AE737" t="n">
        <v/>
      </c>
      <c r="AF737" t="n">
        <v>54.436856124</v>
      </c>
      <c r="AG737" t="n">
        <v/>
      </c>
      <c r="AH737" t="n">
        <v>54.945215265</v>
      </c>
      <c r="AI737" t="n">
        <v>66.97086920300001</v>
      </c>
      <c r="AJ737" t="n">
        <v>57.181544452</v>
      </c>
      <c r="AK737" t="n">
        <v/>
      </c>
      <c r="AL737" t="n">
        <v>53.202241336</v>
      </c>
      <c r="AM737" t="n">
        <v/>
      </c>
      <c r="AN737" t="n">
        <v>69.713745112</v>
      </c>
      <c r="AO737" t="n">
        <v/>
      </c>
      <c r="AP737" t="n">
        <v/>
      </c>
      <c r="AQ737" t="n">
        <v/>
      </c>
      <c r="AR737" t="n">
        <v>59.54055573</v>
      </c>
      <c r="AS737" t="n">
        <v/>
      </c>
      <c r="AT737" t="n">
        <v>50.417514954</v>
      </c>
      <c r="AU737" t="n">
        <v/>
      </c>
    </row>
    <row r="738">
      <c r="A738" s="105" t="n">
        <v>29342</v>
      </c>
      <c r="B738" t="n">
        <v>37.857895259</v>
      </c>
      <c r="C738" t="n">
        <v>53.296954618</v>
      </c>
      <c r="D738" t="n">
        <v>68.981901463</v>
      </c>
      <c r="E738" t="n">
        <v>54.267933656</v>
      </c>
      <c r="F738" t="n">
        <v/>
      </c>
      <c r="G738" t="n">
        <v/>
      </c>
      <c r="H738" t="n">
        <v/>
      </c>
      <c r="I738" t="n">
        <v>37.854740698</v>
      </c>
      <c r="J738" t="n">
        <v/>
      </c>
      <c r="K738" t="n">
        <v>60.431545728</v>
      </c>
      <c r="L738" t="n">
        <v>62.533985695</v>
      </c>
      <c r="M738" t="n">
        <v>66.684242762</v>
      </c>
      <c r="N738" t="n">
        <v>82.151758398</v>
      </c>
      <c r="O738" t="n">
        <v/>
      </c>
      <c r="P738" t="n">
        <v/>
      </c>
      <c r="Q738" t="n">
        <v>49.190065297</v>
      </c>
      <c r="R738" t="n">
        <v>80.026100892</v>
      </c>
      <c r="S738" t="n">
        <v>60.106722443</v>
      </c>
      <c r="T738" t="n">
        <v>67.38592147200001</v>
      </c>
      <c r="U738" t="n">
        <v/>
      </c>
      <c r="V738" t="n">
        <v>115.261580225</v>
      </c>
      <c r="W738" t="n">
        <v/>
      </c>
      <c r="X738" t="n">
        <v/>
      </c>
      <c r="Y738" t="n">
        <v/>
      </c>
      <c r="Z738" t="n">
        <v>7.826530768</v>
      </c>
      <c r="AA738" t="n">
        <v/>
      </c>
      <c r="AB738" t="n">
        <v/>
      </c>
      <c r="AC738" t="n">
        <v>97.38665917100001</v>
      </c>
      <c r="AD738" t="n">
        <v>72.01439748</v>
      </c>
      <c r="AE738" t="n">
        <v/>
      </c>
      <c r="AF738" t="n">
        <v>52.737113003</v>
      </c>
      <c r="AG738" t="n">
        <v/>
      </c>
      <c r="AH738" t="n">
        <v>55.017511601</v>
      </c>
      <c r="AI738" t="n">
        <v>67.64057789500001</v>
      </c>
      <c r="AJ738" t="n">
        <v>57.181544452</v>
      </c>
      <c r="AK738" t="n">
        <v/>
      </c>
      <c r="AL738" t="n">
        <v>52.372960153</v>
      </c>
      <c r="AM738" t="n">
        <v/>
      </c>
      <c r="AN738" t="n">
        <v>69.195480714</v>
      </c>
      <c r="AO738" t="n">
        <v/>
      </c>
      <c r="AP738" t="n">
        <v/>
      </c>
      <c r="AQ738" t="n">
        <v/>
      </c>
      <c r="AR738" t="n">
        <v>45.977263112</v>
      </c>
      <c r="AS738" t="n">
        <v/>
      </c>
      <c r="AT738" t="n">
        <v>49.177340111</v>
      </c>
      <c r="AU738" t="n">
        <v/>
      </c>
    </row>
    <row r="739">
      <c r="A739" s="105" t="n">
        <v>29373</v>
      </c>
      <c r="B739" t="n">
        <v>38.313629331</v>
      </c>
      <c r="C739" t="n">
        <v>52.662653521</v>
      </c>
      <c r="D739" t="n">
        <v>69.71328903200001</v>
      </c>
      <c r="E739" t="n">
        <v>53.925369851</v>
      </c>
      <c r="F739" t="n">
        <v/>
      </c>
      <c r="G739" t="n">
        <v/>
      </c>
      <c r="H739" t="n">
        <v/>
      </c>
      <c r="I739" t="n">
        <v>38.310436794</v>
      </c>
      <c r="J739" t="n">
        <v/>
      </c>
      <c r="K739" t="n">
        <v>59.875995257</v>
      </c>
      <c r="L739" t="n">
        <v>62.533985695</v>
      </c>
      <c r="M739" t="n">
        <v>67.06989053</v>
      </c>
      <c r="N739" t="n">
        <v>83.284411058</v>
      </c>
      <c r="O739" t="n">
        <v/>
      </c>
      <c r="P739" t="n">
        <v/>
      </c>
      <c r="Q739" t="n">
        <v>51.877769895</v>
      </c>
      <c r="R739" t="n">
        <v>80.431912764</v>
      </c>
      <c r="S739" t="n">
        <v>59.571605642</v>
      </c>
      <c r="T739" t="n">
        <v>67.49204103300001</v>
      </c>
      <c r="U739" t="n">
        <v/>
      </c>
      <c r="V739" t="n">
        <v>115.211099312</v>
      </c>
      <c r="W739" t="n">
        <v/>
      </c>
      <c r="X739" t="n">
        <v/>
      </c>
      <c r="Y739" t="n">
        <v/>
      </c>
      <c r="Z739" t="n">
        <v>7.714080613</v>
      </c>
      <c r="AA739" t="n">
        <v/>
      </c>
      <c r="AB739" t="n">
        <v/>
      </c>
      <c r="AC739" t="n">
        <v>96.547922399</v>
      </c>
      <c r="AD739" t="n">
        <v>71.257236758</v>
      </c>
      <c r="AE739" t="n">
        <v/>
      </c>
      <c r="AF739" t="n">
        <v>51.990432538</v>
      </c>
      <c r="AG739" t="n">
        <v/>
      </c>
      <c r="AH739" t="n">
        <v>55.595882288</v>
      </c>
      <c r="AI739" t="n">
        <v>66.97086920300001</v>
      </c>
      <c r="AJ739" t="n">
        <v>58.302751206</v>
      </c>
      <c r="AK739" t="n">
        <v/>
      </c>
      <c r="AL739" t="n">
        <v>52.161908045</v>
      </c>
      <c r="AM739" t="n">
        <v/>
      </c>
      <c r="AN739" t="n">
        <v>70.698952078</v>
      </c>
      <c r="AO739" t="n">
        <v/>
      </c>
      <c r="AP739" t="n">
        <v/>
      </c>
      <c r="AQ739" t="n">
        <v/>
      </c>
      <c r="AR739" t="n">
        <v>59.253197836</v>
      </c>
      <c r="AS739" t="n">
        <v/>
      </c>
      <c r="AT739" t="n">
        <v>48.550063701</v>
      </c>
      <c r="AU739" t="n">
        <v/>
      </c>
    </row>
    <row r="740">
      <c r="A740" s="105" t="n">
        <v>29403</v>
      </c>
      <c r="B740" t="n">
        <v>37.094722041</v>
      </c>
      <c r="C740" t="n">
        <v>52.300417838</v>
      </c>
      <c r="D740" t="n">
        <v>68.922949879</v>
      </c>
      <c r="E740" t="n">
        <v>54.409376325</v>
      </c>
      <c r="F740" t="n">
        <v/>
      </c>
      <c r="G740" t="n">
        <v/>
      </c>
      <c r="H740" t="n">
        <v/>
      </c>
      <c r="I740" t="n">
        <v>37.091631071</v>
      </c>
      <c r="J740" t="n">
        <v/>
      </c>
      <c r="K740" t="n">
        <v>60.184634408</v>
      </c>
      <c r="L740" t="n">
        <v>64.410005265</v>
      </c>
      <c r="M740" t="n">
        <v>66.48731624200001</v>
      </c>
      <c r="N740" t="n">
        <v>82.148074298</v>
      </c>
      <c r="O740" t="n">
        <v/>
      </c>
      <c r="P740" t="n">
        <v/>
      </c>
      <c r="Q740" t="n">
        <v>55.833259682</v>
      </c>
      <c r="R740" t="n">
        <v>81.162374129</v>
      </c>
      <c r="S740" t="n">
        <v>59.222841117</v>
      </c>
      <c r="T740" t="n">
        <v>66.006367174</v>
      </c>
      <c r="U740" t="n">
        <v/>
      </c>
      <c r="V740" t="n">
        <v>114.40946066</v>
      </c>
      <c r="W740" t="n">
        <v/>
      </c>
      <c r="X740" t="n">
        <v/>
      </c>
      <c r="Y740" t="n">
        <v/>
      </c>
      <c r="Z740" t="n">
        <v>7.444200242</v>
      </c>
      <c r="AA740" t="n">
        <v/>
      </c>
      <c r="AB740" t="n">
        <v/>
      </c>
      <c r="AC740" t="n">
        <v>93.752133134</v>
      </c>
      <c r="AD740" t="n">
        <v>71.173107789</v>
      </c>
      <c r="AE740" t="n">
        <v/>
      </c>
      <c r="AF740" t="n">
        <v>52.351102224</v>
      </c>
      <c r="AG740" t="n">
        <v/>
      </c>
      <c r="AH740" t="n">
        <v>54.656029921</v>
      </c>
      <c r="AI740" t="n">
        <v>66.30116051100001</v>
      </c>
      <c r="AJ740" t="n">
        <v>49.333097174</v>
      </c>
      <c r="AK740" t="n">
        <v/>
      </c>
      <c r="AL740" t="n">
        <v>51.787428527</v>
      </c>
      <c r="AM740" t="n">
        <v/>
      </c>
      <c r="AN740" t="n">
        <v>70.17189598</v>
      </c>
      <c r="AO740" t="n">
        <v/>
      </c>
      <c r="AP740" t="n">
        <v/>
      </c>
      <c r="AQ740" t="n">
        <v/>
      </c>
      <c r="AR740" t="n">
        <v>60.115271519</v>
      </c>
      <c r="AS740" t="n">
        <v/>
      </c>
      <c r="AT740" t="n">
        <v>48.199935183</v>
      </c>
      <c r="AU740" t="n">
        <v/>
      </c>
    </row>
    <row r="741">
      <c r="A741" s="105" t="n">
        <v>29434</v>
      </c>
      <c r="B741" t="n">
        <v>38.12502585</v>
      </c>
      <c r="C741" t="n">
        <v>53.021177159</v>
      </c>
      <c r="D741" t="n">
        <v>68.613498714</v>
      </c>
      <c r="E741" t="n">
        <v>54.156565176</v>
      </c>
      <c r="F741" t="n">
        <v/>
      </c>
      <c r="G741" t="n">
        <v/>
      </c>
      <c r="H741" t="n">
        <v/>
      </c>
      <c r="I741" t="n">
        <v>38.121849029</v>
      </c>
      <c r="J741" t="n">
        <v/>
      </c>
      <c r="K741" t="n">
        <v>60.308090068</v>
      </c>
      <c r="L741" t="n">
        <v>60.657966124</v>
      </c>
      <c r="M741" t="n">
        <v>67.76733862099999</v>
      </c>
      <c r="N741" t="n">
        <v>81.867777964</v>
      </c>
      <c r="O741" t="n">
        <v/>
      </c>
      <c r="P741" t="n">
        <v/>
      </c>
      <c r="Q741" t="n">
        <v>50.96496456</v>
      </c>
      <c r="R741" t="n">
        <v>81.162374129</v>
      </c>
      <c r="S741" t="n">
        <v>59.110230271</v>
      </c>
      <c r="T741" t="n">
        <v>64.94517156000001</v>
      </c>
      <c r="U741" t="n">
        <v/>
      </c>
      <c r="V741" t="n">
        <v>111.557044486</v>
      </c>
      <c r="W741" t="n">
        <v/>
      </c>
      <c r="X741" t="n">
        <v/>
      </c>
      <c r="Y741" t="n">
        <v/>
      </c>
      <c r="Z741" t="n">
        <v>7.624120489</v>
      </c>
      <c r="AA741" t="n">
        <v/>
      </c>
      <c r="AB741" t="n">
        <v/>
      </c>
      <c r="AC741" t="n">
        <v>97.2934662</v>
      </c>
      <c r="AD741" t="n">
        <v>69.06988356399999</v>
      </c>
      <c r="AE741" t="n">
        <v/>
      </c>
      <c r="AF741" t="n">
        <v>46.953553264</v>
      </c>
      <c r="AG741" t="n">
        <v/>
      </c>
      <c r="AH741" t="n">
        <v>56.318845646</v>
      </c>
      <c r="AI741" t="n">
        <v>65.63145181900001</v>
      </c>
      <c r="AJ741" t="n">
        <v>56.060337698</v>
      </c>
      <c r="AK741" t="n">
        <v/>
      </c>
      <c r="AL741" t="n">
        <v>51.753692958</v>
      </c>
      <c r="AM741" t="n">
        <v/>
      </c>
      <c r="AN741" t="n">
        <v>67.61493309399999</v>
      </c>
      <c r="AO741" t="n">
        <v/>
      </c>
      <c r="AP741" t="n">
        <v/>
      </c>
      <c r="AQ741" t="n">
        <v/>
      </c>
      <c r="AR741" t="n">
        <v>58.333652573</v>
      </c>
      <c r="AS741" t="n">
        <v/>
      </c>
      <c r="AT741" t="n">
        <v>48.354225745</v>
      </c>
      <c r="AU741" t="n">
        <v/>
      </c>
    </row>
    <row r="742">
      <c r="A742" s="105" t="n">
        <v>29465</v>
      </c>
      <c r="B742" t="n">
        <v>36.956670664</v>
      </c>
      <c r="C742" t="n">
        <v>51.291917377</v>
      </c>
      <c r="D742" t="n">
        <v>71.156115856</v>
      </c>
      <c r="E742" t="n">
        <v>55.403234279</v>
      </c>
      <c r="F742" t="n">
        <v/>
      </c>
      <c r="G742" t="n">
        <v/>
      </c>
      <c r="H742" t="n">
        <v/>
      </c>
      <c r="I742" t="n">
        <v>36.953591198</v>
      </c>
      <c r="J742" t="n">
        <v/>
      </c>
      <c r="K742" t="n">
        <v>58.209343842</v>
      </c>
      <c r="L742" t="n">
        <v>61.283305981</v>
      </c>
      <c r="M742" t="n">
        <v>65.68319962</v>
      </c>
      <c r="N742" t="n">
        <v>82.43936278300001</v>
      </c>
      <c r="O742" t="n">
        <v/>
      </c>
      <c r="P742" t="n">
        <v/>
      </c>
      <c r="Q742" t="n">
        <v>50.812830337</v>
      </c>
      <c r="R742" t="n">
        <v>79.620289021</v>
      </c>
      <c r="S742" t="n">
        <v>58.967880031</v>
      </c>
      <c r="T742" t="n">
        <v>63.777856385</v>
      </c>
      <c r="U742" t="n">
        <v/>
      </c>
      <c r="V742" t="n">
        <v>112.899413276</v>
      </c>
      <c r="W742" t="n">
        <v/>
      </c>
      <c r="X742" t="n">
        <v/>
      </c>
      <c r="Y742" t="n">
        <v/>
      </c>
      <c r="Z742" t="n">
        <v>7.421710211</v>
      </c>
      <c r="AA742" t="n">
        <v/>
      </c>
      <c r="AB742" t="n">
        <v/>
      </c>
      <c r="AC742" t="n">
        <v>91.422308758</v>
      </c>
      <c r="AD742" t="n">
        <v>70.16356016100001</v>
      </c>
      <c r="AE742" t="n">
        <v/>
      </c>
      <c r="AF742" t="n">
        <v>47.942409726</v>
      </c>
      <c r="AG742" t="n">
        <v/>
      </c>
      <c r="AH742" t="n">
        <v>56.463438318</v>
      </c>
      <c r="AI742" t="n">
        <v>63.622325743</v>
      </c>
      <c r="AJ742" t="n">
        <v>54.939130944</v>
      </c>
      <c r="AK742" t="n">
        <v/>
      </c>
      <c r="AL742" t="n">
        <v>51.605120786</v>
      </c>
      <c r="AM742" t="n">
        <v/>
      </c>
      <c r="AN742" t="n">
        <v>67.308168862</v>
      </c>
      <c r="AO742" t="n">
        <v/>
      </c>
      <c r="AP742" t="n">
        <v/>
      </c>
      <c r="AQ742" t="n">
        <v/>
      </c>
      <c r="AR742" t="n">
        <v>57.529050469</v>
      </c>
      <c r="AS742" t="n">
        <v/>
      </c>
      <c r="AT742" t="n">
        <v>49.159194113</v>
      </c>
      <c r="AU742" t="n">
        <v/>
      </c>
    </row>
    <row r="743">
      <c r="A743" s="105" t="n">
        <v>29495</v>
      </c>
      <c r="B743" t="n">
        <v>37.601833093</v>
      </c>
      <c r="C743" t="n">
        <v>50.957891923</v>
      </c>
      <c r="D743" t="n">
        <v>69.434772287</v>
      </c>
      <c r="E743" t="n">
        <v>56.044190425</v>
      </c>
      <c r="F743" t="n">
        <v/>
      </c>
      <c r="G743" t="n">
        <v/>
      </c>
      <c r="H743" t="n">
        <v/>
      </c>
      <c r="I743" t="n">
        <v>37.598699868</v>
      </c>
      <c r="J743" t="n">
        <v/>
      </c>
      <c r="K743" t="n">
        <v>58.517982993</v>
      </c>
      <c r="L743" t="n">
        <v>61.283305981</v>
      </c>
      <c r="M743" t="n">
        <v>65.773457608</v>
      </c>
      <c r="N743" t="n">
        <v>82.99409697999999</v>
      </c>
      <c r="O743" t="n">
        <v/>
      </c>
      <c r="P743" t="n">
        <v/>
      </c>
      <c r="Q743" t="n">
        <v>51.015675967</v>
      </c>
      <c r="R743" t="n">
        <v>79.29563952700001</v>
      </c>
      <c r="S743" t="n">
        <v>59.433495865</v>
      </c>
      <c r="T743" t="n">
        <v>63.565617262</v>
      </c>
      <c r="U743" t="n">
        <v/>
      </c>
      <c r="V743" t="n">
        <v>109.318776101</v>
      </c>
      <c r="W743" t="n">
        <v/>
      </c>
      <c r="X743" t="n">
        <v/>
      </c>
      <c r="Y743" t="n">
        <v/>
      </c>
      <c r="Z743" t="n">
        <v>7.534160366</v>
      </c>
      <c r="AA743" t="n">
        <v/>
      </c>
      <c r="AB743" t="n">
        <v/>
      </c>
      <c r="AC743" t="n">
        <v>92.354238502</v>
      </c>
      <c r="AD743" t="n">
        <v>70.584205006</v>
      </c>
      <c r="AE743" t="n">
        <v/>
      </c>
      <c r="AF743" t="n">
        <v>46.838697414</v>
      </c>
      <c r="AG743" t="n">
        <v/>
      </c>
      <c r="AH743" t="n">
        <v>57.403290685</v>
      </c>
      <c r="AI743" t="n">
        <v>66.30116051100001</v>
      </c>
      <c r="AJ743" t="n">
        <v>56.620941075</v>
      </c>
      <c r="AK743" t="n">
        <v/>
      </c>
      <c r="AL743" t="n">
        <v>52.061532362</v>
      </c>
      <c r="AM743" t="n">
        <v/>
      </c>
      <c r="AN743" t="n">
        <v>71.331329509</v>
      </c>
      <c r="AO743" t="n">
        <v/>
      </c>
      <c r="AP743" t="n">
        <v/>
      </c>
      <c r="AQ743" t="n">
        <v/>
      </c>
      <c r="AR743" t="n">
        <v>58.161237837</v>
      </c>
      <c r="AS743" t="n">
        <v/>
      </c>
      <c r="AT743" t="n">
        <v>49.783297452</v>
      </c>
      <c r="AU743" t="n">
        <v/>
      </c>
    </row>
    <row r="744">
      <c r="A744" s="105" t="n">
        <v>29526</v>
      </c>
      <c r="B744" t="n">
        <v>37.975665057</v>
      </c>
      <c r="C744" t="n">
        <v>51.057105918</v>
      </c>
      <c r="D744" t="n">
        <v>70.647531176</v>
      </c>
      <c r="E744" t="n">
        <v>56.153209359</v>
      </c>
      <c r="F744" t="n">
        <v/>
      </c>
      <c r="G744" t="n">
        <v/>
      </c>
      <c r="H744" t="n">
        <v/>
      </c>
      <c r="I744" t="n">
        <v>37.972500682</v>
      </c>
      <c r="J744" t="n">
        <v/>
      </c>
      <c r="K744" t="n">
        <v>59.505628276</v>
      </c>
      <c r="L744" t="n">
        <v>60.657966124</v>
      </c>
      <c r="M744" t="n">
        <v>66.364237167</v>
      </c>
      <c r="N744" t="n">
        <v>83.094078936</v>
      </c>
      <c r="O744" t="n">
        <v/>
      </c>
      <c r="P744" t="n">
        <v/>
      </c>
      <c r="Q744" t="n">
        <v>51.218521598</v>
      </c>
      <c r="R744" t="n">
        <v>78.80866527800001</v>
      </c>
      <c r="S744" t="n">
        <v>60.077233905</v>
      </c>
      <c r="T744" t="n">
        <v>63.565617262</v>
      </c>
      <c r="U744" t="n">
        <v/>
      </c>
      <c r="V744" t="n">
        <v>110.153505984</v>
      </c>
      <c r="W744" t="n">
        <v/>
      </c>
      <c r="X744" t="n">
        <v/>
      </c>
      <c r="Y744" t="n">
        <v/>
      </c>
      <c r="Z744" t="n">
        <v>7.511670335</v>
      </c>
      <c r="AA744" t="n">
        <v/>
      </c>
      <c r="AB744" t="n">
        <v/>
      </c>
      <c r="AC744" t="n">
        <v>96.920694294</v>
      </c>
      <c r="AD744" t="n">
        <v>69.658786347</v>
      </c>
      <c r="AE744" t="n">
        <v/>
      </c>
      <c r="AF744" t="n">
        <v>48.700464305</v>
      </c>
      <c r="AG744" t="n">
        <v/>
      </c>
      <c r="AH744" t="n">
        <v>58.270846715</v>
      </c>
      <c r="AI744" t="n">
        <v>68.31028658699999</v>
      </c>
      <c r="AJ744" t="n">
        <v>55.499734321</v>
      </c>
      <c r="AK744" t="n">
        <v/>
      </c>
      <c r="AL744" t="n">
        <v>52.611061582</v>
      </c>
      <c r="AM744" t="n">
        <v/>
      </c>
      <c r="AN744" t="n">
        <v>70.277469372</v>
      </c>
      <c r="AO744" t="n">
        <v/>
      </c>
      <c r="AP744" t="n">
        <v/>
      </c>
      <c r="AQ744" t="n">
        <v/>
      </c>
      <c r="AR744" t="n">
        <v>58.391124152</v>
      </c>
      <c r="AS744" t="n">
        <v/>
      </c>
      <c r="AT744" t="n">
        <v>50.612262166</v>
      </c>
      <c r="AU744" t="n">
        <v/>
      </c>
    </row>
    <row r="745">
      <c r="A745" s="105" t="n">
        <v>29556</v>
      </c>
      <c r="B745" t="n">
        <v>38.639314487</v>
      </c>
      <c r="C745" t="n">
        <v>49.533598477</v>
      </c>
      <c r="D745" t="n">
        <v>67.870780037</v>
      </c>
      <c r="E745" t="n">
        <v>56.601502734</v>
      </c>
      <c r="F745" t="n">
        <v/>
      </c>
      <c r="G745" t="n">
        <v/>
      </c>
      <c r="H745" t="n">
        <v/>
      </c>
      <c r="I745" t="n">
        <v>38.636094813</v>
      </c>
      <c r="J745" t="n">
        <v/>
      </c>
      <c r="K745" t="n">
        <v>58.641438653</v>
      </c>
      <c r="L745" t="n">
        <v>61.283305981</v>
      </c>
      <c r="M745" t="n">
        <v>66.372442439</v>
      </c>
      <c r="N745" t="n">
        <v>81.716950419</v>
      </c>
      <c r="O745" t="n">
        <v/>
      </c>
      <c r="P745" t="n">
        <v/>
      </c>
      <c r="Q745" t="n">
        <v>52.029904118</v>
      </c>
      <c r="R745" t="n">
        <v>80.107263261</v>
      </c>
      <c r="S745" t="n">
        <v>60.256439351</v>
      </c>
      <c r="T745" t="n">
        <v>63.141139017</v>
      </c>
      <c r="U745" t="n">
        <v/>
      </c>
      <c r="V745" t="n">
        <v>114.990370566</v>
      </c>
      <c r="W745" t="n">
        <v/>
      </c>
      <c r="X745" t="n">
        <v/>
      </c>
      <c r="Y745" t="n">
        <v/>
      </c>
      <c r="Z745" t="n">
        <v>7.219299932</v>
      </c>
      <c r="AA745" t="n">
        <v/>
      </c>
      <c r="AB745" t="n">
        <v/>
      </c>
      <c r="AC745" t="n">
        <v>95.522799662</v>
      </c>
      <c r="AD745" t="n">
        <v>70.668333975</v>
      </c>
      <c r="AE745" t="n">
        <v/>
      </c>
      <c r="AF745" t="n">
        <v>47.389277905</v>
      </c>
      <c r="AG745" t="n">
        <v/>
      </c>
      <c r="AH745" t="n">
        <v>58.776921066</v>
      </c>
      <c r="AI745" t="n">
        <v>66.97086920300001</v>
      </c>
      <c r="AJ745" t="n">
        <v>54.939130944</v>
      </c>
      <c r="AK745" t="n">
        <v/>
      </c>
      <c r="AL745" t="n">
        <v>52.716773005</v>
      </c>
      <c r="AM745" t="n">
        <v/>
      </c>
      <c r="AN745" t="n">
        <v>71.201753583</v>
      </c>
      <c r="AO745" t="n">
        <v/>
      </c>
      <c r="AP745" t="n">
        <v/>
      </c>
      <c r="AQ745" t="n">
        <v/>
      </c>
      <c r="AR745" t="n">
        <v>57.069277838</v>
      </c>
      <c r="AS745" t="n">
        <v/>
      </c>
      <c r="AT745" t="n">
        <v>50.95812687</v>
      </c>
      <c r="AU745" t="n">
        <v/>
      </c>
    </row>
    <row r="746">
      <c r="A746" s="105" t="n">
        <v>29587</v>
      </c>
      <c r="B746" t="n">
        <v>36.902053194</v>
      </c>
      <c r="C746" t="n">
        <v>49.974178672</v>
      </c>
      <c r="D746" t="n">
        <v>68.086031241</v>
      </c>
      <c r="E746" t="n">
        <v>55.981222592</v>
      </c>
      <c r="F746" t="n">
        <v/>
      </c>
      <c r="G746" t="n">
        <v/>
      </c>
      <c r="H746" t="n">
        <v/>
      </c>
      <c r="I746" t="n">
        <v>36.898978279</v>
      </c>
      <c r="J746" t="n">
        <v/>
      </c>
      <c r="K746" t="n">
        <v>58.394527333</v>
      </c>
      <c r="L746" t="n">
        <v>61.908645838</v>
      </c>
      <c r="M746" t="n">
        <v>65.223704407</v>
      </c>
      <c r="N746" t="n">
        <v>81.334694244</v>
      </c>
      <c r="O746" t="n">
        <v/>
      </c>
      <c r="P746" t="n">
        <v/>
      </c>
      <c r="Q746" t="n">
        <v>50.812830337</v>
      </c>
      <c r="R746" t="n">
        <v>79.782613768</v>
      </c>
      <c r="S746" t="n">
        <v>59.980913285</v>
      </c>
      <c r="T746" t="n">
        <v>63.035019455</v>
      </c>
      <c r="U746" t="n">
        <v/>
      </c>
      <c r="V746" t="n">
        <v>110.710018387</v>
      </c>
      <c r="W746" t="n">
        <v/>
      </c>
      <c r="X746" t="n">
        <v/>
      </c>
      <c r="Y746" t="n">
        <v/>
      </c>
      <c r="Z746" t="n">
        <v>7.826530768</v>
      </c>
      <c r="AA746" t="n">
        <v/>
      </c>
      <c r="AB746" t="n">
        <v/>
      </c>
      <c r="AC746" t="n">
        <v>94.78555083000001</v>
      </c>
      <c r="AD746" t="n">
        <v>70.752462944</v>
      </c>
      <c r="AE746" t="n">
        <v/>
      </c>
      <c r="AF746" t="n">
        <v>46.665560443</v>
      </c>
      <c r="AG746" t="n">
        <v/>
      </c>
      <c r="AH746" t="n">
        <v>58.993810074</v>
      </c>
      <c r="AI746" t="n">
        <v>66.30116051100001</v>
      </c>
      <c r="AJ746" t="n">
        <v>54.939130944</v>
      </c>
      <c r="AK746" t="n">
        <v/>
      </c>
      <c r="AL746" t="n">
        <v>52.467988473</v>
      </c>
      <c r="AM746" t="n">
        <v/>
      </c>
      <c r="AN746" t="n">
        <v>69.62309270999999</v>
      </c>
      <c r="AO746" t="n">
        <v/>
      </c>
      <c r="AP746" t="n">
        <v/>
      </c>
      <c r="AQ746" t="n">
        <v/>
      </c>
      <c r="AR746" t="n">
        <v>57.758936784</v>
      </c>
      <c r="AS746" t="n">
        <v/>
      </c>
      <c r="AT746" t="n">
        <v>50.63586188</v>
      </c>
      <c r="AU746" t="n">
        <v/>
      </c>
    </row>
    <row r="747">
      <c r="A747" s="105" t="n">
        <v>29618</v>
      </c>
      <c r="B747" t="n">
        <v>37.730513072</v>
      </c>
      <c r="C747" t="n">
        <v>51.077270158</v>
      </c>
      <c r="D747" t="n">
        <v>70.894104304</v>
      </c>
      <c r="E747" t="n">
        <v>56.320027124</v>
      </c>
      <c r="F747" t="n">
        <v/>
      </c>
      <c r="G747" t="n">
        <v/>
      </c>
      <c r="H747" t="n">
        <v/>
      </c>
      <c r="I747" t="n">
        <v>37.727369125</v>
      </c>
      <c r="J747" t="n">
        <v/>
      </c>
      <c r="K747" t="n">
        <v>59.505628276</v>
      </c>
      <c r="L747" t="n">
        <v>63.159325552</v>
      </c>
      <c r="M747" t="n">
        <v>66.290389722</v>
      </c>
      <c r="N747" t="n">
        <v>83.003500206</v>
      </c>
      <c r="O747" t="n">
        <v/>
      </c>
      <c r="P747" t="n">
        <v/>
      </c>
      <c r="Q747" t="n">
        <v>51.77634708</v>
      </c>
      <c r="R747" t="n">
        <v>80.513075133</v>
      </c>
      <c r="S747" t="n">
        <v>60.113571713</v>
      </c>
      <c r="T747" t="n">
        <v>63.565617262</v>
      </c>
      <c r="U747" t="n">
        <v/>
      </c>
      <c r="V747" t="n">
        <v>111.607022228</v>
      </c>
      <c r="W747" t="n">
        <v/>
      </c>
      <c r="X747" t="n">
        <v/>
      </c>
      <c r="Y747" t="n">
        <v/>
      </c>
      <c r="Z747" t="n">
        <v>7.849020799</v>
      </c>
      <c r="AA747" t="n">
        <v/>
      </c>
      <c r="AB747" t="n">
        <v/>
      </c>
      <c r="AC747" t="n">
        <v>95.257707995</v>
      </c>
      <c r="AD747" t="n">
        <v>70.500076037</v>
      </c>
      <c r="AE747" t="n">
        <v/>
      </c>
      <c r="AF747" t="n">
        <v>47.167998744</v>
      </c>
      <c r="AG747" t="n">
        <v/>
      </c>
      <c r="AH747" t="n">
        <v>59.644477097</v>
      </c>
      <c r="AI747" t="n">
        <v>68.31028658699999</v>
      </c>
      <c r="AJ747" t="n">
        <v>55.499734321</v>
      </c>
      <c r="AK747" t="n">
        <v/>
      </c>
      <c r="AL747" t="n">
        <v>52.719552696</v>
      </c>
      <c r="AM747" t="n">
        <v/>
      </c>
      <c r="AN747" t="n">
        <v>72.910430819</v>
      </c>
      <c r="AO747" t="n">
        <v/>
      </c>
      <c r="AP747" t="n">
        <v/>
      </c>
      <c r="AQ747" t="n">
        <v/>
      </c>
      <c r="AR747" t="n">
        <v>57.931351521</v>
      </c>
      <c r="AS747" t="n">
        <v/>
      </c>
      <c r="AT747" t="n">
        <v>50.427430799</v>
      </c>
      <c r="AU747" t="n">
        <v/>
      </c>
    </row>
    <row r="748">
      <c r="A748" s="105" t="n">
        <v>29646</v>
      </c>
      <c r="B748" t="n">
        <v>37.767287483</v>
      </c>
      <c r="C748" t="n">
        <v>51.253633507</v>
      </c>
      <c r="D748" t="n">
        <v>64.06995078600001</v>
      </c>
      <c r="E748" t="n">
        <v>56.198790551</v>
      </c>
      <c r="F748" t="n">
        <v/>
      </c>
      <c r="G748" t="n">
        <v/>
      </c>
      <c r="H748" t="n">
        <v/>
      </c>
      <c r="I748" t="n">
        <v>37.764140472</v>
      </c>
      <c r="J748" t="n">
        <v/>
      </c>
      <c r="K748" t="n">
        <v>59.258716955</v>
      </c>
      <c r="L748" t="n">
        <v>61.908645838</v>
      </c>
      <c r="M748" t="n">
        <v>65.43704147</v>
      </c>
      <c r="N748" t="n">
        <v>82.181108894</v>
      </c>
      <c r="O748" t="n">
        <v/>
      </c>
      <c r="P748" t="n">
        <v/>
      </c>
      <c r="Q748" t="n">
        <v>51.269233005</v>
      </c>
      <c r="R748" t="n">
        <v>78.97099002500001</v>
      </c>
      <c r="S748" t="n">
        <v>60.155135692</v>
      </c>
      <c r="T748" t="n">
        <v>63.565617262</v>
      </c>
      <c r="U748" t="n">
        <v/>
      </c>
      <c r="V748" t="n">
        <v>112.114381517</v>
      </c>
      <c r="W748" t="n">
        <v/>
      </c>
      <c r="X748" t="n">
        <v/>
      </c>
      <c r="Y748" t="n">
        <v/>
      </c>
      <c r="Z748" t="n">
        <v>7.64661052</v>
      </c>
      <c r="AA748" t="n">
        <v/>
      </c>
      <c r="AB748" t="n">
        <v/>
      </c>
      <c r="AC748" t="n">
        <v>95.139668704</v>
      </c>
      <c r="AD748" t="n">
        <v>70.752462944</v>
      </c>
      <c r="AE748" t="n">
        <v/>
      </c>
      <c r="AF748" t="n">
        <v>47.473281667</v>
      </c>
      <c r="AG748" t="n">
        <v/>
      </c>
      <c r="AH748" t="n">
        <v>60.150551448</v>
      </c>
      <c r="AI748" t="n">
        <v>65.63145181900001</v>
      </c>
      <c r="AJ748" t="n">
        <v>56.060337698</v>
      </c>
      <c r="AK748" t="n">
        <v/>
      </c>
      <c r="AL748" t="n">
        <v>52.707132798</v>
      </c>
      <c r="AM748" t="n">
        <v/>
      </c>
      <c r="AN748" t="n">
        <v>71.039518401</v>
      </c>
      <c r="AO748" t="n">
        <v/>
      </c>
      <c r="AP748" t="n">
        <v/>
      </c>
      <c r="AQ748" t="n">
        <v/>
      </c>
      <c r="AR748" t="n">
        <v>57.529050469</v>
      </c>
      <c r="AS748" t="n">
        <v/>
      </c>
      <c r="AT748" t="n">
        <v>50.680582344</v>
      </c>
      <c r="AU748" t="n">
        <v/>
      </c>
    </row>
    <row r="749">
      <c r="A749" s="105" t="n">
        <v>29677</v>
      </c>
      <c r="B749" t="n">
        <v>37.543070355</v>
      </c>
      <c r="C749" t="n">
        <v>50.678260552</v>
      </c>
      <c r="D749" t="n">
        <v>62.950763358</v>
      </c>
      <c r="E749" t="n">
        <v>57.372153819</v>
      </c>
      <c r="F749" t="n">
        <v/>
      </c>
      <c r="G749" t="n">
        <v/>
      </c>
      <c r="H749" t="n">
        <v/>
      </c>
      <c r="I749" t="n">
        <v>37.539942026</v>
      </c>
      <c r="J749" t="n">
        <v/>
      </c>
      <c r="K749" t="n">
        <v>58.703166484</v>
      </c>
      <c r="L749" t="n">
        <v>61.283305981</v>
      </c>
      <c r="M749" t="n">
        <v>65.494478372</v>
      </c>
      <c r="N749" t="n">
        <v>82.86991525000001</v>
      </c>
      <c r="O749" t="n">
        <v/>
      </c>
      <c r="P749" t="n">
        <v/>
      </c>
      <c r="Q749" t="n">
        <v>51.928481303</v>
      </c>
      <c r="R749" t="n">
        <v>78.88982765599999</v>
      </c>
      <c r="S749" t="n">
        <v>60.058693486</v>
      </c>
      <c r="T749" t="n">
        <v>63.883975946</v>
      </c>
      <c r="U749" t="n">
        <v/>
      </c>
      <c r="V749" t="n">
        <v>110.127237243</v>
      </c>
      <c r="W749" t="n">
        <v/>
      </c>
      <c r="X749" t="n">
        <v/>
      </c>
      <c r="Y749" t="n">
        <v/>
      </c>
      <c r="Z749" t="n">
        <v>7.983960984</v>
      </c>
      <c r="AA749" t="n">
        <v/>
      </c>
      <c r="AB749" t="n">
        <v/>
      </c>
      <c r="AC749" t="n">
        <v>95.37574728600001</v>
      </c>
      <c r="AD749" t="n">
        <v>70.752462944</v>
      </c>
      <c r="AE749" t="n">
        <v/>
      </c>
      <c r="AF749" t="n">
        <v>44.712163596</v>
      </c>
      <c r="AG749" t="n">
        <v/>
      </c>
      <c r="AH749" t="n">
        <v>60.728922135</v>
      </c>
      <c r="AI749" t="n">
        <v>66.30116051100001</v>
      </c>
      <c r="AJ749" t="n">
        <v>55.499734321</v>
      </c>
      <c r="AK749" t="n">
        <v/>
      </c>
      <c r="AL749" t="n">
        <v>52.644949803</v>
      </c>
      <c r="AM749" t="n">
        <v/>
      </c>
      <c r="AN749" t="n">
        <v>72.313660814</v>
      </c>
      <c r="AO749" t="n">
        <v/>
      </c>
      <c r="AP749" t="n">
        <v/>
      </c>
      <c r="AQ749" t="n">
        <v/>
      </c>
      <c r="AR749" t="n">
        <v>56.95433468</v>
      </c>
      <c r="AS749" t="n">
        <v/>
      </c>
      <c r="AT749" t="n">
        <v>50.458169922</v>
      </c>
      <c r="AU749" t="n">
        <v/>
      </c>
    </row>
    <row r="750">
      <c r="A750" s="105" t="n">
        <v>29707</v>
      </c>
      <c r="B750" t="n">
        <v>37.395461734</v>
      </c>
      <c r="C750" t="n">
        <v>50.863775274</v>
      </c>
      <c r="D750" t="n">
        <v>62.127954093</v>
      </c>
      <c r="E750" t="n">
        <v>56.480266161</v>
      </c>
      <c r="F750" t="n">
        <v/>
      </c>
      <c r="G750" t="n">
        <v/>
      </c>
      <c r="H750" t="n">
        <v/>
      </c>
      <c r="I750" t="n">
        <v>37.392345706</v>
      </c>
      <c r="J750" t="n">
        <v/>
      </c>
      <c r="K750" t="n">
        <v>59.073533465</v>
      </c>
      <c r="L750" t="n">
        <v>61.908645838</v>
      </c>
      <c r="M750" t="n">
        <v>66.38064771099999</v>
      </c>
      <c r="N750" t="n">
        <v>82.816350946</v>
      </c>
      <c r="O750" t="n">
        <v/>
      </c>
      <c r="P750" t="n">
        <v/>
      </c>
      <c r="Q750" t="n">
        <v>53.348400713</v>
      </c>
      <c r="R750" t="n">
        <v>79.86377614600001</v>
      </c>
      <c r="S750" t="n">
        <v>60.079336291</v>
      </c>
      <c r="T750" t="n">
        <v>62.928899894</v>
      </c>
      <c r="U750" t="n">
        <v/>
      </c>
      <c r="V750" t="n">
        <v>111.80967982</v>
      </c>
      <c r="W750" t="n">
        <v/>
      </c>
      <c r="X750" t="n">
        <v/>
      </c>
      <c r="Y750" t="n">
        <v/>
      </c>
      <c r="Z750" t="n">
        <v>7.916490892</v>
      </c>
      <c r="AA750" t="n">
        <v/>
      </c>
      <c r="AB750" t="n">
        <v/>
      </c>
      <c r="AC750" t="n">
        <v>96.43810090700001</v>
      </c>
      <c r="AD750" t="n">
        <v>69.658786347</v>
      </c>
      <c r="AE750" t="n">
        <v/>
      </c>
      <c r="AF750" t="n">
        <v>48.988028598</v>
      </c>
      <c r="AG750" t="n">
        <v/>
      </c>
      <c r="AH750" t="n">
        <v>60.945811142</v>
      </c>
      <c r="AI750" t="n">
        <v>65.63145181900001</v>
      </c>
      <c r="AJ750" t="n">
        <v>57.742147829</v>
      </c>
      <c r="AK750" t="n">
        <v/>
      </c>
      <c r="AL750" t="n">
        <v>52.692260451</v>
      </c>
      <c r="AM750" t="n">
        <v/>
      </c>
      <c r="AN750" t="n">
        <v>72.27834890600001</v>
      </c>
      <c r="AO750" t="n">
        <v/>
      </c>
      <c r="AP750" t="n">
        <v/>
      </c>
      <c r="AQ750" t="n">
        <v/>
      </c>
      <c r="AR750" t="n">
        <v>56.092260997</v>
      </c>
      <c r="AS750" t="n">
        <v/>
      </c>
      <c r="AT750" t="n">
        <v>50.748109255</v>
      </c>
      <c r="AU750" t="n">
        <v/>
      </c>
    </row>
    <row r="751">
      <c r="A751" s="105" t="n">
        <v>29738</v>
      </c>
      <c r="B751" t="n">
        <v>36.928737327</v>
      </c>
      <c r="C751" t="n">
        <v>51.761169574</v>
      </c>
      <c r="D751" t="n">
        <v>61.481536598</v>
      </c>
      <c r="E751" t="n">
        <v>56.821420239</v>
      </c>
      <c r="F751" t="n">
        <v/>
      </c>
      <c r="G751" t="n">
        <v/>
      </c>
      <c r="H751" t="n">
        <v/>
      </c>
      <c r="I751" t="n">
        <v>36.925660189</v>
      </c>
      <c r="J751" t="n">
        <v/>
      </c>
      <c r="K751" t="n">
        <v>58.394527333</v>
      </c>
      <c r="L751" t="n">
        <v>61.283305981</v>
      </c>
      <c r="M751" t="n">
        <v>65.699610163</v>
      </c>
      <c r="N751" t="n">
        <v>83.471921209</v>
      </c>
      <c r="O751" t="n">
        <v/>
      </c>
      <c r="P751" t="n">
        <v/>
      </c>
      <c r="Q751" t="n">
        <v>50.102870632</v>
      </c>
      <c r="R751" t="n">
        <v>80.269588017</v>
      </c>
      <c r="S751" t="n">
        <v>60.515117812</v>
      </c>
      <c r="T751" t="n">
        <v>64.308454192</v>
      </c>
      <c r="U751" t="n">
        <v/>
      </c>
      <c r="V751" t="n">
        <v>114.173785836</v>
      </c>
      <c r="W751" t="n">
        <v/>
      </c>
      <c r="X751" t="n">
        <v/>
      </c>
      <c r="Y751" t="n">
        <v/>
      </c>
      <c r="Z751" t="n">
        <v>8.006451015</v>
      </c>
      <c r="AA751" t="n">
        <v/>
      </c>
      <c r="AB751" t="n">
        <v/>
      </c>
      <c r="AC751" t="n">
        <v>96.320061616</v>
      </c>
      <c r="AD751" t="n">
        <v>71.425494696</v>
      </c>
      <c r="AE751" t="n">
        <v/>
      </c>
      <c r="AF751" t="n">
        <v>48.923817167</v>
      </c>
      <c r="AG751" t="n">
        <v/>
      </c>
      <c r="AH751" t="n">
        <v>60.945811142</v>
      </c>
      <c r="AI751" t="n">
        <v>64.96174312700001</v>
      </c>
      <c r="AJ751" t="n">
        <v>56.620941075</v>
      </c>
      <c r="AK751" t="n">
        <v/>
      </c>
      <c r="AL751" t="n">
        <v>52.990393603</v>
      </c>
      <c r="AM751" t="n">
        <v/>
      </c>
      <c r="AN751" t="n">
        <v>69.645975014</v>
      </c>
      <c r="AO751" t="n">
        <v/>
      </c>
      <c r="AP751" t="n">
        <v/>
      </c>
      <c r="AQ751" t="n">
        <v/>
      </c>
      <c r="AR751" t="n">
        <v>56.092260997</v>
      </c>
      <c r="AS751" t="n">
        <v/>
      </c>
      <c r="AT751" t="n">
        <v>51.016630361</v>
      </c>
      <c r="AU751" t="n">
        <v/>
      </c>
    </row>
    <row r="752">
      <c r="A752" s="105" t="n">
        <v>29768</v>
      </c>
      <c r="B752" t="n">
        <v>36.980655448</v>
      </c>
      <c r="C752" t="n">
        <v>50.400752291</v>
      </c>
      <c r="D752" t="n">
        <v>61.868569144</v>
      </c>
      <c r="E752" t="n">
        <v>56.877339433</v>
      </c>
      <c r="F752" t="n">
        <v/>
      </c>
      <c r="G752" t="n">
        <v/>
      </c>
      <c r="H752" t="n">
        <v/>
      </c>
      <c r="I752" t="n">
        <v>36.977573984</v>
      </c>
      <c r="J752" t="n">
        <v/>
      </c>
      <c r="K752" t="n">
        <v>58.888349974</v>
      </c>
      <c r="L752" t="n">
        <v>66.286024836</v>
      </c>
      <c r="M752" t="n">
        <v>66.17551591900001</v>
      </c>
      <c r="N752" t="n">
        <v>84.411527042</v>
      </c>
      <c r="O752" t="n">
        <v/>
      </c>
      <c r="P752" t="n">
        <v/>
      </c>
      <c r="Q752" t="n">
        <v>53.500534936</v>
      </c>
      <c r="R752" t="n">
        <v>79.29563952700001</v>
      </c>
      <c r="S752" t="n">
        <v>60.717885642</v>
      </c>
      <c r="T752" t="n">
        <v>64.520693314</v>
      </c>
      <c r="U752" t="n">
        <v/>
      </c>
      <c r="V752" t="n">
        <v>114.709871443</v>
      </c>
      <c r="W752" t="n">
        <v/>
      </c>
      <c r="X752" t="n">
        <v/>
      </c>
      <c r="Y752" t="n">
        <v/>
      </c>
      <c r="Z752" t="n">
        <v>8.208861294</v>
      </c>
      <c r="AA752" t="n">
        <v/>
      </c>
      <c r="AB752" t="n">
        <v/>
      </c>
      <c r="AC752" t="n">
        <v>94.78555083000001</v>
      </c>
      <c r="AD752" t="n">
        <v>72.01439748</v>
      </c>
      <c r="AE752" t="n">
        <v/>
      </c>
      <c r="AF752" t="n">
        <v>47.972942619</v>
      </c>
      <c r="AG752" t="n">
        <v/>
      </c>
      <c r="AH752" t="n">
        <v>61.451885494</v>
      </c>
      <c r="AI752" t="n">
        <v>66.30116051100001</v>
      </c>
      <c r="AJ752" t="n">
        <v>58.302751206</v>
      </c>
      <c r="AK752" t="n">
        <v/>
      </c>
      <c r="AL752" t="n">
        <v>53.296196653</v>
      </c>
      <c r="AM752" t="n">
        <v/>
      </c>
      <c r="AN752" t="n">
        <v>70.616418006</v>
      </c>
      <c r="AO752" t="n">
        <v/>
      </c>
      <c r="AP752" t="n">
        <v/>
      </c>
      <c r="AQ752" t="n">
        <v/>
      </c>
      <c r="AR752" t="n">
        <v>56.666976785</v>
      </c>
      <c r="AS752" t="n">
        <v/>
      </c>
      <c r="AT752" t="n">
        <v>51.340680204</v>
      </c>
      <c r="AU752" t="n">
        <v/>
      </c>
    </row>
    <row r="753">
      <c r="A753" s="105" t="n">
        <v>29799</v>
      </c>
      <c r="B753" t="n">
        <v>37.097262462</v>
      </c>
      <c r="C753" t="n">
        <v>50.883232316</v>
      </c>
      <c r="D753" t="n">
        <v>60.100776964</v>
      </c>
      <c r="E753" t="n">
        <v>54.735963217</v>
      </c>
      <c r="F753" t="n">
        <v/>
      </c>
      <c r="G753" t="n">
        <v/>
      </c>
      <c r="H753" t="n">
        <v/>
      </c>
      <c r="I753" t="n">
        <v>37.094171281</v>
      </c>
      <c r="J753" t="n">
        <v/>
      </c>
      <c r="K753" t="n">
        <v>58.950077804</v>
      </c>
      <c r="L753" t="n">
        <v>64.410005265</v>
      </c>
      <c r="M753" t="n">
        <v>65.04318843</v>
      </c>
      <c r="N753" t="n">
        <v>78.72289708700001</v>
      </c>
      <c r="O753" t="n">
        <v/>
      </c>
      <c r="P753" t="n">
        <v/>
      </c>
      <c r="Q753" t="n">
        <v>53.348400713</v>
      </c>
      <c r="R753" t="n">
        <v>79.29563952700001</v>
      </c>
      <c r="S753" t="n">
        <v>60.523163472</v>
      </c>
      <c r="T753" t="n">
        <v>64.732932437</v>
      </c>
      <c r="U753" t="n">
        <v/>
      </c>
      <c r="V753" t="n">
        <v>120.006529012</v>
      </c>
      <c r="W753" t="n">
        <v/>
      </c>
      <c r="X753" t="n">
        <v/>
      </c>
      <c r="Y753" t="n">
        <v/>
      </c>
      <c r="Z753" t="n">
        <v>8.231351325</v>
      </c>
      <c r="AA753" t="n">
        <v/>
      </c>
      <c r="AB753" t="n">
        <v/>
      </c>
      <c r="AC753" t="n">
        <v>93.841236501</v>
      </c>
      <c r="AD753" t="n">
        <v>71.762010573</v>
      </c>
      <c r="AE753" t="n">
        <v/>
      </c>
      <c r="AF753" t="n">
        <v>48.643181267</v>
      </c>
      <c r="AG753" t="n">
        <v/>
      </c>
      <c r="AH753" t="n">
        <v>62.102552516</v>
      </c>
      <c r="AI753" t="n">
        <v>64.29203443500001</v>
      </c>
      <c r="AJ753" t="n">
        <v>48.772493797</v>
      </c>
      <c r="AK753" t="n">
        <v/>
      </c>
      <c r="AL753" t="n">
        <v>53.014563099</v>
      </c>
      <c r="AM753" t="n">
        <v/>
      </c>
      <c r="AN753" t="n">
        <v>67.768281676</v>
      </c>
      <c r="AO753" t="n">
        <v/>
      </c>
      <c r="AP753" t="n">
        <v/>
      </c>
      <c r="AQ753" t="n">
        <v/>
      </c>
      <c r="AR753" t="n">
        <v>57.069277838</v>
      </c>
      <c r="AS753" t="n">
        <v/>
      </c>
      <c r="AT753" t="n">
        <v>51.277714583</v>
      </c>
      <c r="AU753" t="n">
        <v/>
      </c>
    </row>
    <row r="754">
      <c r="A754" s="105" t="n">
        <v>29830</v>
      </c>
      <c r="B754" t="n">
        <v>37.206127387</v>
      </c>
      <c r="C754" t="n">
        <v>51.531302424</v>
      </c>
      <c r="D754" t="n">
        <v>58.82039619</v>
      </c>
      <c r="E754" t="n">
        <v>56.087422071</v>
      </c>
      <c r="F754" t="n">
        <v/>
      </c>
      <c r="G754" t="n">
        <v/>
      </c>
      <c r="H754" t="n">
        <v/>
      </c>
      <c r="I754" t="n">
        <v>37.203027135</v>
      </c>
      <c r="J754" t="n">
        <v/>
      </c>
      <c r="K754" t="n">
        <v>59.135261295</v>
      </c>
      <c r="L754" t="n">
        <v>63.784665409</v>
      </c>
      <c r="M754" t="n">
        <v>66.093463203</v>
      </c>
      <c r="N754" t="n">
        <v>80.85507457999999</v>
      </c>
      <c r="O754" t="n">
        <v/>
      </c>
      <c r="P754" t="n">
        <v/>
      </c>
      <c r="Q754" t="n">
        <v>52.891998046</v>
      </c>
      <c r="R754" t="n">
        <v>80.350750386</v>
      </c>
      <c r="S754" t="n">
        <v>60.790702775</v>
      </c>
      <c r="T754" t="n">
        <v>64.83905199900001</v>
      </c>
      <c r="U754" t="n">
        <v/>
      </c>
      <c r="V754" t="n">
        <v>117.382678162</v>
      </c>
      <c r="W754" t="n">
        <v/>
      </c>
      <c r="X754" t="n">
        <v/>
      </c>
      <c r="Y754" t="n">
        <v/>
      </c>
      <c r="Z754" t="n">
        <v>8.298821417999999</v>
      </c>
      <c r="AA754" t="n">
        <v/>
      </c>
      <c r="AB754" t="n">
        <v/>
      </c>
      <c r="AC754" t="n">
        <v>95.139668704</v>
      </c>
      <c r="AD754" t="n">
        <v>72.939816139</v>
      </c>
      <c r="AE754" t="n">
        <v/>
      </c>
      <c r="AF754" t="n">
        <v>49.204624947</v>
      </c>
      <c r="AG754" t="n">
        <v/>
      </c>
      <c r="AH754" t="n">
        <v>62.39173786</v>
      </c>
      <c r="AI754" t="n">
        <v>62.952617051</v>
      </c>
      <c r="AJ754" t="n">
        <v>57.181544452</v>
      </c>
      <c r="AK754" t="n">
        <v/>
      </c>
      <c r="AL754" t="n">
        <v>53.316919435</v>
      </c>
      <c r="AM754" t="n">
        <v/>
      </c>
      <c r="AN754" t="n">
        <v>75.068233014</v>
      </c>
      <c r="AO754" t="n">
        <v/>
      </c>
      <c r="AP754" t="n">
        <v/>
      </c>
      <c r="AQ754" t="n">
        <v/>
      </c>
      <c r="AR754" t="n">
        <v>56.149732575</v>
      </c>
      <c r="AS754" t="n">
        <v/>
      </c>
      <c r="AT754" t="n">
        <v>51.027438633</v>
      </c>
      <c r="AU754" t="n">
        <v/>
      </c>
    </row>
    <row r="755">
      <c r="A755" s="105" t="n">
        <v>29860</v>
      </c>
      <c r="B755" t="n">
        <v>37.428398966</v>
      </c>
      <c r="C755" t="n">
        <v>51.609853366</v>
      </c>
      <c r="D755" t="n">
        <v>58.577451907</v>
      </c>
      <c r="E755" t="n">
        <v>55.269310157</v>
      </c>
      <c r="F755" t="n">
        <v/>
      </c>
      <c r="G755" t="n">
        <v/>
      </c>
      <c r="H755" t="n">
        <v/>
      </c>
      <c r="I755" t="n">
        <v>37.425280193</v>
      </c>
      <c r="J755" t="n">
        <v/>
      </c>
      <c r="K755" t="n">
        <v>59.443900446</v>
      </c>
      <c r="L755" t="n">
        <v>63.159325552</v>
      </c>
      <c r="M755" t="n">
        <v>66.397058254</v>
      </c>
      <c r="N755" t="n">
        <v>82.390508111</v>
      </c>
      <c r="O755" t="n">
        <v/>
      </c>
      <c r="P755" t="n">
        <v/>
      </c>
      <c r="Q755" t="n">
        <v>53.449823529</v>
      </c>
      <c r="R755" t="n">
        <v>79.782613768</v>
      </c>
      <c r="S755" t="n">
        <v>60.753199095</v>
      </c>
      <c r="T755" t="n">
        <v>66.32472585799999</v>
      </c>
      <c r="U755" t="n">
        <v/>
      </c>
      <c r="V755" t="n">
        <v>114.807043612</v>
      </c>
      <c r="W755" t="n">
        <v/>
      </c>
      <c r="X755" t="n">
        <v/>
      </c>
      <c r="Y755" t="n">
        <v/>
      </c>
      <c r="Z755" t="n">
        <v>7.961470954</v>
      </c>
      <c r="AA755" t="n">
        <v/>
      </c>
      <c r="AB755" t="n">
        <v/>
      </c>
      <c r="AC755" t="n">
        <v>95.139668704</v>
      </c>
      <c r="AD755" t="n">
        <v>73.360460984</v>
      </c>
      <c r="AE755" t="n">
        <v/>
      </c>
      <c r="AF755" t="n">
        <v>50.114032333</v>
      </c>
      <c r="AG755" t="n">
        <v/>
      </c>
      <c r="AH755" t="n">
        <v>62.102552516</v>
      </c>
      <c r="AI755" t="n">
        <v>66.30116051100001</v>
      </c>
      <c r="AJ755" t="n">
        <v>54.378527567</v>
      </c>
      <c r="AK755" t="n">
        <v/>
      </c>
      <c r="AL755" t="n">
        <v>53.261680429</v>
      </c>
      <c r="AM755" t="n">
        <v/>
      </c>
      <c r="AN755" t="n">
        <v>74.21450588</v>
      </c>
      <c r="AO755" t="n">
        <v/>
      </c>
      <c r="AP755" t="n">
        <v/>
      </c>
      <c r="AQ755" t="n">
        <v/>
      </c>
      <c r="AR755" t="n">
        <v>56.552033628</v>
      </c>
      <c r="AS755" t="n">
        <v/>
      </c>
      <c r="AT755" t="n">
        <v>50.632787967</v>
      </c>
      <c r="AU755" t="n">
        <v/>
      </c>
    </row>
    <row r="756">
      <c r="A756" s="105" t="n">
        <v>29891</v>
      </c>
      <c r="B756" t="n">
        <v>37.3238655</v>
      </c>
      <c r="C756" t="n">
        <v>51.856188137</v>
      </c>
      <c r="D756" t="n">
        <v>59.515405886</v>
      </c>
      <c r="E756" t="n">
        <v>54.234100194</v>
      </c>
      <c r="F756" t="n">
        <v/>
      </c>
      <c r="G756" t="n">
        <v/>
      </c>
      <c r="H756" t="n">
        <v/>
      </c>
      <c r="I756" t="n">
        <v>37.320755437</v>
      </c>
      <c r="J756" t="n">
        <v/>
      </c>
      <c r="K756" t="n">
        <v>58.950077804</v>
      </c>
      <c r="L756" t="n">
        <v>62.533985695</v>
      </c>
      <c r="M756" t="n">
        <v>65.839099781</v>
      </c>
      <c r="N756" t="n">
        <v>81.97413165899999</v>
      </c>
      <c r="O756" t="n">
        <v/>
      </c>
      <c r="P756" t="n">
        <v/>
      </c>
      <c r="Q756" t="n">
        <v>51.877769895</v>
      </c>
      <c r="R756" t="n">
        <v>79.782613768</v>
      </c>
      <c r="S756" t="n">
        <v>60.319304407</v>
      </c>
      <c r="T756" t="n">
        <v>65.475769367</v>
      </c>
      <c r="U756" t="n">
        <v/>
      </c>
      <c r="V756" t="n">
        <v>117.516722702</v>
      </c>
      <c r="W756" t="n">
        <v/>
      </c>
      <c r="X756" t="n">
        <v/>
      </c>
      <c r="Y756" t="n">
        <v/>
      </c>
      <c r="Z756" t="n">
        <v>8.163881232</v>
      </c>
      <c r="AA756" t="n">
        <v/>
      </c>
      <c r="AB756" t="n">
        <v/>
      </c>
      <c r="AC756" t="n">
        <v>95.84790445100001</v>
      </c>
      <c r="AD756" t="n">
        <v>73.360460984</v>
      </c>
      <c r="AE756" t="n">
        <v/>
      </c>
      <c r="AF756" t="n">
        <v>50.539546389</v>
      </c>
      <c r="AG756" t="n">
        <v/>
      </c>
      <c r="AH756" t="n">
        <v>62.102552516</v>
      </c>
      <c r="AI756" t="n">
        <v>64.96174312700001</v>
      </c>
      <c r="AJ756" t="n">
        <v>56.060337698</v>
      </c>
      <c r="AK756" t="n">
        <v/>
      </c>
      <c r="AL756" t="n">
        <v>52.94586514</v>
      </c>
      <c r="AM756" t="n">
        <v/>
      </c>
      <c r="AN756" t="n">
        <v>73.780280378</v>
      </c>
      <c r="AO756" t="n">
        <v/>
      </c>
      <c r="AP756" t="n">
        <v/>
      </c>
      <c r="AQ756" t="n">
        <v/>
      </c>
      <c r="AR756" t="n">
        <v>56.666976785</v>
      </c>
      <c r="AS756" t="n">
        <v/>
      </c>
      <c r="AT756" t="n">
        <v>50.048248853</v>
      </c>
      <c r="AU756" t="n">
        <v/>
      </c>
    </row>
    <row r="757">
      <c r="A757" s="105" t="n">
        <v>29921</v>
      </c>
      <c r="B757" t="n">
        <v>37.432542431</v>
      </c>
      <c r="C757" t="n">
        <v>52.176392747</v>
      </c>
      <c r="D757" t="n">
        <v>57.718537447</v>
      </c>
      <c r="E757" t="n">
        <v>54.556457904</v>
      </c>
      <c r="F757" t="n">
        <v/>
      </c>
      <c r="G757" t="n">
        <v/>
      </c>
      <c r="H757" t="n">
        <v/>
      </c>
      <c r="I757" t="n">
        <v>37.429423313</v>
      </c>
      <c r="J757" t="n">
        <v/>
      </c>
      <c r="K757" t="n">
        <v>58.456255163</v>
      </c>
      <c r="L757" t="n">
        <v>60.032626267</v>
      </c>
      <c r="M757" t="n">
        <v>65.20729386399999</v>
      </c>
      <c r="N757" t="n">
        <v>82.047979062</v>
      </c>
      <c r="O757" t="n">
        <v/>
      </c>
      <c r="P757" t="n">
        <v/>
      </c>
      <c r="Q757" t="n">
        <v>52.587729601</v>
      </c>
      <c r="R757" t="n">
        <v>81.324698876</v>
      </c>
      <c r="S757" t="n">
        <v>59.778012277</v>
      </c>
      <c r="T757" t="n">
        <v>64.520693314</v>
      </c>
      <c r="U757" t="n">
        <v/>
      </c>
      <c r="V757" t="n">
        <v>117.957767804</v>
      </c>
      <c r="W757" t="n">
        <v/>
      </c>
      <c r="X757" t="n">
        <v/>
      </c>
      <c r="Y757" t="n">
        <v/>
      </c>
      <c r="Z757" t="n">
        <v>8.006451015</v>
      </c>
      <c r="AA757" t="n">
        <v/>
      </c>
      <c r="AB757" t="n">
        <v/>
      </c>
      <c r="AC757" t="n">
        <v>92.424765006</v>
      </c>
      <c r="AD757" t="n">
        <v>73.108074077</v>
      </c>
      <c r="AE757" t="n">
        <v/>
      </c>
      <c r="AF757" t="n">
        <v>46.221570304</v>
      </c>
      <c r="AG757" t="n">
        <v/>
      </c>
      <c r="AH757" t="n">
        <v>61.596478165</v>
      </c>
      <c r="AI757" t="n">
        <v>66.97086920300001</v>
      </c>
      <c r="AJ757" t="n">
        <v>56.060337698</v>
      </c>
      <c r="AK757" t="n">
        <v/>
      </c>
      <c r="AL757" t="n">
        <v>52.54277242</v>
      </c>
      <c r="AM757" t="n">
        <v/>
      </c>
      <c r="AN757" t="n">
        <v>69.168583742</v>
      </c>
      <c r="AO757" t="n">
        <v/>
      </c>
      <c r="AP757" t="n">
        <v/>
      </c>
      <c r="AQ757" t="n">
        <v/>
      </c>
      <c r="AR757" t="n">
        <v>56.552033628</v>
      </c>
      <c r="AS757" t="n">
        <v/>
      </c>
      <c r="AT757" t="n">
        <v>49.516164564</v>
      </c>
      <c r="AU757" t="n">
        <v/>
      </c>
    </row>
    <row r="758">
      <c r="A758" s="105" t="n">
        <v>29952</v>
      </c>
      <c r="B758" t="n">
        <v>38.684551901</v>
      </c>
      <c r="C758" t="n">
        <v>52.498288714</v>
      </c>
      <c r="D758" t="n">
        <v>59.416698583</v>
      </c>
      <c r="E758" t="n">
        <v>53.776878544</v>
      </c>
      <c r="F758" t="n">
        <v/>
      </c>
      <c r="G758" t="n">
        <v/>
      </c>
      <c r="H758" t="n">
        <v/>
      </c>
      <c r="I758" t="n">
        <v>38.681328457</v>
      </c>
      <c r="J758" t="n">
        <v/>
      </c>
      <c r="K758" t="n">
        <v>58.703166484</v>
      </c>
      <c r="L758" t="n">
        <v>62.533985695</v>
      </c>
      <c r="M758" t="n">
        <v>65.806278695</v>
      </c>
      <c r="N758" t="n">
        <v>80.562238272</v>
      </c>
      <c r="O758" t="n">
        <v/>
      </c>
      <c r="P758" t="n">
        <v/>
      </c>
      <c r="Q758" t="n">
        <v>53.449823529</v>
      </c>
      <c r="R758" t="n">
        <v>79.944938514</v>
      </c>
      <c r="S758" t="n">
        <v>59.379279684</v>
      </c>
      <c r="T758" t="n">
        <v>64.520693314</v>
      </c>
      <c r="U758" t="n">
        <v/>
      </c>
      <c r="V758" t="n">
        <v>116.928557844</v>
      </c>
      <c r="W758" t="n">
        <v/>
      </c>
      <c r="X758" t="n">
        <v/>
      </c>
      <c r="Y758" t="n">
        <v/>
      </c>
      <c r="Z758" t="n">
        <v>7.714080613</v>
      </c>
      <c r="AA758" t="n">
        <v/>
      </c>
      <c r="AB758" t="n">
        <v/>
      </c>
      <c r="AC758" t="n">
        <v>96.674179489</v>
      </c>
      <c r="AD758" t="n">
        <v>72.687429232</v>
      </c>
      <c r="AE758" t="n">
        <v/>
      </c>
      <c r="AF758" t="n">
        <v>48.786770344</v>
      </c>
      <c r="AG758" t="n">
        <v/>
      </c>
      <c r="AH758" t="n">
        <v>62.030256181</v>
      </c>
      <c r="AI758" t="n">
        <v>65.63145181900001</v>
      </c>
      <c r="AJ758" t="n">
        <v>57.181544452</v>
      </c>
      <c r="AK758" t="n">
        <v/>
      </c>
      <c r="AL758" t="n">
        <v>52.302313309</v>
      </c>
      <c r="AM758" t="n">
        <v/>
      </c>
      <c r="AN758" t="n">
        <v>76.902947058</v>
      </c>
      <c r="AO758" t="n">
        <v/>
      </c>
      <c r="AP758" t="n">
        <v/>
      </c>
      <c r="AQ758" t="n">
        <v/>
      </c>
      <c r="AR758" t="n">
        <v>55.575016787</v>
      </c>
      <c r="AS758" t="n">
        <v/>
      </c>
      <c r="AT758" t="n">
        <v>48.499790362</v>
      </c>
      <c r="AU758" t="n">
        <v/>
      </c>
    </row>
    <row r="759">
      <c r="A759" s="105" t="n">
        <v>29983</v>
      </c>
      <c r="B759" t="n">
        <v>37.8823776</v>
      </c>
      <c r="C759" t="n">
        <v>51.20219126</v>
      </c>
      <c r="D759" t="n">
        <v>60.000474035</v>
      </c>
      <c r="E759" t="n">
        <v>53.84971447</v>
      </c>
      <c r="F759" t="n">
        <v/>
      </c>
      <c r="G759" t="n">
        <v/>
      </c>
      <c r="H759" t="n">
        <v/>
      </c>
      <c r="I759" t="n">
        <v>37.879220999</v>
      </c>
      <c r="J759" t="n">
        <v/>
      </c>
      <c r="K759" t="n">
        <v>58.271071673</v>
      </c>
      <c r="L759" t="n">
        <v>63.784665409</v>
      </c>
      <c r="M759" t="n">
        <v>65.125241147</v>
      </c>
      <c r="N759" t="n">
        <v>80.734380465</v>
      </c>
      <c r="O759" t="n">
        <v/>
      </c>
      <c r="P759" t="n">
        <v/>
      </c>
      <c r="Q759" t="n">
        <v>52.993420861</v>
      </c>
      <c r="R759" t="n">
        <v>79.29563952700001</v>
      </c>
      <c r="S759" t="n">
        <v>59.654033368</v>
      </c>
      <c r="T759" t="n">
        <v>64.94517156000001</v>
      </c>
      <c r="U759" t="n">
        <v/>
      </c>
      <c r="V759" t="n">
        <v>117.726605546</v>
      </c>
      <c r="W759" t="n">
        <v/>
      </c>
      <c r="X759" t="n">
        <v/>
      </c>
      <c r="Y759" t="n">
        <v/>
      </c>
      <c r="Z759" t="n">
        <v>7.894000861</v>
      </c>
      <c r="AA759" t="n">
        <v/>
      </c>
      <c r="AB759" t="n">
        <v/>
      </c>
      <c r="AC759" t="n">
        <v>94.195354374</v>
      </c>
      <c r="AD759" t="n">
        <v>72.182655418</v>
      </c>
      <c r="AE759" t="n">
        <v/>
      </c>
      <c r="AF759" t="n">
        <v>53.277734559</v>
      </c>
      <c r="AG759" t="n">
        <v/>
      </c>
      <c r="AH759" t="n">
        <v>62.174848852</v>
      </c>
      <c r="AI759" t="n">
        <v>63.622325743</v>
      </c>
      <c r="AJ759" t="n">
        <v>56.620941075</v>
      </c>
      <c r="AK759" t="n">
        <v/>
      </c>
      <c r="AL759" t="n">
        <v>52.465296868</v>
      </c>
      <c r="AM759" t="n">
        <v/>
      </c>
      <c r="AN759" t="n">
        <v>74.40954025000001</v>
      </c>
      <c r="AO759" t="n">
        <v/>
      </c>
      <c r="AP759" t="n">
        <v/>
      </c>
      <c r="AQ759" t="n">
        <v/>
      </c>
      <c r="AR759" t="n">
        <v>55.91984626</v>
      </c>
      <c r="AS759" t="n">
        <v/>
      </c>
      <c r="AT759" t="n">
        <v>49.490185048</v>
      </c>
      <c r="AU759" t="n">
        <v/>
      </c>
    </row>
    <row r="760">
      <c r="A760" s="105" t="n">
        <v>30011</v>
      </c>
      <c r="B760" t="n">
        <v>37.353443576</v>
      </c>
      <c r="C760" t="n">
        <v>49.758407023</v>
      </c>
      <c r="D760" t="n">
        <v>62.701070013</v>
      </c>
      <c r="E760" t="n">
        <v>53.196540684</v>
      </c>
      <c r="F760" t="n">
        <v/>
      </c>
      <c r="G760" t="n">
        <v/>
      </c>
      <c r="H760" t="n">
        <v/>
      </c>
      <c r="I760" t="n">
        <v>37.350331049</v>
      </c>
      <c r="J760" t="n">
        <v/>
      </c>
      <c r="K760" t="n">
        <v>58.826622144</v>
      </c>
      <c r="L760" t="n">
        <v>63.784665409</v>
      </c>
      <c r="M760" t="n">
        <v>65.018572615</v>
      </c>
      <c r="N760" t="n">
        <v>84.195913475</v>
      </c>
      <c r="O760" t="n">
        <v/>
      </c>
      <c r="P760" t="n">
        <v/>
      </c>
      <c r="Q760" t="n">
        <v>52.993420861</v>
      </c>
      <c r="R760" t="n">
        <v>80.350750386</v>
      </c>
      <c r="S760" t="n">
        <v>59.598913112</v>
      </c>
      <c r="T760" t="n">
        <v>65.05129112100001</v>
      </c>
      <c r="U760" t="n">
        <v/>
      </c>
      <c r="V760" t="n">
        <v>116.274815961</v>
      </c>
      <c r="W760" t="n">
        <v/>
      </c>
      <c r="X760" t="n">
        <v/>
      </c>
      <c r="Y760" t="n">
        <v/>
      </c>
      <c r="Z760" t="n">
        <v>7.961470954</v>
      </c>
      <c r="AA760" t="n">
        <v/>
      </c>
      <c r="AB760" t="n">
        <v/>
      </c>
      <c r="AC760" t="n">
        <v>92.54280429799999</v>
      </c>
      <c r="AD760" t="n">
        <v>72.939816139</v>
      </c>
      <c r="AE760" t="n">
        <v/>
      </c>
      <c r="AF760" t="n">
        <v>50.064110561</v>
      </c>
      <c r="AG760" t="n">
        <v/>
      </c>
      <c r="AH760" t="n">
        <v>61.451885494</v>
      </c>
      <c r="AI760" t="n">
        <v>64.29203443500001</v>
      </c>
      <c r="AJ760" t="n">
        <v>57.181544452</v>
      </c>
      <c r="AK760" t="n">
        <v/>
      </c>
      <c r="AL760" t="n">
        <v>52.473337673</v>
      </c>
      <c r="AM760" t="n">
        <v/>
      </c>
      <c r="AN760" t="n">
        <v>79.503784017</v>
      </c>
      <c r="AO760" t="n">
        <v/>
      </c>
      <c r="AP760" t="n">
        <v/>
      </c>
      <c r="AQ760" t="n">
        <v/>
      </c>
      <c r="AR760" t="n">
        <v>55.862374681</v>
      </c>
      <c r="AS760" t="n">
        <v/>
      </c>
      <c r="AT760" t="n">
        <v>49.151955545</v>
      </c>
      <c r="AU760" t="n">
        <v/>
      </c>
    </row>
    <row r="761">
      <c r="A761" s="105" t="n">
        <v>30042</v>
      </c>
      <c r="B761" t="n">
        <v>37.171671977</v>
      </c>
      <c r="C761" t="n">
        <v>52.05414704</v>
      </c>
      <c r="D761" t="n">
        <v>63.247864486</v>
      </c>
      <c r="E761" t="n">
        <v>51.715856801</v>
      </c>
      <c r="F761" t="n">
        <v/>
      </c>
      <c r="G761" t="n">
        <v/>
      </c>
      <c r="H761" t="n">
        <v/>
      </c>
      <c r="I761" t="n">
        <v>37.168574595</v>
      </c>
      <c r="J761" t="n">
        <v/>
      </c>
      <c r="K761" t="n">
        <v>58.703166484</v>
      </c>
      <c r="L761" t="n">
        <v>65.660684979</v>
      </c>
      <c r="M761" t="n">
        <v>65.674994348</v>
      </c>
      <c r="N761" t="n">
        <v>81.32902423900001</v>
      </c>
      <c r="O761" t="n">
        <v/>
      </c>
      <c r="P761" t="n">
        <v/>
      </c>
      <c r="Q761" t="n">
        <v>52.232749748</v>
      </c>
      <c r="R761" t="n">
        <v>80.269588017</v>
      </c>
      <c r="S761" t="n">
        <v>59.352808302</v>
      </c>
      <c r="T761" t="n">
        <v>65.900247612</v>
      </c>
      <c r="U761" t="n">
        <v/>
      </c>
      <c r="V761" t="n">
        <v>115.345000265</v>
      </c>
      <c r="W761" t="n">
        <v/>
      </c>
      <c r="X761" t="n">
        <v/>
      </c>
      <c r="Y761" t="n">
        <v/>
      </c>
      <c r="Z761" t="n">
        <v>7.938980923</v>
      </c>
      <c r="AA761" t="n">
        <v/>
      </c>
      <c r="AB761" t="n">
        <v/>
      </c>
      <c r="AC761" t="n">
        <v>95.72986516</v>
      </c>
      <c r="AD761" t="n">
        <v>71.93026851099999</v>
      </c>
      <c r="AE761" t="n">
        <v/>
      </c>
      <c r="AF761" t="n">
        <v>47.822134133</v>
      </c>
      <c r="AG761" t="n">
        <v/>
      </c>
      <c r="AH761" t="n">
        <v>61.090403814</v>
      </c>
      <c r="AI761" t="n">
        <v>64.96174312700001</v>
      </c>
      <c r="AJ761" t="n">
        <v>57.742147829</v>
      </c>
      <c r="AK761" t="n">
        <v/>
      </c>
      <c r="AL761" t="n">
        <v>52.256303727</v>
      </c>
      <c r="AM761" t="n">
        <v/>
      </c>
      <c r="AN761" t="n">
        <v>76.68837622300001</v>
      </c>
      <c r="AO761" t="n">
        <v/>
      </c>
      <c r="AP761" t="n">
        <v/>
      </c>
      <c r="AQ761" t="n">
        <v/>
      </c>
      <c r="AR761" t="n">
        <v>55.747431523</v>
      </c>
      <c r="AS761" t="n">
        <v/>
      </c>
      <c r="AT761" t="n">
        <v>48.701280351</v>
      </c>
      <c r="AU761" t="n">
        <v/>
      </c>
    </row>
    <row r="762">
      <c r="A762" s="105" t="n">
        <v>30072</v>
      </c>
      <c r="B762" t="n">
        <v>37.716589877</v>
      </c>
      <c r="C762" t="n">
        <v>52.062030073</v>
      </c>
      <c r="D762" t="n">
        <v>63.801117393</v>
      </c>
      <c r="E762" t="n">
        <v>52.119508802</v>
      </c>
      <c r="F762" t="n">
        <v/>
      </c>
      <c r="G762" t="n">
        <v/>
      </c>
      <c r="H762" t="n">
        <v/>
      </c>
      <c r="I762" t="n">
        <v>37.71344709</v>
      </c>
      <c r="J762" t="n">
        <v/>
      </c>
      <c r="K762" t="n">
        <v>58.703166484</v>
      </c>
      <c r="L762" t="n">
        <v>63.159325552</v>
      </c>
      <c r="M762" t="n">
        <v>64.936519899</v>
      </c>
      <c r="N762" t="n">
        <v>81.73185022200001</v>
      </c>
      <c r="O762" t="n">
        <v/>
      </c>
      <c r="P762" t="n">
        <v/>
      </c>
      <c r="Q762" t="n">
        <v>52.232749748</v>
      </c>
      <c r="R762" t="n">
        <v>80.026100892</v>
      </c>
      <c r="S762" t="n">
        <v>58.946185337</v>
      </c>
      <c r="T762" t="n">
        <v>66.536964981</v>
      </c>
      <c r="U762" t="n">
        <v/>
      </c>
      <c r="V762" t="n">
        <v>117.842410536</v>
      </c>
      <c r="W762" t="n">
        <v/>
      </c>
      <c r="X762" t="n">
        <v/>
      </c>
      <c r="Y762" t="n">
        <v/>
      </c>
      <c r="Z762" t="n">
        <v>7.961470954</v>
      </c>
      <c r="AA762" t="n">
        <v/>
      </c>
      <c r="AB762" t="n">
        <v/>
      </c>
      <c r="AC762" t="n">
        <v>91.95260784200001</v>
      </c>
      <c r="AD762" t="n">
        <v>71.257236758</v>
      </c>
      <c r="AE762" t="n">
        <v/>
      </c>
      <c r="AF762" t="n">
        <v>49.567695023</v>
      </c>
      <c r="AG762" t="n">
        <v/>
      </c>
      <c r="AH762" t="n">
        <v>60.945811142</v>
      </c>
      <c r="AI762" t="n">
        <v>63.622325743</v>
      </c>
      <c r="AJ762" t="n">
        <v>54.378527567</v>
      </c>
      <c r="AK762" t="n">
        <v/>
      </c>
      <c r="AL762" t="n">
        <v>51.932888442</v>
      </c>
      <c r="AM762" t="n">
        <v/>
      </c>
      <c r="AN762" t="n">
        <v>72.012304614</v>
      </c>
      <c r="AO762" t="n">
        <v/>
      </c>
      <c r="AP762" t="n">
        <v/>
      </c>
      <c r="AQ762" t="n">
        <v/>
      </c>
      <c r="AR762" t="n">
        <v>55.91984626</v>
      </c>
      <c r="AS762" t="n">
        <v/>
      </c>
      <c r="AT762" t="n">
        <v>48.36999194</v>
      </c>
      <c r="AU762" t="n">
        <v/>
      </c>
    </row>
    <row r="763">
      <c r="A763" s="105" t="n">
        <v>30103</v>
      </c>
      <c r="B763" t="n">
        <v>37.180545288</v>
      </c>
      <c r="C763" t="n">
        <v>50.784664056</v>
      </c>
      <c r="D763" t="n">
        <v>63.413256839</v>
      </c>
      <c r="E763" t="n">
        <v>51.216813233</v>
      </c>
      <c r="F763" t="n">
        <v/>
      </c>
      <c r="G763" t="n">
        <v/>
      </c>
      <c r="H763" t="n">
        <v/>
      </c>
      <c r="I763" t="n">
        <v>37.177447167</v>
      </c>
      <c r="J763" t="n">
        <v/>
      </c>
      <c r="K763" t="n">
        <v>57.28342639</v>
      </c>
      <c r="L763" t="n">
        <v>66.286024836</v>
      </c>
      <c r="M763" t="n">
        <v>63.738550237</v>
      </c>
      <c r="N763" t="n">
        <v>79.863158541</v>
      </c>
      <c r="O763" t="n">
        <v/>
      </c>
      <c r="P763" t="n">
        <v/>
      </c>
      <c r="Q763" t="n">
        <v>53.246977898</v>
      </c>
      <c r="R763" t="n">
        <v>80.188425639</v>
      </c>
      <c r="S763" t="n">
        <v>58.58318552</v>
      </c>
      <c r="T763" t="n">
        <v>65.581888928</v>
      </c>
      <c r="U763" t="n">
        <v/>
      </c>
      <c r="V763" t="n">
        <v>113.508722304</v>
      </c>
      <c r="W763" t="n">
        <v/>
      </c>
      <c r="X763" t="n">
        <v/>
      </c>
      <c r="Y763" t="n">
        <v/>
      </c>
      <c r="Z763" t="n">
        <v>7.87151083</v>
      </c>
      <c r="AA763" t="n">
        <v/>
      </c>
      <c r="AB763" t="n">
        <v/>
      </c>
      <c r="AC763" t="n">
        <v>89.119664853</v>
      </c>
      <c r="AD763" t="n">
        <v>72.182655418</v>
      </c>
      <c r="AE763" t="n">
        <v/>
      </c>
      <c r="AF763" t="n">
        <v>49.972449499</v>
      </c>
      <c r="AG763" t="n">
        <v/>
      </c>
      <c r="AH763" t="n">
        <v>60.439736791</v>
      </c>
      <c r="AI763" t="n">
        <v>62.952617051</v>
      </c>
      <c r="AJ763" t="n">
        <v>54.939130944</v>
      </c>
      <c r="AK763" t="n">
        <v/>
      </c>
      <c r="AL763" t="n">
        <v>51.607799933</v>
      </c>
      <c r="AM763" t="n">
        <v/>
      </c>
      <c r="AN763" t="n">
        <v>78.550337344</v>
      </c>
      <c r="AO763" t="n">
        <v/>
      </c>
      <c r="AP763" t="n">
        <v/>
      </c>
      <c r="AQ763" t="n">
        <v/>
      </c>
      <c r="AR763" t="n">
        <v>56.207204154</v>
      </c>
      <c r="AS763" t="n">
        <v/>
      </c>
      <c r="AT763" t="n">
        <v>48.251100948</v>
      </c>
      <c r="AU763" t="n">
        <v/>
      </c>
    </row>
    <row r="764">
      <c r="A764" s="105" t="n">
        <v>30133</v>
      </c>
      <c r="B764" t="n">
        <v>37.387840992</v>
      </c>
      <c r="C764" t="n">
        <v>51.514282766</v>
      </c>
      <c r="D764" t="n">
        <v>63.960158534</v>
      </c>
      <c r="E764" t="n">
        <v>50.193820908</v>
      </c>
      <c r="F764" t="n">
        <v/>
      </c>
      <c r="G764" t="n">
        <v/>
      </c>
      <c r="H764" t="n">
        <v/>
      </c>
      <c r="I764" t="n">
        <v>37.384725598</v>
      </c>
      <c r="J764" t="n">
        <v/>
      </c>
      <c r="K764" t="n">
        <v>55.369863655</v>
      </c>
      <c r="L764" t="n">
        <v>63.159325552</v>
      </c>
      <c r="M764" t="n">
        <v>64.107787461</v>
      </c>
      <c r="N764" t="n">
        <v>81.59237170900001</v>
      </c>
      <c r="O764" t="n">
        <v/>
      </c>
      <c r="P764" t="n">
        <v/>
      </c>
      <c r="Q764" t="n">
        <v>51.725635673</v>
      </c>
      <c r="R764" t="n">
        <v>77.83471678799999</v>
      </c>
      <c r="S764" t="n">
        <v>58.230300895</v>
      </c>
      <c r="T764" t="n">
        <v>65.581888928</v>
      </c>
      <c r="U764" t="n">
        <v/>
      </c>
      <c r="V764" t="n">
        <v>113.780210164</v>
      </c>
      <c r="W764" t="n">
        <v/>
      </c>
      <c r="X764" t="n">
        <v/>
      </c>
      <c r="Y764" t="n">
        <v/>
      </c>
      <c r="Z764" t="n">
        <v>8.073921108</v>
      </c>
      <c r="AA764" t="n">
        <v/>
      </c>
      <c r="AB764" t="n">
        <v/>
      </c>
      <c r="AC764" t="n">
        <v>92.424765006</v>
      </c>
      <c r="AD764" t="n">
        <v>72.01439748</v>
      </c>
      <c r="AE764" t="n">
        <v/>
      </c>
      <c r="AF764" t="n">
        <v>48.577932104</v>
      </c>
      <c r="AG764" t="n">
        <v/>
      </c>
      <c r="AH764" t="n">
        <v>59.499884425</v>
      </c>
      <c r="AI764" t="n">
        <v>62.952617051</v>
      </c>
      <c r="AJ764" t="n">
        <v>55.499734321</v>
      </c>
      <c r="AK764" t="n">
        <v/>
      </c>
      <c r="AL764" t="n">
        <v>51.364076439</v>
      </c>
      <c r="AM764" t="n">
        <v/>
      </c>
      <c r="AN764" t="n">
        <v>78.70588151600001</v>
      </c>
      <c r="AO764" t="n">
        <v/>
      </c>
      <c r="AP764" t="n">
        <v/>
      </c>
      <c r="AQ764" t="n">
        <v/>
      </c>
      <c r="AR764" t="n">
        <v>56.724448364</v>
      </c>
      <c r="AS764" t="n">
        <v/>
      </c>
      <c r="AT764" t="n">
        <v>48.078267755</v>
      </c>
      <c r="AU764" t="n">
        <v/>
      </c>
    </row>
    <row r="765">
      <c r="A765" s="105" t="n">
        <v>30164</v>
      </c>
      <c r="B765" t="n">
        <v>36.639042172</v>
      </c>
      <c r="C765" t="n">
        <v>50.092681969</v>
      </c>
      <c r="D765" t="n">
        <v>63.949435589</v>
      </c>
      <c r="E765" t="n">
        <v>51.141157852</v>
      </c>
      <c r="F765" t="n">
        <v/>
      </c>
      <c r="G765" t="n">
        <v/>
      </c>
      <c r="H765" t="n">
        <v/>
      </c>
      <c r="I765" t="n">
        <v>36.635989173</v>
      </c>
      <c r="J765" t="n">
        <v/>
      </c>
      <c r="K765" t="n">
        <v>56.542692428</v>
      </c>
      <c r="L765" t="n">
        <v>63.159325552</v>
      </c>
      <c r="M765" t="n">
        <v>63.426749914</v>
      </c>
      <c r="N765" t="n">
        <v>76.775125077</v>
      </c>
      <c r="O765" t="n">
        <v/>
      </c>
      <c r="P765" t="n">
        <v/>
      </c>
      <c r="Q765" t="n">
        <v>52.689152416</v>
      </c>
      <c r="R765" t="n">
        <v>77.83471678799999</v>
      </c>
      <c r="S765" t="n">
        <v>58.171605021</v>
      </c>
      <c r="T765" t="n">
        <v>66.218606296</v>
      </c>
      <c r="U765" t="n">
        <v/>
      </c>
      <c r="V765" t="n">
        <v>111.707408044</v>
      </c>
      <c r="W765" t="n">
        <v/>
      </c>
      <c r="X765" t="n">
        <v/>
      </c>
      <c r="Y765" t="n">
        <v/>
      </c>
      <c r="Z765" t="n">
        <v>7.894000861</v>
      </c>
      <c r="AA765" t="n">
        <v/>
      </c>
      <c r="AB765" t="n">
        <v/>
      </c>
      <c r="AC765" t="n">
        <v>90.654175638</v>
      </c>
      <c r="AD765" t="n">
        <v>72.098526449</v>
      </c>
      <c r="AE765" t="n">
        <v/>
      </c>
      <c r="AF765" t="n">
        <v>49.450382424</v>
      </c>
      <c r="AG765" t="n">
        <v/>
      </c>
      <c r="AH765" t="n">
        <v>59.138402746</v>
      </c>
      <c r="AI765" t="n">
        <v>60.943490974</v>
      </c>
      <c r="AJ765" t="n">
        <v>54.939130944</v>
      </c>
      <c r="AK765" t="n">
        <v/>
      </c>
      <c r="AL765" t="n">
        <v>51.14374245</v>
      </c>
      <c r="AM765" t="n">
        <v/>
      </c>
      <c r="AN765" t="n">
        <v>75.450846574</v>
      </c>
      <c r="AO765" t="n">
        <v/>
      </c>
      <c r="AP765" t="n">
        <v/>
      </c>
      <c r="AQ765" t="n">
        <v/>
      </c>
      <c r="AR765" t="n">
        <v>55.460073629</v>
      </c>
      <c r="AS765" t="n">
        <v/>
      </c>
      <c r="AT765" t="n">
        <v>47.652481333</v>
      </c>
      <c r="AU765" t="n">
        <v/>
      </c>
    </row>
    <row r="766">
      <c r="A766" s="105" t="n">
        <v>30195</v>
      </c>
      <c r="B766" t="n">
        <v>36.614726902</v>
      </c>
      <c r="C766" t="n">
        <v>51.427639426</v>
      </c>
      <c r="D766" t="n">
        <v>63.204213536</v>
      </c>
      <c r="E766" t="n">
        <v>50.536384714</v>
      </c>
      <c r="F766" t="n">
        <v/>
      </c>
      <c r="G766" t="n">
        <v/>
      </c>
      <c r="H766" t="n">
        <v/>
      </c>
      <c r="I766" t="n">
        <v>36.611675929</v>
      </c>
      <c r="J766" t="n">
        <v/>
      </c>
      <c r="K766" t="n">
        <v>56.295781107</v>
      </c>
      <c r="L766" t="n">
        <v>63.159325552</v>
      </c>
      <c r="M766" t="n">
        <v>63.935476757</v>
      </c>
      <c r="N766" t="n">
        <v>83.91472594</v>
      </c>
      <c r="O766" t="n">
        <v/>
      </c>
      <c r="P766" t="n">
        <v/>
      </c>
      <c r="Q766" t="n">
        <v>52.790575231</v>
      </c>
      <c r="R766" t="n">
        <v>78.40285340699999</v>
      </c>
      <c r="S766" t="n">
        <v>58.137333543</v>
      </c>
      <c r="T766" t="n">
        <v>66.218606296</v>
      </c>
      <c r="U766" t="n">
        <v/>
      </c>
      <c r="V766" t="n">
        <v>120.187750347</v>
      </c>
      <c r="W766" t="n">
        <v/>
      </c>
      <c r="X766" t="n">
        <v/>
      </c>
      <c r="Y766" t="n">
        <v/>
      </c>
      <c r="Z766" t="n">
        <v>7.961470954</v>
      </c>
      <c r="AA766" t="n">
        <v/>
      </c>
      <c r="AB766" t="n">
        <v/>
      </c>
      <c r="AC766" t="n">
        <v>91.00829351199999</v>
      </c>
      <c r="AD766" t="n">
        <v>72.435042325</v>
      </c>
      <c r="AE766" t="n">
        <v/>
      </c>
      <c r="AF766" t="n">
        <v>49.886545819</v>
      </c>
      <c r="AG766" t="n">
        <v/>
      </c>
      <c r="AH766" t="n">
        <v>58.198550379</v>
      </c>
      <c r="AI766" t="n">
        <v>62.282908359</v>
      </c>
      <c r="AJ766" t="n">
        <v>53.81792419</v>
      </c>
      <c r="AK766" t="n">
        <v/>
      </c>
      <c r="AL766" t="n">
        <v>51.306463021</v>
      </c>
      <c r="AM766" t="n">
        <v/>
      </c>
      <c r="AN766" t="n">
        <v>76.98871822300001</v>
      </c>
      <c r="AO766" t="n">
        <v/>
      </c>
      <c r="AP766" t="n">
        <v/>
      </c>
      <c r="AQ766" t="n">
        <v/>
      </c>
      <c r="AR766" t="n">
        <v>55.91984626</v>
      </c>
      <c r="AS766" t="n">
        <v/>
      </c>
      <c r="AT766" t="n">
        <v>47.526946724</v>
      </c>
      <c r="AU766" t="n">
        <v/>
      </c>
    </row>
    <row r="767">
      <c r="A767" s="105" t="n">
        <v>30225</v>
      </c>
      <c r="B767" t="n">
        <v>36.625791417</v>
      </c>
      <c r="C767" t="n">
        <v>51.799119642</v>
      </c>
      <c r="D767" t="n">
        <v>61.200016074</v>
      </c>
      <c r="E767" t="n">
        <v>49.589517679</v>
      </c>
      <c r="F767" t="n">
        <v/>
      </c>
      <c r="G767" t="n">
        <v/>
      </c>
      <c r="H767" t="n">
        <v/>
      </c>
      <c r="I767" t="n">
        <v>36.622739522</v>
      </c>
      <c r="J767" t="n">
        <v/>
      </c>
      <c r="K767" t="n">
        <v>55.678502806</v>
      </c>
      <c r="L767" t="n">
        <v>63.784665409</v>
      </c>
      <c r="M767" t="n">
        <v>63.320081382</v>
      </c>
      <c r="N767" t="n">
        <v>80.660542084</v>
      </c>
      <c r="O767" t="n">
        <v/>
      </c>
      <c r="P767" t="n">
        <v/>
      </c>
      <c r="Q767" t="n">
        <v>51.97919271</v>
      </c>
      <c r="R767" t="n">
        <v>78.97099002500001</v>
      </c>
      <c r="S767" t="n">
        <v>57.421957348</v>
      </c>
      <c r="T767" t="n">
        <v>65.794128051</v>
      </c>
      <c r="U767" t="n">
        <v/>
      </c>
      <c r="V767" t="n">
        <v>115.571587314</v>
      </c>
      <c r="W767" t="n">
        <v/>
      </c>
      <c r="X767" t="n">
        <v/>
      </c>
      <c r="Y767" t="n">
        <v/>
      </c>
      <c r="Z767" t="n">
        <v>8.231351325</v>
      </c>
      <c r="AA767" t="n">
        <v/>
      </c>
      <c r="AB767" t="n">
        <v/>
      </c>
      <c r="AC767" t="n">
        <v>90.063979182</v>
      </c>
      <c r="AD767" t="n">
        <v>70.331818099</v>
      </c>
      <c r="AE767" t="n">
        <v/>
      </c>
      <c r="AF767" t="n">
        <v>49.393639365</v>
      </c>
      <c r="AG767" t="n">
        <v/>
      </c>
      <c r="AH767" t="n">
        <v>56.463438318</v>
      </c>
      <c r="AI767" t="n">
        <v>61.613199667</v>
      </c>
      <c r="AJ767" t="n">
        <v>52.136114059</v>
      </c>
      <c r="AK767" t="n">
        <v/>
      </c>
      <c r="AL767" t="n">
        <v>50.634440381</v>
      </c>
      <c r="AM767" t="n">
        <v/>
      </c>
      <c r="AN767" t="n">
        <v>78.354103295</v>
      </c>
      <c r="AO767" t="n">
        <v/>
      </c>
      <c r="AP767" t="n">
        <v/>
      </c>
      <c r="AQ767" t="n">
        <v/>
      </c>
      <c r="AR767" t="n">
        <v>55.689959944</v>
      </c>
      <c r="AS767" t="n">
        <v/>
      </c>
      <c r="AT767" t="n">
        <v>47.07428836</v>
      </c>
      <c r="AU767" t="n">
        <v/>
      </c>
    </row>
    <row r="768">
      <c r="A768" s="105" t="n">
        <v>30256</v>
      </c>
      <c r="B768" t="n">
        <v>36.404977065</v>
      </c>
      <c r="C768" t="n">
        <v>50.85031904</v>
      </c>
      <c r="D768" t="n">
        <v>59.769424686</v>
      </c>
      <c r="E768" t="n">
        <v>50.409979139</v>
      </c>
      <c r="F768" t="n">
        <v/>
      </c>
      <c r="G768" t="n">
        <v/>
      </c>
      <c r="H768" t="n">
        <v/>
      </c>
      <c r="I768" t="n">
        <v>36.401943569</v>
      </c>
      <c r="J768" t="n">
        <v/>
      </c>
      <c r="K768" t="n">
        <v>54.999496674</v>
      </c>
      <c r="L768" t="n">
        <v>65.035345122</v>
      </c>
      <c r="M768" t="n">
        <v>62.721096551</v>
      </c>
      <c r="N768" t="n">
        <v>82.21372946699999</v>
      </c>
      <c r="O768" t="n">
        <v/>
      </c>
      <c r="P768" t="n">
        <v/>
      </c>
      <c r="Q768" t="n">
        <v>52.384883971</v>
      </c>
      <c r="R768" t="n">
        <v>78.48401578399999</v>
      </c>
      <c r="S768" t="n">
        <v>57.364228291</v>
      </c>
      <c r="T768" t="n">
        <v>64.732932437</v>
      </c>
      <c r="U768" t="n">
        <v/>
      </c>
      <c r="V768" t="n">
        <v>114.510198431</v>
      </c>
      <c r="W768" t="n">
        <v/>
      </c>
      <c r="X768" t="n">
        <v/>
      </c>
      <c r="Y768" t="n">
        <v/>
      </c>
      <c r="Z768" t="n">
        <v>8.073921108</v>
      </c>
      <c r="AA768" t="n">
        <v/>
      </c>
      <c r="AB768" t="n">
        <v/>
      </c>
      <c r="AC768" t="n">
        <v>88.529468397</v>
      </c>
      <c r="AD768" t="n">
        <v>72.098526449</v>
      </c>
      <c r="AE768" t="n">
        <v/>
      </c>
      <c r="AF768" t="n">
        <v>47.701488251</v>
      </c>
      <c r="AG768" t="n">
        <v/>
      </c>
      <c r="AH768" t="n">
        <v>56.824919998</v>
      </c>
      <c r="AI768" t="n">
        <v>60.943490974</v>
      </c>
      <c r="AJ768" t="n">
        <v>56.060337698</v>
      </c>
      <c r="AK768" t="n">
        <v/>
      </c>
      <c r="AL768" t="n">
        <v>50.642833881</v>
      </c>
      <c r="AM768" t="n">
        <v/>
      </c>
      <c r="AN768" t="n">
        <v>78.110048861</v>
      </c>
      <c r="AO768" t="n">
        <v/>
      </c>
      <c r="AP768" t="n">
        <v/>
      </c>
      <c r="AQ768" t="n">
        <v/>
      </c>
      <c r="AR768" t="n">
        <v>55.230187313</v>
      </c>
      <c r="AS768" t="n">
        <v/>
      </c>
      <c r="AT768" t="n">
        <v>46.921782651</v>
      </c>
      <c r="AU768" t="n">
        <v/>
      </c>
    </row>
    <row r="769">
      <c r="A769" s="105" t="n">
        <v>30286</v>
      </c>
      <c r="B769" t="n">
        <v>35.636728201</v>
      </c>
      <c r="C769" t="n">
        <v>49.953184383</v>
      </c>
      <c r="D769" t="n">
        <v>59.150170159</v>
      </c>
      <c r="E769" t="n">
        <v>50.052848149</v>
      </c>
      <c r="F769" t="n">
        <v/>
      </c>
      <c r="G769" t="n">
        <v/>
      </c>
      <c r="H769" t="n">
        <v/>
      </c>
      <c r="I769" t="n">
        <v>35.633758721</v>
      </c>
      <c r="J769" t="n">
        <v/>
      </c>
      <c r="K769" t="n">
        <v>55.246407995</v>
      </c>
      <c r="L769" t="n">
        <v>64.410005265</v>
      </c>
      <c r="M769" t="n">
        <v>62.294422425</v>
      </c>
      <c r="N769" t="n">
        <v>80.309555143</v>
      </c>
      <c r="O769" t="n">
        <v/>
      </c>
      <c r="P769" t="n">
        <v/>
      </c>
      <c r="Q769" t="n">
        <v>52.993420861</v>
      </c>
      <c r="R769" t="n">
        <v>78.80866527800001</v>
      </c>
      <c r="S769" t="n">
        <v>57.220061547</v>
      </c>
      <c r="T769" t="n">
        <v>65.581888928</v>
      </c>
      <c r="U769" t="n">
        <v/>
      </c>
      <c r="V769" t="n">
        <v>111.935625114</v>
      </c>
      <c r="W769" t="n">
        <v/>
      </c>
      <c r="X769" t="n">
        <v/>
      </c>
      <c r="Y769" t="n">
        <v/>
      </c>
      <c r="Z769" t="n">
        <v>7.759060675</v>
      </c>
      <c r="AA769" t="n">
        <v/>
      </c>
      <c r="AB769" t="n">
        <v/>
      </c>
      <c r="AC769" t="n">
        <v>89.473782726</v>
      </c>
      <c r="AD769" t="n">
        <v>71.341365727</v>
      </c>
      <c r="AE769" t="n">
        <v/>
      </c>
      <c r="AF769" t="n">
        <v>45.160085743</v>
      </c>
      <c r="AG769" t="n">
        <v/>
      </c>
      <c r="AH769" t="n">
        <v>56.101956639</v>
      </c>
      <c r="AI769" t="n">
        <v>62.952617051</v>
      </c>
      <c r="AJ769" t="n">
        <v>57.181544452</v>
      </c>
      <c r="AK769" t="n">
        <v/>
      </c>
      <c r="AL769" t="n">
        <v>50.489310647</v>
      </c>
      <c r="AM769" t="n">
        <v/>
      </c>
      <c r="AN769" t="n">
        <v>80.051274494</v>
      </c>
      <c r="AO769" t="n">
        <v/>
      </c>
      <c r="AP769" t="n">
        <v/>
      </c>
      <c r="AQ769" t="n">
        <v/>
      </c>
      <c r="AR769" t="n">
        <v>56.322147312</v>
      </c>
      <c r="AS769" t="n">
        <v/>
      </c>
      <c r="AT769" t="n">
        <v>46.585932951</v>
      </c>
      <c r="AU769" t="n">
        <v/>
      </c>
    </row>
    <row r="770">
      <c r="A770" s="105" t="n">
        <v>30317</v>
      </c>
      <c r="B770" t="n">
        <v>36.095241891</v>
      </c>
      <c r="C770" t="n">
        <v>51.422216218</v>
      </c>
      <c r="D770" t="n">
        <v>58.060723589</v>
      </c>
      <c r="E770" t="n">
        <v>50.977159541</v>
      </c>
      <c r="F770" t="n">
        <v/>
      </c>
      <c r="G770" t="n">
        <v/>
      </c>
      <c r="H770" t="n">
        <v/>
      </c>
      <c r="I770" t="n">
        <v>36.092234205</v>
      </c>
      <c r="J770" t="n">
        <v/>
      </c>
      <c r="K770" t="n">
        <v>56.110597617</v>
      </c>
      <c r="L770" t="n">
        <v>65.035345122</v>
      </c>
      <c r="M770" t="n">
        <v>63.147770678</v>
      </c>
      <c r="N770" t="n">
        <v>83.81983656200001</v>
      </c>
      <c r="O770" t="n">
        <v/>
      </c>
      <c r="P770" t="n">
        <v/>
      </c>
      <c r="Q770" t="n">
        <v>52.435595378</v>
      </c>
      <c r="R770" t="n">
        <v>78.97099002500001</v>
      </c>
      <c r="S770" t="n">
        <v>57.996965027</v>
      </c>
      <c r="T770" t="n">
        <v>66.43084541899999</v>
      </c>
      <c r="U770" t="n">
        <v/>
      </c>
      <c r="V770" t="n">
        <v>114.041636312</v>
      </c>
      <c r="W770" t="n">
        <v/>
      </c>
      <c r="X770" t="n">
        <v/>
      </c>
      <c r="Y770" t="n">
        <v/>
      </c>
      <c r="Z770" t="n">
        <v>8.883562222</v>
      </c>
      <c r="AA770" t="n">
        <v/>
      </c>
      <c r="AB770" t="n">
        <v/>
      </c>
      <c r="AC770" t="n">
        <v>89.709861309</v>
      </c>
      <c r="AD770" t="n">
        <v>71.93026851099999</v>
      </c>
      <c r="AE770" t="n">
        <v/>
      </c>
      <c r="AF770" t="n">
        <v>47.49791842</v>
      </c>
      <c r="AG770" t="n">
        <v/>
      </c>
      <c r="AH770" t="n">
        <v>55.451289616</v>
      </c>
      <c r="AI770" t="n">
        <v>62.282908359</v>
      </c>
      <c r="AJ770" t="n">
        <v>56.620941075</v>
      </c>
      <c r="AK770" t="n">
        <v/>
      </c>
      <c r="AL770" t="n">
        <v>51.118565706</v>
      </c>
      <c r="AM770" t="n">
        <v/>
      </c>
      <c r="AN770" t="n">
        <v>79.310647828</v>
      </c>
      <c r="AO770" t="n">
        <v/>
      </c>
      <c r="AP770" t="n">
        <v/>
      </c>
      <c r="AQ770" t="n">
        <v/>
      </c>
      <c r="AR770" t="n">
        <v>56.322147312</v>
      </c>
      <c r="AS770" t="n">
        <v/>
      </c>
      <c r="AT770" t="n">
        <v>47.449603127</v>
      </c>
      <c r="AU770" t="n">
        <v/>
      </c>
    </row>
    <row r="771">
      <c r="A771" s="105" t="n">
        <v>30348</v>
      </c>
      <c r="B771" t="n">
        <v>36.639175469</v>
      </c>
      <c r="C771" t="n">
        <v>51.549605967</v>
      </c>
      <c r="D771" t="n">
        <v>56.835611596</v>
      </c>
      <c r="E771" t="n">
        <v>51.021800915</v>
      </c>
      <c r="F771" t="n">
        <v/>
      </c>
      <c r="G771" t="n">
        <v/>
      </c>
      <c r="H771" t="n">
        <v/>
      </c>
      <c r="I771" t="n">
        <v>36.636122459</v>
      </c>
      <c r="J771" t="n">
        <v/>
      </c>
      <c r="K771" t="n">
        <v>55.616774976</v>
      </c>
      <c r="L771" t="n">
        <v>64.410005265</v>
      </c>
      <c r="M771" t="n">
        <v>63.418544642</v>
      </c>
      <c r="N771" t="n">
        <v>83.055798383</v>
      </c>
      <c r="O771" t="n">
        <v/>
      </c>
      <c r="P771" t="n">
        <v/>
      </c>
      <c r="Q771" t="n">
        <v>53.246977898</v>
      </c>
      <c r="R771" t="n">
        <v>78.64634053100001</v>
      </c>
      <c r="S771" t="n">
        <v>57.791980671</v>
      </c>
      <c r="T771" t="n">
        <v>67.49204103300001</v>
      </c>
      <c r="U771" t="n">
        <v/>
      </c>
      <c r="V771" t="n">
        <v>114.981516724</v>
      </c>
      <c r="W771" t="n">
        <v/>
      </c>
      <c r="X771" t="n">
        <v/>
      </c>
      <c r="Y771" t="n">
        <v/>
      </c>
      <c r="Z771" t="n">
        <v>8.478741664999999</v>
      </c>
      <c r="AA771" t="n">
        <v/>
      </c>
      <c r="AB771" t="n">
        <v/>
      </c>
      <c r="AC771" t="n">
        <v>89.35574343499999</v>
      </c>
      <c r="AD771" t="n">
        <v>71.67788160400001</v>
      </c>
      <c r="AE771" t="n">
        <v/>
      </c>
      <c r="AF771" t="n">
        <v>50.073635287</v>
      </c>
      <c r="AG771" t="n">
        <v/>
      </c>
      <c r="AH771" t="n">
        <v>54.583733585</v>
      </c>
      <c r="AI771" t="n">
        <v>63.622325743</v>
      </c>
      <c r="AJ771" t="n">
        <v>58.863354583</v>
      </c>
      <c r="AK771" t="n">
        <v/>
      </c>
      <c r="AL771" t="n">
        <v>50.979928478</v>
      </c>
      <c r="AM771" t="n">
        <v/>
      </c>
      <c r="AN771" t="n">
        <v>81.044598444</v>
      </c>
      <c r="AO771" t="n">
        <v/>
      </c>
      <c r="AP771" t="n">
        <v/>
      </c>
      <c r="AQ771" t="n">
        <v/>
      </c>
      <c r="AR771" t="n">
        <v>56.666976785</v>
      </c>
      <c r="AS771" t="n">
        <v/>
      </c>
      <c r="AT771" t="n">
        <v>47.166406569</v>
      </c>
      <c r="AU771" t="n">
        <v/>
      </c>
    </row>
    <row r="772">
      <c r="A772" s="105" t="n">
        <v>30376</v>
      </c>
      <c r="B772" t="n">
        <v>36.199364366</v>
      </c>
      <c r="C772" t="n">
        <v>51.641311303</v>
      </c>
      <c r="D772" t="n">
        <v>58.942575299</v>
      </c>
      <c r="E772" t="n">
        <v>51.368123994</v>
      </c>
      <c r="F772" t="n">
        <v/>
      </c>
      <c r="G772" t="n">
        <v/>
      </c>
      <c r="H772" t="n">
        <v/>
      </c>
      <c r="I772" t="n">
        <v>36.196348004</v>
      </c>
      <c r="J772" t="n">
        <v/>
      </c>
      <c r="K772" t="n">
        <v>56.604420258</v>
      </c>
      <c r="L772" t="n">
        <v>63.159325552</v>
      </c>
      <c r="M772" t="n">
        <v>64.009324202</v>
      </c>
      <c r="N772" t="n">
        <v>84.774956715</v>
      </c>
      <c r="O772" t="n">
        <v/>
      </c>
      <c r="P772" t="n">
        <v/>
      </c>
      <c r="Q772" t="n">
        <v>53.196266491</v>
      </c>
      <c r="R772" t="n">
        <v>79.45796427400001</v>
      </c>
      <c r="S772" t="n">
        <v>58.234379923</v>
      </c>
      <c r="T772" t="n">
        <v>66.536964981</v>
      </c>
      <c r="U772" t="n">
        <v/>
      </c>
      <c r="V772" t="n">
        <v>113.722852305</v>
      </c>
      <c r="W772" t="n">
        <v/>
      </c>
      <c r="X772" t="n">
        <v/>
      </c>
      <c r="Y772" t="n">
        <v/>
      </c>
      <c r="Z772" t="n">
        <v>8.253841356000001</v>
      </c>
      <c r="AA772" t="n">
        <v/>
      </c>
      <c r="AB772" t="n">
        <v/>
      </c>
      <c r="AC772" t="n">
        <v>88.883586271</v>
      </c>
      <c r="AD772" t="n">
        <v>72.687429232</v>
      </c>
      <c r="AE772" t="n">
        <v/>
      </c>
      <c r="AF772" t="n">
        <v>48.376430703</v>
      </c>
      <c r="AG772" t="n">
        <v/>
      </c>
      <c r="AH772" t="n">
        <v>53.716177555</v>
      </c>
      <c r="AI772" t="n">
        <v>64.29203443500001</v>
      </c>
      <c r="AJ772" t="n">
        <v>56.620941075</v>
      </c>
      <c r="AK772" t="n">
        <v/>
      </c>
      <c r="AL772" t="n">
        <v>51.269971836</v>
      </c>
      <c r="AM772" t="n">
        <v/>
      </c>
      <c r="AN772" t="n">
        <v>81.079609643</v>
      </c>
      <c r="AO772" t="n">
        <v/>
      </c>
      <c r="AP772" t="n">
        <v/>
      </c>
      <c r="AQ772" t="n">
        <v/>
      </c>
      <c r="AR772" t="n">
        <v>56.322147312</v>
      </c>
      <c r="AS772" t="n">
        <v/>
      </c>
      <c r="AT772" t="n">
        <v>47.556297628</v>
      </c>
      <c r="AU772" t="n">
        <v/>
      </c>
    </row>
    <row r="773">
      <c r="A773" s="105" t="n">
        <v>30407</v>
      </c>
      <c r="B773" t="n">
        <v>37.580052909</v>
      </c>
      <c r="C773" t="n">
        <v>51.647001982</v>
      </c>
      <c r="D773" t="n">
        <v>58.389238119</v>
      </c>
      <c r="E773" t="n">
        <v>52.20879155</v>
      </c>
      <c r="F773" t="n">
        <v/>
      </c>
      <c r="G773" t="n">
        <v/>
      </c>
      <c r="H773" t="n">
        <v/>
      </c>
      <c r="I773" t="n">
        <v>37.576921499</v>
      </c>
      <c r="J773" t="n">
        <v/>
      </c>
      <c r="K773" t="n">
        <v>57.15997073</v>
      </c>
      <c r="L773" t="n">
        <v>65.660684979</v>
      </c>
      <c r="M773" t="n">
        <v>63.779576595</v>
      </c>
      <c r="N773" t="n">
        <v>82.844289956</v>
      </c>
      <c r="O773" t="n">
        <v/>
      </c>
      <c r="P773" t="n">
        <v/>
      </c>
      <c r="Q773" t="n">
        <v>54.159783234</v>
      </c>
      <c r="R773" t="n">
        <v>78.97099002500001</v>
      </c>
      <c r="S773" t="n">
        <v>58.655684971</v>
      </c>
      <c r="T773" t="n">
        <v>67.27980191</v>
      </c>
      <c r="U773" t="n">
        <v/>
      </c>
      <c r="V773" t="n">
        <v>117.930756392</v>
      </c>
      <c r="W773" t="n">
        <v/>
      </c>
      <c r="X773" t="n">
        <v/>
      </c>
      <c r="Y773" t="n">
        <v/>
      </c>
      <c r="Z773" t="n">
        <v>8.096411139000001</v>
      </c>
      <c r="AA773" t="n">
        <v/>
      </c>
      <c r="AB773" t="n">
        <v/>
      </c>
      <c r="AC773" t="n">
        <v>88.411429106</v>
      </c>
      <c r="AD773" t="n">
        <v>72.687429232</v>
      </c>
      <c r="AE773" t="n">
        <v/>
      </c>
      <c r="AF773" t="n">
        <v>51.36725634</v>
      </c>
      <c r="AG773" t="n">
        <v/>
      </c>
      <c r="AH773" t="n">
        <v>53.571584883</v>
      </c>
      <c r="AI773" t="n">
        <v>64.29203443500001</v>
      </c>
      <c r="AJ773" t="n">
        <v>62.226974845</v>
      </c>
      <c r="AK773" t="n">
        <v/>
      </c>
      <c r="AL773" t="n">
        <v>51.632309996</v>
      </c>
      <c r="AM773" t="n">
        <v/>
      </c>
      <c r="AN773" t="n">
        <v>79.875262842</v>
      </c>
      <c r="AO773" t="n">
        <v/>
      </c>
      <c r="AP773" t="n">
        <v/>
      </c>
      <c r="AQ773" t="n">
        <v/>
      </c>
      <c r="AR773" t="n">
        <v>57.816408363</v>
      </c>
      <c r="AS773" t="n">
        <v/>
      </c>
      <c r="AT773" t="n">
        <v>48.147777834</v>
      </c>
      <c r="AU773" t="n">
        <v/>
      </c>
    </row>
    <row r="774">
      <c r="A774" s="105" t="n">
        <v>30437</v>
      </c>
      <c r="B774" t="n">
        <v>37.427900267</v>
      </c>
      <c r="C774" t="n">
        <v>51.32643458</v>
      </c>
      <c r="D774" t="n">
        <v>60.048574181</v>
      </c>
      <c r="E774" t="n">
        <v>52.539137716</v>
      </c>
      <c r="F774" t="n">
        <v/>
      </c>
      <c r="G774" t="n">
        <v/>
      </c>
      <c r="H774" t="n">
        <v/>
      </c>
      <c r="I774" t="n">
        <v>37.424781535</v>
      </c>
      <c r="J774" t="n">
        <v/>
      </c>
      <c r="K774" t="n">
        <v>56.789603749</v>
      </c>
      <c r="L774" t="n">
        <v>66.286024836</v>
      </c>
      <c r="M774" t="n">
        <v>63.910860942</v>
      </c>
      <c r="N774" t="n">
        <v>83.47879518800001</v>
      </c>
      <c r="O774" t="n">
        <v/>
      </c>
      <c r="P774" t="n">
        <v/>
      </c>
      <c r="Q774" t="n">
        <v>54.819031532</v>
      </c>
      <c r="R774" t="n">
        <v>79.620289021</v>
      </c>
      <c r="S774" t="n">
        <v>58.847992242</v>
      </c>
      <c r="T774" t="n">
        <v>68.128758401</v>
      </c>
      <c r="U774" t="n">
        <v/>
      </c>
      <c r="V774" t="n">
        <v>108.001987911</v>
      </c>
      <c r="W774" t="n">
        <v/>
      </c>
      <c r="X774" t="n">
        <v/>
      </c>
      <c r="Y774" t="n">
        <v/>
      </c>
      <c r="Z774" t="n">
        <v>8.208861294</v>
      </c>
      <c r="AA774" t="n">
        <v/>
      </c>
      <c r="AB774" t="n">
        <v/>
      </c>
      <c r="AC774" t="n">
        <v>87.112996903</v>
      </c>
      <c r="AD774" t="n">
        <v>73.02394510800001</v>
      </c>
      <c r="AE774" t="n">
        <v/>
      </c>
      <c r="AF774" t="n">
        <v>51.697368588</v>
      </c>
      <c r="AG774" t="n">
        <v/>
      </c>
      <c r="AH774" t="n">
        <v>52.993214196</v>
      </c>
      <c r="AI774" t="n">
        <v>66.30116051100001</v>
      </c>
      <c r="AJ774" t="n">
        <v>59.42395796</v>
      </c>
      <c r="AK774" t="n">
        <v/>
      </c>
      <c r="AL774" t="n">
        <v>51.743011874</v>
      </c>
      <c r="AM774" t="n">
        <v/>
      </c>
      <c r="AN774" t="n">
        <v>79.188897919</v>
      </c>
      <c r="AO774" t="n">
        <v/>
      </c>
      <c r="AP774" t="n">
        <v/>
      </c>
      <c r="AQ774" t="n">
        <v/>
      </c>
      <c r="AR774" t="n">
        <v>57.47157889</v>
      </c>
      <c r="AS774" t="n">
        <v/>
      </c>
      <c r="AT774" t="n">
        <v>48.453483362</v>
      </c>
      <c r="AU774" t="n">
        <v/>
      </c>
    </row>
    <row r="775">
      <c r="A775" s="105" t="n">
        <v>30468</v>
      </c>
      <c r="B775" t="n">
        <v>37.427900267</v>
      </c>
      <c r="C775" t="n">
        <v>51.947368637</v>
      </c>
      <c r="D775" t="n">
        <v>57.994319539</v>
      </c>
      <c r="E775" t="n">
        <v>54.154685539</v>
      </c>
      <c r="F775" t="n">
        <v/>
      </c>
      <c r="G775" t="n">
        <v/>
      </c>
      <c r="H775" t="n">
        <v/>
      </c>
      <c r="I775" t="n">
        <v>37.424781535</v>
      </c>
      <c r="J775" t="n">
        <v/>
      </c>
      <c r="K775" t="n">
        <v>58.703166484</v>
      </c>
      <c r="L775" t="n">
        <v>66.911364693</v>
      </c>
      <c r="M775" t="n">
        <v>64.39497197</v>
      </c>
      <c r="N775" t="n">
        <v>83.21544771799999</v>
      </c>
      <c r="O775" t="n">
        <v/>
      </c>
      <c r="P775" t="n">
        <v/>
      </c>
      <c r="Q775" t="n">
        <v>55.579702644</v>
      </c>
      <c r="R775" t="n">
        <v>79.620289021</v>
      </c>
      <c r="S775" t="n">
        <v>59.382688244</v>
      </c>
      <c r="T775" t="n">
        <v>67.067562787</v>
      </c>
      <c r="U775" t="n">
        <v/>
      </c>
      <c r="V775" t="n">
        <v>115.635911696</v>
      </c>
      <c r="W775" t="n">
        <v/>
      </c>
      <c r="X775" t="n">
        <v/>
      </c>
      <c r="Y775" t="n">
        <v/>
      </c>
      <c r="Z775" t="n">
        <v>8.433761603000001</v>
      </c>
      <c r="AA775" t="n">
        <v/>
      </c>
      <c r="AB775" t="n">
        <v/>
      </c>
      <c r="AC775" t="n">
        <v>87.467114776</v>
      </c>
      <c r="AD775" t="n">
        <v>73.781105829</v>
      </c>
      <c r="AE775" t="n">
        <v/>
      </c>
      <c r="AF775" t="n">
        <v>50.330990926</v>
      </c>
      <c r="AG775" t="n">
        <v/>
      </c>
      <c r="AH775" t="n">
        <v>52.993214196</v>
      </c>
      <c r="AI775" t="n">
        <v>63.622325743</v>
      </c>
      <c r="AJ775" t="n">
        <v>60.545164714</v>
      </c>
      <c r="AK775" t="n">
        <v/>
      </c>
      <c r="AL775" t="n">
        <v>52.155405697</v>
      </c>
      <c r="AM775" t="n">
        <v/>
      </c>
      <c r="AN775" t="n">
        <v>81.22830444900001</v>
      </c>
      <c r="AO775" t="n">
        <v/>
      </c>
      <c r="AP775" t="n">
        <v/>
      </c>
      <c r="AQ775" t="n">
        <v/>
      </c>
      <c r="AR775" t="n">
        <v>57.816408363</v>
      </c>
      <c r="AS775" t="n">
        <v/>
      </c>
      <c r="AT775" t="n">
        <v>48.742133636</v>
      </c>
      <c r="AU775" t="n">
        <v/>
      </c>
    </row>
    <row r="776">
      <c r="A776" s="105" t="n">
        <v>30498</v>
      </c>
      <c r="B776" t="n">
        <v>39.117364739</v>
      </c>
      <c r="C776" t="n">
        <v>52.332463155</v>
      </c>
      <c r="D776" t="n">
        <v>57.848889667</v>
      </c>
      <c r="E776" t="n">
        <v>54.152805902</v>
      </c>
      <c r="F776" t="n">
        <v/>
      </c>
      <c r="G776" t="n">
        <v/>
      </c>
      <c r="H776" t="n">
        <v/>
      </c>
      <c r="I776" t="n">
        <v>39.114105231</v>
      </c>
      <c r="J776" t="n">
        <v/>
      </c>
      <c r="K776" t="n">
        <v>56.048869787</v>
      </c>
      <c r="L776" t="n">
        <v>65.660684979</v>
      </c>
      <c r="M776" t="n">
        <v>64.042145288</v>
      </c>
      <c r="N776" t="n">
        <v>82.011627273</v>
      </c>
      <c r="O776" t="n">
        <v/>
      </c>
      <c r="P776" t="n">
        <v/>
      </c>
      <c r="Q776" t="n">
        <v>53.094843676</v>
      </c>
      <c r="R776" t="n">
        <v>78.40285340699999</v>
      </c>
      <c r="S776" t="n">
        <v>59.508225908</v>
      </c>
      <c r="T776" t="n">
        <v>68.234877963</v>
      </c>
      <c r="U776" t="n">
        <v/>
      </c>
      <c r="V776" t="n">
        <v>116.456149157</v>
      </c>
      <c r="W776" t="n">
        <v/>
      </c>
      <c r="X776" t="n">
        <v/>
      </c>
      <c r="Y776" t="n">
        <v/>
      </c>
      <c r="Z776" t="n">
        <v>8.973522345999999</v>
      </c>
      <c r="AA776" t="n">
        <v/>
      </c>
      <c r="AB776" t="n">
        <v/>
      </c>
      <c r="AC776" t="n">
        <v>89.82790060000001</v>
      </c>
      <c r="AD776" t="n">
        <v>73.528718922</v>
      </c>
      <c r="AE776" t="n">
        <v/>
      </c>
      <c r="AF776" t="n">
        <v>51.869897079</v>
      </c>
      <c r="AG776" t="n">
        <v/>
      </c>
      <c r="AH776" t="n">
        <v>53.065510532</v>
      </c>
      <c r="AI776" t="n">
        <v>64.29203443500001</v>
      </c>
      <c r="AJ776" t="n">
        <v>61.666371468</v>
      </c>
      <c r="AK776" t="n">
        <v/>
      </c>
      <c r="AL776" t="n">
        <v>52.276883157</v>
      </c>
      <c r="AM776" t="n">
        <v/>
      </c>
      <c r="AN776" t="n">
        <v>78.874677078</v>
      </c>
      <c r="AO776" t="n">
        <v/>
      </c>
      <c r="AP776" t="n">
        <v/>
      </c>
      <c r="AQ776" t="n">
        <v/>
      </c>
      <c r="AR776" t="n">
        <v>59.253197836</v>
      </c>
      <c r="AS776" t="n">
        <v/>
      </c>
      <c r="AT776" t="n">
        <v>49.467477761</v>
      </c>
      <c r="AU776" t="n">
        <v/>
      </c>
    </row>
    <row r="777">
      <c r="A777" s="105" t="n">
        <v>30529</v>
      </c>
      <c r="B777" t="n">
        <v>37.473241762</v>
      </c>
      <c r="C777" t="n">
        <v>53.221420693</v>
      </c>
      <c r="D777" t="n">
        <v>59.184043525</v>
      </c>
      <c r="E777" t="n">
        <v>55.524470852</v>
      </c>
      <c r="F777" t="n">
        <v/>
      </c>
      <c r="G777" t="n">
        <v/>
      </c>
      <c r="H777" t="n">
        <v/>
      </c>
      <c r="I777" t="n">
        <v>37.470119252</v>
      </c>
      <c r="J777" t="n">
        <v/>
      </c>
      <c r="K777" t="n">
        <v>56.604420258</v>
      </c>
      <c r="L777" t="n">
        <v>66.286024836</v>
      </c>
      <c r="M777" t="n">
        <v>64.378561426</v>
      </c>
      <c r="N777" t="n">
        <v>82.332120895</v>
      </c>
      <c r="O777" t="n">
        <v/>
      </c>
      <c r="P777" t="n">
        <v/>
      </c>
      <c r="Q777" t="n">
        <v>55.427568422</v>
      </c>
      <c r="R777" t="n">
        <v>78.40285340699999</v>
      </c>
      <c r="S777" t="n">
        <v>60.272102833</v>
      </c>
      <c r="T777" t="n">
        <v>68.234877963</v>
      </c>
      <c r="U777" t="n">
        <v/>
      </c>
      <c r="V777" t="n">
        <v>118.868324273</v>
      </c>
      <c r="W777" t="n">
        <v/>
      </c>
      <c r="X777" t="n">
        <v/>
      </c>
      <c r="Y777" t="n">
        <v/>
      </c>
      <c r="Z777" t="n">
        <v>8.613681851000001</v>
      </c>
      <c r="AA777" t="n">
        <v/>
      </c>
      <c r="AB777" t="n">
        <v/>
      </c>
      <c r="AC777" t="n">
        <v>91.244372094</v>
      </c>
      <c r="AD777" t="n">
        <v>75.211298302</v>
      </c>
      <c r="AE777" t="n">
        <v/>
      </c>
      <c r="AF777" t="n">
        <v>51.942993308</v>
      </c>
      <c r="AG777" t="n">
        <v/>
      </c>
      <c r="AH777" t="n">
        <v>52.92091786</v>
      </c>
      <c r="AI777" t="n">
        <v>63.622325743</v>
      </c>
      <c r="AJ777" t="n">
        <v>60.545164714</v>
      </c>
      <c r="AK777" t="n">
        <v/>
      </c>
      <c r="AL777" t="n">
        <v>52.81422658</v>
      </c>
      <c r="AM777" t="n">
        <v/>
      </c>
      <c r="AN777" t="n">
        <v>77.645840572</v>
      </c>
      <c r="AO777" t="n">
        <v/>
      </c>
      <c r="AP777" t="n">
        <v/>
      </c>
      <c r="AQ777" t="n">
        <v/>
      </c>
      <c r="AR777" t="n">
        <v>57.873879942</v>
      </c>
      <c r="AS777" t="n">
        <v/>
      </c>
      <c r="AT777" t="n">
        <v>50.059453759</v>
      </c>
      <c r="AU777" t="n">
        <v/>
      </c>
    </row>
    <row r="778">
      <c r="A778" s="105" t="n">
        <v>30560</v>
      </c>
      <c r="B778" t="n">
        <v>37.79815287</v>
      </c>
      <c r="C778" t="n">
        <v>51.489231364</v>
      </c>
      <c r="D778" t="n">
        <v>58.930554727</v>
      </c>
      <c r="E778" t="n">
        <v>56.648963563</v>
      </c>
      <c r="F778" t="n">
        <v/>
      </c>
      <c r="G778" t="n">
        <v/>
      </c>
      <c r="H778" t="n">
        <v/>
      </c>
      <c r="I778" t="n">
        <v>37.795003286</v>
      </c>
      <c r="J778" t="n">
        <v/>
      </c>
      <c r="K778" t="n">
        <v>58.085888182</v>
      </c>
      <c r="L778" t="n">
        <v>68.162044407</v>
      </c>
      <c r="M778" t="n">
        <v>65.04318843</v>
      </c>
      <c r="N778" t="n">
        <v>83.778806217</v>
      </c>
      <c r="O778" t="n">
        <v/>
      </c>
      <c r="P778" t="n">
        <v/>
      </c>
      <c r="Q778" t="n">
        <v>55.478279829</v>
      </c>
      <c r="R778" t="n">
        <v>79.214477149</v>
      </c>
      <c r="S778" t="n">
        <v>61.004122004</v>
      </c>
      <c r="T778" t="n">
        <v>68.55323664700001</v>
      </c>
      <c r="U778" t="n">
        <v/>
      </c>
      <c r="V778" t="n">
        <v>114.606648775</v>
      </c>
      <c r="W778" t="n">
        <v/>
      </c>
      <c r="X778" t="n">
        <v/>
      </c>
      <c r="Y778" t="n">
        <v/>
      </c>
      <c r="Z778" t="n">
        <v>8.523721727</v>
      </c>
      <c r="AA778" t="n">
        <v/>
      </c>
      <c r="AB778" t="n">
        <v/>
      </c>
      <c r="AC778" t="n">
        <v>89.35574343499999</v>
      </c>
      <c r="AD778" t="n">
        <v>76.22084593</v>
      </c>
      <c r="AE778" t="n">
        <v/>
      </c>
      <c r="AF778" t="n">
        <v>53.193848371</v>
      </c>
      <c r="AG778" t="n">
        <v/>
      </c>
      <c r="AH778" t="n">
        <v>53.210103204</v>
      </c>
      <c r="AI778" t="n">
        <v>63.622325743</v>
      </c>
      <c r="AJ778" t="n">
        <v>61.105768091</v>
      </c>
      <c r="AK778" t="n">
        <v/>
      </c>
      <c r="AL778" t="n">
        <v>53.39000237</v>
      </c>
      <c r="AM778" t="n">
        <v/>
      </c>
      <c r="AN778" t="n">
        <v>80.45668846700001</v>
      </c>
      <c r="AO778" t="n">
        <v/>
      </c>
      <c r="AP778" t="n">
        <v/>
      </c>
      <c r="AQ778" t="n">
        <v/>
      </c>
      <c r="AR778" t="n">
        <v>58.621010468</v>
      </c>
      <c r="AS778" t="n">
        <v/>
      </c>
      <c r="AT778" t="n">
        <v>50.784996201</v>
      </c>
      <c r="AU778" t="n">
        <v/>
      </c>
    </row>
    <row r="779">
      <c r="A779" s="105" t="n">
        <v>30590</v>
      </c>
      <c r="B779" t="n">
        <v>38.378874583</v>
      </c>
      <c r="C779" t="n">
        <v>52.710385161</v>
      </c>
      <c r="D779" t="n">
        <v>59.491236436</v>
      </c>
      <c r="E779" t="n">
        <v>56.144281084</v>
      </c>
      <c r="F779" t="n">
        <v/>
      </c>
      <c r="G779" t="n">
        <v/>
      </c>
      <c r="H779" t="n">
        <v/>
      </c>
      <c r="I779" t="n">
        <v>38.37567661</v>
      </c>
      <c r="J779" t="n">
        <v/>
      </c>
      <c r="K779" t="n">
        <v>57.900704692</v>
      </c>
      <c r="L779" t="n">
        <v>66.911364693</v>
      </c>
      <c r="M779" t="n">
        <v>64.85446718199999</v>
      </c>
      <c r="N779" t="n">
        <v>82.815359497</v>
      </c>
      <c r="O779" t="n">
        <v/>
      </c>
      <c r="P779" t="n">
        <v/>
      </c>
      <c r="Q779" t="n">
        <v>54.971165754</v>
      </c>
      <c r="R779" t="n">
        <v>78.48401578399999</v>
      </c>
      <c r="S779" t="n">
        <v>61.153170386</v>
      </c>
      <c r="T779" t="n">
        <v>69.296073576</v>
      </c>
      <c r="U779" t="n">
        <v/>
      </c>
      <c r="V779" t="n">
        <v>114.66848701</v>
      </c>
      <c r="W779" t="n">
        <v/>
      </c>
      <c r="X779" t="n">
        <v/>
      </c>
      <c r="Y779" t="n">
        <v/>
      </c>
      <c r="Z779" t="n">
        <v>8.703641975</v>
      </c>
      <c r="AA779" t="n">
        <v/>
      </c>
      <c r="AB779" t="n">
        <v/>
      </c>
      <c r="AC779" t="n">
        <v>89.82790060000001</v>
      </c>
      <c r="AD779" t="n">
        <v>75.884330054</v>
      </c>
      <c r="AE779" t="n">
        <v/>
      </c>
      <c r="AF779" t="n">
        <v>54.219646685</v>
      </c>
      <c r="AG779" t="n">
        <v/>
      </c>
      <c r="AH779" t="n">
        <v>53.571584883</v>
      </c>
      <c r="AI779" t="n">
        <v>63.622325743</v>
      </c>
      <c r="AJ779" t="n">
        <v>62.226974845</v>
      </c>
      <c r="AK779" t="n">
        <v/>
      </c>
      <c r="AL779" t="n">
        <v>53.540768172</v>
      </c>
      <c r="AM779" t="n">
        <v/>
      </c>
      <c r="AN779" t="n">
        <v>80.169208114</v>
      </c>
      <c r="AO779" t="n">
        <v/>
      </c>
      <c r="AP779" t="n">
        <v/>
      </c>
      <c r="AQ779" t="n">
        <v/>
      </c>
      <c r="AR779" t="n">
        <v>59.712970467</v>
      </c>
      <c r="AS779" t="n">
        <v/>
      </c>
      <c r="AT779" t="n">
        <v>51.179547709</v>
      </c>
      <c r="AU779" t="n">
        <v/>
      </c>
    </row>
    <row r="780">
      <c r="A780" s="105" t="n">
        <v>30621</v>
      </c>
      <c r="B780" t="n">
        <v>37.994774873</v>
      </c>
      <c r="C780" t="n">
        <v>53.996764583</v>
      </c>
      <c r="D780" t="n">
        <v>59.831316996</v>
      </c>
      <c r="E780" t="n">
        <v>56.901304802</v>
      </c>
      <c r="F780" t="n">
        <v/>
      </c>
      <c r="G780" t="n">
        <v/>
      </c>
      <c r="H780" t="n">
        <v/>
      </c>
      <c r="I780" t="n">
        <v>37.991608906</v>
      </c>
      <c r="J780" t="n">
        <v/>
      </c>
      <c r="K780" t="n">
        <v>58.641438653</v>
      </c>
      <c r="L780" t="n">
        <v>67.53670455</v>
      </c>
      <c r="M780" t="n">
        <v>65.48627310000001</v>
      </c>
      <c r="N780" t="n">
        <v>83.121710185</v>
      </c>
      <c r="O780" t="n">
        <v/>
      </c>
      <c r="P780" t="n">
        <v/>
      </c>
      <c r="Q780" t="n">
        <v>55.88397109</v>
      </c>
      <c r="R780" t="n">
        <v>80.431912764</v>
      </c>
      <c r="S780" t="n">
        <v>61.685398351</v>
      </c>
      <c r="T780" t="n">
        <v>69.189954015</v>
      </c>
      <c r="U780" t="n">
        <v/>
      </c>
      <c r="V780" t="n">
        <v>116.255016143</v>
      </c>
      <c r="W780" t="n">
        <v/>
      </c>
      <c r="X780" t="n">
        <v/>
      </c>
      <c r="Y780" t="n">
        <v/>
      </c>
      <c r="Z780" t="n">
        <v>8.568701789</v>
      </c>
      <c r="AA780" t="n">
        <v/>
      </c>
      <c r="AB780" t="n">
        <v/>
      </c>
      <c r="AC780" t="n">
        <v>91.48045067699999</v>
      </c>
      <c r="AD780" t="n">
        <v>76.641490776</v>
      </c>
      <c r="AE780" t="n">
        <v/>
      </c>
      <c r="AF780" t="n">
        <v>55.673115212</v>
      </c>
      <c r="AG780" t="n">
        <v/>
      </c>
      <c r="AH780" t="n">
        <v>53.426992211</v>
      </c>
      <c r="AI780" t="n">
        <v>64.96174312700001</v>
      </c>
      <c r="AJ780" t="n">
        <v>61.666371468</v>
      </c>
      <c r="AK780" t="n">
        <v/>
      </c>
      <c r="AL780" t="n">
        <v>53.966455414</v>
      </c>
      <c r="AM780" t="n">
        <v/>
      </c>
      <c r="AN780" t="n">
        <v>78.838627702</v>
      </c>
      <c r="AO780" t="n">
        <v/>
      </c>
      <c r="AP780" t="n">
        <v/>
      </c>
      <c r="AQ780" t="n">
        <v/>
      </c>
      <c r="AR780" t="n">
        <v>59.770442046</v>
      </c>
      <c r="AS780" t="n">
        <v/>
      </c>
      <c r="AT780" t="n">
        <v>51.405728153</v>
      </c>
      <c r="AU780" t="n">
        <v/>
      </c>
    </row>
    <row r="781">
      <c r="A781" s="105" t="n">
        <v>30651</v>
      </c>
      <c r="B781" t="n">
        <v>36.810326487</v>
      </c>
      <c r="C781" t="n">
        <v>52.293833321</v>
      </c>
      <c r="D781" t="n">
        <v>60.59045505</v>
      </c>
      <c r="E781" t="n">
        <v>58.626341469</v>
      </c>
      <c r="F781" t="n">
        <v/>
      </c>
      <c r="G781" t="n">
        <v/>
      </c>
      <c r="H781" t="n">
        <v/>
      </c>
      <c r="I781" t="n">
        <v>36.807259215</v>
      </c>
      <c r="J781" t="n">
        <v/>
      </c>
      <c r="K781" t="n">
        <v>59.814267427</v>
      </c>
      <c r="L781" t="n">
        <v>70.038063978</v>
      </c>
      <c r="M781" t="n">
        <v>66.20833700599999</v>
      </c>
      <c r="N781" t="n">
        <v>85.093092513</v>
      </c>
      <c r="O781" t="n">
        <v/>
      </c>
      <c r="P781" t="n">
        <v/>
      </c>
      <c r="Q781" t="n">
        <v>53.855514789</v>
      </c>
      <c r="R781" t="n">
        <v>80.837724635</v>
      </c>
      <c r="S781" t="n">
        <v>62.259871427</v>
      </c>
      <c r="T781" t="n">
        <v>69.508312699</v>
      </c>
      <c r="U781" t="n">
        <v/>
      </c>
      <c r="V781" t="n">
        <v>117.004140086</v>
      </c>
      <c r="W781" t="n">
        <v/>
      </c>
      <c r="X781" t="n">
        <v/>
      </c>
      <c r="Y781" t="n">
        <v/>
      </c>
      <c r="Z781" t="n">
        <v>9.220912686</v>
      </c>
      <c r="AA781" t="n">
        <v/>
      </c>
      <c r="AB781" t="n">
        <v/>
      </c>
      <c r="AC781" t="n">
        <v>91.83456855</v>
      </c>
      <c r="AD781" t="n">
        <v>77.651038404</v>
      </c>
      <c r="AE781" t="n">
        <v/>
      </c>
      <c r="AF781" t="n">
        <v>55.807363492</v>
      </c>
      <c r="AG781" t="n">
        <v/>
      </c>
      <c r="AH781" t="n">
        <v>54.439140914</v>
      </c>
      <c r="AI781" t="n">
        <v>66.30116051100001</v>
      </c>
      <c r="AJ781" t="n">
        <v>62.787578222</v>
      </c>
      <c r="AK781" t="n">
        <v/>
      </c>
      <c r="AL781" t="n">
        <v>54.474386744</v>
      </c>
      <c r="AM781" t="n">
        <v/>
      </c>
      <c r="AN781" t="n">
        <v>80.26550410199999</v>
      </c>
      <c r="AO781" t="n">
        <v/>
      </c>
      <c r="AP781" t="n">
        <v/>
      </c>
      <c r="AQ781" t="n">
        <v/>
      </c>
      <c r="AR781" t="n">
        <v>59.483084151</v>
      </c>
      <c r="AS781" t="n">
        <v/>
      </c>
      <c r="AT781" t="n">
        <v>51.656400736</v>
      </c>
      <c r="AU781" t="n">
        <v/>
      </c>
    </row>
    <row r="782">
      <c r="A782" s="105" t="n">
        <v>30682</v>
      </c>
      <c r="B782" t="n">
        <v>38.724157349</v>
      </c>
      <c r="C782" t="n">
        <v>53.20592471</v>
      </c>
      <c r="D782" t="n">
        <v>59.378992299</v>
      </c>
      <c r="E782" t="n">
        <v>58.254173384</v>
      </c>
      <c r="F782" t="n">
        <v/>
      </c>
      <c r="G782" t="n">
        <v/>
      </c>
      <c r="H782" t="n">
        <v/>
      </c>
      <c r="I782" t="n">
        <v>38.720930605</v>
      </c>
      <c r="J782" t="n">
        <v/>
      </c>
      <c r="K782" t="n">
        <v>59.073533465</v>
      </c>
      <c r="L782" t="n">
        <v>70.663403835</v>
      </c>
      <c r="M782" t="n">
        <v>65.78166288</v>
      </c>
      <c r="N782" t="n">
        <v>85.012922493</v>
      </c>
      <c r="O782" t="n">
        <v/>
      </c>
      <c r="P782" t="n">
        <v/>
      </c>
      <c r="Q782" t="n">
        <v>55.833259682</v>
      </c>
      <c r="R782" t="n">
        <v>81.162374129</v>
      </c>
      <c r="S782" t="n">
        <v>62.865687835</v>
      </c>
      <c r="T782" t="n">
        <v>70.463388751</v>
      </c>
      <c r="U782" t="n">
        <v/>
      </c>
      <c r="V782" t="n">
        <v>117.925862607</v>
      </c>
      <c r="W782" t="n">
        <v/>
      </c>
      <c r="X782" t="n">
        <v/>
      </c>
      <c r="Y782" t="n">
        <v/>
      </c>
      <c r="Z782" t="n">
        <v>8.816092128999999</v>
      </c>
      <c r="AA782" t="n">
        <v/>
      </c>
      <c r="AB782" t="n">
        <v/>
      </c>
      <c r="AC782" t="n">
        <v>92.306725715</v>
      </c>
      <c r="AD782" t="n">
        <v>78.239941187</v>
      </c>
      <c r="AE782" t="n">
        <v/>
      </c>
      <c r="AF782" t="n">
        <v>55.06538753</v>
      </c>
      <c r="AG782" t="n">
        <v/>
      </c>
      <c r="AH782" t="n">
        <v>54.366844578</v>
      </c>
      <c r="AI782" t="n">
        <v>67.64057789500001</v>
      </c>
      <c r="AJ782" t="n">
        <v>64.469388353</v>
      </c>
      <c r="AK782" t="n">
        <v/>
      </c>
      <c r="AL782" t="n">
        <v>55.021669814</v>
      </c>
      <c r="AM782" t="n">
        <v/>
      </c>
      <c r="AN782" t="n">
        <v>80.582451513</v>
      </c>
      <c r="AO782" t="n">
        <v/>
      </c>
      <c r="AP782" t="n">
        <v/>
      </c>
      <c r="AQ782" t="n">
        <v/>
      </c>
      <c r="AR782" t="n">
        <v>60.804930466</v>
      </c>
      <c r="AS782" t="n">
        <v/>
      </c>
      <c r="AT782" t="n">
        <v>52.687648707</v>
      </c>
      <c r="AU782" t="n">
        <v/>
      </c>
    </row>
    <row r="783">
      <c r="A783" s="105" t="n">
        <v>30713</v>
      </c>
      <c r="B783" t="n">
        <v>38.415165196</v>
      </c>
      <c r="C783" t="n">
        <v>52.988358949</v>
      </c>
      <c r="D783" t="n">
        <v>61.705218349</v>
      </c>
      <c r="E783" t="n">
        <v>58.05728143</v>
      </c>
      <c r="F783" t="n">
        <v/>
      </c>
      <c r="G783" t="n">
        <v/>
      </c>
      <c r="H783" t="n">
        <v/>
      </c>
      <c r="I783" t="n">
        <v>38.411964199</v>
      </c>
      <c r="J783" t="n">
        <v/>
      </c>
      <c r="K783" t="n">
        <v>59.629083936</v>
      </c>
      <c r="L783" t="n">
        <v>70.038063978</v>
      </c>
      <c r="M783" t="n">
        <v>65.59294163200001</v>
      </c>
      <c r="N783" t="n">
        <v>84.23680748300001</v>
      </c>
      <c r="O783" t="n">
        <v/>
      </c>
      <c r="P783" t="n">
        <v/>
      </c>
      <c r="Q783" t="n">
        <v>55.174011384</v>
      </c>
      <c r="R783" t="n">
        <v>80.918887004</v>
      </c>
      <c r="S783" t="n">
        <v>63.101972557</v>
      </c>
      <c r="T783" t="n">
        <v>69.826671383</v>
      </c>
      <c r="U783" t="n">
        <v/>
      </c>
      <c r="V783" t="n">
        <v>112.318016198</v>
      </c>
      <c r="W783" t="n">
        <v/>
      </c>
      <c r="X783" t="n">
        <v/>
      </c>
      <c r="Y783" t="n">
        <v/>
      </c>
      <c r="Z783" t="n">
        <v>8.928542284000001</v>
      </c>
      <c r="AA783" t="n">
        <v/>
      </c>
      <c r="AB783" t="n">
        <v/>
      </c>
      <c r="AC783" t="n">
        <v>88.883586271</v>
      </c>
      <c r="AD783" t="n">
        <v>80.17490747399999</v>
      </c>
      <c r="AE783" t="n">
        <v/>
      </c>
      <c r="AF783" t="n">
        <v>55.954522778</v>
      </c>
      <c r="AG783" t="n">
        <v/>
      </c>
      <c r="AH783" t="n">
        <v>54.222251906</v>
      </c>
      <c r="AI783" t="n">
        <v>66.97086920300001</v>
      </c>
      <c r="AJ783" t="n">
        <v>62.226974845</v>
      </c>
      <c r="AK783" t="n">
        <v/>
      </c>
      <c r="AL783" t="n">
        <v>55.121094433</v>
      </c>
      <c r="AM783" t="n">
        <v/>
      </c>
      <c r="AN783" t="n">
        <v>82.497023486</v>
      </c>
      <c r="AO783" t="n">
        <v/>
      </c>
      <c r="AP783" t="n">
        <v/>
      </c>
      <c r="AQ783" t="n">
        <v/>
      </c>
      <c r="AR783" t="n">
        <v>60.632515729</v>
      </c>
      <c r="AS783" t="n">
        <v/>
      </c>
      <c r="AT783" t="n">
        <v>52.927116384</v>
      </c>
      <c r="AU783" t="n">
        <v/>
      </c>
    </row>
    <row r="784">
      <c r="A784" s="105" t="n">
        <v>30742</v>
      </c>
      <c r="B784" t="n">
        <v>38.436010251</v>
      </c>
      <c r="C784" t="n">
        <v>53.113422486</v>
      </c>
      <c r="D784" t="n">
        <v>58.878505398</v>
      </c>
      <c r="E784" t="n">
        <v>58.888550801</v>
      </c>
      <c r="F784" t="n">
        <v/>
      </c>
      <c r="G784" t="n">
        <v/>
      </c>
      <c r="H784" t="n">
        <v/>
      </c>
      <c r="I784" t="n">
        <v>38.432807517</v>
      </c>
      <c r="J784" t="n">
        <v/>
      </c>
      <c r="K784" t="n">
        <v>58.703166484</v>
      </c>
      <c r="L784" t="n">
        <v>71.914083549</v>
      </c>
      <c r="M784" t="n">
        <v>65.420630927</v>
      </c>
      <c r="N784" t="n">
        <v>82.814365041</v>
      </c>
      <c r="O784" t="n">
        <v/>
      </c>
      <c r="P784" t="n">
        <v/>
      </c>
      <c r="Q784" t="n">
        <v>55.681125459</v>
      </c>
      <c r="R784" t="n">
        <v>80.756562257</v>
      </c>
      <c r="S784" t="n">
        <v>63.050614872</v>
      </c>
      <c r="T784" t="n">
        <v>68.97771489199999</v>
      </c>
      <c r="U784" t="n">
        <v/>
      </c>
      <c r="V784" t="n">
        <v>118.444578978</v>
      </c>
      <c r="W784" t="n">
        <v/>
      </c>
      <c r="X784" t="n">
        <v/>
      </c>
      <c r="Y784" t="n">
        <v/>
      </c>
      <c r="Z784" t="n">
        <v>9.130952561999999</v>
      </c>
      <c r="AA784" t="n">
        <v/>
      </c>
      <c r="AB784" t="n">
        <v/>
      </c>
      <c r="AC784" t="n">
        <v>90.536136347</v>
      </c>
      <c r="AD784" t="n">
        <v>79.50187572199999</v>
      </c>
      <c r="AE784" t="n">
        <v/>
      </c>
      <c r="AF784" t="n">
        <v>55.9276765</v>
      </c>
      <c r="AG784" t="n">
        <v/>
      </c>
      <c r="AH784" t="n">
        <v>54.800622593</v>
      </c>
      <c r="AI784" t="n">
        <v>68.31028658699999</v>
      </c>
      <c r="AJ784" t="n">
        <v>62.787578222</v>
      </c>
      <c r="AK784" t="n">
        <v/>
      </c>
      <c r="AL784" t="n">
        <v>55.124043994</v>
      </c>
      <c r="AM784" t="n">
        <v/>
      </c>
      <c r="AN784" t="n">
        <v>78.85169880300001</v>
      </c>
      <c r="AO784" t="n">
        <v/>
      </c>
      <c r="AP784" t="n">
        <v/>
      </c>
      <c r="AQ784" t="n">
        <v/>
      </c>
      <c r="AR784" t="n">
        <v>60.345157834</v>
      </c>
      <c r="AS784" t="n">
        <v/>
      </c>
      <c r="AT784" t="n">
        <v>53.180069613</v>
      </c>
      <c r="AU784" t="n">
        <v/>
      </c>
    </row>
    <row r="785">
      <c r="A785" s="105" t="n">
        <v>30773</v>
      </c>
      <c r="B785" t="n">
        <v>38.612332426</v>
      </c>
      <c r="C785" t="n">
        <v>52.777779449</v>
      </c>
      <c r="D785" t="n">
        <v>61.340761088</v>
      </c>
      <c r="E785" t="n">
        <v>60.65305984</v>
      </c>
      <c r="F785" t="n">
        <v/>
      </c>
      <c r="G785" t="n">
        <v/>
      </c>
      <c r="H785" t="n">
        <v/>
      </c>
      <c r="I785" t="n">
        <v>38.609115</v>
      </c>
      <c r="J785" t="n">
        <v/>
      </c>
      <c r="K785" t="n">
        <v>58.271071673</v>
      </c>
      <c r="L785" t="n">
        <v>70.038063978</v>
      </c>
      <c r="M785" t="n">
        <v>65.354988753</v>
      </c>
      <c r="N785" t="n">
        <v>83.671152311</v>
      </c>
      <c r="O785" t="n">
        <v/>
      </c>
      <c r="P785" t="n">
        <v/>
      </c>
      <c r="Q785" t="n">
        <v>56.08681672</v>
      </c>
      <c r="R785" t="n">
        <v>79.45796427400001</v>
      </c>
      <c r="S785" t="n">
        <v>62.971738413</v>
      </c>
      <c r="T785" t="n">
        <v>67.704280156</v>
      </c>
      <c r="U785" t="n">
        <v/>
      </c>
      <c r="V785" t="n">
        <v>116.190956059</v>
      </c>
      <c r="W785" t="n">
        <v/>
      </c>
      <c r="X785" t="n">
        <v/>
      </c>
      <c r="Y785" t="n">
        <v/>
      </c>
      <c r="Z785" t="n">
        <v>9.288382779000001</v>
      </c>
      <c r="AA785" t="n">
        <v/>
      </c>
      <c r="AB785" t="n">
        <v/>
      </c>
      <c r="AC785" t="n">
        <v>89.473782726</v>
      </c>
      <c r="AD785" t="n">
        <v>79.24948881500001</v>
      </c>
      <c r="AE785" t="n">
        <v/>
      </c>
      <c r="AF785" t="n">
        <v>56.610655232</v>
      </c>
      <c r="AG785" t="n">
        <v/>
      </c>
      <c r="AH785" t="n">
        <v>55.37899328</v>
      </c>
      <c r="AI785" t="n">
        <v>67.64057789500001</v>
      </c>
      <c r="AJ785" t="n">
        <v>62.787578222</v>
      </c>
      <c r="AK785" t="n">
        <v/>
      </c>
      <c r="AL785" t="n">
        <v>55.117835324</v>
      </c>
      <c r="AM785" t="n">
        <v/>
      </c>
      <c r="AN785" t="n">
        <v>78.84380799500001</v>
      </c>
      <c r="AO785" t="n">
        <v/>
      </c>
      <c r="AP785" t="n">
        <v/>
      </c>
      <c r="AQ785" t="n">
        <v/>
      </c>
      <c r="AR785" t="n">
        <v>60.977345202</v>
      </c>
      <c r="AS785" t="n">
        <v/>
      </c>
      <c r="AT785" t="n">
        <v>53.495096036</v>
      </c>
      <c r="AU785" t="n">
        <v/>
      </c>
    </row>
    <row r="786">
      <c r="A786" s="105" t="n">
        <v>30803</v>
      </c>
      <c r="B786" t="n">
        <v>38.936573317</v>
      </c>
      <c r="C786" t="n">
        <v>53.820563623</v>
      </c>
      <c r="D786" t="n">
        <v>63.271092645</v>
      </c>
      <c r="E786" t="n">
        <v>61.398335829</v>
      </c>
      <c r="F786" t="n">
        <v/>
      </c>
      <c r="G786" t="n">
        <v/>
      </c>
      <c r="H786" t="n">
        <v/>
      </c>
      <c r="I786" t="n">
        <v>38.933328873</v>
      </c>
      <c r="J786" t="n">
        <v/>
      </c>
      <c r="K786" t="n">
        <v>58.703166484</v>
      </c>
      <c r="L786" t="n">
        <v>73.79010312</v>
      </c>
      <c r="M786" t="n">
        <v>66.38064771099999</v>
      </c>
      <c r="N786" t="n">
        <v>83.385720292</v>
      </c>
      <c r="O786" t="n">
        <v/>
      </c>
      <c r="P786" t="n">
        <v/>
      </c>
      <c r="Q786" t="n">
        <v>56.49250798</v>
      </c>
      <c r="R786" t="n">
        <v>81.568186</v>
      </c>
      <c r="S786" t="n">
        <v>63.69060825</v>
      </c>
      <c r="T786" t="n">
        <v>67.173682349</v>
      </c>
      <c r="U786" t="n">
        <v/>
      </c>
      <c r="V786" t="n">
        <v>117.342942056</v>
      </c>
      <c r="W786" t="n">
        <v/>
      </c>
      <c r="X786" t="n">
        <v/>
      </c>
      <c r="Y786" t="n">
        <v/>
      </c>
      <c r="Z786" t="n">
        <v>9.310872809999999</v>
      </c>
      <c r="AA786" t="n">
        <v/>
      </c>
      <c r="AB786" t="n">
        <v/>
      </c>
      <c r="AC786" t="n">
        <v>93.251040045</v>
      </c>
      <c r="AD786" t="n">
        <v>80.679681288</v>
      </c>
      <c r="AE786" t="n">
        <v/>
      </c>
      <c r="AF786" t="n">
        <v>57.026490031</v>
      </c>
      <c r="AG786" t="n">
        <v/>
      </c>
      <c r="AH786" t="n">
        <v>54.872918929</v>
      </c>
      <c r="AI786" t="n">
        <v>67.64057789500001</v>
      </c>
      <c r="AJ786" t="n">
        <v>65.590595107</v>
      </c>
      <c r="AK786" t="n">
        <v/>
      </c>
      <c r="AL786" t="n">
        <v>55.680310571</v>
      </c>
      <c r="AM786" t="n">
        <v/>
      </c>
      <c r="AN786" t="n">
        <v>81.394919976</v>
      </c>
      <c r="AO786" t="n">
        <v/>
      </c>
      <c r="AP786" t="n">
        <v/>
      </c>
      <c r="AQ786" t="n">
        <v/>
      </c>
      <c r="AR786" t="n">
        <v>62.758964148</v>
      </c>
      <c r="AS786" t="n">
        <v/>
      </c>
      <c r="AT786" t="n">
        <v>53.783151358</v>
      </c>
      <c r="AU786" t="n">
        <v/>
      </c>
    </row>
    <row r="787">
      <c r="A787" s="105" t="n">
        <v>30834</v>
      </c>
      <c r="B787" t="n">
        <v>38.937796285</v>
      </c>
      <c r="C787" t="n">
        <v>53.50854939</v>
      </c>
      <c r="D787" t="n">
        <v>64.29129992</v>
      </c>
      <c r="E787" t="n">
        <v>61.408203922</v>
      </c>
      <c r="F787" t="n">
        <v/>
      </c>
      <c r="G787" t="n">
        <v/>
      </c>
      <c r="H787" t="n">
        <v/>
      </c>
      <c r="I787" t="n">
        <v>38.934551739</v>
      </c>
      <c r="J787" t="n">
        <v/>
      </c>
      <c r="K787" t="n">
        <v>53.147661769</v>
      </c>
      <c r="L787" t="n">
        <v>70.663403835</v>
      </c>
      <c r="M787" t="n">
        <v>63.041102146</v>
      </c>
      <c r="N787" t="n">
        <v>83.45352176199999</v>
      </c>
      <c r="O787" t="n">
        <v/>
      </c>
      <c r="P787" t="n">
        <v/>
      </c>
      <c r="Q787" t="n">
        <v>56.69535361</v>
      </c>
      <c r="R787" t="n">
        <v>79.620289021</v>
      </c>
      <c r="S787" t="n">
        <v>63.053003652</v>
      </c>
      <c r="T787" t="n">
        <v>67.704280156</v>
      </c>
      <c r="U787" t="n">
        <v/>
      </c>
      <c r="V787" t="n">
        <v>116.850635423</v>
      </c>
      <c r="W787" t="n">
        <v/>
      </c>
      <c r="X787" t="n">
        <v/>
      </c>
      <c r="Y787" t="n">
        <v/>
      </c>
      <c r="Z787" t="n">
        <v>9.963083706999999</v>
      </c>
      <c r="AA787" t="n">
        <v/>
      </c>
      <c r="AB787" t="n">
        <v/>
      </c>
      <c r="AC787" t="n">
        <v>93.72319721</v>
      </c>
      <c r="AD787" t="n">
        <v>81.184455103</v>
      </c>
      <c r="AE787" t="n">
        <v/>
      </c>
      <c r="AF787" t="n">
        <v>59.110132061</v>
      </c>
      <c r="AG787" t="n">
        <v/>
      </c>
      <c r="AH787" t="n">
        <v>56.174252975</v>
      </c>
      <c r="AI787" t="n">
        <v>68.97999527899999</v>
      </c>
      <c r="AJ787" t="n">
        <v>63.908784976</v>
      </c>
      <c r="AK787" t="n">
        <v/>
      </c>
      <c r="AL787" t="n">
        <v>55.304785645</v>
      </c>
      <c r="AM787" t="n">
        <v/>
      </c>
      <c r="AN787" t="n">
        <v>80.834002071</v>
      </c>
      <c r="AO787" t="n">
        <v/>
      </c>
      <c r="AP787" t="n">
        <v/>
      </c>
      <c r="AQ787" t="n">
        <v/>
      </c>
      <c r="AR787" t="n">
        <v>61.494589412</v>
      </c>
      <c r="AS787" t="n">
        <v/>
      </c>
      <c r="AT787" t="n">
        <v>53.970759162</v>
      </c>
      <c r="AU787" t="n">
        <v/>
      </c>
    </row>
    <row r="788">
      <c r="A788" s="105" t="n">
        <v>30864</v>
      </c>
      <c r="B788" t="n">
        <v>38.99886318</v>
      </c>
      <c r="C788" t="n">
        <v>53.100480193</v>
      </c>
      <c r="D788" t="n">
        <v>63.900143635</v>
      </c>
      <c r="E788" t="n">
        <v>62.308549945</v>
      </c>
      <c r="F788" t="n">
        <v/>
      </c>
      <c r="G788" t="n">
        <v/>
      </c>
      <c r="H788" t="n">
        <v/>
      </c>
      <c r="I788" t="n">
        <v>38.995613546</v>
      </c>
      <c r="J788" t="n">
        <v/>
      </c>
      <c r="K788" t="n">
        <v>59.690811766</v>
      </c>
      <c r="L788" t="n">
        <v>74.415442977</v>
      </c>
      <c r="M788" t="n">
        <v>66.65962694700001</v>
      </c>
      <c r="N788" t="n">
        <v>83.90476433400001</v>
      </c>
      <c r="O788" t="n">
        <v/>
      </c>
      <c r="P788" t="n">
        <v/>
      </c>
      <c r="Q788" t="n">
        <v>57.3038905</v>
      </c>
      <c r="R788" t="n">
        <v>81.000049382</v>
      </c>
      <c r="S788" t="n">
        <v>63.923182166</v>
      </c>
      <c r="T788" t="n">
        <v>66.749204103</v>
      </c>
      <c r="U788" t="n">
        <v/>
      </c>
      <c r="V788" t="n">
        <v>111.981297689</v>
      </c>
      <c r="W788" t="n">
        <v/>
      </c>
      <c r="X788" t="n">
        <v/>
      </c>
      <c r="Y788" t="n">
        <v/>
      </c>
      <c r="Z788" t="n">
        <v>9.603243212000001</v>
      </c>
      <c r="AA788" t="n">
        <v/>
      </c>
      <c r="AB788" t="n">
        <v/>
      </c>
      <c r="AC788" t="n">
        <v>90.77221493</v>
      </c>
      <c r="AD788" t="n">
        <v>81.184455103</v>
      </c>
      <c r="AE788" t="n">
        <v/>
      </c>
      <c r="AF788" t="n">
        <v>57.217166755</v>
      </c>
      <c r="AG788" t="n">
        <v/>
      </c>
      <c r="AH788" t="n">
        <v>56.897216333</v>
      </c>
      <c r="AI788" t="n">
        <v>66.97086920300001</v>
      </c>
      <c r="AJ788" t="n">
        <v>62.787578222</v>
      </c>
      <c r="AK788" t="n">
        <v/>
      </c>
      <c r="AL788" t="n">
        <v>55.94104903</v>
      </c>
      <c r="AM788" t="n">
        <v/>
      </c>
      <c r="AN788" t="n">
        <v>84.88879805800001</v>
      </c>
      <c r="AO788" t="n">
        <v/>
      </c>
      <c r="AP788" t="n">
        <v/>
      </c>
      <c r="AQ788" t="n">
        <v/>
      </c>
      <c r="AR788" t="n">
        <v>60.689987308</v>
      </c>
      <c r="AS788" t="n">
        <v/>
      </c>
      <c r="AT788" t="n">
        <v>54.127132051</v>
      </c>
      <c r="AU788" t="n">
        <v/>
      </c>
    </row>
    <row r="789">
      <c r="A789" s="105" t="n">
        <v>30895</v>
      </c>
      <c r="B789" t="n">
        <v>39.400905929</v>
      </c>
      <c r="C789" t="n">
        <v>53.572458875</v>
      </c>
      <c r="D789" t="n">
        <v>63.520788215</v>
      </c>
      <c r="E789" t="n">
        <v>62.371517778</v>
      </c>
      <c r="F789" t="n">
        <v/>
      </c>
      <c r="G789" t="n">
        <v/>
      </c>
      <c r="H789" t="n">
        <v/>
      </c>
      <c r="I789" t="n">
        <v>39.397622793</v>
      </c>
      <c r="J789" t="n">
        <v/>
      </c>
      <c r="K789" t="n">
        <v>59.073533465</v>
      </c>
      <c r="L789" t="n">
        <v>75.040782834</v>
      </c>
      <c r="M789" t="n">
        <v>68.128370574</v>
      </c>
      <c r="N789" t="n">
        <v>87.629389183</v>
      </c>
      <c r="O789" t="n">
        <v/>
      </c>
      <c r="P789" t="n">
        <v/>
      </c>
      <c r="Q789" t="n">
        <v>56.746065017</v>
      </c>
      <c r="R789" t="n">
        <v>81.000049382</v>
      </c>
      <c r="S789" t="n">
        <v>64.324984564</v>
      </c>
      <c r="T789" t="n">
        <v>66.43084541899999</v>
      </c>
      <c r="U789" t="n">
        <v/>
      </c>
      <c r="V789" t="n">
        <v>126.553992452</v>
      </c>
      <c r="W789" t="n">
        <v/>
      </c>
      <c r="X789" t="n">
        <v/>
      </c>
      <c r="Y789" t="n">
        <v/>
      </c>
      <c r="Z789" t="n">
        <v>8.861072191</v>
      </c>
      <c r="AA789" t="n">
        <v/>
      </c>
      <c r="AB789" t="n">
        <v/>
      </c>
      <c r="AC789" t="n">
        <v>96.320061616</v>
      </c>
      <c r="AD789" t="n">
        <v>82.36226066899999</v>
      </c>
      <c r="AE789" t="n">
        <v/>
      </c>
      <c r="AF789" t="n">
        <v>59.341101544</v>
      </c>
      <c r="AG789" t="n">
        <v/>
      </c>
      <c r="AH789" t="n">
        <v>56.969512669</v>
      </c>
      <c r="AI789" t="n">
        <v>68.97999527899999</v>
      </c>
      <c r="AJ789" t="n">
        <v>63.908784976</v>
      </c>
      <c r="AK789" t="n">
        <v/>
      </c>
      <c r="AL789" t="n">
        <v>56.415761515</v>
      </c>
      <c r="AM789" t="n">
        <v/>
      </c>
      <c r="AN789" t="n">
        <v>83.309105575</v>
      </c>
      <c r="AO789" t="n">
        <v/>
      </c>
      <c r="AP789" t="n">
        <v/>
      </c>
      <c r="AQ789" t="n">
        <v/>
      </c>
      <c r="AR789" t="n">
        <v>62.356663096</v>
      </c>
      <c r="AS789" t="n">
        <v/>
      </c>
      <c r="AT789" t="n">
        <v>54.193072426</v>
      </c>
      <c r="AU789" t="n">
        <v/>
      </c>
    </row>
    <row r="790">
      <c r="A790" s="105" t="n">
        <v>30926</v>
      </c>
      <c r="B790" t="n">
        <v>41.349222171</v>
      </c>
      <c r="C790" t="n">
        <v>54.238340022</v>
      </c>
      <c r="D790" t="n">
        <v>63.148249926</v>
      </c>
      <c r="E790" t="n">
        <v>61.323620266</v>
      </c>
      <c r="F790" t="n">
        <v/>
      </c>
      <c r="G790" t="n">
        <v/>
      </c>
      <c r="H790" t="n">
        <v/>
      </c>
      <c r="I790" t="n">
        <v>41.34577669</v>
      </c>
      <c r="J790" t="n">
        <v/>
      </c>
      <c r="K790" t="n">
        <v>60.308090068</v>
      </c>
      <c r="L790" t="n">
        <v>75.040782834</v>
      </c>
      <c r="M790" t="n">
        <v>67.824775522</v>
      </c>
      <c r="N790" t="n">
        <v>84.367333884</v>
      </c>
      <c r="O790" t="n">
        <v/>
      </c>
      <c r="P790" t="n">
        <v/>
      </c>
      <c r="Q790" t="n">
        <v>56.89819924</v>
      </c>
      <c r="R790" t="n">
        <v>80.837724635</v>
      </c>
      <c r="S790" t="n">
        <v>64.172296862</v>
      </c>
      <c r="T790" t="n">
        <v>67.59816059400001</v>
      </c>
      <c r="U790" t="n">
        <v/>
      </c>
      <c r="V790" t="n">
        <v>120.808124429</v>
      </c>
      <c r="W790" t="n">
        <v/>
      </c>
      <c r="X790" t="n">
        <v/>
      </c>
      <c r="Y790" t="n">
        <v/>
      </c>
      <c r="Z790" t="n">
        <v>9.738183398</v>
      </c>
      <c r="AA790" t="n">
        <v/>
      </c>
      <c r="AB790" t="n">
        <v/>
      </c>
      <c r="AC790" t="n">
        <v>94.431432957</v>
      </c>
      <c r="AD790" t="n">
        <v>81.184455103</v>
      </c>
      <c r="AE790" t="n">
        <v/>
      </c>
      <c r="AF790" t="n">
        <v>60.813209104</v>
      </c>
      <c r="AG790" t="n">
        <v/>
      </c>
      <c r="AH790" t="n">
        <v>58.198550379</v>
      </c>
      <c r="AI790" t="n">
        <v>68.31028658699999</v>
      </c>
      <c r="AJ790" t="n">
        <v>66.15119848400001</v>
      </c>
      <c r="AK790" t="n">
        <v/>
      </c>
      <c r="AL790" t="n">
        <v>56.343016741</v>
      </c>
      <c r="AM790" t="n">
        <v/>
      </c>
      <c r="AN790" t="n">
        <v>84.075623726</v>
      </c>
      <c r="AO790" t="n">
        <v/>
      </c>
      <c r="AP790" t="n">
        <v/>
      </c>
      <c r="AQ790" t="n">
        <v/>
      </c>
      <c r="AR790" t="n">
        <v>63.333679937</v>
      </c>
      <c r="AS790" t="n">
        <v/>
      </c>
      <c r="AT790" t="n">
        <v>54.036302903</v>
      </c>
      <c r="AU790" t="n">
        <v/>
      </c>
    </row>
    <row r="791">
      <c r="A791" s="105" t="n">
        <v>30956</v>
      </c>
      <c r="B791" t="n">
        <v>40.024040537</v>
      </c>
      <c r="C791" t="n">
        <v>53.651978658</v>
      </c>
      <c r="D791" t="n">
        <v>64.046810765</v>
      </c>
      <c r="E791" t="n">
        <v>62.575928279</v>
      </c>
      <c r="F791" t="n">
        <v/>
      </c>
      <c r="G791" t="n">
        <v/>
      </c>
      <c r="H791" t="n">
        <v/>
      </c>
      <c r="I791" t="n">
        <v>40.020705479</v>
      </c>
      <c r="J791" t="n">
        <v/>
      </c>
      <c r="K791" t="n">
        <v>60.061178747</v>
      </c>
      <c r="L791" t="n">
        <v>75.666122691</v>
      </c>
      <c r="M791" t="n">
        <v>67.225790691</v>
      </c>
      <c r="N791" t="n">
        <v>84.57624990799999</v>
      </c>
      <c r="O791" t="n">
        <v/>
      </c>
      <c r="P791" t="n">
        <v/>
      </c>
      <c r="Q791" t="n">
        <v>57.861715983</v>
      </c>
      <c r="R791" t="n">
        <v>81.162374129</v>
      </c>
      <c r="S791" t="n">
        <v>64.540392049</v>
      </c>
      <c r="T791" t="n">
        <v>67.704280156</v>
      </c>
      <c r="U791" t="n">
        <v/>
      </c>
      <c r="V791" t="n">
        <v>120.183961956</v>
      </c>
      <c r="W791" t="n">
        <v/>
      </c>
      <c r="X791" t="n">
        <v/>
      </c>
      <c r="Y791" t="n">
        <v/>
      </c>
      <c r="Z791" t="n">
        <v>9.535773119</v>
      </c>
      <c r="AA791" t="n">
        <v/>
      </c>
      <c r="AB791" t="n">
        <v/>
      </c>
      <c r="AC791" t="n">
        <v>93.959275792</v>
      </c>
      <c r="AD791" t="n">
        <v>83.540066235</v>
      </c>
      <c r="AE791" t="n">
        <v/>
      </c>
      <c r="AF791" t="n">
        <v>56.149682558</v>
      </c>
      <c r="AG791" t="n">
        <v/>
      </c>
      <c r="AH791" t="n">
        <v>56.174252975</v>
      </c>
      <c r="AI791" t="n">
        <v>66.30116051100001</v>
      </c>
      <c r="AJ791" t="n">
        <v>65.590595107</v>
      </c>
      <c r="AK791" t="n">
        <v/>
      </c>
      <c r="AL791" t="n">
        <v>56.470151829</v>
      </c>
      <c r="AM791" t="n">
        <v/>
      </c>
      <c r="AN791" t="n">
        <v>81.810011205</v>
      </c>
      <c r="AO791" t="n">
        <v/>
      </c>
      <c r="AP791" t="n">
        <v/>
      </c>
      <c r="AQ791" t="n">
        <v/>
      </c>
      <c r="AR791" t="n">
        <v>63.793452568</v>
      </c>
      <c r="AS791" t="n">
        <v/>
      </c>
      <c r="AT791" t="n">
        <v>54.018751856</v>
      </c>
      <c r="AU791" t="n">
        <v/>
      </c>
    </row>
    <row r="792">
      <c r="A792" s="105" t="n">
        <v>30987</v>
      </c>
      <c r="B792" t="n">
        <v>38.734775586</v>
      </c>
      <c r="C792" t="n">
        <v>52.439776577</v>
      </c>
      <c r="D792" t="n">
        <v>64.66676135199999</v>
      </c>
      <c r="E792" t="n">
        <v>62.377156688</v>
      </c>
      <c r="F792" t="n">
        <v/>
      </c>
      <c r="G792" t="n">
        <v/>
      </c>
      <c r="H792" t="n">
        <v/>
      </c>
      <c r="I792" t="n">
        <v>38.731547957</v>
      </c>
      <c r="J792" t="n">
        <v/>
      </c>
      <c r="K792" t="n">
        <v>60.555001388</v>
      </c>
      <c r="L792" t="n">
        <v>76.29146254699999</v>
      </c>
      <c r="M792" t="n">
        <v>66.96322199799999</v>
      </c>
      <c r="N792" t="n">
        <v>83.484976456</v>
      </c>
      <c r="O792" t="n">
        <v/>
      </c>
      <c r="P792" t="n">
        <v/>
      </c>
      <c r="Q792" t="n">
        <v>58.673098503</v>
      </c>
      <c r="R792" t="n">
        <v>79.944938514</v>
      </c>
      <c r="S792" t="n">
        <v>64.48436284500001</v>
      </c>
      <c r="T792" t="n">
        <v>67.27980191</v>
      </c>
      <c r="U792" t="n">
        <v/>
      </c>
      <c r="V792" t="n">
        <v>116.899058697</v>
      </c>
      <c r="W792" t="n">
        <v/>
      </c>
      <c r="X792" t="n">
        <v/>
      </c>
      <c r="Y792" t="n">
        <v/>
      </c>
      <c r="Z792" t="n">
        <v>9.783163460000001</v>
      </c>
      <c r="AA792" t="n">
        <v/>
      </c>
      <c r="AB792" t="n">
        <v/>
      </c>
      <c r="AC792" t="n">
        <v>91.83456855</v>
      </c>
      <c r="AD792" t="n">
        <v>83.540066235</v>
      </c>
      <c r="AE792" t="n">
        <v/>
      </c>
      <c r="AF792" t="n">
        <v>60.415511834</v>
      </c>
      <c r="AG792" t="n">
        <v/>
      </c>
      <c r="AH792" t="n">
        <v>57.692476028</v>
      </c>
      <c r="AI792" t="n">
        <v>67.64057789500001</v>
      </c>
      <c r="AJ792" t="n">
        <v>66.15119848400001</v>
      </c>
      <c r="AK792" t="n">
        <v/>
      </c>
      <c r="AL792" t="n">
        <v>56.506058843</v>
      </c>
      <c r="AM792" t="n">
        <v/>
      </c>
      <c r="AN792" t="n">
        <v>85.038007467</v>
      </c>
      <c r="AO792" t="n">
        <v/>
      </c>
      <c r="AP792" t="n">
        <v/>
      </c>
      <c r="AQ792" t="n">
        <v/>
      </c>
      <c r="AR792" t="n">
        <v>63.965867305</v>
      </c>
      <c r="AS792" t="n">
        <v/>
      </c>
      <c r="AT792" t="n">
        <v>54.199418568</v>
      </c>
      <c r="AU792" t="n">
        <v/>
      </c>
    </row>
    <row r="793">
      <c r="A793" s="105" t="n">
        <v>31017</v>
      </c>
      <c r="B793" t="n">
        <v>41.471435384</v>
      </c>
      <c r="C793" t="n">
        <v>55.47437413</v>
      </c>
      <c r="D793" t="n">
        <v>66.161462942</v>
      </c>
      <c r="E793" t="n">
        <v>62.455161615</v>
      </c>
      <c r="F793" t="n">
        <v/>
      </c>
      <c r="G793" t="n">
        <v/>
      </c>
      <c r="H793" t="n">
        <v/>
      </c>
      <c r="I793" t="n">
        <v>41.467979719</v>
      </c>
      <c r="J793" t="n">
        <v/>
      </c>
      <c r="K793" t="n">
        <v>60.925368369</v>
      </c>
      <c r="L793" t="n">
        <v>76.91680240399999</v>
      </c>
      <c r="M793" t="n">
        <v>67.816570251</v>
      </c>
      <c r="N793" t="n">
        <v>84.25258445199999</v>
      </c>
      <c r="O793" t="n">
        <v/>
      </c>
      <c r="P793" t="n">
        <v/>
      </c>
      <c r="Q793" t="n">
        <v>60.093017914</v>
      </c>
      <c r="R793" t="n">
        <v>79.944938514</v>
      </c>
      <c r="S793" t="n">
        <v>64.6790196</v>
      </c>
      <c r="T793" t="n">
        <v>68.447117085</v>
      </c>
      <c r="U793" t="n">
        <v/>
      </c>
      <c r="V793" t="n">
        <v>113.150138682</v>
      </c>
      <c r="W793" t="n">
        <v/>
      </c>
      <c r="X793" t="n">
        <v/>
      </c>
      <c r="Y793" t="n">
        <v/>
      </c>
      <c r="Z793" t="n">
        <v>10.008063769</v>
      </c>
      <c r="AA793" t="n">
        <v/>
      </c>
      <c r="AB793" t="n">
        <v/>
      </c>
      <c r="AC793" t="n">
        <v>93.959275792</v>
      </c>
      <c r="AD793" t="n">
        <v>83.03529242099999</v>
      </c>
      <c r="AE793" t="n">
        <v/>
      </c>
      <c r="AF793" t="n">
        <v>62.025192788</v>
      </c>
      <c r="AG793" t="n">
        <v/>
      </c>
      <c r="AH793" t="n">
        <v>58.632328394</v>
      </c>
      <c r="AI793" t="n">
        <v>66.30116051100001</v>
      </c>
      <c r="AJ793" t="n">
        <v>65.02999173000001</v>
      </c>
      <c r="AK793" t="n">
        <v/>
      </c>
      <c r="AL793" t="n">
        <v>56.783802221</v>
      </c>
      <c r="AM793" t="n">
        <v/>
      </c>
      <c r="AN793" t="n">
        <v>81.396166307</v>
      </c>
      <c r="AO793" t="n">
        <v/>
      </c>
      <c r="AP793" t="n">
        <v/>
      </c>
      <c r="AQ793" t="n">
        <v/>
      </c>
      <c r="AR793" t="n">
        <v>65.804957829</v>
      </c>
      <c r="AS793" t="n">
        <v/>
      </c>
      <c r="AT793" t="n">
        <v>54.228967789</v>
      </c>
      <c r="AU793" t="n">
        <v/>
      </c>
    </row>
    <row r="794">
      <c r="A794" s="105" t="n">
        <v>31048</v>
      </c>
      <c r="B794" t="n">
        <v>41.073895945</v>
      </c>
      <c r="C794" t="n">
        <v>52.974536583</v>
      </c>
      <c r="D794" t="n">
        <v>66.54200903500001</v>
      </c>
      <c r="E794" t="n">
        <v>62.978640462</v>
      </c>
      <c r="F794" t="n">
        <v/>
      </c>
      <c r="G794" t="n">
        <v/>
      </c>
      <c r="H794" t="n">
        <v/>
      </c>
      <c r="I794" t="n">
        <v>41.070473405</v>
      </c>
      <c r="J794" t="n">
        <v/>
      </c>
      <c r="K794" t="n">
        <v>60.925368369</v>
      </c>
      <c r="L794" t="n">
        <v>75.220828508</v>
      </c>
      <c r="M794" t="n">
        <v>68.381927292</v>
      </c>
      <c r="N794" t="n">
        <v>84.499739928</v>
      </c>
      <c r="O794" t="n">
        <v/>
      </c>
      <c r="P794" t="n">
        <v/>
      </c>
      <c r="Q794" t="n">
        <v>58.270297705</v>
      </c>
      <c r="R794" t="n">
        <v>80.5685902</v>
      </c>
      <c r="S794" t="n">
        <v>64.742732784</v>
      </c>
      <c r="T794" t="n">
        <v>69.508312699</v>
      </c>
      <c r="U794" t="n">
        <v/>
      </c>
      <c r="V794" t="n">
        <v>118.075562674</v>
      </c>
      <c r="W794" t="n">
        <v>44.205065489</v>
      </c>
      <c r="X794" t="n">
        <v/>
      </c>
      <c r="Y794" t="n">
        <v/>
      </c>
      <c r="Z794" t="n">
        <v>9.828143522</v>
      </c>
      <c r="AA794" t="n">
        <v/>
      </c>
      <c r="AB794" t="n">
        <v/>
      </c>
      <c r="AC794" t="n">
        <v>90.654175638</v>
      </c>
      <c r="AD794" t="n">
        <v>83.876582111</v>
      </c>
      <c r="AE794" t="n">
        <v/>
      </c>
      <c r="AF794" t="n">
        <v>63.307572526</v>
      </c>
      <c r="AG794" t="n">
        <v/>
      </c>
      <c r="AH794" t="n">
        <v>58.560032059</v>
      </c>
      <c r="AI794" t="n">
        <v>76.366882152</v>
      </c>
      <c r="AJ794" t="n">
        <v>66.15119848400001</v>
      </c>
      <c r="AK794" t="n">
        <v/>
      </c>
      <c r="AL794" t="n">
        <v>57.053592972</v>
      </c>
      <c r="AM794" t="n">
        <v>35.008954023</v>
      </c>
      <c r="AN794" t="n">
        <v>82.645121144</v>
      </c>
      <c r="AO794" t="n">
        <v/>
      </c>
      <c r="AP794" t="n">
        <v/>
      </c>
      <c r="AQ794" t="n">
        <v/>
      </c>
      <c r="AR794" t="n">
        <v>63.506094673</v>
      </c>
      <c r="AS794" t="n">
        <v>23.564258366</v>
      </c>
      <c r="AT794" t="n">
        <v>54.190593465</v>
      </c>
      <c r="AU794" t="n">
        <v/>
      </c>
    </row>
    <row r="795">
      <c r="A795" s="105" t="n">
        <v>31079</v>
      </c>
      <c r="B795" t="n">
        <v>40.499678826</v>
      </c>
      <c r="C795" t="n">
        <v>53.917087918</v>
      </c>
      <c r="D795" t="n">
        <v>65.28294415800001</v>
      </c>
      <c r="E795" t="n">
        <v>63.761979095</v>
      </c>
      <c r="F795" t="n">
        <v/>
      </c>
      <c r="G795" t="n">
        <v/>
      </c>
      <c r="H795" t="n">
        <v/>
      </c>
      <c r="I795" t="n">
        <v>40.496304134</v>
      </c>
      <c r="J795" t="n">
        <v/>
      </c>
      <c r="K795" t="n">
        <v>60.9870962</v>
      </c>
      <c r="L795" t="n">
        <v>75.873976078</v>
      </c>
      <c r="M795" t="n">
        <v>68.124744949</v>
      </c>
      <c r="N795" t="n">
        <v>84.15285211299999</v>
      </c>
      <c r="O795" t="n">
        <v/>
      </c>
      <c r="P795" t="n">
        <v/>
      </c>
      <c r="Q795" t="n">
        <v>58.742600017</v>
      </c>
      <c r="R795" t="n">
        <v>81.943480818</v>
      </c>
      <c r="S795" t="n">
        <v>65.126792444</v>
      </c>
      <c r="T795" t="n">
        <v>69.508312699</v>
      </c>
      <c r="U795" t="n">
        <v/>
      </c>
      <c r="V795" t="n">
        <v>118.361588363</v>
      </c>
      <c r="W795" t="n">
        <v>44.070839582</v>
      </c>
      <c r="X795" t="n">
        <v/>
      </c>
      <c r="Y795" t="n">
        <v/>
      </c>
      <c r="Z795" t="n">
        <v>9.693203336</v>
      </c>
      <c r="AA795" t="n">
        <v/>
      </c>
      <c r="AB795" t="n">
        <v/>
      </c>
      <c r="AC795" t="n">
        <v>94.78555083000001</v>
      </c>
      <c r="AD795" t="n">
        <v>83.624195204</v>
      </c>
      <c r="AE795" t="n">
        <v/>
      </c>
      <c r="AF795" t="n">
        <v>56.765694187</v>
      </c>
      <c r="AG795" t="n">
        <v/>
      </c>
      <c r="AH795" t="n">
        <v>59.716773433</v>
      </c>
      <c r="AI795" t="n">
        <v>72.124277588</v>
      </c>
      <c r="AJ795" t="n">
        <v>66.711801861</v>
      </c>
      <c r="AK795" t="n">
        <v/>
      </c>
      <c r="AL795" t="n">
        <v>57.257912681</v>
      </c>
      <c r="AM795" t="n">
        <v>34.769055381</v>
      </c>
      <c r="AN795" t="n">
        <v>80.361530832</v>
      </c>
      <c r="AO795" t="n">
        <v/>
      </c>
      <c r="AP795" t="n">
        <v/>
      </c>
      <c r="AQ795" t="n">
        <v/>
      </c>
      <c r="AR795" t="n">
        <v>62.931378884</v>
      </c>
      <c r="AS795" t="n">
        <v>21.978710486</v>
      </c>
      <c r="AT795" t="n">
        <v>54.35559314</v>
      </c>
      <c r="AU795" t="n">
        <v/>
      </c>
    </row>
    <row r="796">
      <c r="A796" s="105" t="n">
        <v>31107</v>
      </c>
      <c r="B796" t="n">
        <v>40.958230035</v>
      </c>
      <c r="C796" t="n">
        <v>54.493317831</v>
      </c>
      <c r="D796" t="n">
        <v>67.101713604</v>
      </c>
      <c r="E796" t="n">
        <v>64.082457168</v>
      </c>
      <c r="F796" t="n">
        <v/>
      </c>
      <c r="G796" t="n">
        <v/>
      </c>
      <c r="H796" t="n">
        <v/>
      </c>
      <c r="I796" t="n">
        <v>40.954817133</v>
      </c>
      <c r="J796" t="n">
        <v/>
      </c>
      <c r="K796" t="n">
        <v>61.542646671</v>
      </c>
      <c r="L796" t="n">
        <v>70.104505874</v>
      </c>
      <c r="M796" t="n">
        <v>68.658160178</v>
      </c>
      <c r="N796" t="n">
        <v>84.582572525</v>
      </c>
      <c r="O796" t="n">
        <v/>
      </c>
      <c r="P796" t="n">
        <v/>
      </c>
      <c r="Q796" t="n">
        <v>60.690847052</v>
      </c>
      <c r="R796" t="n">
        <v>82.310118316</v>
      </c>
      <c r="S796" t="n">
        <v>65.237826201</v>
      </c>
      <c r="T796" t="n">
        <v>71.31234524200001</v>
      </c>
      <c r="U796" t="n">
        <v/>
      </c>
      <c r="V796" t="n">
        <v>118.545580971</v>
      </c>
      <c r="W796" t="n">
        <v>45.055162903</v>
      </c>
      <c r="X796" t="n">
        <v/>
      </c>
      <c r="Y796" t="n">
        <v/>
      </c>
      <c r="Z796" t="n">
        <v>10.322924202</v>
      </c>
      <c r="AA796" t="n">
        <v/>
      </c>
      <c r="AB796" t="n">
        <v/>
      </c>
      <c r="AC796" t="n">
        <v>93.487118627</v>
      </c>
      <c r="AD796" t="n">
        <v>82.951163452</v>
      </c>
      <c r="AE796" t="n">
        <v/>
      </c>
      <c r="AF796" t="n">
        <v>63.684783326</v>
      </c>
      <c r="AG796" t="n">
        <v/>
      </c>
      <c r="AH796" t="n">
        <v>59.572180761</v>
      </c>
      <c r="AI796" t="n">
        <v>71.41717682700001</v>
      </c>
      <c r="AJ796" t="n">
        <v>67.833008615</v>
      </c>
      <c r="AK796" t="n">
        <v/>
      </c>
      <c r="AL796" t="n">
        <v>57.406730454</v>
      </c>
      <c r="AM796" t="n">
        <v>35.821505328</v>
      </c>
      <c r="AN796" t="n">
        <v>83.82946049900001</v>
      </c>
      <c r="AO796" t="n">
        <v/>
      </c>
      <c r="AP796" t="n">
        <v/>
      </c>
      <c r="AQ796" t="n">
        <v/>
      </c>
      <c r="AR796" t="n">
        <v>64.655526251</v>
      </c>
      <c r="AS796" t="n">
        <v>22.614785274</v>
      </c>
      <c r="AT796" t="n">
        <v>54.435812333</v>
      </c>
      <c r="AU796" t="n">
        <v/>
      </c>
    </row>
    <row r="797">
      <c r="A797" s="105" t="n">
        <v>31138</v>
      </c>
      <c r="B797" t="n">
        <v>40.285860512</v>
      </c>
      <c r="C797" t="n">
        <v>54.694071408</v>
      </c>
      <c r="D797" t="n">
        <v>61.858119609</v>
      </c>
      <c r="E797" t="n">
        <v>63.593281693</v>
      </c>
      <c r="F797" t="n">
        <v/>
      </c>
      <c r="G797" t="n">
        <v/>
      </c>
      <c r="H797" t="n">
        <v/>
      </c>
      <c r="I797" t="n">
        <v>40.282503636</v>
      </c>
      <c r="J797" t="n">
        <v/>
      </c>
      <c r="K797" t="n">
        <v>60.863640539</v>
      </c>
      <c r="L797" t="n">
        <v>68.689352805</v>
      </c>
      <c r="M797" t="n">
        <v>67.93423951</v>
      </c>
      <c r="N797" t="n">
        <v>85.03746912299999</v>
      </c>
      <c r="O797" t="n">
        <v/>
      </c>
      <c r="P797" t="n">
        <v/>
      </c>
      <c r="Q797" t="n">
        <v>59.68720464</v>
      </c>
      <c r="R797" t="n">
        <v>81.393524571</v>
      </c>
      <c r="S797" t="n">
        <v>65.215745459</v>
      </c>
      <c r="T797" t="n">
        <v>71.949062611</v>
      </c>
      <c r="U797" t="n">
        <v/>
      </c>
      <c r="V797" t="n">
        <v>114.885605533</v>
      </c>
      <c r="W797" t="n">
        <v>43.712903829</v>
      </c>
      <c r="X797" t="n">
        <v/>
      </c>
      <c r="Y797" t="n">
        <v/>
      </c>
      <c r="Z797" t="n">
        <v>9.738183398</v>
      </c>
      <c r="AA797" t="n">
        <v/>
      </c>
      <c r="AB797" t="n">
        <v/>
      </c>
      <c r="AC797" t="n">
        <v>92.54280429799999</v>
      </c>
      <c r="AD797" t="n">
        <v>84.297226956</v>
      </c>
      <c r="AE797" t="n">
        <v/>
      </c>
      <c r="AF797" t="n">
        <v>62.022822677</v>
      </c>
      <c r="AG797" t="n">
        <v/>
      </c>
      <c r="AH797" t="n">
        <v>58.921513738</v>
      </c>
      <c r="AI797" t="n">
        <v>69.295874545</v>
      </c>
      <c r="AJ797" t="n">
        <v>67.272405238</v>
      </c>
      <c r="AK797" t="n">
        <v/>
      </c>
      <c r="AL797" t="n">
        <v>57.304914517</v>
      </c>
      <c r="AM797" t="n">
        <v>35.20677991</v>
      </c>
      <c r="AN797" t="n">
        <v>82.236802981</v>
      </c>
      <c r="AO797" t="n">
        <v/>
      </c>
      <c r="AP797" t="n">
        <v/>
      </c>
      <c r="AQ797" t="n">
        <v/>
      </c>
      <c r="AR797" t="n">
        <v>64.655526251</v>
      </c>
      <c r="AS797" t="n">
        <v>22.820745871</v>
      </c>
      <c r="AT797" t="n">
        <v>54.322275898</v>
      </c>
      <c r="AU797" t="n">
        <v/>
      </c>
    </row>
    <row r="798">
      <c r="A798" s="105" t="n">
        <v>31168</v>
      </c>
      <c r="B798" t="n">
        <v>40.295723834</v>
      </c>
      <c r="C798" t="n">
        <v>54.817974309</v>
      </c>
      <c r="D798" t="n">
        <v>65.83465435399999</v>
      </c>
      <c r="E798" t="n">
        <v>64.045334342</v>
      </c>
      <c r="F798" t="n">
        <v/>
      </c>
      <c r="G798" t="n">
        <v/>
      </c>
      <c r="H798" t="n">
        <v/>
      </c>
      <c r="I798" t="n">
        <v>40.292366137</v>
      </c>
      <c r="J798" t="n">
        <v/>
      </c>
      <c r="K798" t="n">
        <v>61.604374501</v>
      </c>
      <c r="L798" t="n">
        <v>72.71709615499999</v>
      </c>
      <c r="M798" t="n">
        <v>68.839140345</v>
      </c>
      <c r="N798" t="n">
        <v>84.614836217</v>
      </c>
      <c r="O798" t="n">
        <v/>
      </c>
      <c r="P798" t="n">
        <v/>
      </c>
      <c r="Q798" t="n">
        <v>60.80892263</v>
      </c>
      <c r="R798" t="n">
        <v>82.218458942</v>
      </c>
      <c r="S798" t="n">
        <v>65.662352842</v>
      </c>
      <c r="T798" t="n">
        <v>72.58577997899999</v>
      </c>
      <c r="U798" t="n">
        <v/>
      </c>
      <c r="V798" t="n">
        <v>121.119983794</v>
      </c>
      <c r="W798" t="n">
        <v>44.831453057</v>
      </c>
      <c r="X798" t="n">
        <v/>
      </c>
      <c r="Y798" t="n">
        <v/>
      </c>
      <c r="Z798" t="n">
        <v>9.760673429000001</v>
      </c>
      <c r="AA798" t="n">
        <v/>
      </c>
      <c r="AB798" t="n">
        <v/>
      </c>
      <c r="AC798" t="n">
        <v>93.841236501</v>
      </c>
      <c r="AD798" t="n">
        <v>85.138516646</v>
      </c>
      <c r="AE798" t="n">
        <v/>
      </c>
      <c r="AF798" t="n">
        <v>60.708305848</v>
      </c>
      <c r="AG798" t="n">
        <v/>
      </c>
      <c r="AH798" t="n">
        <v>58.560032059</v>
      </c>
      <c r="AI798" t="n">
        <v>70.002975306</v>
      </c>
      <c r="AJ798" t="n">
        <v>67.272405238</v>
      </c>
      <c r="AK798" t="n">
        <v/>
      </c>
      <c r="AL798" t="n">
        <v>57.740970448</v>
      </c>
      <c r="AM798" t="n">
        <v>35.167211174</v>
      </c>
      <c r="AN798" t="n">
        <v>82.74274655000001</v>
      </c>
      <c r="AO798" t="n">
        <v/>
      </c>
      <c r="AP798" t="n">
        <v/>
      </c>
      <c r="AQ798" t="n">
        <v/>
      </c>
      <c r="AR798" t="n">
        <v>64.425639936</v>
      </c>
      <c r="AS798" t="n">
        <v>24.948233786</v>
      </c>
      <c r="AT798" t="n">
        <v>54.408642916</v>
      </c>
      <c r="AU798" t="n">
        <v/>
      </c>
    </row>
    <row r="799">
      <c r="A799" s="105" t="n">
        <v>31199</v>
      </c>
      <c r="B799" t="n">
        <v>42.271935273</v>
      </c>
      <c r="C799" t="n">
        <v>54.78088625</v>
      </c>
      <c r="D799" t="n">
        <v>66.92211096600001</v>
      </c>
      <c r="E799" t="n">
        <v>63.972028507</v>
      </c>
      <c r="F799" t="n">
        <v/>
      </c>
      <c r="G799" t="n">
        <v/>
      </c>
      <c r="H799" t="n">
        <v/>
      </c>
      <c r="I799" t="n">
        <v>42.268412905</v>
      </c>
      <c r="J799" t="n">
        <v/>
      </c>
      <c r="K799" t="n">
        <v>62.345108463</v>
      </c>
      <c r="L799" t="n">
        <v>76.41826571999999</v>
      </c>
      <c r="M799" t="n">
        <v>68.248573484</v>
      </c>
      <c r="N799" t="n">
        <v>83.18138057199999</v>
      </c>
      <c r="O799" t="n">
        <v/>
      </c>
      <c r="P799" t="n">
        <v/>
      </c>
      <c r="Q799" t="n">
        <v>60.041431374</v>
      </c>
      <c r="R799" t="n">
        <v>81.026887073</v>
      </c>
      <c r="S799" t="n">
        <v>65.652568743</v>
      </c>
      <c r="T799" t="n">
        <v>74.177573399</v>
      </c>
      <c r="U799" t="n">
        <v/>
      </c>
      <c r="V799" t="n">
        <v>123.080267696</v>
      </c>
      <c r="W799" t="n">
        <v>44.69722715</v>
      </c>
      <c r="X799" t="n">
        <v/>
      </c>
      <c r="Y799" t="n">
        <v/>
      </c>
      <c r="Z799" t="n">
        <v>9.535773119</v>
      </c>
      <c r="AA799" t="n">
        <v/>
      </c>
      <c r="AB799" t="n">
        <v/>
      </c>
      <c r="AC799" t="n">
        <v>94.667511539</v>
      </c>
      <c r="AD799" t="n">
        <v>83.792453142</v>
      </c>
      <c r="AE799" t="n">
        <v/>
      </c>
      <c r="AF799" t="n">
        <v>59.734512183</v>
      </c>
      <c r="AG799" t="n">
        <v/>
      </c>
      <c r="AH799" t="n">
        <v>59.93366244</v>
      </c>
      <c r="AI799" t="n">
        <v>70.710076067</v>
      </c>
      <c r="AJ799" t="n">
        <v>63.908784976</v>
      </c>
      <c r="AK799" t="n">
        <v/>
      </c>
      <c r="AL799" t="n">
        <v>57.594522054</v>
      </c>
      <c r="AM799" t="n">
        <v>35.671588427</v>
      </c>
      <c r="AN799" t="n">
        <v>82.640403194</v>
      </c>
      <c r="AO799" t="n">
        <v/>
      </c>
      <c r="AP799" t="n">
        <v/>
      </c>
      <c r="AQ799" t="n">
        <v/>
      </c>
      <c r="AR799" t="n">
        <v>65.63254309200001</v>
      </c>
      <c r="AS799" t="n">
        <v>19.873238719</v>
      </c>
      <c r="AT799" t="n">
        <v>54.378597903</v>
      </c>
      <c r="AU799" t="n">
        <v/>
      </c>
    </row>
    <row r="800">
      <c r="A800" s="105" t="n">
        <v>31229</v>
      </c>
      <c r="B800" t="n">
        <v>41.130172325</v>
      </c>
      <c r="C800" t="n">
        <v>53.8786065</v>
      </c>
      <c r="D800" t="n">
        <v>68.780172358</v>
      </c>
      <c r="E800" t="n">
        <v>64.15435327599999</v>
      </c>
      <c r="F800" t="n">
        <v/>
      </c>
      <c r="G800" t="n">
        <v/>
      </c>
      <c r="H800" t="n">
        <v/>
      </c>
      <c r="I800" t="n">
        <v>41.126745096</v>
      </c>
      <c r="J800" t="n">
        <v/>
      </c>
      <c r="K800" t="n">
        <v>62.962386765</v>
      </c>
      <c r="L800" t="n">
        <v>75.220828508</v>
      </c>
      <c r="M800" t="n">
        <v>68.858190889</v>
      </c>
      <c r="N800" t="n">
        <v>85.961646848</v>
      </c>
      <c r="O800" t="n">
        <v/>
      </c>
      <c r="P800" t="n">
        <v/>
      </c>
      <c r="Q800" t="n">
        <v>57.738957604</v>
      </c>
      <c r="R800" t="n">
        <v>81.21020582200001</v>
      </c>
      <c r="S800" t="n">
        <v>65.507167119</v>
      </c>
      <c r="T800" t="n">
        <v>71.31234524200001</v>
      </c>
      <c r="U800" t="n">
        <v/>
      </c>
      <c r="V800" t="n">
        <v>122.095878503</v>
      </c>
      <c r="W800" t="n">
        <v>46.979067575</v>
      </c>
      <c r="X800" t="n">
        <v/>
      </c>
      <c r="Y800" t="n">
        <v/>
      </c>
      <c r="Z800" t="n">
        <v>9.648223273999999</v>
      </c>
      <c r="AA800" t="n">
        <v/>
      </c>
      <c r="AB800" t="n">
        <v/>
      </c>
      <c r="AC800" t="n">
        <v>93.251040045</v>
      </c>
      <c r="AD800" t="n">
        <v>85.05438767699999</v>
      </c>
      <c r="AE800" t="n">
        <v/>
      </c>
      <c r="AF800" t="n">
        <v>64.519753338</v>
      </c>
      <c r="AG800" t="n">
        <v/>
      </c>
      <c r="AH800" t="n">
        <v>60.150551448</v>
      </c>
      <c r="AI800" t="n">
        <v>68.588773785</v>
      </c>
      <c r="AJ800" t="n">
        <v>68.954215369</v>
      </c>
      <c r="AK800" t="n">
        <v/>
      </c>
      <c r="AL800" t="n">
        <v>57.601104927</v>
      </c>
      <c r="AM800" t="n">
        <v>36.129457557</v>
      </c>
      <c r="AN800" t="n">
        <v>80.93511897800001</v>
      </c>
      <c r="AO800" t="n">
        <v/>
      </c>
      <c r="AP800" t="n">
        <v/>
      </c>
      <c r="AQ800" t="n">
        <v/>
      </c>
      <c r="AR800" t="n">
        <v>62.12677678</v>
      </c>
      <c r="AS800" t="n">
        <v>22.799898045</v>
      </c>
      <c r="AT800" t="n">
        <v>54.099070208</v>
      </c>
      <c r="AU800" t="n">
        <v/>
      </c>
    </row>
    <row r="801">
      <c r="A801" s="105" t="n">
        <v>31260</v>
      </c>
      <c r="B801" t="n">
        <v>41.848918886</v>
      </c>
      <c r="C801" t="n">
        <v>54.492019117</v>
      </c>
      <c r="D801" t="n">
        <v>69.384515221</v>
      </c>
      <c r="E801" t="n">
        <v>64.347016047</v>
      </c>
      <c r="F801" t="n">
        <v/>
      </c>
      <c r="G801" t="n">
        <v/>
      </c>
      <c r="H801" t="n">
        <v/>
      </c>
      <c r="I801" t="n">
        <v>41.845431766</v>
      </c>
      <c r="J801" t="n">
        <v/>
      </c>
      <c r="K801" t="n">
        <v>61.357463181</v>
      </c>
      <c r="L801" t="n">
        <v>74.894254723</v>
      </c>
      <c r="M801" t="n">
        <v>68.96296888000001</v>
      </c>
      <c r="N801" t="n">
        <v>87.083679276</v>
      </c>
      <c r="O801" t="n">
        <v/>
      </c>
      <c r="P801" t="n">
        <v/>
      </c>
      <c r="Q801" t="n">
        <v>59.037788962</v>
      </c>
      <c r="R801" t="n">
        <v>81.21020582200001</v>
      </c>
      <c r="S801" t="n">
        <v>65.480928162</v>
      </c>
      <c r="T801" t="n">
        <v>71.949062611</v>
      </c>
      <c r="U801" t="n">
        <v/>
      </c>
      <c r="V801" t="n">
        <v>124.446866594</v>
      </c>
      <c r="W801" t="n">
        <v>44.69722715</v>
      </c>
      <c r="X801" t="n">
        <v/>
      </c>
      <c r="Y801" t="n">
        <v/>
      </c>
      <c r="Z801" t="n">
        <v>9.265892748000001</v>
      </c>
      <c r="AA801" t="n">
        <v/>
      </c>
      <c r="AB801" t="n">
        <v/>
      </c>
      <c r="AC801" t="n">
        <v>96.083983033</v>
      </c>
      <c r="AD801" t="n">
        <v>84.297226956</v>
      </c>
      <c r="AE801" t="n">
        <v/>
      </c>
      <c r="AF801" t="n">
        <v>62.218441268</v>
      </c>
      <c r="AG801" t="n">
        <v/>
      </c>
      <c r="AH801" t="n">
        <v>59.716773433</v>
      </c>
      <c r="AI801" t="n">
        <v>69.295874545</v>
      </c>
      <c r="AJ801" t="n">
        <v>68.954215369</v>
      </c>
      <c r="AK801" t="n">
        <v/>
      </c>
      <c r="AL801" t="n">
        <v>57.662166204</v>
      </c>
      <c r="AM801" t="n">
        <v>36.546327335</v>
      </c>
      <c r="AN801" t="n">
        <v>82.545850339</v>
      </c>
      <c r="AO801" t="n">
        <v/>
      </c>
      <c r="AP801" t="n">
        <v/>
      </c>
      <c r="AQ801" t="n">
        <v/>
      </c>
      <c r="AR801" t="n">
        <v>65.91990098700001</v>
      </c>
      <c r="AS801" t="n">
        <v>22.995923986</v>
      </c>
      <c r="AT801" t="n">
        <v>54.277456275</v>
      </c>
      <c r="AU801" t="n">
        <v/>
      </c>
    </row>
    <row r="802">
      <c r="A802" s="105" t="n">
        <v>31291</v>
      </c>
      <c r="B802" t="n">
        <v>42.199810439</v>
      </c>
      <c r="C802" t="n">
        <v>55.871029656</v>
      </c>
      <c r="D802" t="n">
        <v>70.198325291</v>
      </c>
      <c r="E802" t="n">
        <v>64.587139647</v>
      </c>
      <c r="F802" t="n">
        <v/>
      </c>
      <c r="G802" t="n">
        <v/>
      </c>
      <c r="H802" t="n">
        <v/>
      </c>
      <c r="I802" t="n">
        <v>42.196294081</v>
      </c>
      <c r="J802" t="n">
        <v/>
      </c>
      <c r="K802" t="n">
        <v>62.098197143</v>
      </c>
      <c r="L802" t="n">
        <v>76.962555362</v>
      </c>
      <c r="M802" t="n">
        <v>68.867716161</v>
      </c>
      <c r="N802" t="n">
        <v>86.689396394</v>
      </c>
      <c r="O802" t="n">
        <v/>
      </c>
      <c r="P802" t="n">
        <v/>
      </c>
      <c r="Q802" t="n">
        <v>59.037788962</v>
      </c>
      <c r="R802" t="n">
        <v>81.393524571</v>
      </c>
      <c r="S802" t="n">
        <v>65.561087188</v>
      </c>
      <c r="T802" t="n">
        <v>73.222497347</v>
      </c>
      <c r="U802" t="n">
        <v/>
      </c>
      <c r="V802" t="n">
        <v>124.277163976</v>
      </c>
      <c r="W802" t="n">
        <v>45.323614717</v>
      </c>
      <c r="X802" t="n">
        <v/>
      </c>
      <c r="Y802" t="n">
        <v/>
      </c>
      <c r="Z802" t="n">
        <v>9.693203336</v>
      </c>
      <c r="AA802" t="n">
        <v/>
      </c>
      <c r="AB802" t="n">
        <v/>
      </c>
      <c r="AC802" t="n">
        <v>93.605157918</v>
      </c>
      <c r="AD802" t="n">
        <v>83.624195204</v>
      </c>
      <c r="AE802" t="n">
        <v/>
      </c>
      <c r="AF802" t="n">
        <v>59.550253753</v>
      </c>
      <c r="AG802" t="n">
        <v/>
      </c>
      <c r="AH802" t="n">
        <v>59.93366244</v>
      </c>
      <c r="AI802" t="n">
        <v>67.88167302399999</v>
      </c>
      <c r="AJ802" t="n">
        <v>68.393611992</v>
      </c>
      <c r="AK802" t="n">
        <v/>
      </c>
      <c r="AL802" t="n">
        <v>57.735009025</v>
      </c>
      <c r="AM802" t="n">
        <v>36.764496196</v>
      </c>
      <c r="AN802" t="n">
        <v>80.28955458999999</v>
      </c>
      <c r="AO802" t="n">
        <v/>
      </c>
      <c r="AP802" t="n">
        <v/>
      </c>
      <c r="AQ802" t="n">
        <v/>
      </c>
      <c r="AR802" t="n">
        <v>65.977372566</v>
      </c>
      <c r="AS802" t="n">
        <v>23.191724948</v>
      </c>
      <c r="AT802" t="n">
        <v>54.479243738</v>
      </c>
      <c r="AU802" t="n">
        <v/>
      </c>
    </row>
    <row r="803">
      <c r="A803" s="105" t="n">
        <v>31321</v>
      </c>
      <c r="B803" t="n">
        <v>40.720541407</v>
      </c>
      <c r="C803" t="n">
        <v>55.369122689</v>
      </c>
      <c r="D803" t="n">
        <v>71.621235407</v>
      </c>
      <c r="E803" t="n">
        <v>65.174056236</v>
      </c>
      <c r="F803" t="n">
        <v/>
      </c>
      <c r="G803" t="n">
        <v/>
      </c>
      <c r="H803" t="n">
        <v/>
      </c>
      <c r="I803" t="n">
        <v>40.717148312</v>
      </c>
      <c r="J803" t="n">
        <v/>
      </c>
      <c r="K803" t="n">
        <v>62.838931104</v>
      </c>
      <c r="L803" t="n">
        <v>82.732025566</v>
      </c>
      <c r="M803" t="n">
        <v>69.486858837</v>
      </c>
      <c r="N803" t="n">
        <v>87.62175232</v>
      </c>
      <c r="O803" t="n">
        <v/>
      </c>
      <c r="P803" t="n">
        <v/>
      </c>
      <c r="Q803" t="n">
        <v>58.742600017</v>
      </c>
      <c r="R803" t="n">
        <v>82.218458942</v>
      </c>
      <c r="S803" t="n">
        <v>65.614812097</v>
      </c>
      <c r="T803" t="n">
        <v>71.736823488</v>
      </c>
      <c r="U803" t="n">
        <v/>
      </c>
      <c r="V803" t="n">
        <v>124.742096031</v>
      </c>
      <c r="W803" t="n">
        <v>45.055162903</v>
      </c>
      <c r="X803" t="n">
        <v/>
      </c>
      <c r="Y803" t="n">
        <v/>
      </c>
      <c r="Z803" t="n">
        <v>9.603243212000001</v>
      </c>
      <c r="AA803" t="n">
        <v/>
      </c>
      <c r="AB803" t="n">
        <v/>
      </c>
      <c r="AC803" t="n">
        <v>93.014961462</v>
      </c>
      <c r="AD803" t="n">
        <v>84.465484894</v>
      </c>
      <c r="AE803" t="n">
        <v/>
      </c>
      <c r="AF803" t="n">
        <v>65.121877728</v>
      </c>
      <c r="AG803" t="n">
        <v/>
      </c>
      <c r="AH803" t="n">
        <v>59.355291753</v>
      </c>
      <c r="AI803" t="n">
        <v>69.295874545</v>
      </c>
      <c r="AJ803" t="n">
        <v>69.514818746</v>
      </c>
      <c r="AK803" t="n">
        <v/>
      </c>
      <c r="AL803" t="n">
        <v>57.811386071</v>
      </c>
      <c r="AM803" t="n">
        <v>36.873794772</v>
      </c>
      <c r="AN803" t="n">
        <v>85.601969419</v>
      </c>
      <c r="AO803" t="n">
        <v/>
      </c>
      <c r="AP803" t="n">
        <v/>
      </c>
      <c r="AQ803" t="n">
        <v/>
      </c>
      <c r="AR803" t="n">
        <v>63.965867305</v>
      </c>
      <c r="AS803" t="n">
        <v>23.829488517</v>
      </c>
      <c r="AT803" t="n">
        <v>54.293024153</v>
      </c>
      <c r="AU803" t="n">
        <v/>
      </c>
    </row>
    <row r="804">
      <c r="A804" s="105" t="n">
        <v>31352</v>
      </c>
      <c r="B804" t="n">
        <v>42.050987556</v>
      </c>
      <c r="C804" t="n">
        <v>56.928402793</v>
      </c>
      <c r="D804" t="n">
        <v>71.84465706500001</v>
      </c>
      <c r="E804" t="n">
        <v>65.255350527</v>
      </c>
      <c r="F804" t="n">
        <v/>
      </c>
      <c r="G804" t="n">
        <v/>
      </c>
      <c r="H804" t="n">
        <v/>
      </c>
      <c r="I804" t="n">
        <v>42.047483599</v>
      </c>
      <c r="J804" t="n">
        <v/>
      </c>
      <c r="K804" t="n">
        <v>64.01175987800001</v>
      </c>
      <c r="L804" t="n">
        <v>86.106621346</v>
      </c>
      <c r="M804" t="n">
        <v>70.125052057</v>
      </c>
      <c r="N804" t="n">
        <v>87.606466564</v>
      </c>
      <c r="O804" t="n">
        <v/>
      </c>
      <c r="P804" t="n">
        <v/>
      </c>
      <c r="Q804" t="n">
        <v>59.155864539</v>
      </c>
      <c r="R804" t="n">
        <v>83.135052687</v>
      </c>
      <c r="S804" t="n">
        <v>66.069164391</v>
      </c>
      <c r="T804" t="n">
        <v>72.58577997899999</v>
      </c>
      <c r="U804" t="n">
        <v/>
      </c>
      <c r="V804" t="n">
        <v>123.111887345</v>
      </c>
      <c r="W804" t="n">
        <v>44.786711088</v>
      </c>
      <c r="X804" t="n">
        <v/>
      </c>
      <c r="Y804" t="n">
        <v/>
      </c>
      <c r="Z804" t="n">
        <v>9.940593676000001</v>
      </c>
      <c r="AA804" t="n">
        <v/>
      </c>
      <c r="AB804" t="n">
        <v/>
      </c>
      <c r="AC804" t="n">
        <v>95.139668704</v>
      </c>
      <c r="AD804" t="n">
        <v>84.297226956</v>
      </c>
      <c r="AE804" t="n">
        <v/>
      </c>
      <c r="AF804" t="n">
        <v>63.112368886</v>
      </c>
      <c r="AG804" t="n">
        <v/>
      </c>
      <c r="AH804" t="n">
        <v>59.355291753</v>
      </c>
      <c r="AI804" t="n">
        <v>75.659781391</v>
      </c>
      <c r="AJ804" t="n">
        <v>70.075422123</v>
      </c>
      <c r="AK804" t="n">
        <v/>
      </c>
      <c r="AL804" t="n">
        <v>58.322187653</v>
      </c>
      <c r="AM804" t="n">
        <v>36.66813802</v>
      </c>
      <c r="AN804" t="n">
        <v>82.40016138199999</v>
      </c>
      <c r="AO804" t="n">
        <v/>
      </c>
      <c r="AP804" t="n">
        <v/>
      </c>
      <c r="AQ804" t="n">
        <v/>
      </c>
      <c r="AR804" t="n">
        <v>63.793452568</v>
      </c>
      <c r="AS804" t="n">
        <v>25.435991213</v>
      </c>
      <c r="AT804" t="n">
        <v>54.476665618</v>
      </c>
      <c r="AU804" t="n">
        <v/>
      </c>
    </row>
    <row r="805">
      <c r="A805" s="105" t="n">
        <v>31382</v>
      </c>
      <c r="B805" t="n">
        <v>41.149105044</v>
      </c>
      <c r="C805" t="n">
        <v>55.530148219</v>
      </c>
      <c r="D805" t="n">
        <v>73.091165852</v>
      </c>
      <c r="E805" t="n">
        <v>65.332885545</v>
      </c>
      <c r="F805" t="n">
        <v/>
      </c>
      <c r="G805" t="n">
        <v/>
      </c>
      <c r="H805" t="n">
        <v/>
      </c>
      <c r="I805" t="n">
        <v>41.145676238</v>
      </c>
      <c r="J805" t="n">
        <v/>
      </c>
      <c r="K805" t="n">
        <v>61.604374501</v>
      </c>
      <c r="L805" t="n">
        <v>83.058599351</v>
      </c>
      <c r="M805" t="n">
        <v>69.553535741</v>
      </c>
      <c r="N805" t="n">
        <v>86.96778000400001</v>
      </c>
      <c r="O805" t="n">
        <v/>
      </c>
      <c r="P805" t="n">
        <v/>
      </c>
      <c r="Q805" t="n">
        <v>59.628166851</v>
      </c>
      <c r="R805" t="n">
        <v>82.310118316</v>
      </c>
      <c r="S805" t="n">
        <v>65.790466501</v>
      </c>
      <c r="T805" t="n">
        <v>70.675627874</v>
      </c>
      <c r="U805" t="n">
        <v/>
      </c>
      <c r="V805" t="n">
        <v>126.243974111</v>
      </c>
      <c r="W805" t="n">
        <v>43.712903829</v>
      </c>
      <c r="X805" t="n">
        <v/>
      </c>
      <c r="Y805" t="n">
        <v/>
      </c>
      <c r="Z805" t="n">
        <v>9.760673429000001</v>
      </c>
      <c r="AA805" t="n">
        <v/>
      </c>
      <c r="AB805" t="n">
        <v/>
      </c>
      <c r="AC805" t="n">
        <v>94.195354374</v>
      </c>
      <c r="AD805" t="n">
        <v>84.297226956</v>
      </c>
      <c r="AE805" t="n">
        <v/>
      </c>
      <c r="AF805" t="n">
        <v>62.107419427</v>
      </c>
      <c r="AG805" t="n">
        <v/>
      </c>
      <c r="AH805" t="n">
        <v>58.632328394</v>
      </c>
      <c r="AI805" t="n">
        <v>67.88167302399999</v>
      </c>
      <c r="AJ805" t="n">
        <v>70.6360255</v>
      </c>
      <c r="AK805" t="n">
        <v/>
      </c>
      <c r="AL805" t="n">
        <v>57.904622294</v>
      </c>
      <c r="AM805" t="n">
        <v>37.515944714</v>
      </c>
      <c r="AN805" t="n">
        <v>83.167041047</v>
      </c>
      <c r="AO805" t="n">
        <v/>
      </c>
      <c r="AP805" t="n">
        <v/>
      </c>
      <c r="AQ805" t="n">
        <v/>
      </c>
      <c r="AR805" t="n">
        <v>61.896890464</v>
      </c>
      <c r="AS805" t="n">
        <v>24.600740455</v>
      </c>
      <c r="AT805" t="n">
        <v>55.027490856</v>
      </c>
      <c r="AU805" t="n">
        <v/>
      </c>
    </row>
    <row r="806">
      <c r="A806" s="105" t="n">
        <v>31413</v>
      </c>
      <c r="B806" t="n">
        <v>41.283278592</v>
      </c>
      <c r="C806" t="n">
        <v>55.265240281</v>
      </c>
      <c r="D806" t="n">
        <v>74.351281656</v>
      </c>
      <c r="E806" t="n">
        <v>65.68954662599999</v>
      </c>
      <c r="F806" t="n">
        <v/>
      </c>
      <c r="G806" t="n">
        <v/>
      </c>
      <c r="H806" t="n">
        <v/>
      </c>
      <c r="I806" t="n">
        <v>41.279838605</v>
      </c>
      <c r="J806" t="n">
        <v/>
      </c>
      <c r="K806" t="n">
        <v>62.838931104</v>
      </c>
      <c r="L806" t="n">
        <v>80.228293213</v>
      </c>
      <c r="M806" t="n">
        <v>69.98217297799999</v>
      </c>
      <c r="N806" t="n">
        <v>86.90805448099999</v>
      </c>
      <c r="O806" t="n">
        <v/>
      </c>
      <c r="P806" t="n">
        <v/>
      </c>
      <c r="Q806" t="n">
        <v>60.395658108</v>
      </c>
      <c r="R806" t="n">
        <v>82.676755814</v>
      </c>
      <c r="S806" t="n">
        <v>66.26980436700001</v>
      </c>
      <c r="T806" t="n">
        <v>71.524584365</v>
      </c>
      <c r="U806" t="n">
        <v/>
      </c>
      <c r="V806" t="n">
        <v>120.521379651</v>
      </c>
      <c r="W806" t="n">
        <v>44.473517304</v>
      </c>
      <c r="X806" t="n">
        <v/>
      </c>
      <c r="Y806" t="n">
        <v/>
      </c>
      <c r="Z806" t="n">
        <v>9.670713305</v>
      </c>
      <c r="AA806" t="n">
        <v/>
      </c>
      <c r="AB806" t="n">
        <v/>
      </c>
      <c r="AC806" t="n">
        <v>95.96594374199999</v>
      </c>
      <c r="AD806" t="n">
        <v>84.12896901800001</v>
      </c>
      <c r="AE806" t="n">
        <v/>
      </c>
      <c r="AF806" t="n">
        <v>65.114470994</v>
      </c>
      <c r="AG806" t="n">
        <v/>
      </c>
      <c r="AH806" t="n">
        <v>58.560032059</v>
      </c>
      <c r="AI806" t="n">
        <v>68.588773785</v>
      </c>
      <c r="AJ806" t="n">
        <v>70.19056483999999</v>
      </c>
      <c r="AK806" t="n">
        <v/>
      </c>
      <c r="AL806" t="n">
        <v>58.202960141</v>
      </c>
      <c r="AM806" t="n">
        <v>37.169346082</v>
      </c>
      <c r="AN806" t="n">
        <v>83.33642880399999</v>
      </c>
      <c r="AO806" t="n">
        <v/>
      </c>
      <c r="AP806" t="n">
        <v/>
      </c>
      <c r="AQ806" t="n">
        <v/>
      </c>
      <c r="AR806" t="n">
        <v>64.885412567</v>
      </c>
      <c r="AS806" t="n">
        <v>23.49804183</v>
      </c>
      <c r="AT806" t="n">
        <v>55.310786573</v>
      </c>
      <c r="AU806" t="n">
        <v/>
      </c>
    </row>
    <row r="807">
      <c r="A807" s="105" t="n">
        <v>31444</v>
      </c>
      <c r="B807" t="n">
        <v>41.940808905</v>
      </c>
      <c r="C807" t="n">
        <v>55.516337068</v>
      </c>
      <c r="D807" t="n">
        <v>74.262044362</v>
      </c>
      <c r="E807" t="n">
        <v>65.29576271800001</v>
      </c>
      <c r="F807" t="n">
        <v/>
      </c>
      <c r="G807" t="n">
        <v/>
      </c>
      <c r="H807" t="n">
        <v/>
      </c>
      <c r="I807" t="n">
        <v>41.937314129</v>
      </c>
      <c r="J807" t="n">
        <v/>
      </c>
      <c r="K807" t="n">
        <v>63.085842425</v>
      </c>
      <c r="L807" t="n">
        <v>80.11943528499999</v>
      </c>
      <c r="M807" t="n">
        <v>70.210779505</v>
      </c>
      <c r="N807" t="n">
        <v>87.655709194</v>
      </c>
      <c r="O807" t="n">
        <v/>
      </c>
      <c r="P807" t="n">
        <v/>
      </c>
      <c r="Q807" t="n">
        <v>59.864318007</v>
      </c>
      <c r="R807" t="n">
        <v>81.85182144300001</v>
      </c>
      <c r="S807" t="n">
        <v>66.133347137</v>
      </c>
      <c r="T807" t="n">
        <v>72.161301733</v>
      </c>
      <c r="U807" t="n">
        <v/>
      </c>
      <c r="V807" t="n">
        <v>121.513730067</v>
      </c>
      <c r="W807" t="n">
        <v>44.249807459</v>
      </c>
      <c r="X807" t="n">
        <v/>
      </c>
      <c r="Y807" t="n">
        <v/>
      </c>
      <c r="Z807" t="n">
        <v>9.918103645</v>
      </c>
      <c r="AA807" t="n">
        <v/>
      </c>
      <c r="AB807" t="n">
        <v/>
      </c>
      <c r="AC807" t="n">
        <v>96.43810090700001</v>
      </c>
      <c r="AD807" t="n">
        <v>84.12896901800001</v>
      </c>
      <c r="AE807" t="n">
        <v/>
      </c>
      <c r="AF807" t="n">
        <v>63.858979876</v>
      </c>
      <c r="AG807" t="n">
        <v/>
      </c>
      <c r="AH807" t="n">
        <v>58.993810074</v>
      </c>
      <c r="AI807" t="n">
        <v>74.95268063100001</v>
      </c>
      <c r="AJ807" t="n">
        <v>71.06521362300001</v>
      </c>
      <c r="AK807" t="n">
        <v/>
      </c>
      <c r="AL807" t="n">
        <v>58.204516983</v>
      </c>
      <c r="AM807" t="n">
        <v>37.302179576</v>
      </c>
      <c r="AN807" t="n">
        <v>84.94803303</v>
      </c>
      <c r="AO807" t="n">
        <v/>
      </c>
      <c r="AP807" t="n">
        <v/>
      </c>
      <c r="AQ807" t="n">
        <v/>
      </c>
      <c r="AR807" t="n">
        <v>64.540583093</v>
      </c>
      <c r="AS807" t="n">
        <v>22.398133489</v>
      </c>
      <c r="AT807" t="n">
        <v>54.933191162</v>
      </c>
      <c r="AU807" t="n">
        <v/>
      </c>
    </row>
    <row r="808">
      <c r="A808" s="105" t="n">
        <v>31472</v>
      </c>
      <c r="B808" t="n">
        <v>42.347294865</v>
      </c>
      <c r="C808" t="n">
        <v>56.51301137</v>
      </c>
      <c r="D808" t="n">
        <v>70.07944841699999</v>
      </c>
      <c r="E808" t="n">
        <v>64.15106391099999</v>
      </c>
      <c r="F808" t="n">
        <v/>
      </c>
      <c r="G808" t="n">
        <v/>
      </c>
      <c r="H808" t="n">
        <v/>
      </c>
      <c r="I808" t="n">
        <v>42.343766218</v>
      </c>
      <c r="J808" t="n">
        <v/>
      </c>
      <c r="K808" t="n">
        <v>63.209298085</v>
      </c>
      <c r="L808" t="n">
        <v>80.88144078400001</v>
      </c>
      <c r="M808" t="n">
        <v>69.477333565</v>
      </c>
      <c r="N808" t="n">
        <v>89.354892187</v>
      </c>
      <c r="O808" t="n">
        <v/>
      </c>
      <c r="P808" t="n">
        <v/>
      </c>
      <c r="Q808" t="n">
        <v>57.857033182</v>
      </c>
      <c r="R808" t="n">
        <v>81.57684331999999</v>
      </c>
      <c r="S808" t="n">
        <v>65.97516855400001</v>
      </c>
      <c r="T808" t="n">
        <v>72.798019102</v>
      </c>
      <c r="U808" t="n">
        <v/>
      </c>
      <c r="V808" t="n">
        <v>117.675228543</v>
      </c>
      <c r="W808" t="n">
        <v>44.294549428</v>
      </c>
      <c r="X808" t="n">
        <v/>
      </c>
      <c r="Y808" t="n">
        <v/>
      </c>
      <c r="Z808" t="n">
        <v>10.187984017</v>
      </c>
      <c r="AA808" t="n">
        <v/>
      </c>
      <c r="AB808" t="n">
        <v/>
      </c>
      <c r="AC808" t="n">
        <v>97.382415237</v>
      </c>
      <c r="AD808" t="n">
        <v>84.044840049</v>
      </c>
      <c r="AE808" t="n">
        <v/>
      </c>
      <c r="AF808" t="n">
        <v>62.398886798</v>
      </c>
      <c r="AG808" t="n">
        <v/>
      </c>
      <c r="AH808" t="n">
        <v>57.981661372</v>
      </c>
      <c r="AI808" t="n">
        <v>67.174572263</v>
      </c>
      <c r="AJ808" t="n">
        <v>71.283875819</v>
      </c>
      <c r="AK808" t="n">
        <v/>
      </c>
      <c r="AL808" t="n">
        <v>58.034077457</v>
      </c>
      <c r="AM808" t="n">
        <v>37.242097941</v>
      </c>
      <c r="AN808" t="n">
        <v>86.67857757900001</v>
      </c>
      <c r="AO808" t="n">
        <v/>
      </c>
      <c r="AP808" t="n">
        <v/>
      </c>
      <c r="AQ808" t="n">
        <v/>
      </c>
      <c r="AR808" t="n">
        <v>65.91990098700001</v>
      </c>
      <c r="AS808" t="n">
        <v>23.49804183</v>
      </c>
      <c r="AT808" t="n">
        <v>54.537251437</v>
      </c>
      <c r="AU808" t="n">
        <v/>
      </c>
    </row>
    <row r="809">
      <c r="A809" s="105" t="n">
        <v>31503</v>
      </c>
      <c r="B809" t="n">
        <v>41.688121861</v>
      </c>
      <c r="C809" t="n">
        <v>54.582355449</v>
      </c>
      <c r="D809" t="n">
        <v>74.078226495</v>
      </c>
      <c r="E809" t="n">
        <v>64.680181668</v>
      </c>
      <c r="F809" t="n">
        <v/>
      </c>
      <c r="G809" t="n">
        <v/>
      </c>
      <c r="H809" t="n">
        <v/>
      </c>
      <c r="I809" t="n">
        <v>41.684648141</v>
      </c>
      <c r="J809" t="n">
        <v/>
      </c>
      <c r="K809" t="n">
        <v>63.517937236</v>
      </c>
      <c r="L809" t="n">
        <v>82.623167638</v>
      </c>
      <c r="M809" t="n">
        <v>71.191882515</v>
      </c>
      <c r="N809" t="n">
        <v>88.872840516</v>
      </c>
      <c r="O809" t="n">
        <v/>
      </c>
      <c r="P809" t="n">
        <v/>
      </c>
      <c r="Q809" t="n">
        <v>59.864318007</v>
      </c>
      <c r="R809" t="n">
        <v>83.685008934</v>
      </c>
      <c r="S809" t="n">
        <v>66.270056951</v>
      </c>
      <c r="T809" t="n">
        <v>73.75309515399999</v>
      </c>
      <c r="U809" t="n">
        <v/>
      </c>
      <c r="V809" t="n">
        <v>128.009070652</v>
      </c>
      <c r="W809" t="n">
        <v>47.426487266</v>
      </c>
      <c r="X809" t="n">
        <v/>
      </c>
      <c r="Y809" t="n">
        <v/>
      </c>
      <c r="Z809" t="n">
        <v>10.053043831</v>
      </c>
      <c r="AA809" t="n">
        <v/>
      </c>
      <c r="AB809" t="n">
        <v/>
      </c>
      <c r="AC809" t="n">
        <v>97.854572401</v>
      </c>
      <c r="AD809" t="n">
        <v>84.044840049</v>
      </c>
      <c r="AE809" t="n">
        <v/>
      </c>
      <c r="AF809" t="n">
        <v>64.235832093</v>
      </c>
      <c r="AG809" t="n">
        <v/>
      </c>
      <c r="AH809" t="n">
        <v>57.547883356</v>
      </c>
      <c r="AI809" t="n">
        <v>74.95268063100001</v>
      </c>
      <c r="AJ809" t="n">
        <v>48.215014166</v>
      </c>
      <c r="AK809" t="n">
        <v/>
      </c>
      <c r="AL809" t="n">
        <v>58.202785149</v>
      </c>
      <c r="AM809" t="n">
        <v>37.737038069</v>
      </c>
      <c r="AN809" t="n">
        <v>88.909808747</v>
      </c>
      <c r="AO809" t="n">
        <v/>
      </c>
      <c r="AP809" t="n">
        <v/>
      </c>
      <c r="AQ809" t="n">
        <v/>
      </c>
      <c r="AR809" t="n">
        <v>63.103793621</v>
      </c>
      <c r="AS809" t="n">
        <v>23.198066828</v>
      </c>
      <c r="AT809" t="n">
        <v>54.60071285</v>
      </c>
      <c r="AU809" t="n">
        <v/>
      </c>
    </row>
    <row r="810">
      <c r="A810" s="105" t="n">
        <v>31533</v>
      </c>
      <c r="B810" t="n">
        <v>41.849370517</v>
      </c>
      <c r="C810" t="n">
        <v>54.289805825</v>
      </c>
      <c r="D810" t="n">
        <v>73.74542132800001</v>
      </c>
      <c r="E810" t="n">
        <v>63.324023723</v>
      </c>
      <c r="F810" t="n">
        <v/>
      </c>
      <c r="G810" t="n">
        <v/>
      </c>
      <c r="H810" t="n">
        <v/>
      </c>
      <c r="I810" t="n">
        <v>41.84588336</v>
      </c>
      <c r="J810" t="n">
        <v/>
      </c>
      <c r="K810" t="n">
        <v>62.900658935</v>
      </c>
      <c r="L810" t="n">
        <v>81.425730425</v>
      </c>
      <c r="M810" t="n">
        <v>69.248727038</v>
      </c>
      <c r="N810" t="n">
        <v>85.79382933799999</v>
      </c>
      <c r="O810" t="n">
        <v/>
      </c>
      <c r="P810" t="n">
        <v/>
      </c>
      <c r="Q810" t="n">
        <v>58.329335494</v>
      </c>
      <c r="R810" t="n">
        <v>81.118546447</v>
      </c>
      <c r="S810" t="n">
        <v>65.825457785</v>
      </c>
      <c r="T810" t="n">
        <v>72.47966041700001</v>
      </c>
      <c r="U810" t="n">
        <v/>
      </c>
      <c r="V810" t="n">
        <v>119.979974788</v>
      </c>
      <c r="W810" t="n">
        <v>45.278872748</v>
      </c>
      <c r="X810" t="n">
        <v/>
      </c>
      <c r="Y810" t="n">
        <v/>
      </c>
      <c r="Z810" t="n">
        <v>9.400832934</v>
      </c>
      <c r="AA810" t="n">
        <v/>
      </c>
      <c r="AB810" t="n">
        <v/>
      </c>
      <c r="AC810" t="n">
        <v>95.37574728600001</v>
      </c>
      <c r="AD810" t="n">
        <v>84.044840049</v>
      </c>
      <c r="AE810" t="n">
        <v/>
      </c>
      <c r="AF810" t="n">
        <v>61.658887772</v>
      </c>
      <c r="AG810" t="n">
        <v/>
      </c>
      <c r="AH810" t="n">
        <v>56.824919998</v>
      </c>
      <c r="AI810" t="n">
        <v>67.174572263</v>
      </c>
      <c r="AJ810" t="n">
        <v>67.894611785</v>
      </c>
      <c r="AK810" t="n">
        <v/>
      </c>
      <c r="AL810" t="n">
        <v>57.712190311</v>
      </c>
      <c r="AM810" t="n">
        <v>37.562680974</v>
      </c>
      <c r="AN810" t="n">
        <v>86.232770755</v>
      </c>
      <c r="AO810" t="n">
        <v/>
      </c>
      <c r="AP810" t="n">
        <v/>
      </c>
      <c r="AQ810" t="n">
        <v/>
      </c>
      <c r="AR810" t="n">
        <v>63.218736779</v>
      </c>
      <c r="AS810" t="n">
        <v>23.09807516</v>
      </c>
      <c r="AT810" t="n">
        <v>54.70621745</v>
      </c>
      <c r="AU810" t="n">
        <v/>
      </c>
    </row>
    <row r="811">
      <c r="A811" s="105" t="n">
        <v>31564</v>
      </c>
      <c r="B811" t="n">
        <v>42.167199114</v>
      </c>
      <c r="C811" t="n">
        <v>55.169665606</v>
      </c>
      <c r="D811" t="n">
        <v>75.53755558100001</v>
      </c>
      <c r="E811" t="n">
        <v>63.081080667</v>
      </c>
      <c r="F811" t="n">
        <v/>
      </c>
      <c r="G811" t="n">
        <v/>
      </c>
      <c r="H811" t="n">
        <v/>
      </c>
      <c r="I811" t="n">
        <v>42.163685473</v>
      </c>
      <c r="J811" t="n">
        <v/>
      </c>
      <c r="K811" t="n">
        <v>63.209298085</v>
      </c>
      <c r="L811" t="n">
        <v>81.208014569</v>
      </c>
      <c r="M811" t="n">
        <v>70.39175967200001</v>
      </c>
      <c r="N811" t="n">
        <v>91.05890611300001</v>
      </c>
      <c r="O811" t="n">
        <v/>
      </c>
      <c r="P811" t="n">
        <v/>
      </c>
      <c r="Q811" t="n">
        <v>59.569129062</v>
      </c>
      <c r="R811" t="n">
        <v>81.760162069</v>
      </c>
      <c r="S811" t="n">
        <v>66.003095586</v>
      </c>
      <c r="T811" t="n">
        <v>73.540856031</v>
      </c>
      <c r="U811" t="n">
        <v/>
      </c>
      <c r="V811" t="n">
        <v>122.61494697</v>
      </c>
      <c r="W811" t="n">
        <v>45.368356687</v>
      </c>
      <c r="X811" t="n">
        <v/>
      </c>
      <c r="Y811" t="n">
        <v/>
      </c>
      <c r="Z811" t="n">
        <v>9.963083706999999</v>
      </c>
      <c r="AA811" t="n">
        <v/>
      </c>
      <c r="AB811" t="n">
        <v/>
      </c>
      <c r="AC811" t="n">
        <v>97.264375945</v>
      </c>
      <c r="AD811" t="n">
        <v>84.297226956</v>
      </c>
      <c r="AE811" t="n">
        <v/>
      </c>
      <c r="AF811" t="n">
        <v>62.685373987</v>
      </c>
      <c r="AG811" t="n">
        <v/>
      </c>
      <c r="AH811" t="n">
        <v>55.451289616</v>
      </c>
      <c r="AI811" t="n">
        <v>70.002975306</v>
      </c>
      <c r="AJ811" t="n">
        <v>73.142504483</v>
      </c>
      <c r="AK811" t="n">
        <v/>
      </c>
      <c r="AL811" t="n">
        <v>58.067929725</v>
      </c>
      <c r="AM811" t="n">
        <v>36.939745913</v>
      </c>
      <c r="AN811" t="n">
        <v>87.54350123499999</v>
      </c>
      <c r="AO811" t="n">
        <v/>
      </c>
      <c r="AP811" t="n">
        <v/>
      </c>
      <c r="AQ811" t="n">
        <v/>
      </c>
      <c r="AR811" t="n">
        <v>63.621037831</v>
      </c>
      <c r="AS811" t="n">
        <v>24.697941838</v>
      </c>
      <c r="AT811" t="n">
        <v>54.496298993</v>
      </c>
      <c r="AU811" t="n">
        <v/>
      </c>
    </row>
    <row r="812">
      <c r="A812" s="105" t="n">
        <v>31594</v>
      </c>
      <c r="B812" t="n">
        <v>41.005373026</v>
      </c>
      <c r="C812" t="n">
        <v>56.628033742</v>
      </c>
      <c r="D812" t="n">
        <v>75.60344118800001</v>
      </c>
      <c r="E812" t="n">
        <v>63.538772226</v>
      </c>
      <c r="F812" t="n">
        <v/>
      </c>
      <c r="G812" t="n">
        <v/>
      </c>
      <c r="H812" t="n">
        <v/>
      </c>
      <c r="I812" t="n">
        <v>41.001956196</v>
      </c>
      <c r="J812" t="n">
        <v/>
      </c>
      <c r="K812" t="n">
        <v>64.135215538</v>
      </c>
      <c r="L812" t="n">
        <v>81.861162139</v>
      </c>
      <c r="M812" t="n">
        <v>70.534638751</v>
      </c>
      <c r="N812" t="n">
        <v>87.748567554</v>
      </c>
      <c r="O812" t="n">
        <v/>
      </c>
      <c r="P812" t="n">
        <v/>
      </c>
      <c r="Q812" t="n">
        <v>61.39930052</v>
      </c>
      <c r="R812" t="n">
        <v>81.85182144300001</v>
      </c>
      <c r="S812" t="n">
        <v>66.341962154</v>
      </c>
      <c r="T812" t="n">
        <v>72.904138663</v>
      </c>
      <c r="U812" t="n">
        <v/>
      </c>
      <c r="V812" t="n">
        <v>128.075851973</v>
      </c>
      <c r="W812" t="n">
        <v>46.665873791</v>
      </c>
      <c r="X812" t="n">
        <v/>
      </c>
      <c r="Y812" t="n">
        <v/>
      </c>
      <c r="Z812" t="n">
        <v>9.693203336</v>
      </c>
      <c r="AA812" t="n">
        <v/>
      </c>
      <c r="AB812" t="n">
        <v/>
      </c>
      <c r="AC812" t="n">
        <v>98.56280814900001</v>
      </c>
      <c r="AD812" t="n">
        <v>84.297226956</v>
      </c>
      <c r="AE812" t="n">
        <v/>
      </c>
      <c r="AF812" t="n">
        <v>65.05737693499999</v>
      </c>
      <c r="AG812" t="n">
        <v/>
      </c>
      <c r="AH812" t="n">
        <v>54.728326257</v>
      </c>
      <c r="AI812" t="n">
        <v>70.710076067</v>
      </c>
      <c r="AJ812" t="n">
        <v>75.438457539</v>
      </c>
      <c r="AK812" t="n">
        <v/>
      </c>
      <c r="AL812" t="n">
        <v>58.271490873</v>
      </c>
      <c r="AM812" t="n">
        <v>37.608026549</v>
      </c>
      <c r="AN812" t="n">
        <v>88.653284619</v>
      </c>
      <c r="AO812" t="n">
        <v/>
      </c>
      <c r="AP812" t="n">
        <v/>
      </c>
      <c r="AQ812" t="n">
        <v/>
      </c>
      <c r="AR812" t="n">
        <v>64.253225199</v>
      </c>
      <c r="AS812" t="n">
        <v>24.497958503</v>
      </c>
      <c r="AT812" t="n">
        <v>54.829074781</v>
      </c>
      <c r="AU812" t="n">
        <v/>
      </c>
    </row>
    <row r="813">
      <c r="A813" s="105" t="n">
        <v>31625</v>
      </c>
      <c r="B813" t="n">
        <v>42.062141864</v>
      </c>
      <c r="C813" t="n">
        <v>56.014584052</v>
      </c>
      <c r="D813" t="n">
        <v>76.261869053</v>
      </c>
      <c r="E813" t="n">
        <v>62.96783255</v>
      </c>
      <c r="F813" t="n">
        <v/>
      </c>
      <c r="G813" t="n">
        <v/>
      </c>
      <c r="H813" t="n">
        <v/>
      </c>
      <c r="I813" t="n">
        <v>42.058636978</v>
      </c>
      <c r="J813" t="n">
        <v/>
      </c>
      <c r="K813" t="n">
        <v>63.024114595</v>
      </c>
      <c r="L813" t="n">
        <v>84.147178635</v>
      </c>
      <c r="M813" t="n">
        <v>70.09647624199999</v>
      </c>
      <c r="N813" t="n">
        <v>86.68004529700001</v>
      </c>
      <c r="O813" t="n">
        <v/>
      </c>
      <c r="P813" t="n">
        <v/>
      </c>
      <c r="Q813" t="n">
        <v>60.513733686</v>
      </c>
      <c r="R813" t="n">
        <v>81.85182144300001</v>
      </c>
      <c r="S813" t="n">
        <v>65.817752773</v>
      </c>
      <c r="T813" t="n">
        <v>72.904138663</v>
      </c>
      <c r="U813" t="n">
        <v/>
      </c>
      <c r="V813" t="n">
        <v>118.35136603</v>
      </c>
      <c r="W813" t="n">
        <v>45.771034409</v>
      </c>
      <c r="X813" t="n">
        <v/>
      </c>
      <c r="Y813" t="n">
        <v/>
      </c>
      <c r="Z813" t="n">
        <v>9.963083706999999</v>
      </c>
      <c r="AA813" t="n">
        <v/>
      </c>
      <c r="AB813" t="n">
        <v/>
      </c>
      <c r="AC813" t="n">
        <v>98.798886731</v>
      </c>
      <c r="AD813" t="n">
        <v>82.2781317</v>
      </c>
      <c r="AE813" t="n">
        <v/>
      </c>
      <c r="AF813" t="n">
        <v>60.26337811</v>
      </c>
      <c r="AG813" t="n">
        <v/>
      </c>
      <c r="AH813" t="n">
        <v>54.439140914</v>
      </c>
      <c r="AI813" t="n">
        <v>70.710076067</v>
      </c>
      <c r="AJ813" t="n">
        <v>77.18775510499999</v>
      </c>
      <c r="AK813" t="n">
        <v/>
      </c>
      <c r="AL813" t="n">
        <v>57.925683905</v>
      </c>
      <c r="AM813" t="n">
        <v>36.903235805</v>
      </c>
      <c r="AN813" t="n">
        <v>90.79968944300001</v>
      </c>
      <c r="AO813" t="n">
        <v/>
      </c>
      <c r="AP813" t="n">
        <v/>
      </c>
      <c r="AQ813" t="n">
        <v/>
      </c>
      <c r="AR813" t="n">
        <v>64.655526251</v>
      </c>
      <c r="AS813" t="n">
        <v>26.097825181</v>
      </c>
      <c r="AT813" t="n">
        <v>54.738344791</v>
      </c>
      <c r="AU813" t="n">
        <v/>
      </c>
    </row>
    <row r="814">
      <c r="A814" s="105" t="n">
        <v>31656</v>
      </c>
      <c r="B814" t="n">
        <v>41.480585896</v>
      </c>
      <c r="C814" t="n">
        <v>55.137239673</v>
      </c>
      <c r="D814" t="n">
        <v>78.87126781400001</v>
      </c>
      <c r="E814" t="n">
        <v>63.251657706</v>
      </c>
      <c r="F814" t="n">
        <v/>
      </c>
      <c r="G814" t="n">
        <v/>
      </c>
      <c r="H814" t="n">
        <v/>
      </c>
      <c r="I814" t="n">
        <v>41.477129469</v>
      </c>
      <c r="J814" t="n">
        <v/>
      </c>
      <c r="K814" t="n">
        <v>62.653747614</v>
      </c>
      <c r="L814" t="n">
        <v>83.494031065</v>
      </c>
      <c r="M814" t="n">
        <v>70.62989147</v>
      </c>
      <c r="N814" t="n">
        <v>88.257590845</v>
      </c>
      <c r="O814" t="n">
        <v/>
      </c>
      <c r="P814" t="n">
        <v/>
      </c>
      <c r="Q814" t="n">
        <v>60.80892263</v>
      </c>
      <c r="R814" t="n">
        <v>82.58509644</v>
      </c>
      <c r="S814" t="n">
        <v>66.40781068699999</v>
      </c>
      <c r="T814" t="n">
        <v>74.81429076800001</v>
      </c>
      <c r="U814" t="n">
        <v/>
      </c>
      <c r="V814" t="n">
        <v>118.367929407</v>
      </c>
      <c r="W814" t="n">
        <v>46.039486223</v>
      </c>
      <c r="X814" t="n">
        <v/>
      </c>
      <c r="Y814" t="n">
        <v/>
      </c>
      <c r="Z814" t="n">
        <v>10.143003955</v>
      </c>
      <c r="AA814" t="n">
        <v/>
      </c>
      <c r="AB814" t="n">
        <v/>
      </c>
      <c r="AC814" t="n">
        <v>97.854572401</v>
      </c>
      <c r="AD814" t="n">
        <v>85.05438767699999</v>
      </c>
      <c r="AE814" t="n">
        <v/>
      </c>
      <c r="AF814" t="n">
        <v>64.060534233</v>
      </c>
      <c r="AG814" t="n">
        <v/>
      </c>
      <c r="AH814" t="n">
        <v>54.077659234</v>
      </c>
      <c r="AI814" t="n">
        <v>72.831378349</v>
      </c>
      <c r="AJ814" t="n">
        <v>69.315916057</v>
      </c>
      <c r="AK814" t="n">
        <v/>
      </c>
      <c r="AL814" t="n">
        <v>58.262144661</v>
      </c>
      <c r="AM814" t="n">
        <v>38.02931407</v>
      </c>
      <c r="AN814" t="n">
        <v>91.546173803</v>
      </c>
      <c r="AO814" t="n">
        <v/>
      </c>
      <c r="AP814" t="n">
        <v/>
      </c>
      <c r="AQ814" t="n">
        <v/>
      </c>
      <c r="AR814" t="n">
        <v>64.31069677799999</v>
      </c>
      <c r="AS814" t="n">
        <v>24.297975169</v>
      </c>
      <c r="AT814" t="n">
        <v>54.885297627</v>
      </c>
      <c r="AU814" t="n">
        <v/>
      </c>
    </row>
    <row r="815">
      <c r="A815" s="105" t="n">
        <v>31686</v>
      </c>
      <c r="B815" t="n">
        <v>41.36049954</v>
      </c>
      <c r="C815" t="n">
        <v>54.947638185</v>
      </c>
      <c r="D815" t="n">
        <v>79.758482742</v>
      </c>
      <c r="E815" t="n">
        <v>63.177412053</v>
      </c>
      <c r="F815" t="n">
        <v/>
      </c>
      <c r="G815" t="n">
        <v/>
      </c>
      <c r="H815" t="n">
        <v/>
      </c>
      <c r="I815" t="n">
        <v>41.357053119</v>
      </c>
      <c r="J815" t="n">
        <v/>
      </c>
      <c r="K815" t="n">
        <v>62.838931104</v>
      </c>
      <c r="L815" t="n">
        <v>80.88144078400001</v>
      </c>
      <c r="M815" t="n">
        <v>70.51558820699999</v>
      </c>
      <c r="N815" t="n">
        <v>89.375100101</v>
      </c>
      <c r="O815" t="n">
        <v/>
      </c>
      <c r="P815" t="n">
        <v/>
      </c>
      <c r="Q815" t="n">
        <v>61.635451676</v>
      </c>
      <c r="R815" t="n">
        <v>83.31837143600001</v>
      </c>
      <c r="S815" t="n">
        <v>66.419706374</v>
      </c>
      <c r="T815" t="n">
        <v>75.02652989000001</v>
      </c>
      <c r="U815" t="n">
        <v/>
      </c>
      <c r="V815" t="n">
        <v>119.752822488</v>
      </c>
      <c r="W815" t="n">
        <v>45.592066532</v>
      </c>
      <c r="X815" t="n">
        <v/>
      </c>
      <c r="Y815" t="n">
        <v/>
      </c>
      <c r="Z815" t="n">
        <v>10.25545411</v>
      </c>
      <c r="AA815" t="n">
        <v/>
      </c>
      <c r="AB815" t="n">
        <v/>
      </c>
      <c r="AC815" t="n">
        <v>97.73653311</v>
      </c>
      <c r="AD815" t="n">
        <v>83.96071108</v>
      </c>
      <c r="AE815" t="n">
        <v/>
      </c>
      <c r="AF815" t="n">
        <v>64.268069896</v>
      </c>
      <c r="AG815" t="n">
        <v/>
      </c>
      <c r="AH815" t="n">
        <v>54.294548242</v>
      </c>
      <c r="AI815" t="n">
        <v>70.002975306</v>
      </c>
      <c r="AJ815" t="n">
        <v>71.721200211</v>
      </c>
      <c r="AK815" t="n">
        <v/>
      </c>
      <c r="AL815" t="n">
        <v>58.316264039</v>
      </c>
      <c r="AM815" t="n">
        <v>37.671241786</v>
      </c>
      <c r="AN815" t="n">
        <v>90.676889949</v>
      </c>
      <c r="AO815" t="n">
        <v/>
      </c>
      <c r="AP815" t="n">
        <v/>
      </c>
      <c r="AQ815" t="n">
        <v/>
      </c>
      <c r="AR815" t="n">
        <v>64.31069677799999</v>
      </c>
      <c r="AS815" t="n">
        <v>25.497875177</v>
      </c>
      <c r="AT815" t="n">
        <v>55.117923371</v>
      </c>
      <c r="AU815" t="n">
        <v/>
      </c>
    </row>
    <row r="816">
      <c r="A816" s="105" t="n">
        <v>31717</v>
      </c>
      <c r="B816" t="n">
        <v>40.862400815</v>
      </c>
      <c r="C816" t="n">
        <v>54.910824441</v>
      </c>
      <c r="D816" t="n">
        <v>78.901578617</v>
      </c>
      <c r="E816" t="n">
        <v>63.041608294</v>
      </c>
      <c r="F816" t="n">
        <v/>
      </c>
      <c r="G816" t="n">
        <v/>
      </c>
      <c r="H816" t="n">
        <v/>
      </c>
      <c r="I816" t="n">
        <v>40.858995899</v>
      </c>
      <c r="J816" t="n">
        <v/>
      </c>
      <c r="K816" t="n">
        <v>63.517937236</v>
      </c>
      <c r="L816" t="n">
        <v>79.030856001</v>
      </c>
      <c r="M816" t="n">
        <v>69.839293899</v>
      </c>
      <c r="N816" t="n">
        <v>88.839322727</v>
      </c>
      <c r="O816" t="n">
        <v/>
      </c>
      <c r="P816" t="n">
        <v/>
      </c>
      <c r="Q816" t="n">
        <v>61.812565043</v>
      </c>
      <c r="R816" t="n">
        <v>82.12679956700001</v>
      </c>
      <c r="S816" t="n">
        <v>66.33786203</v>
      </c>
      <c r="T816" t="n">
        <v>74.708171206</v>
      </c>
      <c r="U816" t="n">
        <v/>
      </c>
      <c r="V816" t="n">
        <v>122.332349356</v>
      </c>
      <c r="W816" t="n">
        <v>44.786711088</v>
      </c>
      <c r="X816" t="n">
        <v/>
      </c>
      <c r="Y816" t="n">
        <v/>
      </c>
      <c r="Z816" t="n">
        <v>10.098023893</v>
      </c>
      <c r="AA816" t="n">
        <v/>
      </c>
      <c r="AB816" t="n">
        <v/>
      </c>
      <c r="AC816" t="n">
        <v>97.50045452800001</v>
      </c>
      <c r="AD816" t="n">
        <v>82.78290551400001</v>
      </c>
      <c r="AE816" t="n">
        <v/>
      </c>
      <c r="AF816" t="n">
        <v>61.961268448</v>
      </c>
      <c r="AG816" t="n">
        <v/>
      </c>
      <c r="AH816" t="n">
        <v>53.788473891</v>
      </c>
      <c r="AI816" t="n">
        <v>70.002975306</v>
      </c>
      <c r="AJ816" t="n">
        <v>72.814511189</v>
      </c>
      <c r="AK816" t="n">
        <v/>
      </c>
      <c r="AL816" t="n">
        <v>58.23750108</v>
      </c>
      <c r="AM816" t="n">
        <v>38.257786619</v>
      </c>
      <c r="AN816" t="n">
        <v>91.396268471</v>
      </c>
      <c r="AO816" t="n">
        <v/>
      </c>
      <c r="AP816" t="n">
        <v/>
      </c>
      <c r="AQ816" t="n">
        <v/>
      </c>
      <c r="AR816" t="n">
        <v>65.460128356</v>
      </c>
      <c r="AS816" t="n">
        <v>25.597866844</v>
      </c>
      <c r="AT816" t="n">
        <v>55.333394701</v>
      </c>
      <c r="AU816" t="n">
        <v/>
      </c>
    </row>
    <row r="817">
      <c r="A817" s="105" t="n">
        <v>31747</v>
      </c>
      <c r="B817" t="n">
        <v>41.647884001</v>
      </c>
      <c r="C817" t="n">
        <v>55.489767589</v>
      </c>
      <c r="D817" t="n">
        <v>77.16716464700001</v>
      </c>
      <c r="E817" t="n">
        <v>64.157172731</v>
      </c>
      <c r="F817" t="n">
        <v/>
      </c>
      <c r="G817" t="n">
        <v/>
      </c>
      <c r="H817" t="n">
        <v/>
      </c>
      <c r="I817" t="n">
        <v>41.644413634</v>
      </c>
      <c r="J817" t="n">
        <v/>
      </c>
      <c r="K817" t="n">
        <v>62.715475444</v>
      </c>
      <c r="L817" t="n">
        <v>80.11943528499999</v>
      </c>
      <c r="M817" t="n">
        <v>70.591790383</v>
      </c>
      <c r="N817" t="n">
        <v>90.17013684699999</v>
      </c>
      <c r="O817" t="n">
        <v/>
      </c>
      <c r="P817" t="n">
        <v/>
      </c>
      <c r="Q817" t="n">
        <v>61.340262731</v>
      </c>
      <c r="R817" t="n">
        <v>82.676755814</v>
      </c>
      <c r="S817" t="n">
        <v>67.03540184800001</v>
      </c>
      <c r="T817" t="n">
        <v>75.02652989000001</v>
      </c>
      <c r="U817" t="n">
        <v/>
      </c>
      <c r="V817" t="n">
        <v>119.596140982</v>
      </c>
      <c r="W817" t="n">
        <v>46.352680007</v>
      </c>
      <c r="X817" t="n">
        <v/>
      </c>
      <c r="Y817" t="n">
        <v/>
      </c>
      <c r="Z817" t="n">
        <v>10.0305538</v>
      </c>
      <c r="AA817" t="n">
        <v/>
      </c>
      <c r="AB817" t="n">
        <v/>
      </c>
      <c r="AC817" t="n">
        <v>100.215358225</v>
      </c>
      <c r="AD817" t="n">
        <v>84.717871801</v>
      </c>
      <c r="AE817" t="n">
        <v/>
      </c>
      <c r="AF817" t="n">
        <v>60.105968056</v>
      </c>
      <c r="AG817" t="n">
        <v/>
      </c>
      <c r="AH817" t="n">
        <v>53.716177555</v>
      </c>
      <c r="AI817" t="n">
        <v>71.41717682700001</v>
      </c>
      <c r="AJ817" t="n">
        <v>75.438457539</v>
      </c>
      <c r="AK817" t="n">
        <v/>
      </c>
      <c r="AL817" t="n">
        <v>58.790143058</v>
      </c>
      <c r="AM817" t="n">
        <v>37.767984212</v>
      </c>
      <c r="AN817" t="n">
        <v>91.372856535</v>
      </c>
      <c r="AO817" t="n">
        <v/>
      </c>
      <c r="AP817" t="n">
        <v/>
      </c>
      <c r="AQ817" t="n">
        <v/>
      </c>
      <c r="AR817" t="n">
        <v>64.71299783000001</v>
      </c>
      <c r="AS817" t="n">
        <v>25.39788351</v>
      </c>
      <c r="AT817" t="n">
        <v>55.869941121</v>
      </c>
      <c r="AU817" t="n">
        <v/>
      </c>
    </row>
    <row r="818">
      <c r="A818" s="105" t="n">
        <v>31778</v>
      </c>
      <c r="B818" t="n">
        <v>40.562071696</v>
      </c>
      <c r="C818" t="n">
        <v>54.556168019</v>
      </c>
      <c r="D818" t="n">
        <v>79.596442377</v>
      </c>
      <c r="E818" t="n">
        <v>64.820684519</v>
      </c>
      <c r="F818" t="n">
        <v/>
      </c>
      <c r="G818" t="n">
        <v/>
      </c>
      <c r="H818" t="n">
        <v/>
      </c>
      <c r="I818" t="n">
        <v>40.558691805</v>
      </c>
      <c r="J818" t="n">
        <v/>
      </c>
      <c r="K818" t="n">
        <v>61.727830162</v>
      </c>
      <c r="L818" t="n">
        <v>74.894254723</v>
      </c>
      <c r="M818" t="n">
        <v>69.963122434</v>
      </c>
      <c r="N818" t="n">
        <v>86.91822660699999</v>
      </c>
      <c r="O818" t="n">
        <v/>
      </c>
      <c r="P818" t="n">
        <v/>
      </c>
      <c r="Q818" t="n">
        <v>60.690847052</v>
      </c>
      <c r="R818" t="n">
        <v>80.476930826</v>
      </c>
      <c r="S818" t="n">
        <v>66.32883459200001</v>
      </c>
      <c r="T818" t="n">
        <v>73.540856031</v>
      </c>
      <c r="U818" t="n">
        <v/>
      </c>
      <c r="V818" t="n">
        <v>116.742308199</v>
      </c>
      <c r="W818" t="n">
        <v>43.310226107</v>
      </c>
      <c r="X818" t="n">
        <v/>
      </c>
      <c r="Y818" t="n">
        <v/>
      </c>
      <c r="Z818" t="n">
        <v>9.535773119</v>
      </c>
      <c r="AA818" t="n">
        <v/>
      </c>
      <c r="AB818" t="n">
        <v/>
      </c>
      <c r="AC818" t="n">
        <v>95.72986516</v>
      </c>
      <c r="AD818" t="n">
        <v>84.465484894</v>
      </c>
      <c r="AE818" t="n">
        <v/>
      </c>
      <c r="AF818" t="n">
        <v>62.077394256</v>
      </c>
      <c r="AG818" t="n">
        <v/>
      </c>
      <c r="AH818" t="n">
        <v>54.14995557</v>
      </c>
      <c r="AI818" t="n">
        <v>74.95268063100001</v>
      </c>
      <c r="AJ818" t="n">
        <v>77.4064173</v>
      </c>
      <c r="AK818" t="n">
        <v/>
      </c>
      <c r="AL818" t="n">
        <v>58.209125717</v>
      </c>
      <c r="AM818" t="n">
        <v>35.526823237</v>
      </c>
      <c r="AN818" t="n">
        <v>88.370353622</v>
      </c>
      <c r="AO818" t="n">
        <v/>
      </c>
      <c r="AP818" t="n">
        <v/>
      </c>
      <c r="AQ818" t="n">
        <v/>
      </c>
      <c r="AR818" t="n">
        <v>62.356663096</v>
      </c>
      <c r="AS818" t="n">
        <v>25.497875177</v>
      </c>
      <c r="AT818" t="n">
        <v>55.653577365</v>
      </c>
      <c r="AU818" t="n">
        <v/>
      </c>
    </row>
    <row r="819">
      <c r="A819" s="105" t="n">
        <v>31809</v>
      </c>
      <c r="B819" t="n">
        <v>41.519815255</v>
      </c>
      <c r="C819" t="n">
        <v>56.268201407</v>
      </c>
      <c r="D819" t="n">
        <v>83.97181332</v>
      </c>
      <c r="E819" t="n">
        <v>64.961187369</v>
      </c>
      <c r="F819" t="n">
        <v/>
      </c>
      <c r="G819" t="n">
        <v/>
      </c>
      <c r="H819" t="n">
        <v/>
      </c>
      <c r="I819" t="n">
        <v>41.516355559</v>
      </c>
      <c r="J819" t="n">
        <v/>
      </c>
      <c r="K819" t="n">
        <v>62.962386765</v>
      </c>
      <c r="L819" t="n">
        <v>78.377708431</v>
      </c>
      <c r="M819" t="n">
        <v>70.89659908500001</v>
      </c>
      <c r="N819" t="n">
        <v>91.729944582</v>
      </c>
      <c r="O819" t="n">
        <v/>
      </c>
      <c r="P819" t="n">
        <v/>
      </c>
      <c r="Q819" t="n">
        <v>61.576413887</v>
      </c>
      <c r="R819" t="n">
        <v>82.40177769100001</v>
      </c>
      <c r="S819" t="n">
        <v>67.241565475</v>
      </c>
      <c r="T819" t="n">
        <v>75.98160594300001</v>
      </c>
      <c r="U819" t="n">
        <v/>
      </c>
      <c r="V819" t="n">
        <v>126.427748556</v>
      </c>
      <c r="W819" t="n">
        <v>46.531647884</v>
      </c>
      <c r="X819" t="n">
        <v/>
      </c>
      <c r="Y819" t="n">
        <v/>
      </c>
      <c r="Z819" t="n">
        <v>10.322924202</v>
      </c>
      <c r="AA819" t="n">
        <v/>
      </c>
      <c r="AB819" t="n">
        <v/>
      </c>
      <c r="AC819" t="n">
        <v>98.68084743999999</v>
      </c>
      <c r="AD819" t="n">
        <v>84.044840049</v>
      </c>
      <c r="AE819" t="n">
        <v/>
      </c>
      <c r="AF819" t="n">
        <v>60.505969442</v>
      </c>
      <c r="AG819" t="n">
        <v/>
      </c>
      <c r="AH819" t="n">
        <v>55.017511601</v>
      </c>
      <c r="AI819" t="n">
        <v>71.41717682700001</v>
      </c>
      <c r="AJ819" t="n">
        <v>74.454477658</v>
      </c>
      <c r="AK819" t="n">
        <v/>
      </c>
      <c r="AL819" t="n">
        <v>59.121008699</v>
      </c>
      <c r="AM819" t="n">
        <v>39.905116645</v>
      </c>
      <c r="AN819" t="n">
        <v>92.1083486</v>
      </c>
      <c r="AO819" t="n">
        <v/>
      </c>
      <c r="AP819" t="n">
        <v/>
      </c>
      <c r="AQ819" t="n">
        <v/>
      </c>
      <c r="AR819" t="n">
        <v>64.942884146</v>
      </c>
      <c r="AS819" t="n">
        <v>26.097825181</v>
      </c>
      <c r="AT819" t="n">
        <v>56.399248974</v>
      </c>
      <c r="AU819" t="n">
        <v/>
      </c>
    </row>
    <row r="820">
      <c r="A820" s="105" t="n">
        <v>31837</v>
      </c>
      <c r="B820" t="n">
        <v>41.932907872</v>
      </c>
      <c r="C820" t="n">
        <v>55.373255912</v>
      </c>
      <c r="D820" t="n">
        <v>79.57692323099999</v>
      </c>
      <c r="E820" t="n">
        <v>65.38833483000001</v>
      </c>
      <c r="F820" t="n">
        <v/>
      </c>
      <c r="G820" t="n">
        <v/>
      </c>
      <c r="H820" t="n">
        <v/>
      </c>
      <c r="I820" t="n">
        <v>41.929413754</v>
      </c>
      <c r="J820" t="n">
        <v/>
      </c>
      <c r="K820" t="n">
        <v>62.592019784</v>
      </c>
      <c r="L820" t="n">
        <v>79.90171942800001</v>
      </c>
      <c r="M820" t="n">
        <v>70.67751783</v>
      </c>
      <c r="N820" t="n">
        <v>91.103300768</v>
      </c>
      <c r="O820" t="n">
        <v/>
      </c>
      <c r="P820" t="n">
        <v/>
      </c>
      <c r="Q820" t="n">
        <v>63.996963234</v>
      </c>
      <c r="R820" t="n">
        <v>83.31837143600001</v>
      </c>
      <c r="S820" t="n">
        <v>67.53106454</v>
      </c>
      <c r="T820" t="n">
        <v>75.663247259</v>
      </c>
      <c r="U820" t="n">
        <v/>
      </c>
      <c r="V820" t="n">
        <v>118.738668344</v>
      </c>
      <c r="W820" t="n">
        <v>46.934325606</v>
      </c>
      <c r="X820" t="n">
        <v/>
      </c>
      <c r="Y820" t="n">
        <v/>
      </c>
      <c r="Z820" t="n">
        <v>10.232964079</v>
      </c>
      <c r="AA820" t="n">
        <v/>
      </c>
      <c r="AB820" t="n">
        <v/>
      </c>
      <c r="AC820" t="n">
        <v>99.979279643</v>
      </c>
      <c r="AD820" t="n">
        <v>85.306774584</v>
      </c>
      <c r="AE820" t="n">
        <v/>
      </c>
      <c r="AF820" t="n">
        <v>63.579246441</v>
      </c>
      <c r="AG820" t="n">
        <v/>
      </c>
      <c r="AH820" t="n">
        <v>55.740474959</v>
      </c>
      <c r="AI820" t="n">
        <v>73.53847910899999</v>
      </c>
      <c r="AJ820" t="n">
        <v>74.01715326599999</v>
      </c>
      <c r="AK820" t="n">
        <v/>
      </c>
      <c r="AL820" t="n">
        <v>59.3049974</v>
      </c>
      <c r="AM820" t="n">
        <v>38.901963691</v>
      </c>
      <c r="AN820" t="n">
        <v>89.560461312</v>
      </c>
      <c r="AO820" t="n">
        <v/>
      </c>
      <c r="AP820" t="n">
        <v/>
      </c>
      <c r="AQ820" t="n">
        <v/>
      </c>
      <c r="AR820" t="n">
        <v>64.71299783000001</v>
      </c>
      <c r="AS820" t="n">
        <v>25.197900175</v>
      </c>
      <c r="AT820" t="n">
        <v>56.472328758</v>
      </c>
      <c r="AU820" t="n">
        <v/>
      </c>
    </row>
    <row r="821">
      <c r="A821" s="105" t="n">
        <v>31868</v>
      </c>
      <c r="B821" t="n">
        <v>41.812941819</v>
      </c>
      <c r="C821" t="n">
        <v>56.698059636</v>
      </c>
      <c r="D821" t="n">
        <v>80.66964125600001</v>
      </c>
      <c r="E821" t="n">
        <v>65.078194759</v>
      </c>
      <c r="F821" t="n">
        <v/>
      </c>
      <c r="G821" t="n">
        <v/>
      </c>
      <c r="H821" t="n">
        <v/>
      </c>
      <c r="I821" t="n">
        <v>41.809457698</v>
      </c>
      <c r="J821" t="n">
        <v/>
      </c>
      <c r="K821" t="n">
        <v>63.456209406</v>
      </c>
      <c r="L821" t="n">
        <v>79.90171942800001</v>
      </c>
      <c r="M821" t="n">
        <v>70.791821094</v>
      </c>
      <c r="N821" t="n">
        <v>91.356650544</v>
      </c>
      <c r="O821" t="n">
        <v/>
      </c>
      <c r="P821" t="n">
        <v/>
      </c>
      <c r="Q821" t="n">
        <v>62.284867354</v>
      </c>
      <c r="R821" t="n">
        <v>82.49343706499999</v>
      </c>
      <c r="S821" t="n">
        <v>67.72795096</v>
      </c>
      <c r="T821" t="n">
        <v>75.02652989000001</v>
      </c>
      <c r="U821" t="n">
        <v/>
      </c>
      <c r="V821" t="n">
        <v>119.949141546</v>
      </c>
      <c r="W821" t="n">
        <v>47.784423019</v>
      </c>
      <c r="X821" t="n">
        <v/>
      </c>
      <c r="Y821" t="n">
        <v/>
      </c>
      <c r="Z821" t="n">
        <v>10.795214852</v>
      </c>
      <c r="AA821" t="n">
        <v/>
      </c>
      <c r="AB821" t="n">
        <v/>
      </c>
      <c r="AC821" t="n">
        <v>101.867908302</v>
      </c>
      <c r="AD821" t="n">
        <v>84.633742832</v>
      </c>
      <c r="AE821" t="n">
        <v/>
      </c>
      <c r="AF821" t="n">
        <v>61.14913504</v>
      </c>
      <c r="AG821" t="n">
        <v/>
      </c>
      <c r="AH821" t="n">
        <v>57.041809005</v>
      </c>
      <c r="AI821" t="n">
        <v>70.002975306</v>
      </c>
      <c r="AJ821" t="n">
        <v>74.23581546200001</v>
      </c>
      <c r="AK821" t="n">
        <v/>
      </c>
      <c r="AL821" t="n">
        <v>59.55232346</v>
      </c>
      <c r="AM821" t="n">
        <v>38.789965372</v>
      </c>
      <c r="AN821" t="n">
        <v>92.24559829</v>
      </c>
      <c r="AO821" t="n">
        <v/>
      </c>
      <c r="AP821" t="n">
        <v/>
      </c>
      <c r="AQ821" t="n">
        <v/>
      </c>
      <c r="AR821" t="n">
        <v>65.057827303</v>
      </c>
      <c r="AS821" t="n">
        <v>26.197816849</v>
      </c>
      <c r="AT821" t="n">
        <v>56.835347875</v>
      </c>
      <c r="AU821" t="n">
        <v/>
      </c>
    </row>
    <row r="822">
      <c r="A822" s="105" t="n">
        <v>31898</v>
      </c>
      <c r="B822" t="n">
        <v>42.926177719</v>
      </c>
      <c r="C822" t="n">
        <v>57.05218983</v>
      </c>
      <c r="D822" t="n">
        <v>79.610650073</v>
      </c>
      <c r="E822" t="n">
        <v>65.12095649600001</v>
      </c>
      <c r="F822" t="n">
        <v/>
      </c>
      <c r="G822" t="n">
        <v/>
      </c>
      <c r="H822" t="n">
        <v/>
      </c>
      <c r="I822" t="n">
        <v>42.922600835</v>
      </c>
      <c r="J822" t="n">
        <v/>
      </c>
      <c r="K822" t="n">
        <v>64.382126859</v>
      </c>
      <c r="L822" t="n">
        <v>80.55486699799999</v>
      </c>
      <c r="M822" t="n">
        <v>71.696721928</v>
      </c>
      <c r="N822" t="n">
        <v>93.15471277</v>
      </c>
      <c r="O822" t="n">
        <v/>
      </c>
      <c r="P822" t="n">
        <v/>
      </c>
      <c r="Q822" t="n">
        <v>63.760812078</v>
      </c>
      <c r="R822" t="n">
        <v>83.226712061</v>
      </c>
      <c r="S822" t="n">
        <v>67.988512637</v>
      </c>
      <c r="T822" t="n">
        <v>76.40608418799999</v>
      </c>
      <c r="U822" t="n">
        <v/>
      </c>
      <c r="V822" t="n">
        <v>118.722915241</v>
      </c>
      <c r="W822" t="n">
        <v>46.128970162</v>
      </c>
      <c r="X822" t="n">
        <v/>
      </c>
      <c r="Y822" t="n">
        <v/>
      </c>
      <c r="Z822" t="n">
        <v>11.132565316</v>
      </c>
      <c r="AA822" t="n">
        <v/>
      </c>
      <c r="AB822" t="n">
        <v/>
      </c>
      <c r="AC822" t="n">
        <v>102.340065467</v>
      </c>
      <c r="AD822" t="n">
        <v>83.287679328</v>
      </c>
      <c r="AE822" t="n">
        <v/>
      </c>
      <c r="AF822" t="n">
        <v>62.675110834</v>
      </c>
      <c r="AG822" t="n">
        <v/>
      </c>
      <c r="AH822" t="n">
        <v>57.547883356</v>
      </c>
      <c r="AI822" t="n">
        <v>72.124277588</v>
      </c>
      <c r="AJ822" t="n">
        <v>76.094444126</v>
      </c>
      <c r="AK822" t="n">
        <v/>
      </c>
      <c r="AL822" t="n">
        <v>59.907819568</v>
      </c>
      <c r="AM822" t="n">
        <v>39.060958956</v>
      </c>
      <c r="AN822" t="n">
        <v>92.87901082400001</v>
      </c>
      <c r="AO822" t="n">
        <v/>
      </c>
      <c r="AP822" t="n">
        <v/>
      </c>
      <c r="AQ822" t="n">
        <v/>
      </c>
      <c r="AR822" t="n">
        <v>65.91990098700001</v>
      </c>
      <c r="AS822" t="n">
        <v>26.797766853</v>
      </c>
      <c r="AT822" t="n">
        <v>57.192020851</v>
      </c>
      <c r="AU822" t="n">
        <v/>
      </c>
    </row>
    <row r="823">
      <c r="A823" s="105" t="n">
        <v>31929</v>
      </c>
      <c r="B823" t="n">
        <v>41.888390646</v>
      </c>
      <c r="C823" t="n">
        <v>57.016961831</v>
      </c>
      <c r="D823" t="n">
        <v>74.869615092</v>
      </c>
      <c r="E823" t="n">
        <v>65.884558943</v>
      </c>
      <c r="F823" t="n">
        <v/>
      </c>
      <c r="G823" t="n">
        <v/>
      </c>
      <c r="H823" t="n">
        <v/>
      </c>
      <c r="I823" t="n">
        <v>41.884900238</v>
      </c>
      <c r="J823" t="n">
        <v/>
      </c>
      <c r="K823" t="n">
        <v>63.209298085</v>
      </c>
      <c r="L823" t="n">
        <v>79.030856001</v>
      </c>
      <c r="M823" t="n">
        <v>70.944225445</v>
      </c>
      <c r="N823" t="n">
        <v>92.973904171</v>
      </c>
      <c r="O823" t="n">
        <v/>
      </c>
      <c r="P823" t="n">
        <v/>
      </c>
      <c r="Q823" t="n">
        <v>62.580056299</v>
      </c>
      <c r="R823" t="n">
        <v>83.685008934</v>
      </c>
      <c r="S823" t="n">
        <v>68.400919407</v>
      </c>
      <c r="T823" t="n">
        <v>76.08772550400001</v>
      </c>
      <c r="U823" t="n">
        <v/>
      </c>
      <c r="V823" t="n">
        <v>116.478241443</v>
      </c>
      <c r="W823" t="n">
        <v>46.397421976</v>
      </c>
      <c r="X823" t="n">
        <v/>
      </c>
      <c r="Y823" t="n">
        <v/>
      </c>
      <c r="Z823" t="n">
        <v>10.795214852</v>
      </c>
      <c r="AA823" t="n">
        <v/>
      </c>
      <c r="AB823" t="n">
        <v/>
      </c>
      <c r="AC823" t="n">
        <v>100.805554681</v>
      </c>
      <c r="AD823" t="n">
        <v>86.400451182</v>
      </c>
      <c r="AE823" t="n">
        <v/>
      </c>
      <c r="AF823" t="n">
        <v>62.831336688</v>
      </c>
      <c r="AG823" t="n">
        <v/>
      </c>
      <c r="AH823" t="n">
        <v>57.547883356</v>
      </c>
      <c r="AI823" t="n">
        <v>70.710076067</v>
      </c>
      <c r="AJ823" t="n">
        <v>71.83053130899999</v>
      </c>
      <c r="AK823" t="n">
        <v/>
      </c>
      <c r="AL823" t="n">
        <v>60.159891558</v>
      </c>
      <c r="AM823" t="n">
        <v>39.078900542</v>
      </c>
      <c r="AN823" t="n">
        <v>92.889254881</v>
      </c>
      <c r="AO823" t="n">
        <v/>
      </c>
      <c r="AP823" t="n">
        <v/>
      </c>
      <c r="AQ823" t="n">
        <v/>
      </c>
      <c r="AR823" t="n">
        <v>65.51759993500001</v>
      </c>
      <c r="AS823" t="n">
        <v>27.497708524</v>
      </c>
      <c r="AT823" t="n">
        <v>57.499511231</v>
      </c>
      <c r="AU823" t="n">
        <v/>
      </c>
    </row>
    <row r="824">
      <c r="A824" s="105" t="n">
        <v>31959</v>
      </c>
      <c r="B824" t="n">
        <v>41.778014246</v>
      </c>
      <c r="C824" t="n">
        <v>56.374053349</v>
      </c>
      <c r="D824" t="n">
        <v>70.924294354</v>
      </c>
      <c r="E824" t="n">
        <v>66.600700561</v>
      </c>
      <c r="F824" t="n">
        <v/>
      </c>
      <c r="G824" t="n">
        <v/>
      </c>
      <c r="H824" t="n">
        <v/>
      </c>
      <c r="I824" t="n">
        <v>41.774533035</v>
      </c>
      <c r="J824" t="n">
        <v/>
      </c>
      <c r="K824" t="n">
        <v>62.468564124</v>
      </c>
      <c r="L824" t="n">
        <v>82.18773592399999</v>
      </c>
      <c r="M824" t="n">
        <v>71.22998360299999</v>
      </c>
      <c r="N824" t="n">
        <v>96.383464809</v>
      </c>
      <c r="O824" t="n">
        <v/>
      </c>
      <c r="P824" t="n">
        <v/>
      </c>
      <c r="Q824" t="n">
        <v>63.819849867</v>
      </c>
      <c r="R824" t="n">
        <v>82.676755814</v>
      </c>
      <c r="S824" t="n">
        <v>68.633999758</v>
      </c>
      <c r="T824" t="n">
        <v>77.46727980199999</v>
      </c>
      <c r="U824" t="n">
        <v/>
      </c>
      <c r="V824" t="n">
        <v>118.006395827</v>
      </c>
      <c r="W824" t="n">
        <v>47.113293482</v>
      </c>
      <c r="X824" t="n">
        <v/>
      </c>
      <c r="Y824" t="n">
        <v/>
      </c>
      <c r="Z824" t="n">
        <v>11.132565316</v>
      </c>
      <c r="AA824" t="n">
        <v/>
      </c>
      <c r="AB824" t="n">
        <v/>
      </c>
      <c r="AC824" t="n">
        <v>99.979279643</v>
      </c>
      <c r="AD824" t="n">
        <v>87.157611903</v>
      </c>
      <c r="AE824" t="n">
        <v/>
      </c>
      <c r="AF824" t="n">
        <v>64.59741198099999</v>
      </c>
      <c r="AG824" t="n">
        <v/>
      </c>
      <c r="AH824" t="n">
        <v>57.8370687</v>
      </c>
      <c r="AI824" t="n">
        <v>70.710076067</v>
      </c>
      <c r="AJ824" t="n">
        <v>75.219795343</v>
      </c>
      <c r="AK824" t="n">
        <v/>
      </c>
      <c r="AL824" t="n">
        <v>60.336546875</v>
      </c>
      <c r="AM824" t="n">
        <v>39.152007539</v>
      </c>
      <c r="AN824" t="n">
        <v>95.41959871100001</v>
      </c>
      <c r="AO824" t="n">
        <v/>
      </c>
      <c r="AP824" t="n">
        <v/>
      </c>
      <c r="AQ824" t="n">
        <v/>
      </c>
      <c r="AR824" t="n">
        <v>65.23024203999999</v>
      </c>
      <c r="AS824" t="n">
        <v>25.297891842</v>
      </c>
      <c r="AT824" t="n">
        <v>57.887716597</v>
      </c>
      <c r="AU824" t="n">
        <v/>
      </c>
    </row>
    <row r="825">
      <c r="A825" s="105" t="n">
        <v>31990</v>
      </c>
      <c r="B825" t="n">
        <v>42.445396004</v>
      </c>
      <c r="C825" t="n">
        <v>56.394106618</v>
      </c>
      <c r="D825" t="n">
        <v>71.966377967</v>
      </c>
      <c r="E825" t="n">
        <v>67.353025187</v>
      </c>
      <c r="F825" t="n">
        <v/>
      </c>
      <c r="G825" t="n">
        <v/>
      </c>
      <c r="H825" t="n">
        <v/>
      </c>
      <c r="I825" t="n">
        <v>42.441859182</v>
      </c>
      <c r="J825" t="n">
        <v/>
      </c>
      <c r="K825" t="n">
        <v>63.826576387</v>
      </c>
      <c r="L825" t="n">
        <v>82.623167638</v>
      </c>
      <c r="M825" t="n">
        <v>71.268084691</v>
      </c>
      <c r="N825" t="n">
        <v>90.51562721000001</v>
      </c>
      <c r="O825" t="n">
        <v/>
      </c>
      <c r="P825" t="n">
        <v/>
      </c>
      <c r="Q825" t="n">
        <v>64.05600102299999</v>
      </c>
      <c r="R825" t="n">
        <v>82.676755814</v>
      </c>
      <c r="S825" t="n">
        <v>69.04552612800001</v>
      </c>
      <c r="T825" t="n">
        <v>77.255040679</v>
      </c>
      <c r="U825" t="n">
        <v/>
      </c>
      <c r="V825" t="n">
        <v>117.43282043</v>
      </c>
      <c r="W825" t="n">
        <v>44.69722715</v>
      </c>
      <c r="X825" t="n">
        <v/>
      </c>
      <c r="Y825" t="n">
        <v/>
      </c>
      <c r="Z825" t="n">
        <v>11.559875904</v>
      </c>
      <c r="AA825" t="n">
        <v/>
      </c>
      <c r="AB825" t="n">
        <v/>
      </c>
      <c r="AC825" t="n">
        <v>99.74320106099999</v>
      </c>
      <c r="AD825" t="n">
        <v>87.157611903</v>
      </c>
      <c r="AE825" t="n">
        <v/>
      </c>
      <c r="AF825" t="n">
        <v>57.737132187</v>
      </c>
      <c r="AG825" t="n">
        <v/>
      </c>
      <c r="AH825" t="n">
        <v>58.126254043</v>
      </c>
      <c r="AI825" t="n">
        <v>70.710076067</v>
      </c>
      <c r="AJ825" t="n">
        <v>67.894611785</v>
      </c>
      <c r="AK825" t="n">
        <v/>
      </c>
      <c r="AL825" t="n">
        <v>60.651342846</v>
      </c>
      <c r="AM825" t="n">
        <v>39.107974272</v>
      </c>
      <c r="AN825" t="n">
        <v>90.29824951400001</v>
      </c>
      <c r="AO825" t="n">
        <v/>
      </c>
      <c r="AP825" t="n">
        <v/>
      </c>
      <c r="AQ825" t="n">
        <v/>
      </c>
      <c r="AR825" t="n">
        <v>67.758991511</v>
      </c>
      <c r="AS825" t="n">
        <v>27.997666861</v>
      </c>
      <c r="AT825" t="n">
        <v>58.322129805</v>
      </c>
      <c r="AU825" t="n">
        <v/>
      </c>
    </row>
    <row r="826">
      <c r="A826" s="105" t="n">
        <v>32021</v>
      </c>
      <c r="B826" t="n">
        <v>41.606883043</v>
      </c>
      <c r="C826" t="n">
        <v>56.856285988</v>
      </c>
      <c r="D826" t="n">
        <v>73.91590607400001</v>
      </c>
      <c r="E826" t="n">
        <v>67.723313635</v>
      </c>
      <c r="F826" t="n">
        <v/>
      </c>
      <c r="G826" t="n">
        <v/>
      </c>
      <c r="H826" t="n">
        <v/>
      </c>
      <c r="I826" t="n">
        <v>41.603416092</v>
      </c>
      <c r="J826" t="n">
        <v/>
      </c>
      <c r="K826" t="n">
        <v>63.024114595</v>
      </c>
      <c r="L826" t="n">
        <v>80.337151142</v>
      </c>
      <c r="M826" t="n">
        <v>71.334761594</v>
      </c>
      <c r="N826" t="n">
        <v>93.95065274700001</v>
      </c>
      <c r="O826" t="n">
        <v/>
      </c>
      <c r="P826" t="n">
        <v/>
      </c>
      <c r="Q826" t="n">
        <v>63.288509767</v>
      </c>
      <c r="R826" t="n">
        <v>83.868327683</v>
      </c>
      <c r="S826" t="n">
        <v>69.31901656700001</v>
      </c>
      <c r="T826" t="n">
        <v>76.724442872</v>
      </c>
      <c r="U826" t="n">
        <v/>
      </c>
      <c r="V826" t="n">
        <v>121.467763387</v>
      </c>
      <c r="W826" t="n">
        <v>47.24751939</v>
      </c>
      <c r="X826" t="n">
        <v/>
      </c>
      <c r="Y826" t="n">
        <v/>
      </c>
      <c r="Z826" t="n">
        <v>11.200035409</v>
      </c>
      <c r="AA826" t="n">
        <v/>
      </c>
      <c r="AB826" t="n">
        <v/>
      </c>
      <c r="AC826" t="n">
        <v>100.451436808</v>
      </c>
      <c r="AD826" t="n">
        <v>88.503675407</v>
      </c>
      <c r="AE826" t="n">
        <v/>
      </c>
      <c r="AF826" t="n">
        <v>63.468931172</v>
      </c>
      <c r="AG826" t="n">
        <v/>
      </c>
      <c r="AH826" t="n">
        <v>59.138402746</v>
      </c>
      <c r="AI826" t="n">
        <v>69.295874545</v>
      </c>
      <c r="AJ826" t="n">
        <v>75.985113028</v>
      </c>
      <c r="AK826" t="n">
        <v/>
      </c>
      <c r="AL826" t="n">
        <v>60.932251871</v>
      </c>
      <c r="AM826" t="n">
        <v>38.188796973</v>
      </c>
      <c r="AN826" t="n">
        <v>92.949914675</v>
      </c>
      <c r="AO826" t="n">
        <v/>
      </c>
      <c r="AP826" t="n">
        <v/>
      </c>
      <c r="AQ826" t="n">
        <v/>
      </c>
      <c r="AR826" t="n">
        <v>67.126804143</v>
      </c>
      <c r="AS826" t="n">
        <v>26.997750187</v>
      </c>
      <c r="AT826" t="n">
        <v>58.542261583</v>
      </c>
      <c r="AU826" t="n">
        <v/>
      </c>
    </row>
    <row r="827">
      <c r="A827" s="105" t="n">
        <v>32051</v>
      </c>
      <c r="B827" t="n">
        <v>42.502296206</v>
      </c>
      <c r="C827" t="n">
        <v>57.641723918</v>
      </c>
      <c r="D827" t="n">
        <v>74.418733962</v>
      </c>
      <c r="E827" t="n">
        <v>68.414550066</v>
      </c>
      <c r="F827" t="n">
        <v/>
      </c>
      <c r="G827" t="n">
        <v/>
      </c>
      <c r="H827" t="n">
        <v/>
      </c>
      <c r="I827" t="n">
        <v>42.498754643</v>
      </c>
      <c r="J827" t="n">
        <v/>
      </c>
      <c r="K827" t="n">
        <v>64.01175987800001</v>
      </c>
      <c r="L827" t="n">
        <v>68.036205235</v>
      </c>
      <c r="M827" t="n">
        <v>71.85865155099999</v>
      </c>
      <c r="N827" t="n">
        <v>93.506601938</v>
      </c>
      <c r="O827" t="n">
        <v/>
      </c>
      <c r="P827" t="n">
        <v/>
      </c>
      <c r="Q827" t="n">
        <v>62.875245244</v>
      </c>
      <c r="R827" t="n">
        <v>84.41828393</v>
      </c>
      <c r="S827" t="n">
        <v>70.333658927</v>
      </c>
      <c r="T827" t="n">
        <v>77.679518925</v>
      </c>
      <c r="U827" t="n">
        <v/>
      </c>
      <c r="V827" t="n">
        <v>120.167235905</v>
      </c>
      <c r="W827" t="n">
        <v>47.73968105</v>
      </c>
      <c r="X827" t="n">
        <v/>
      </c>
      <c r="Y827" t="n">
        <v/>
      </c>
      <c r="Z827" t="n">
        <v>11.200035409</v>
      </c>
      <c r="AA827" t="n">
        <v/>
      </c>
      <c r="AB827" t="n">
        <v/>
      </c>
      <c r="AC827" t="n">
        <v>103.048301214</v>
      </c>
      <c r="AD827" t="n">
        <v>89.93386787999999</v>
      </c>
      <c r="AE827" t="n">
        <v/>
      </c>
      <c r="AF827" t="n">
        <v>65.55121368899999</v>
      </c>
      <c r="AG827" t="n">
        <v/>
      </c>
      <c r="AH827" t="n">
        <v>58.921513738</v>
      </c>
      <c r="AI827" t="n">
        <v>71.41717682700001</v>
      </c>
      <c r="AJ827" t="n">
        <v>76.313106322</v>
      </c>
      <c r="AK827" t="n">
        <v/>
      </c>
      <c r="AL827" t="n">
        <v>61.688265306</v>
      </c>
      <c r="AM827" t="n">
        <v>38.408870776</v>
      </c>
      <c r="AN827" t="n">
        <v>92.11094797299999</v>
      </c>
      <c r="AO827" t="n">
        <v/>
      </c>
      <c r="AP827" t="n">
        <v/>
      </c>
      <c r="AQ827" t="n">
        <v/>
      </c>
      <c r="AR827" t="n">
        <v>67.29921888</v>
      </c>
      <c r="AS827" t="n">
        <v>27.997666861</v>
      </c>
      <c r="AT827" t="n">
        <v>59.330472171</v>
      </c>
      <c r="AU827" t="n">
        <v/>
      </c>
    </row>
    <row r="828">
      <c r="A828" s="105" t="n">
        <v>32082</v>
      </c>
      <c r="B828" t="n">
        <v>42.831279773</v>
      </c>
      <c r="C828" t="n">
        <v>56.924810789</v>
      </c>
      <c r="D828" t="n">
        <v>76.796341234</v>
      </c>
      <c r="E828" t="n">
        <v>68.973272103</v>
      </c>
      <c r="F828" t="n">
        <v/>
      </c>
      <c r="G828" t="n">
        <v/>
      </c>
      <c r="H828" t="n">
        <v/>
      </c>
      <c r="I828" t="n">
        <v>42.827710797</v>
      </c>
      <c r="J828" t="n">
        <v/>
      </c>
      <c r="K828" t="n">
        <v>64.382126859</v>
      </c>
      <c r="L828" t="n">
        <v>69.669074161</v>
      </c>
      <c r="M828" t="n">
        <v>72.14440971000001</v>
      </c>
      <c r="N828" t="n">
        <v>94.039350832</v>
      </c>
      <c r="O828" t="n">
        <v/>
      </c>
      <c r="P828" t="n">
        <v/>
      </c>
      <c r="Q828" t="n">
        <v>62.461980721</v>
      </c>
      <c r="R828" t="n">
        <v>84.41828393</v>
      </c>
      <c r="S828" t="n">
        <v>70.575330042</v>
      </c>
      <c r="T828" t="n">
        <v>77.57339936299999</v>
      </c>
      <c r="U828" t="n">
        <v/>
      </c>
      <c r="V828" t="n">
        <v>121.073913722</v>
      </c>
      <c r="W828" t="n">
        <v>47.292261359</v>
      </c>
      <c r="X828" t="n">
        <v/>
      </c>
      <c r="Y828" t="n">
        <v/>
      </c>
      <c r="Z828" t="n">
        <v>11.402445688</v>
      </c>
      <c r="AA828" t="n">
        <v/>
      </c>
      <c r="AB828" t="n">
        <v/>
      </c>
      <c r="AC828" t="n">
        <v>102.576144049</v>
      </c>
      <c r="AD828" t="n">
        <v>90.270383757</v>
      </c>
      <c r="AE828" t="n">
        <v/>
      </c>
      <c r="AF828" t="n">
        <v>60.105976126</v>
      </c>
      <c r="AG828" t="n">
        <v/>
      </c>
      <c r="AH828" t="n">
        <v>59.06610641</v>
      </c>
      <c r="AI828" t="n">
        <v>72.831378349</v>
      </c>
      <c r="AJ828" t="n">
        <v>75.65711973400001</v>
      </c>
      <c r="AK828" t="n">
        <v/>
      </c>
      <c r="AL828" t="n">
        <v>61.969925661</v>
      </c>
      <c r="AM828" t="n">
        <v>38.791897538</v>
      </c>
      <c r="AN828" t="n">
        <v>92.763793221</v>
      </c>
      <c r="AO828" t="n">
        <v/>
      </c>
      <c r="AP828" t="n">
        <v/>
      </c>
      <c r="AQ828" t="n">
        <v/>
      </c>
      <c r="AR828" t="n">
        <v>68.161292563</v>
      </c>
      <c r="AS828" t="n">
        <v>29.197566869</v>
      </c>
      <c r="AT828" t="n">
        <v>59.630624826</v>
      </c>
      <c r="AU828" t="n">
        <v/>
      </c>
    </row>
    <row r="829">
      <c r="A829" s="105" t="n">
        <v>32112</v>
      </c>
      <c r="B829" t="n">
        <v>42.640702586</v>
      </c>
      <c r="C829" t="n">
        <v>57.21676478</v>
      </c>
      <c r="D829" t="n">
        <v>74.442671495</v>
      </c>
      <c r="E829" t="n">
        <v>69.662158987</v>
      </c>
      <c r="F829" t="n">
        <v/>
      </c>
      <c r="G829" t="n">
        <v/>
      </c>
      <c r="H829" t="n">
        <v/>
      </c>
      <c r="I829" t="n">
        <v>42.63714949</v>
      </c>
      <c r="J829" t="n">
        <v/>
      </c>
      <c r="K829" t="n">
        <v>64.44385468900001</v>
      </c>
      <c r="L829" t="n">
        <v>72.28166444199999</v>
      </c>
      <c r="M829" t="n">
        <v>71.963429543</v>
      </c>
      <c r="N829" t="n">
        <v>93.26075168600001</v>
      </c>
      <c r="O829" t="n">
        <v/>
      </c>
      <c r="P829" t="n">
        <v/>
      </c>
      <c r="Q829" t="n">
        <v>63.760812078</v>
      </c>
      <c r="R829" t="n">
        <v>85.609855799</v>
      </c>
      <c r="S829" t="n">
        <v>70.955055942</v>
      </c>
      <c r="T829" t="n">
        <v>78.210116732</v>
      </c>
      <c r="U829" t="n">
        <v/>
      </c>
      <c r="V829" t="n">
        <v>124.043728829</v>
      </c>
      <c r="W829" t="n">
        <v>47.337003328</v>
      </c>
      <c r="X829" t="n">
        <v/>
      </c>
      <c r="Y829" t="n">
        <v/>
      </c>
      <c r="Z829" t="n">
        <v>10.75023479</v>
      </c>
      <c r="AA829" t="n">
        <v/>
      </c>
      <c r="AB829" t="n">
        <v/>
      </c>
      <c r="AC829" t="n">
        <v>101.041633264</v>
      </c>
      <c r="AD829" t="n">
        <v>91.279931385</v>
      </c>
      <c r="AE829" t="n">
        <v/>
      </c>
      <c r="AF829" t="n">
        <v>66.524057478</v>
      </c>
      <c r="AG829" t="n">
        <v/>
      </c>
      <c r="AH829" t="n">
        <v>59.06610641</v>
      </c>
      <c r="AI829" t="n">
        <v>70.710076067</v>
      </c>
      <c r="AJ829" t="n">
        <v>75.87578193</v>
      </c>
      <c r="AK829" t="n">
        <v/>
      </c>
      <c r="AL829" t="n">
        <v>62.219179243</v>
      </c>
      <c r="AM829" t="n">
        <v>39.555720689</v>
      </c>
      <c r="AN829" t="n">
        <v>96.00463350699999</v>
      </c>
      <c r="AO829" t="n">
        <v/>
      </c>
      <c r="AP829" t="n">
        <v/>
      </c>
      <c r="AQ829" t="n">
        <v/>
      </c>
      <c r="AR829" t="n">
        <v>68.39117887899999</v>
      </c>
      <c r="AS829" t="n">
        <v>28.897591867</v>
      </c>
      <c r="AT829" t="n">
        <v>59.964987148</v>
      </c>
      <c r="AU829" t="n">
        <v/>
      </c>
    </row>
    <row r="830">
      <c r="A830" s="105" t="n">
        <v>32143</v>
      </c>
      <c r="B830" t="n">
        <v>43.266597555</v>
      </c>
      <c r="C830" t="n">
        <v>58.939271162</v>
      </c>
      <c r="D830" t="n">
        <v>74.60337056199999</v>
      </c>
      <c r="E830" t="n">
        <v>70.22276066000001</v>
      </c>
      <c r="F830" t="n">
        <v/>
      </c>
      <c r="G830" t="n">
        <v/>
      </c>
      <c r="H830" t="n">
        <v/>
      </c>
      <c r="I830" t="n">
        <v>43.262992305</v>
      </c>
      <c r="J830" t="n">
        <v/>
      </c>
      <c r="K830" t="n">
        <v>64.135215538</v>
      </c>
      <c r="L830" t="n">
        <v>83.058599351</v>
      </c>
      <c r="M830" t="n">
        <v>71.82055046399999</v>
      </c>
      <c r="N830" t="n">
        <v>91.68231593900001</v>
      </c>
      <c r="O830" t="n">
        <v/>
      </c>
      <c r="P830" t="n">
        <v/>
      </c>
      <c r="Q830" t="n">
        <v>64.941567858</v>
      </c>
      <c r="R830" t="n">
        <v>85.518196424</v>
      </c>
      <c r="S830" t="n">
        <v>71.291669242</v>
      </c>
      <c r="T830" t="n">
        <v>78.952953661</v>
      </c>
      <c r="U830" t="n">
        <v/>
      </c>
      <c r="V830" t="n">
        <v>126.156484388</v>
      </c>
      <c r="W830" t="n">
        <v>44.070839582</v>
      </c>
      <c r="X830" t="n">
        <v/>
      </c>
      <c r="Y830" t="n">
        <v/>
      </c>
      <c r="Z830" t="n">
        <v>11.739796152</v>
      </c>
      <c r="AA830" t="n">
        <v/>
      </c>
      <c r="AB830" t="n">
        <v/>
      </c>
      <c r="AC830" t="n">
        <v>105.999283494</v>
      </c>
      <c r="AD830" t="n">
        <v>91.57341271999999</v>
      </c>
      <c r="AE830" t="n">
        <v/>
      </c>
      <c r="AF830" t="n">
        <v>66.086942089</v>
      </c>
      <c r="AG830" t="n">
        <v/>
      </c>
      <c r="AH830" t="n">
        <v>58.415439387</v>
      </c>
      <c r="AI830" t="n">
        <v>68.588773785</v>
      </c>
      <c r="AJ830" t="n">
        <v>76.094444126</v>
      </c>
      <c r="AK830" t="n">
        <v/>
      </c>
      <c r="AL830" t="n">
        <v>62.477595496</v>
      </c>
      <c r="AM830" t="n">
        <v>39.842247696</v>
      </c>
      <c r="AN830" t="n">
        <v>96.317648504</v>
      </c>
      <c r="AO830" t="n">
        <v/>
      </c>
      <c r="AP830" t="n">
        <v/>
      </c>
      <c r="AQ830" t="n">
        <v/>
      </c>
      <c r="AR830" t="n">
        <v>65.575071513</v>
      </c>
      <c r="AS830" t="n">
        <v>29.597533539</v>
      </c>
      <c r="AT830" t="n">
        <v>59.950609172</v>
      </c>
      <c r="AU830" t="n">
        <v/>
      </c>
    </row>
    <row r="831">
      <c r="A831" s="105" t="n">
        <v>32174</v>
      </c>
      <c r="B831" t="n">
        <v>42.575975768</v>
      </c>
      <c r="C831" t="n">
        <v>58.11119868</v>
      </c>
      <c r="D831" t="n">
        <v>74.70794795400001</v>
      </c>
      <c r="E831" t="n">
        <v>70.432810072</v>
      </c>
      <c r="F831" t="n">
        <v/>
      </c>
      <c r="G831" t="n">
        <v/>
      </c>
      <c r="H831" t="n">
        <v/>
      </c>
      <c r="I831" t="n">
        <v>42.572428066</v>
      </c>
      <c r="J831" t="n">
        <v/>
      </c>
      <c r="K831" t="n">
        <v>64.62903817900001</v>
      </c>
      <c r="L831" t="n">
        <v>80.663724927</v>
      </c>
      <c r="M831" t="n">
        <v>72.534945859</v>
      </c>
      <c r="N831" t="n">
        <v>93.889641047</v>
      </c>
      <c r="O831" t="n">
        <v/>
      </c>
      <c r="P831" t="n">
        <v/>
      </c>
      <c r="Q831" t="n">
        <v>64.882530069</v>
      </c>
      <c r="R831" t="n">
        <v>86.801427667</v>
      </c>
      <c r="S831" t="n">
        <v>71.89591671399999</v>
      </c>
      <c r="T831" t="n">
        <v>77.997877609</v>
      </c>
      <c r="U831" t="n">
        <v/>
      </c>
      <c r="V831" t="n">
        <v>125.241572174</v>
      </c>
      <c r="W831" t="n">
        <v>47.068551513</v>
      </c>
      <c r="X831" t="n">
        <v/>
      </c>
      <c r="Y831" t="n">
        <v/>
      </c>
      <c r="Z831" t="n">
        <v>11.44742575</v>
      </c>
      <c r="AA831" t="n">
        <v/>
      </c>
      <c r="AB831" t="n">
        <v/>
      </c>
      <c r="AC831" t="n">
        <v>104.582812</v>
      </c>
      <c r="AD831" t="n">
        <v>94.51430858800001</v>
      </c>
      <c r="AE831" t="n">
        <v/>
      </c>
      <c r="AF831" t="n">
        <v>65.822794188</v>
      </c>
      <c r="AG831" t="n">
        <v/>
      </c>
      <c r="AH831" t="n">
        <v>58.053957707</v>
      </c>
      <c r="AI831" t="n">
        <v>69.295874545</v>
      </c>
      <c r="AJ831" t="n">
        <v>76.641099615</v>
      </c>
      <c r="AK831" t="n">
        <v/>
      </c>
      <c r="AL831" t="n">
        <v>62.893544727</v>
      </c>
      <c r="AM831" t="n">
        <v>40.959622437</v>
      </c>
      <c r="AN831" t="n">
        <v>96.063307657</v>
      </c>
      <c r="AO831" t="n">
        <v/>
      </c>
      <c r="AP831" t="n">
        <v/>
      </c>
      <c r="AQ831" t="n">
        <v/>
      </c>
      <c r="AR831" t="n">
        <v>64.425639936</v>
      </c>
      <c r="AS831" t="n">
        <v>29.397550204</v>
      </c>
      <c r="AT831" t="n">
        <v>60.252943312</v>
      </c>
      <c r="AU831" t="n">
        <v/>
      </c>
    </row>
    <row r="832">
      <c r="A832" s="105" t="n">
        <v>32203</v>
      </c>
      <c r="B832" t="n">
        <v>42.385876623</v>
      </c>
      <c r="C832" t="n">
        <v>58.041141732</v>
      </c>
      <c r="D832" t="n">
        <v>78.609688918</v>
      </c>
      <c r="E832" t="n">
        <v>71.022546116</v>
      </c>
      <c r="F832" t="n">
        <v/>
      </c>
      <c r="G832" t="n">
        <v/>
      </c>
      <c r="H832" t="n">
        <v/>
      </c>
      <c r="I832" t="n">
        <v>42.382344761</v>
      </c>
      <c r="J832" t="n">
        <v/>
      </c>
      <c r="K832" t="n">
        <v>64.320399028</v>
      </c>
      <c r="L832" t="n">
        <v>81.643446282</v>
      </c>
      <c r="M832" t="n">
        <v>73.46842251</v>
      </c>
      <c r="N832" t="n">
        <v>97.73331394500001</v>
      </c>
      <c r="O832" t="n">
        <v/>
      </c>
      <c r="P832" t="n">
        <v/>
      </c>
      <c r="Q832" t="n">
        <v>63.524660923</v>
      </c>
      <c r="R832" t="n">
        <v>86.893087042</v>
      </c>
      <c r="S832" t="n">
        <v>71.82677140200001</v>
      </c>
      <c r="T832" t="n">
        <v>79.271312345</v>
      </c>
      <c r="U832" t="n">
        <v/>
      </c>
      <c r="V832" t="n">
        <v>127.197550146</v>
      </c>
      <c r="W832" t="n">
        <v>46.800099698</v>
      </c>
      <c r="X832" t="n">
        <v/>
      </c>
      <c r="Y832" t="n">
        <v/>
      </c>
      <c r="Z832" t="n">
        <v>11.492405811</v>
      </c>
      <c r="AA832" t="n">
        <v/>
      </c>
      <c r="AB832" t="n">
        <v/>
      </c>
      <c r="AC832" t="n">
        <v>105.999283494</v>
      </c>
      <c r="AD832" t="n">
        <v>92.688924946</v>
      </c>
      <c r="AE832" t="n">
        <v/>
      </c>
      <c r="AF832" t="n">
        <v>65.837258021</v>
      </c>
      <c r="AG832" t="n">
        <v/>
      </c>
      <c r="AH832" t="n">
        <v>57.909365036</v>
      </c>
      <c r="AI832" t="n">
        <v>70.002975306</v>
      </c>
      <c r="AJ832" t="n">
        <v>76.094444126</v>
      </c>
      <c r="AK832" t="n">
        <v/>
      </c>
      <c r="AL832" t="n">
        <v>62.855157557</v>
      </c>
      <c r="AM832" t="n">
        <v>40.986743002</v>
      </c>
      <c r="AN832" t="n">
        <v>91.548688942</v>
      </c>
      <c r="AO832" t="n">
        <v/>
      </c>
      <c r="AP832" t="n">
        <v/>
      </c>
      <c r="AQ832" t="n">
        <v/>
      </c>
      <c r="AR832" t="n">
        <v>66.03484414499999</v>
      </c>
      <c r="AS832" t="n">
        <v>27.997666861</v>
      </c>
      <c r="AT832" t="n">
        <v>60.382345101</v>
      </c>
      <c r="AU832" t="n">
        <v/>
      </c>
    </row>
    <row r="833">
      <c r="A833" s="105" t="n">
        <v>32234</v>
      </c>
      <c r="B833" t="n">
        <v>43.659310235</v>
      </c>
      <c r="C833" t="n">
        <v>59.632709873</v>
      </c>
      <c r="D833" t="n">
        <v>75.311242131</v>
      </c>
      <c r="E833" t="n">
        <v>70.894730814</v>
      </c>
      <c r="F833" t="n">
        <v/>
      </c>
      <c r="G833" t="n">
        <v/>
      </c>
      <c r="H833" t="n">
        <v/>
      </c>
      <c r="I833" t="n">
        <v>43.655672262</v>
      </c>
      <c r="J833" t="n">
        <v/>
      </c>
      <c r="K833" t="n">
        <v>64.752493839</v>
      </c>
      <c r="L833" t="n">
        <v>78.921998073</v>
      </c>
      <c r="M833" t="n">
        <v>72.36349096399999</v>
      </c>
      <c r="N833" t="n">
        <v>93.595400271</v>
      </c>
      <c r="O833" t="n">
        <v/>
      </c>
      <c r="P833" t="n">
        <v/>
      </c>
      <c r="Q833" t="n">
        <v>65.53194574699999</v>
      </c>
      <c r="R833" t="n">
        <v>85.609855799</v>
      </c>
      <c r="S833" t="n">
        <v>72.25477985400001</v>
      </c>
      <c r="T833" t="n">
        <v>78.63459497700001</v>
      </c>
      <c r="U833" t="n">
        <v/>
      </c>
      <c r="V833" t="n">
        <v>123.367736422</v>
      </c>
      <c r="W833" t="n">
        <v>45.636808501</v>
      </c>
      <c r="X833" t="n">
        <v/>
      </c>
      <c r="Y833" t="n">
        <v/>
      </c>
      <c r="Z833" t="n">
        <v>11.627345997</v>
      </c>
      <c r="AA833" t="n">
        <v/>
      </c>
      <c r="AB833" t="n">
        <v/>
      </c>
      <c r="AC833" t="n">
        <v>105.291047747</v>
      </c>
      <c r="AD833" t="n">
        <v>94.919949398</v>
      </c>
      <c r="AE833" t="n">
        <v/>
      </c>
      <c r="AF833" t="n">
        <v>65.564331337</v>
      </c>
      <c r="AG833" t="n">
        <v/>
      </c>
      <c r="AH833" t="n">
        <v>57.909365036</v>
      </c>
      <c r="AI833" t="n">
        <v>68.588773785</v>
      </c>
      <c r="AJ833" t="n">
        <v>77.734410594</v>
      </c>
      <c r="AK833" t="n">
        <v/>
      </c>
      <c r="AL833" t="n">
        <v>63.139460315</v>
      </c>
      <c r="AM833" t="n">
        <v>40.094769642</v>
      </c>
      <c r="AN833" t="n">
        <v>95.095904234</v>
      </c>
      <c r="AO833" t="n">
        <v/>
      </c>
      <c r="AP833" t="n">
        <v/>
      </c>
      <c r="AQ833" t="n">
        <v/>
      </c>
      <c r="AR833" t="n">
        <v>67.701519932</v>
      </c>
      <c r="AS833" t="n">
        <v>28.497625198</v>
      </c>
      <c r="AT833" t="n">
        <v>60.732076985</v>
      </c>
      <c r="AU833" t="n">
        <v/>
      </c>
    </row>
    <row r="834">
      <c r="A834" s="105" t="n">
        <v>32264</v>
      </c>
      <c r="B834" t="n">
        <v>43.97698937</v>
      </c>
      <c r="C834" t="n">
        <v>59.587396173</v>
      </c>
      <c r="D834" t="n">
        <v>73.919379932</v>
      </c>
      <c r="E834" t="n">
        <v>71.40834156699999</v>
      </c>
      <c r="F834" t="n">
        <v/>
      </c>
      <c r="G834" t="n">
        <v/>
      </c>
      <c r="H834" t="n">
        <v/>
      </c>
      <c r="I834" t="n">
        <v>43.973324926</v>
      </c>
      <c r="J834" t="n">
        <v/>
      </c>
      <c r="K834" t="n">
        <v>64.752493839</v>
      </c>
      <c r="L834" t="n">
        <v>79.90171942800001</v>
      </c>
      <c r="M834" t="n">
        <v>73.48747305400001</v>
      </c>
      <c r="N834" t="n">
        <v>95.180704984</v>
      </c>
      <c r="O834" t="n">
        <v/>
      </c>
      <c r="P834" t="n">
        <v/>
      </c>
      <c r="Q834" t="n">
        <v>64.82349228</v>
      </c>
      <c r="R834" t="n">
        <v>86.709768293</v>
      </c>
      <c r="S834" t="n">
        <v>72.20589508099999</v>
      </c>
      <c r="T834" t="n">
        <v>79.483551468</v>
      </c>
      <c r="U834" t="n">
        <v/>
      </c>
      <c r="V834" t="n">
        <v>124.900919845</v>
      </c>
      <c r="W834" t="n">
        <v>45.994744254</v>
      </c>
      <c r="X834" t="n">
        <v/>
      </c>
      <c r="Y834" t="n">
        <v/>
      </c>
      <c r="Z834" t="n">
        <v>11.649836028</v>
      </c>
      <c r="AA834" t="n">
        <v/>
      </c>
      <c r="AB834" t="n">
        <v/>
      </c>
      <c r="AC834" t="n">
        <v>105.763204912</v>
      </c>
      <c r="AD834" t="n">
        <v>93.905847374</v>
      </c>
      <c r="AE834" t="n">
        <v/>
      </c>
      <c r="AF834" t="n">
        <v>67.911730629</v>
      </c>
      <c r="AG834" t="n">
        <v/>
      </c>
      <c r="AH834" t="n">
        <v>57.764772364</v>
      </c>
      <c r="AI834" t="n">
        <v>70.710076067</v>
      </c>
      <c r="AJ834" t="n">
        <v>75.001133147</v>
      </c>
      <c r="AK834" t="n">
        <v/>
      </c>
      <c r="AL834" t="n">
        <v>63.153442694</v>
      </c>
      <c r="AM834" t="n">
        <v>42.117672134</v>
      </c>
      <c r="AN834" t="n">
        <v>97.595975909</v>
      </c>
      <c r="AO834" t="n">
        <v/>
      </c>
      <c r="AP834" t="n">
        <v/>
      </c>
      <c r="AQ834" t="n">
        <v/>
      </c>
      <c r="AR834" t="n">
        <v>68.046349406</v>
      </c>
      <c r="AS834" t="n">
        <v>28.197650196</v>
      </c>
      <c r="AT834" t="n">
        <v>60.620821194</v>
      </c>
      <c r="AU834" t="n">
        <v/>
      </c>
    </row>
    <row r="835">
      <c r="A835" s="105" t="n">
        <v>32295</v>
      </c>
      <c r="B835" t="n">
        <v>43.328623846</v>
      </c>
      <c r="C835" t="n">
        <v>59.333596055</v>
      </c>
      <c r="D835" t="n">
        <v>76.079820121</v>
      </c>
      <c r="E835" t="n">
        <v>71.021136388</v>
      </c>
      <c r="F835" t="n">
        <v/>
      </c>
      <c r="G835" t="n">
        <v/>
      </c>
      <c r="H835" t="n">
        <v/>
      </c>
      <c r="I835" t="n">
        <v>43.325013428</v>
      </c>
      <c r="J835" t="n">
        <v/>
      </c>
      <c r="K835" t="n">
        <v>65.92532261300001</v>
      </c>
      <c r="L835" t="n">
        <v>80.55486699799999</v>
      </c>
      <c r="M835" t="n">
        <v>73.535099414</v>
      </c>
      <c r="N835" t="n">
        <v>94.620164445</v>
      </c>
      <c r="O835" t="n">
        <v/>
      </c>
      <c r="P835" t="n">
        <v/>
      </c>
      <c r="Q835" t="n">
        <v>65.768096903</v>
      </c>
      <c r="R835" t="n">
        <v>87.25972453999999</v>
      </c>
      <c r="S835" t="n">
        <v>72.59384075200001</v>
      </c>
      <c r="T835" t="n">
        <v>79.801910152</v>
      </c>
      <c r="U835" t="n">
        <v/>
      </c>
      <c r="V835" t="n">
        <v>127.034049365</v>
      </c>
      <c r="W835" t="n">
        <v>46.621131822</v>
      </c>
      <c r="X835" t="n">
        <v/>
      </c>
      <c r="Y835" t="n">
        <v/>
      </c>
      <c r="Z835" t="n">
        <v>12.122126678</v>
      </c>
      <c r="AA835" t="n">
        <v/>
      </c>
      <c r="AB835" t="n">
        <v/>
      </c>
      <c r="AC835" t="n">
        <v>106.825558532</v>
      </c>
      <c r="AD835" t="n">
        <v>94.210077981</v>
      </c>
      <c r="AE835" t="n">
        <v/>
      </c>
      <c r="AF835" t="n">
        <v>68.39538167000001</v>
      </c>
      <c r="AG835" t="n">
        <v/>
      </c>
      <c r="AH835" t="n">
        <v>58.632328394</v>
      </c>
      <c r="AI835" t="n">
        <v>72.124277588</v>
      </c>
      <c r="AJ835" t="n">
        <v>73.579828875</v>
      </c>
      <c r="AK835" t="n">
        <v/>
      </c>
      <c r="AL835" t="n">
        <v>63.41091159</v>
      </c>
      <c r="AM835" t="n">
        <v>41.51968394</v>
      </c>
      <c r="AN835" t="n">
        <v>94.836375148</v>
      </c>
      <c r="AO835" t="n">
        <v/>
      </c>
      <c r="AP835" t="n">
        <v/>
      </c>
      <c r="AQ835" t="n">
        <v/>
      </c>
      <c r="AR835" t="n">
        <v>67.758991511</v>
      </c>
      <c r="AS835" t="n">
        <v>26.89775852</v>
      </c>
      <c r="AT835" t="n">
        <v>60.783639383</v>
      </c>
      <c r="AU835" t="n">
        <v/>
      </c>
    </row>
    <row r="836">
      <c r="A836" s="105" t="n">
        <v>32325</v>
      </c>
      <c r="B836" t="n">
        <v>45.105860855</v>
      </c>
      <c r="C836" t="n">
        <v>60.513337149</v>
      </c>
      <c r="D836" t="n">
        <v>73.567985807</v>
      </c>
      <c r="E836" t="n">
        <v>70.607616294</v>
      </c>
      <c r="F836" t="n">
        <v/>
      </c>
      <c r="G836" t="n">
        <v/>
      </c>
      <c r="H836" t="n">
        <v/>
      </c>
      <c r="I836" t="n">
        <v>45.102102347</v>
      </c>
      <c r="J836" t="n">
        <v/>
      </c>
      <c r="K836" t="n">
        <v>64.382126859</v>
      </c>
      <c r="L836" t="n">
        <v>75.11197058</v>
      </c>
      <c r="M836" t="n">
        <v>72.95405782500001</v>
      </c>
      <c r="N836" t="n">
        <v>96.09143048200001</v>
      </c>
      <c r="O836" t="n">
        <v/>
      </c>
      <c r="P836" t="n">
        <v/>
      </c>
      <c r="Q836" t="n">
        <v>64.70541670199999</v>
      </c>
      <c r="R836" t="n">
        <v>86.618108918</v>
      </c>
      <c r="S836" t="n">
        <v>72.404039129</v>
      </c>
      <c r="T836" t="n">
        <v>80.226388398</v>
      </c>
      <c r="U836" t="n">
        <v/>
      </c>
      <c r="V836" t="n">
        <v>125.249511695</v>
      </c>
      <c r="W836" t="n">
        <v>45.368356687</v>
      </c>
      <c r="X836" t="n">
        <v/>
      </c>
      <c r="Y836" t="n">
        <v/>
      </c>
      <c r="Z836" t="n">
        <v>11.987186492</v>
      </c>
      <c r="AA836" t="n">
        <v/>
      </c>
      <c r="AB836" t="n">
        <v/>
      </c>
      <c r="AC836" t="n">
        <v>106.58947995</v>
      </c>
      <c r="AD836" t="n">
        <v>94.61571879100001</v>
      </c>
      <c r="AE836" t="n">
        <v/>
      </c>
      <c r="AF836" t="n">
        <v>65.420785962</v>
      </c>
      <c r="AG836" t="n">
        <v/>
      </c>
      <c r="AH836" t="n">
        <v>56.897216333</v>
      </c>
      <c r="AI836" t="n">
        <v>73.53847910899999</v>
      </c>
      <c r="AJ836" t="n">
        <v>74.01715326599999</v>
      </c>
      <c r="AK836" t="n">
        <v/>
      </c>
      <c r="AL836" t="n">
        <v>63.320577586</v>
      </c>
      <c r="AM836" t="n">
        <v>40.290700281</v>
      </c>
      <c r="AN836" t="n">
        <v>96.350410588</v>
      </c>
      <c r="AO836" t="n">
        <v/>
      </c>
      <c r="AP836" t="n">
        <v/>
      </c>
      <c r="AQ836" t="n">
        <v/>
      </c>
      <c r="AR836" t="n">
        <v>66.724503091</v>
      </c>
      <c r="AS836" t="n">
        <v>28.697608533</v>
      </c>
      <c r="AT836" t="n">
        <v>60.795042606</v>
      </c>
      <c r="AU836" t="n">
        <v/>
      </c>
    </row>
    <row r="837">
      <c r="A837" s="105" t="n">
        <v>32356</v>
      </c>
      <c r="B837" t="n">
        <v>43.943650975</v>
      </c>
      <c r="C837" t="n">
        <v>60.628519854</v>
      </c>
      <c r="D837" t="n">
        <v>74.137791158</v>
      </c>
      <c r="E837" t="n">
        <v>70.64238957400001</v>
      </c>
      <c r="F837" t="n">
        <v/>
      </c>
      <c r="G837" t="n">
        <v/>
      </c>
      <c r="H837" t="n">
        <v/>
      </c>
      <c r="I837" t="n">
        <v>43.939989309</v>
      </c>
      <c r="J837" t="n">
        <v/>
      </c>
      <c r="K837" t="n">
        <v>67.036423555</v>
      </c>
      <c r="L837" t="n">
        <v>77.39798707600001</v>
      </c>
      <c r="M837" t="n">
        <v>75.411577987</v>
      </c>
      <c r="N837" t="n">
        <v>95.510975755</v>
      </c>
      <c r="O837" t="n">
        <v/>
      </c>
      <c r="P837" t="n">
        <v/>
      </c>
      <c r="Q837" t="n">
        <v>64.64637891300001</v>
      </c>
      <c r="R837" t="n">
        <v>86.618108918</v>
      </c>
      <c r="S837" t="n">
        <v>73.012113114</v>
      </c>
      <c r="T837" t="n">
        <v>81.07534488899999</v>
      </c>
      <c r="U837" t="n">
        <v/>
      </c>
      <c r="V837" t="n">
        <v>128.783937538</v>
      </c>
      <c r="W837" t="n">
        <v>46.800099698</v>
      </c>
      <c r="X837" t="n">
        <v/>
      </c>
      <c r="Y837" t="n">
        <v/>
      </c>
      <c r="Z837" t="n">
        <v>11.94220643</v>
      </c>
      <c r="AA837" t="n">
        <v/>
      </c>
      <c r="AB837" t="n">
        <v/>
      </c>
      <c r="AC837" t="n">
        <v>105.173008456</v>
      </c>
      <c r="AD837" t="n">
        <v>95.12276980199999</v>
      </c>
      <c r="AE837" t="n">
        <v/>
      </c>
      <c r="AF837" t="n">
        <v>73.648115051</v>
      </c>
      <c r="AG837" t="n">
        <v/>
      </c>
      <c r="AH837" t="n">
        <v>59.210699081</v>
      </c>
      <c r="AI837" t="n">
        <v>72.124277588</v>
      </c>
      <c r="AJ837" t="n">
        <v>74.673139853</v>
      </c>
      <c r="AK837" t="n">
        <v/>
      </c>
      <c r="AL837" t="n">
        <v>63.784231929</v>
      </c>
      <c r="AM837" t="n">
        <v>40.868475859</v>
      </c>
      <c r="AN837" t="n">
        <v>95.887596577</v>
      </c>
      <c r="AO837" t="n">
        <v/>
      </c>
      <c r="AP837" t="n">
        <v/>
      </c>
      <c r="AQ837" t="n">
        <v/>
      </c>
      <c r="AR837" t="n">
        <v>65.115298882</v>
      </c>
      <c r="AS837" t="n">
        <v>27.497708524</v>
      </c>
      <c r="AT837" t="n">
        <v>61.104813631</v>
      </c>
      <c r="AU837" t="n">
        <v/>
      </c>
    </row>
    <row r="838">
      <c r="A838" s="105" t="n">
        <v>32387</v>
      </c>
      <c r="B838" t="n">
        <v>44.579183739</v>
      </c>
      <c r="C838" t="n">
        <v>60.755326939</v>
      </c>
      <c r="D838" t="n">
        <v>72.95328135699999</v>
      </c>
      <c r="E838" t="n">
        <v>71.111358954</v>
      </c>
      <c r="F838" t="n">
        <v/>
      </c>
      <c r="G838" t="n">
        <v/>
      </c>
      <c r="H838" t="n">
        <v/>
      </c>
      <c r="I838" t="n">
        <v>44.575469117</v>
      </c>
      <c r="J838" t="n">
        <v/>
      </c>
      <c r="K838" t="n">
        <v>66.233961763</v>
      </c>
      <c r="L838" t="n">
        <v>78.159992574</v>
      </c>
      <c r="M838" t="n">
        <v>74.668606775</v>
      </c>
      <c r="N838" t="n">
        <v>95.260925128</v>
      </c>
      <c r="O838" t="n">
        <v/>
      </c>
      <c r="P838" t="n">
        <v/>
      </c>
      <c r="Q838" t="n">
        <v>66.358474793</v>
      </c>
      <c r="R838" t="n">
        <v>88.359637034</v>
      </c>
      <c r="S838" t="n">
        <v>73.351740824</v>
      </c>
      <c r="T838" t="n">
        <v>81.92430138</v>
      </c>
      <c r="U838" t="n">
        <v/>
      </c>
      <c r="V838" t="n">
        <v>126.107323291</v>
      </c>
      <c r="W838" t="n">
        <v>46.128970162</v>
      </c>
      <c r="X838" t="n">
        <v/>
      </c>
      <c r="Y838" t="n">
        <v/>
      </c>
      <c r="Z838" t="n">
        <v>12.189596771</v>
      </c>
      <c r="AA838" t="n">
        <v/>
      </c>
      <c r="AB838" t="n">
        <v/>
      </c>
      <c r="AC838" t="n">
        <v>108.005951444</v>
      </c>
      <c r="AD838" t="n">
        <v>96.64392283700001</v>
      </c>
      <c r="AE838" t="n">
        <v/>
      </c>
      <c r="AF838" t="n">
        <v>65.521176064</v>
      </c>
      <c r="AG838" t="n">
        <v/>
      </c>
      <c r="AH838" t="n">
        <v>58.849217402</v>
      </c>
      <c r="AI838" t="n">
        <v>74.24557987</v>
      </c>
      <c r="AJ838" t="n">
        <v>79.593039258</v>
      </c>
      <c r="AK838" t="n">
        <v/>
      </c>
      <c r="AL838" t="n">
        <v>64.016851034</v>
      </c>
      <c r="AM838" t="n">
        <v>40.025198329</v>
      </c>
      <c r="AN838" t="n">
        <v>94.339516205</v>
      </c>
      <c r="AO838" t="n">
        <v/>
      </c>
      <c r="AP838" t="n">
        <v/>
      </c>
      <c r="AQ838" t="n">
        <v/>
      </c>
      <c r="AR838" t="n">
        <v>66.322202039</v>
      </c>
      <c r="AS838" t="n">
        <v>26.497791851</v>
      </c>
      <c r="AT838" t="n">
        <v>60.908579041</v>
      </c>
      <c r="AU838" t="n">
        <v/>
      </c>
    </row>
    <row r="839">
      <c r="A839" s="105" t="n">
        <v>32417</v>
      </c>
      <c r="B839" t="n">
        <v>45.158031054</v>
      </c>
      <c r="C839" t="n">
        <v>60.294698</v>
      </c>
      <c r="D839" t="n">
        <v>69.92210247600001</v>
      </c>
      <c r="E839" t="n">
        <v>70.476981537</v>
      </c>
      <c r="F839" t="n">
        <v/>
      </c>
      <c r="G839" t="n">
        <v/>
      </c>
      <c r="H839" t="n">
        <v/>
      </c>
      <c r="I839" t="n">
        <v>45.154268199</v>
      </c>
      <c r="J839" t="n">
        <v/>
      </c>
      <c r="K839" t="n">
        <v>66.480873084</v>
      </c>
      <c r="L839" t="n">
        <v>87.195200629</v>
      </c>
      <c r="M839" t="n">
        <v>74.17329263400001</v>
      </c>
      <c r="N839" t="n">
        <v>95.959791333</v>
      </c>
      <c r="O839" t="n">
        <v/>
      </c>
      <c r="P839" t="n">
        <v/>
      </c>
      <c r="Q839" t="n">
        <v>66.88981489299999</v>
      </c>
      <c r="R839" t="n">
        <v>86.34313079499999</v>
      </c>
      <c r="S839" t="n">
        <v>73.085689711</v>
      </c>
      <c r="T839" t="n">
        <v>80.969225327</v>
      </c>
      <c r="U839" t="n">
        <v/>
      </c>
      <c r="V839" t="n">
        <v>124.773852962</v>
      </c>
      <c r="W839" t="n">
        <v>46.084228192</v>
      </c>
      <c r="X839" t="n">
        <v/>
      </c>
      <c r="Y839" t="n">
        <v/>
      </c>
      <c r="Z839" t="n">
        <v>12.841807668</v>
      </c>
      <c r="AA839" t="n">
        <v/>
      </c>
      <c r="AB839" t="n">
        <v/>
      </c>
      <c r="AC839" t="n">
        <v>107.415754988</v>
      </c>
      <c r="AD839" t="n">
        <v>95.325590207</v>
      </c>
      <c r="AE839" t="n">
        <v/>
      </c>
      <c r="AF839" t="n">
        <v>68.532843386</v>
      </c>
      <c r="AG839" t="n">
        <v/>
      </c>
      <c r="AH839" t="n">
        <v>59.861366104</v>
      </c>
      <c r="AI839" t="n">
        <v>74.24557987</v>
      </c>
      <c r="AJ839" t="n">
        <v>78.171734986</v>
      </c>
      <c r="AK839" t="n">
        <v/>
      </c>
      <c r="AL839" t="n">
        <v>64.02832116800001</v>
      </c>
      <c r="AM839" t="n">
        <v>39.613859457</v>
      </c>
      <c r="AN839" t="n">
        <v>97.56381896400001</v>
      </c>
      <c r="AO839" t="n">
        <v/>
      </c>
      <c r="AP839" t="n">
        <v/>
      </c>
      <c r="AQ839" t="n">
        <v/>
      </c>
      <c r="AR839" t="n">
        <v>68.621065195</v>
      </c>
      <c r="AS839" t="n">
        <v>27.797683526</v>
      </c>
      <c r="AT839" t="n">
        <v>61.174819503</v>
      </c>
      <c r="AU839" t="n">
        <v/>
      </c>
    </row>
    <row r="840">
      <c r="A840" s="105" t="n">
        <v>32448</v>
      </c>
      <c r="B840" t="n">
        <v>45.240663497</v>
      </c>
      <c r="C840" t="n">
        <v>61.250681012</v>
      </c>
      <c r="D840" t="n">
        <v>69.72895741400001</v>
      </c>
      <c r="E840" t="n">
        <v>70.016000613</v>
      </c>
      <c r="F840" t="n">
        <v/>
      </c>
      <c r="G840" t="n">
        <v/>
      </c>
      <c r="H840" t="n">
        <v/>
      </c>
      <c r="I840" t="n">
        <v>45.236893756</v>
      </c>
      <c r="J840" t="n">
        <v/>
      </c>
      <c r="K840" t="n">
        <v>66.789512235</v>
      </c>
      <c r="L840" t="n">
        <v>86.542053059</v>
      </c>
      <c r="M840" t="n">
        <v>74.868637486</v>
      </c>
      <c r="N840" t="n">
        <v>97.779095025</v>
      </c>
      <c r="O840" t="n">
        <v/>
      </c>
      <c r="P840" t="n">
        <v/>
      </c>
      <c r="Q840" t="n">
        <v>67.303079416</v>
      </c>
      <c r="R840" t="n">
        <v>88.634615158</v>
      </c>
      <c r="S840" t="n">
        <v>73.773973227</v>
      </c>
      <c r="T840" t="n">
        <v>81.818181818</v>
      </c>
      <c r="U840" t="n">
        <v/>
      </c>
      <c r="V840" t="n">
        <v>125.498957608</v>
      </c>
      <c r="W840" t="n">
        <v>46.263196069</v>
      </c>
      <c r="X840" t="n">
        <v/>
      </c>
      <c r="Y840" t="n">
        <v/>
      </c>
      <c r="Z840" t="n">
        <v>12.257066863</v>
      </c>
      <c r="AA840" t="n">
        <v/>
      </c>
      <c r="AB840" t="n">
        <v/>
      </c>
      <c r="AC840" t="n">
        <v>109.304383647</v>
      </c>
      <c r="AD840" t="n">
        <v>97.35379425399999</v>
      </c>
      <c r="AE840" t="n">
        <v/>
      </c>
      <c r="AF840" t="n">
        <v>71.789634517</v>
      </c>
      <c r="AG840" t="n">
        <v/>
      </c>
      <c r="AH840" t="n">
        <v>61.451885494</v>
      </c>
      <c r="AI840" t="n">
        <v>73.53847910899999</v>
      </c>
      <c r="AJ840" t="n">
        <v>79.48370816000001</v>
      </c>
      <c r="AK840" t="n">
        <v/>
      </c>
      <c r="AL840" t="n">
        <v>64.583535668</v>
      </c>
      <c r="AM840" t="n">
        <v>40.431207769</v>
      </c>
      <c r="AN840" t="n">
        <v>97.095384654</v>
      </c>
      <c r="AO840" t="n">
        <v/>
      </c>
      <c r="AP840" t="n">
        <v/>
      </c>
      <c r="AQ840" t="n">
        <v/>
      </c>
      <c r="AR840" t="n">
        <v>68.27623572100001</v>
      </c>
      <c r="AS840" t="n">
        <v>26.597783518</v>
      </c>
      <c r="AT840" t="n">
        <v>61.328911747</v>
      </c>
      <c r="AU840" t="n">
        <v/>
      </c>
    </row>
    <row r="841">
      <c r="A841" s="105" t="n">
        <v>32478</v>
      </c>
      <c r="B841" t="n">
        <v>43.290798843</v>
      </c>
      <c r="C841" t="n">
        <v>60.494321755</v>
      </c>
      <c r="D841" t="n">
        <v>73.890137811</v>
      </c>
      <c r="E841" t="n">
        <v>70.974145468</v>
      </c>
      <c r="F841" t="n">
        <v/>
      </c>
      <c r="G841" t="n">
        <v/>
      </c>
      <c r="H841" t="n">
        <v/>
      </c>
      <c r="I841" t="n">
        <v>43.287191577</v>
      </c>
      <c r="J841" t="n">
        <v/>
      </c>
      <c r="K841" t="n">
        <v>68.270980159</v>
      </c>
      <c r="L841" t="n">
        <v>88.828069555</v>
      </c>
      <c r="M841" t="n">
        <v>75.887841584</v>
      </c>
      <c r="N841" t="n">
        <v>97.353532884</v>
      </c>
      <c r="O841" t="n">
        <v/>
      </c>
      <c r="P841" t="n">
        <v/>
      </c>
      <c r="Q841" t="n">
        <v>66.83077710400001</v>
      </c>
      <c r="R841" t="n">
        <v>89.734527652</v>
      </c>
      <c r="S841" t="n">
        <v>74.406564727</v>
      </c>
      <c r="T841" t="n">
        <v>81.28758401100001</v>
      </c>
      <c r="U841" t="n">
        <v/>
      </c>
      <c r="V841" t="n">
        <v>125.1951399</v>
      </c>
      <c r="W841" t="n">
        <v>46.755357729</v>
      </c>
      <c r="X841" t="n">
        <v/>
      </c>
      <c r="Y841" t="n">
        <v/>
      </c>
      <c r="Z841" t="n">
        <v>12.66188742</v>
      </c>
      <c r="AA841" t="n">
        <v/>
      </c>
      <c r="AB841" t="n">
        <v/>
      </c>
      <c r="AC841" t="n">
        <v>111.54713018</v>
      </c>
      <c r="AD841" t="n">
        <v>98.06366567000001</v>
      </c>
      <c r="AE841" t="n">
        <v/>
      </c>
      <c r="AF841" t="n">
        <v>74.309534664</v>
      </c>
      <c r="AG841" t="n">
        <v/>
      </c>
      <c r="AH841" t="n">
        <v>61.451885494</v>
      </c>
      <c r="AI841" t="n">
        <v>71.41717682700001</v>
      </c>
      <c r="AJ841" t="n">
        <v>79.811701454</v>
      </c>
      <c r="AK841" t="n">
        <v/>
      </c>
      <c r="AL841" t="n">
        <v>65.05107071400001</v>
      </c>
      <c r="AM841" t="n">
        <v>39.371143811</v>
      </c>
      <c r="AN841" t="n">
        <v>97.75745101</v>
      </c>
      <c r="AO841" t="n">
        <v/>
      </c>
      <c r="AP841" t="n">
        <v/>
      </c>
      <c r="AQ841" t="n">
        <v/>
      </c>
      <c r="AR841" t="n">
        <v>68.046349406</v>
      </c>
      <c r="AS841" t="n">
        <v>27.997666861</v>
      </c>
      <c r="AT841" t="n">
        <v>61.594358941</v>
      </c>
      <c r="AU841" t="n">
        <v/>
      </c>
    </row>
    <row r="842">
      <c r="A842" s="105" t="n">
        <v>32509</v>
      </c>
      <c r="B842" t="n">
        <v>45.421826857</v>
      </c>
      <c r="C842" t="n">
        <v>61.578294495</v>
      </c>
      <c r="D842" t="n">
        <v>73.175238842</v>
      </c>
      <c r="E842" t="n">
        <v>70.73825105100001</v>
      </c>
      <c r="F842" t="n">
        <v/>
      </c>
      <c r="G842" t="n">
        <v/>
      </c>
      <c r="H842" t="n">
        <v/>
      </c>
      <c r="I842" t="n">
        <v>45.41804202</v>
      </c>
      <c r="J842" t="n">
        <v/>
      </c>
      <c r="K842" t="n">
        <v>67.283334876</v>
      </c>
      <c r="L842" t="n">
        <v>83.929462778</v>
      </c>
      <c r="M842" t="n">
        <v>76.04977120700001</v>
      </c>
      <c r="N842" t="n">
        <v>98.938632089</v>
      </c>
      <c r="O842" t="n">
        <v/>
      </c>
      <c r="P842" t="n">
        <v/>
      </c>
      <c r="Q842" t="n">
        <v>66.476550371</v>
      </c>
      <c r="R842" t="n">
        <v>89.276230779</v>
      </c>
      <c r="S842" t="n">
        <v>74.397170015</v>
      </c>
      <c r="T842" t="n">
        <v>81.712062257</v>
      </c>
      <c r="U842" t="n">
        <v/>
      </c>
      <c r="V842" t="n">
        <v>127.832146674</v>
      </c>
      <c r="W842" t="n">
        <v>45.144646841</v>
      </c>
      <c r="X842" t="n">
        <v/>
      </c>
      <c r="Y842" t="n">
        <v/>
      </c>
      <c r="Z842" t="n">
        <v>13.044217946</v>
      </c>
      <c r="AA842" t="n">
        <v/>
      </c>
      <c r="AB842" t="n">
        <v/>
      </c>
      <c r="AC842" t="n">
        <v>110.012619395</v>
      </c>
      <c r="AD842" t="n">
        <v>98.874947289</v>
      </c>
      <c r="AE842" t="n">
        <v>18.982935645</v>
      </c>
      <c r="AF842" t="n">
        <v>74.040924112</v>
      </c>
      <c r="AG842" t="n">
        <v/>
      </c>
      <c r="AH842" t="n">
        <v>62.174848852</v>
      </c>
      <c r="AI842" t="n">
        <v>72.548538044</v>
      </c>
      <c r="AJ842" t="n">
        <v>80.795681335</v>
      </c>
      <c r="AK842" t="n">
        <v/>
      </c>
      <c r="AL842" t="n">
        <v>65.15012040000001</v>
      </c>
      <c r="AM842" t="n">
        <v>44.715795251</v>
      </c>
      <c r="AN842" t="n">
        <v>98.310821713</v>
      </c>
      <c r="AO842" t="n">
        <v/>
      </c>
      <c r="AP842" t="n">
        <v>47.261928434</v>
      </c>
      <c r="AQ842" t="n">
        <v/>
      </c>
      <c r="AR842" t="n">
        <v>70.51762729799999</v>
      </c>
      <c r="AS842" t="n">
        <v>26.997750187</v>
      </c>
      <c r="AT842" t="n">
        <v>61.785933084</v>
      </c>
      <c r="AU842" t="n">
        <v/>
      </c>
    </row>
    <row r="843">
      <c r="A843" s="105" t="n">
        <v>32540</v>
      </c>
      <c r="B843" t="n">
        <v>44.976338247</v>
      </c>
      <c r="C843" t="n">
        <v>61.479399984</v>
      </c>
      <c r="D843" t="n">
        <v>69.951331541</v>
      </c>
      <c r="E843" t="n">
        <v>71.46520058</v>
      </c>
      <c r="F843" t="n">
        <v/>
      </c>
      <c r="G843" t="n">
        <v/>
      </c>
      <c r="H843" t="n">
        <v/>
      </c>
      <c r="I843" t="n">
        <v>44.972590531</v>
      </c>
      <c r="J843" t="n">
        <v/>
      </c>
      <c r="K843" t="n">
        <v>67.036423555</v>
      </c>
      <c r="L843" t="n">
        <v>81.208014569</v>
      </c>
      <c r="M843" t="n">
        <v>75.859265768</v>
      </c>
      <c r="N843" t="n">
        <v>98.93670232300001</v>
      </c>
      <c r="O843" t="n">
        <v/>
      </c>
      <c r="P843" t="n">
        <v/>
      </c>
      <c r="Q843" t="n">
        <v>66.06328584800001</v>
      </c>
      <c r="R843" t="n">
        <v>89.09291202999999</v>
      </c>
      <c r="S843" t="n">
        <v>74.185182837</v>
      </c>
      <c r="T843" t="n">
        <v>81.92430138</v>
      </c>
      <c r="U843" t="n">
        <v/>
      </c>
      <c r="V843" t="n">
        <v>126.713834247</v>
      </c>
      <c r="W843" t="n">
        <v>44.920936995</v>
      </c>
      <c r="X843" t="n">
        <v/>
      </c>
      <c r="Y843" t="n">
        <v/>
      </c>
      <c r="Z843" t="n">
        <v>12.729357513</v>
      </c>
      <c r="AA843" t="n">
        <v/>
      </c>
      <c r="AB843" t="n">
        <v/>
      </c>
      <c r="AC843" t="n">
        <v>110.248697977</v>
      </c>
      <c r="AD843" t="n">
        <v>98.266486075</v>
      </c>
      <c r="AE843" t="n">
        <v>18.898190397</v>
      </c>
      <c r="AF843" t="n">
        <v>71.98644743</v>
      </c>
      <c r="AG843" t="n">
        <v/>
      </c>
      <c r="AH843" t="n">
        <v>62.174848852</v>
      </c>
      <c r="AI843" t="n">
        <v>72.124277588</v>
      </c>
      <c r="AJ843" t="n">
        <v>80.24902584500001</v>
      </c>
      <c r="AK843" t="n">
        <v/>
      </c>
      <c r="AL843" t="n">
        <v>65.04083223799999</v>
      </c>
      <c r="AM843" t="n">
        <v>41.334413073</v>
      </c>
      <c r="AN843" t="n">
        <v>97.062506884</v>
      </c>
      <c r="AO843" t="n">
        <v/>
      </c>
      <c r="AP843" t="n">
        <v>48.360987524</v>
      </c>
      <c r="AQ843" t="n">
        <v/>
      </c>
      <c r="AR843" t="n">
        <v>70.00038308800001</v>
      </c>
      <c r="AS843" t="n">
        <v>28.497625198</v>
      </c>
      <c r="AT843" t="n">
        <v>61.513247322</v>
      </c>
      <c r="AU843" t="n">
        <v/>
      </c>
    </row>
    <row r="844">
      <c r="A844" s="105" t="n">
        <v>32568</v>
      </c>
      <c r="B844" t="n">
        <v>44.898591406</v>
      </c>
      <c r="C844" t="n">
        <v>60.472110114</v>
      </c>
      <c r="D844" t="n">
        <v>72.474583581</v>
      </c>
      <c r="E844" t="n">
        <v>71.06201848800001</v>
      </c>
      <c r="F844" t="n">
        <v/>
      </c>
      <c r="G844" t="n">
        <v/>
      </c>
      <c r="H844" t="n">
        <v/>
      </c>
      <c r="I844" t="n">
        <v>44.894850168</v>
      </c>
      <c r="J844" t="n">
        <v/>
      </c>
      <c r="K844" t="n">
        <v>67.530246197</v>
      </c>
      <c r="L844" t="n">
        <v>80.663724927</v>
      </c>
      <c r="M844" t="n">
        <v>75.830689952</v>
      </c>
      <c r="N844" t="n">
        <v>101.696749658</v>
      </c>
      <c r="O844" t="n">
        <v/>
      </c>
      <c r="P844" t="n">
        <v/>
      </c>
      <c r="Q844" t="n">
        <v>66.417512582</v>
      </c>
      <c r="R844" t="n">
        <v>89.184571405</v>
      </c>
      <c r="S844" t="n">
        <v>74.706116634</v>
      </c>
      <c r="T844" t="n">
        <v>80.863105766</v>
      </c>
      <c r="U844" t="n">
        <v/>
      </c>
      <c r="V844" t="n">
        <v>127.912965615</v>
      </c>
      <c r="W844" t="n">
        <v>45.099904872</v>
      </c>
      <c r="X844" t="n">
        <v/>
      </c>
      <c r="Y844" t="n">
        <v/>
      </c>
      <c r="Z844" t="n">
        <v>12.999237885</v>
      </c>
      <c r="AA844" t="n">
        <v/>
      </c>
      <c r="AB844" t="n">
        <v/>
      </c>
      <c r="AC844" t="n">
        <v>108.714187191</v>
      </c>
      <c r="AD844" t="n">
        <v>101.815843157</v>
      </c>
      <c r="AE844" t="n">
        <v>19.067680894</v>
      </c>
      <c r="AF844" t="n">
        <v>73.10524837200001</v>
      </c>
      <c r="AG844" t="n">
        <v/>
      </c>
      <c r="AH844" t="n">
        <v>61.813367173</v>
      </c>
      <c r="AI844" t="n">
        <v>71.91214736000001</v>
      </c>
      <c r="AJ844" t="n">
        <v>83.31029658600001</v>
      </c>
      <c r="AK844" t="n">
        <v/>
      </c>
      <c r="AL844" t="n">
        <v>65.457267344</v>
      </c>
      <c r="AM844" t="n">
        <v>40.570373725</v>
      </c>
      <c r="AN844" t="n">
        <v>101.31225828</v>
      </c>
      <c r="AO844" t="n">
        <v/>
      </c>
      <c r="AP844" t="n">
        <v>44.569614197</v>
      </c>
      <c r="AQ844" t="n">
        <v/>
      </c>
      <c r="AR844" t="n">
        <v>69.942911509</v>
      </c>
      <c r="AS844" t="n">
        <v>28.197650196</v>
      </c>
      <c r="AT844" t="n">
        <v>61.671603381</v>
      </c>
      <c r="AU844" t="n">
        <v/>
      </c>
    </row>
    <row r="845">
      <c r="A845" s="105" t="n">
        <v>32599</v>
      </c>
      <c r="B845" t="n">
        <v>47.378622957</v>
      </c>
      <c r="C845" t="n">
        <v>61.644695803</v>
      </c>
      <c r="D845" t="n">
        <v>74.596562435</v>
      </c>
      <c r="E845" t="n">
        <v>71.489635859</v>
      </c>
      <c r="F845" t="n">
        <v/>
      </c>
      <c r="G845" t="n">
        <v/>
      </c>
      <c r="H845" t="n">
        <v/>
      </c>
      <c r="I845" t="n">
        <v>47.374675067</v>
      </c>
      <c r="J845" t="n">
        <v/>
      </c>
      <c r="K845" t="n">
        <v>69.567264592</v>
      </c>
      <c r="L845" t="n">
        <v>81.97002006699999</v>
      </c>
      <c r="M845" t="n">
        <v>77.459511455</v>
      </c>
      <c r="N845" t="n">
        <v>99.360021925</v>
      </c>
      <c r="O845" t="n">
        <v/>
      </c>
      <c r="P845" t="n">
        <v/>
      </c>
      <c r="Q845" t="n">
        <v>64.292152179</v>
      </c>
      <c r="R845" t="n">
        <v>90.83444014600001</v>
      </c>
      <c r="S845" t="n">
        <v>75.027839277</v>
      </c>
      <c r="T845" t="n">
        <v>82.879377432</v>
      </c>
      <c r="U845" t="n">
        <v/>
      </c>
      <c r="V845" t="n">
        <v>130.694655112</v>
      </c>
      <c r="W845" t="n">
        <v>44.473517304</v>
      </c>
      <c r="X845" t="n">
        <v/>
      </c>
      <c r="Y845" t="n">
        <v/>
      </c>
      <c r="Z845" t="n">
        <v>12.954257823</v>
      </c>
      <c r="AA845" t="n">
        <v/>
      </c>
      <c r="AB845" t="n">
        <v/>
      </c>
      <c r="AC845" t="n">
        <v>109.54046223</v>
      </c>
      <c r="AD845" t="n">
        <v>100.19327992</v>
      </c>
      <c r="AE845" t="n">
        <v>18.071924225</v>
      </c>
      <c r="AF845" t="n">
        <v>75.987361937</v>
      </c>
      <c r="AG845" t="n">
        <v/>
      </c>
      <c r="AH845" t="n">
        <v>62.319441524</v>
      </c>
      <c r="AI845" t="n">
        <v>77.92250382500001</v>
      </c>
      <c r="AJ845" t="n">
        <v>83.856952076</v>
      </c>
      <c r="AK845" t="n">
        <v/>
      </c>
      <c r="AL845" t="n">
        <v>65.609279888</v>
      </c>
      <c r="AM845" t="n">
        <v>42.470067662</v>
      </c>
      <c r="AN845" t="n">
        <v>100.525064801</v>
      </c>
      <c r="AO845" t="n">
        <v/>
      </c>
      <c r="AP845" t="n">
        <v>46.899556685</v>
      </c>
      <c r="AQ845" t="n">
        <v/>
      </c>
      <c r="AR845" t="n">
        <v>69.942911509</v>
      </c>
      <c r="AS845" t="n">
        <v>26.697775185</v>
      </c>
      <c r="AT845" t="n">
        <v>61.652069164</v>
      </c>
      <c r="AU845" t="n">
        <v/>
      </c>
    </row>
    <row r="846">
      <c r="A846" s="105" t="n">
        <v>32629</v>
      </c>
      <c r="B846" t="n">
        <v>45.802594682</v>
      </c>
      <c r="C846" t="n">
        <v>61.345196445</v>
      </c>
      <c r="D846" t="n">
        <v>76.521875266</v>
      </c>
      <c r="E846" t="n">
        <v>70.80356842899999</v>
      </c>
      <c r="F846" t="n">
        <v/>
      </c>
      <c r="G846" t="n">
        <v/>
      </c>
      <c r="H846" t="n">
        <v/>
      </c>
      <c r="I846" t="n">
        <v>45.798778117</v>
      </c>
      <c r="J846" t="n">
        <v/>
      </c>
      <c r="K846" t="n">
        <v>66.233961763</v>
      </c>
      <c r="L846" t="n">
        <v>82.078877996</v>
      </c>
      <c r="M846" t="n">
        <v>75.154395644</v>
      </c>
      <c r="N846" t="n">
        <v>99.664125062</v>
      </c>
      <c r="O846" t="n">
        <v/>
      </c>
      <c r="P846" t="n">
        <v/>
      </c>
      <c r="Q846" t="n">
        <v>65.53194574699999</v>
      </c>
      <c r="R846" t="n">
        <v>89.826187026</v>
      </c>
      <c r="S846" t="n">
        <v>74.11457382</v>
      </c>
      <c r="T846" t="n">
        <v>80.756986204</v>
      </c>
      <c r="U846" t="n">
        <v/>
      </c>
      <c r="V846" t="n">
        <v>128.224311854</v>
      </c>
      <c r="W846" t="n">
        <v>45.72629244</v>
      </c>
      <c r="X846" t="n">
        <v/>
      </c>
      <c r="Y846" t="n">
        <v/>
      </c>
      <c r="Z846" t="n">
        <v>13.494018565</v>
      </c>
      <c r="AA846" t="n">
        <v/>
      </c>
      <c r="AB846" t="n">
        <v/>
      </c>
      <c r="AC846" t="n">
        <v>108.5961479</v>
      </c>
      <c r="AD846" t="n">
        <v>100.294690122</v>
      </c>
      <c r="AE846" t="n">
        <v>19.300730327</v>
      </c>
      <c r="AF846" t="n">
        <v>74.437242662</v>
      </c>
      <c r="AG846" t="n">
        <v/>
      </c>
      <c r="AH846" t="n">
        <v>62.39173786</v>
      </c>
      <c r="AI846" t="n">
        <v>75.023390707</v>
      </c>
      <c r="AJ846" t="n">
        <v>83.31029658600001</v>
      </c>
      <c r="AK846" t="n">
        <v/>
      </c>
      <c r="AL846" t="n">
        <v>65.09160528</v>
      </c>
      <c r="AM846" t="n">
        <v>39.968178864</v>
      </c>
      <c r="AN846" t="n">
        <v>102.225693225</v>
      </c>
      <c r="AO846" t="n">
        <v/>
      </c>
      <c r="AP846" t="n">
        <v>46.993656975</v>
      </c>
      <c r="AQ846" t="n">
        <v/>
      </c>
      <c r="AR846" t="n">
        <v>67.988877827</v>
      </c>
      <c r="AS846" t="n">
        <v>27.997666861</v>
      </c>
      <c r="AT846" t="n">
        <v>61.311757334</v>
      </c>
      <c r="AU846" t="n">
        <v/>
      </c>
    </row>
    <row r="847">
      <c r="A847" s="105" t="n">
        <v>32660</v>
      </c>
      <c r="B847" t="n">
        <v>45.554876983</v>
      </c>
      <c r="C847" t="n">
        <v>60.868358342</v>
      </c>
      <c r="D847" t="n">
        <v>79.25306293</v>
      </c>
      <c r="E847" t="n">
        <v>70.265522397</v>
      </c>
      <c r="F847" t="n">
        <v/>
      </c>
      <c r="G847" t="n">
        <v/>
      </c>
      <c r="H847" t="n">
        <v/>
      </c>
      <c r="I847" t="n">
        <v>45.55108106</v>
      </c>
      <c r="J847" t="n">
        <v/>
      </c>
      <c r="K847" t="n">
        <v>68.88825846</v>
      </c>
      <c r="L847" t="n">
        <v>82.623167638</v>
      </c>
      <c r="M847" t="n">
        <v>77.554764174</v>
      </c>
      <c r="N847" t="n">
        <v>100.519672269</v>
      </c>
      <c r="O847" t="n">
        <v/>
      </c>
      <c r="P847" t="n">
        <v/>
      </c>
      <c r="Q847" t="n">
        <v>66.417512582</v>
      </c>
      <c r="R847" t="n">
        <v>91.017758895</v>
      </c>
      <c r="S847" t="n">
        <v>74.85297227300001</v>
      </c>
      <c r="T847" t="n">
        <v>80.756986204</v>
      </c>
      <c r="U847" t="n">
        <v/>
      </c>
      <c r="V847" t="n">
        <v>126.827474392</v>
      </c>
      <c r="W847" t="n">
        <v>45.144646841</v>
      </c>
      <c r="X847" t="n">
        <v/>
      </c>
      <c r="Y847" t="n">
        <v/>
      </c>
      <c r="Z847" t="n">
        <v>13.35907838</v>
      </c>
      <c r="AA847" t="n">
        <v/>
      </c>
      <c r="AB847" t="n">
        <v/>
      </c>
      <c r="AC847" t="n">
        <v>111.311051598</v>
      </c>
      <c r="AD847" t="n">
        <v>101.51161255</v>
      </c>
      <c r="AE847" t="n">
        <v>19.576152384</v>
      </c>
      <c r="AF847" t="n">
        <v>72.180156962</v>
      </c>
      <c r="AG847" t="n">
        <v/>
      </c>
      <c r="AH847" t="n">
        <v>63.548479234</v>
      </c>
      <c r="AI847" t="n">
        <v>74.45771009800001</v>
      </c>
      <c r="AJ847" t="n">
        <v>84.622269761</v>
      </c>
      <c r="AK847" t="n">
        <v/>
      </c>
      <c r="AL847" t="n">
        <v>65.764610971</v>
      </c>
      <c r="AM847" t="n">
        <v>41.103611369</v>
      </c>
      <c r="AN847" t="n">
        <v>102.937909297</v>
      </c>
      <c r="AO847" t="n">
        <v/>
      </c>
      <c r="AP847" t="n">
        <v>52.457346097</v>
      </c>
      <c r="AQ847" t="n">
        <v/>
      </c>
      <c r="AR847" t="n">
        <v>68.965894668</v>
      </c>
      <c r="AS847" t="n">
        <v>28.997583535</v>
      </c>
      <c r="AT847" t="n">
        <v>61.30432045</v>
      </c>
      <c r="AU847" t="n">
        <v/>
      </c>
    </row>
    <row r="848">
      <c r="A848" s="105" t="n">
        <v>32690</v>
      </c>
      <c r="B848" t="n">
        <v>47.112346396</v>
      </c>
      <c r="C848" t="n">
        <v>63.920832617</v>
      </c>
      <c r="D848" t="n">
        <v>78.389653067</v>
      </c>
      <c r="E848" t="n">
        <v>69.70351099600001</v>
      </c>
      <c r="F848" t="n">
        <v/>
      </c>
      <c r="G848" t="n">
        <v/>
      </c>
      <c r="H848" t="n">
        <v/>
      </c>
      <c r="I848" t="n">
        <v>47.108420694</v>
      </c>
      <c r="J848" t="n">
        <v/>
      </c>
      <c r="K848" t="n">
        <v>69.25862544100001</v>
      </c>
      <c r="L848" t="n">
        <v>79.030856001</v>
      </c>
      <c r="M848" t="n">
        <v>76.878469866</v>
      </c>
      <c r="N848" t="n">
        <v>101.499901442</v>
      </c>
      <c r="O848" t="n">
        <v/>
      </c>
      <c r="P848" t="n">
        <v/>
      </c>
      <c r="Q848" t="n">
        <v>77.33950354</v>
      </c>
      <c r="R848" t="n">
        <v>90.00950577499999</v>
      </c>
      <c r="S848" t="n">
        <v>74.16289618899999</v>
      </c>
      <c r="T848" t="n">
        <v>80.969225327</v>
      </c>
      <c r="U848" t="n">
        <v/>
      </c>
      <c r="V848" t="n">
        <v>128.450880491</v>
      </c>
      <c r="W848" t="n">
        <v>43.981355644</v>
      </c>
      <c r="X848" t="n">
        <v/>
      </c>
      <c r="Y848" t="n">
        <v/>
      </c>
      <c r="Z848" t="n">
        <v>14.820930391</v>
      </c>
      <c r="AA848" t="n">
        <v/>
      </c>
      <c r="AB848" t="n">
        <v/>
      </c>
      <c r="AC848" t="n">
        <v>110.012619395</v>
      </c>
      <c r="AD848" t="n">
        <v>99.381998301</v>
      </c>
      <c r="AE848" t="n">
        <v>19.703270257</v>
      </c>
      <c r="AF848" t="n">
        <v>71.89577135</v>
      </c>
      <c r="AG848" t="n">
        <v/>
      </c>
      <c r="AH848" t="n">
        <v>63.114701219</v>
      </c>
      <c r="AI848" t="n">
        <v>75.023390707</v>
      </c>
      <c r="AJ848" t="n">
        <v>84.950263054</v>
      </c>
      <c r="AK848" t="n">
        <v/>
      </c>
      <c r="AL848" t="n">
        <v>65.437052368</v>
      </c>
      <c r="AM848" t="n">
        <v>37.917259774</v>
      </c>
      <c r="AN848" t="n">
        <v>101.002330263</v>
      </c>
      <c r="AO848" t="n">
        <v/>
      </c>
      <c r="AP848" t="n">
        <v>42.211471696</v>
      </c>
      <c r="AQ848" t="n">
        <v/>
      </c>
      <c r="AR848" t="n">
        <v>67.241747301</v>
      </c>
      <c r="AS848" t="n">
        <v>29.697525206</v>
      </c>
      <c r="AT848" t="n">
        <v>60.713236877</v>
      </c>
      <c r="AU848" t="n">
        <v/>
      </c>
    </row>
    <row r="849">
      <c r="A849" s="105" t="n">
        <v>32721</v>
      </c>
      <c r="B849" t="n">
        <v>46.24272571</v>
      </c>
      <c r="C849" t="n">
        <v>62.507710852</v>
      </c>
      <c r="D849" t="n">
        <v>78.288236639</v>
      </c>
      <c r="E849" t="n">
        <v>69.823337842</v>
      </c>
      <c r="F849" t="n">
        <v/>
      </c>
      <c r="G849" t="n">
        <v/>
      </c>
      <c r="H849" t="n">
        <v/>
      </c>
      <c r="I849" t="n">
        <v>46.238872471</v>
      </c>
      <c r="J849" t="n">
        <v/>
      </c>
      <c r="K849" t="n">
        <v>69.07344195100001</v>
      </c>
      <c r="L849" t="n">
        <v>77.83341878900001</v>
      </c>
      <c r="M849" t="n">
        <v>79.17406040500001</v>
      </c>
      <c r="N849" t="n">
        <v>99.50149737</v>
      </c>
      <c r="O849" t="n">
        <v/>
      </c>
      <c r="P849" t="n">
        <v/>
      </c>
      <c r="Q849" t="n">
        <v>68.89709971800001</v>
      </c>
      <c r="R849" t="n">
        <v>90.00950577499999</v>
      </c>
      <c r="S849" t="n">
        <v>74.797202184</v>
      </c>
      <c r="T849" t="n">
        <v>82.66713830899999</v>
      </c>
      <c r="U849" t="n">
        <v/>
      </c>
      <c r="V849" t="n">
        <v>128.218673137</v>
      </c>
      <c r="W849" t="n">
        <v>44.205065489</v>
      </c>
      <c r="X849" t="n">
        <v/>
      </c>
      <c r="Y849" t="n">
        <v/>
      </c>
      <c r="Z849" t="n">
        <v>12.706867482</v>
      </c>
      <c r="AA849" t="n">
        <v/>
      </c>
      <c r="AB849" t="n">
        <v/>
      </c>
      <c r="AC849" t="n">
        <v>109.54046223</v>
      </c>
      <c r="AD849" t="n">
        <v>101.105971741</v>
      </c>
      <c r="AE849" t="n">
        <v>20.423604868</v>
      </c>
      <c r="AF849" t="n">
        <v>77.859834295</v>
      </c>
      <c r="AG849" t="n">
        <v/>
      </c>
      <c r="AH849" t="n">
        <v>63.62077557</v>
      </c>
      <c r="AI849" t="n">
        <v>75.447651163</v>
      </c>
      <c r="AJ849" t="n">
        <v>85.387587446</v>
      </c>
      <c r="AK849" t="n">
        <v/>
      </c>
      <c r="AL849" t="n">
        <v>65.81567535799999</v>
      </c>
      <c r="AM849" t="n">
        <v>36.794046398</v>
      </c>
      <c r="AN849" t="n">
        <v>103.705760568</v>
      </c>
      <c r="AO849" t="n">
        <v/>
      </c>
      <c r="AP849" t="n">
        <v>34.444524501</v>
      </c>
      <c r="AQ849" t="n">
        <v/>
      </c>
      <c r="AR849" t="n">
        <v>68.218764142</v>
      </c>
      <c r="AS849" t="n">
        <v>29.097575202</v>
      </c>
      <c r="AT849" t="n">
        <v>61.313046394</v>
      </c>
      <c r="AU849" t="n">
        <v/>
      </c>
    </row>
    <row r="850">
      <c r="A850" s="105" t="n">
        <v>32752</v>
      </c>
      <c r="B850" t="n">
        <v>46.84835954</v>
      </c>
      <c r="C850" t="n">
        <v>61.69984936</v>
      </c>
      <c r="D850" t="n">
        <v>77.08853788499999</v>
      </c>
      <c r="E850" t="n">
        <v>70.01177143</v>
      </c>
      <c r="F850" t="n">
        <v/>
      </c>
      <c r="G850" t="n">
        <v/>
      </c>
      <c r="H850" t="n">
        <v/>
      </c>
      <c r="I850" t="n">
        <v>46.844455835</v>
      </c>
      <c r="J850" t="n">
        <v/>
      </c>
      <c r="K850" t="n">
        <v>69.443808932</v>
      </c>
      <c r="L850" t="n">
        <v>80.663724927</v>
      </c>
      <c r="M850" t="n">
        <v>77.57381471799999</v>
      </c>
      <c r="N850" t="n">
        <v>101.378282041</v>
      </c>
      <c r="O850" t="n">
        <v/>
      </c>
      <c r="P850" t="n">
        <v/>
      </c>
      <c r="Q850" t="n">
        <v>66.71270152699999</v>
      </c>
      <c r="R850" t="n">
        <v>89.91784640100001</v>
      </c>
      <c r="S850" t="n">
        <v>74.809545296</v>
      </c>
      <c r="T850" t="n">
        <v>82.24266006400001</v>
      </c>
      <c r="U850" t="n">
        <v/>
      </c>
      <c r="V850" t="n">
        <v>127.20421745</v>
      </c>
      <c r="W850" t="n">
        <v>43.578677922</v>
      </c>
      <c r="X850" t="n">
        <v/>
      </c>
      <c r="Y850" t="n">
        <v/>
      </c>
      <c r="Z850" t="n">
        <v>13.089198008</v>
      </c>
      <c r="AA850" t="n">
        <v/>
      </c>
      <c r="AB850" t="n">
        <v/>
      </c>
      <c r="AC850" t="n">
        <v>112.137326636</v>
      </c>
      <c r="AD850" t="n">
        <v>100.801741134</v>
      </c>
      <c r="AE850" t="n">
        <v>19.93631969</v>
      </c>
      <c r="AF850" t="n">
        <v>72.120593361</v>
      </c>
      <c r="AG850" t="n">
        <v/>
      </c>
      <c r="AH850" t="n">
        <v>62.680923203</v>
      </c>
      <c r="AI850" t="n">
        <v>76.084041848</v>
      </c>
      <c r="AJ850" t="n">
        <v>85.71558073999999</v>
      </c>
      <c r="AK850" t="n">
        <v/>
      </c>
      <c r="AL850" t="n">
        <v>65.813313354</v>
      </c>
      <c r="AM850" t="n">
        <v>38.493421963</v>
      </c>
      <c r="AN850" t="n">
        <v>105.203894782</v>
      </c>
      <c r="AO850" t="n">
        <v/>
      </c>
      <c r="AP850" t="n">
        <v>43.506962164</v>
      </c>
      <c r="AQ850" t="n">
        <v/>
      </c>
      <c r="AR850" t="n">
        <v>68.85095151</v>
      </c>
      <c r="AS850" t="n">
        <v>29.497541872</v>
      </c>
      <c r="AT850" t="n">
        <v>61.103524571</v>
      </c>
      <c r="AU850" t="n">
        <v/>
      </c>
    </row>
    <row r="851">
      <c r="A851" s="105" t="n">
        <v>32782</v>
      </c>
      <c r="B851" t="n">
        <v>46.859335462</v>
      </c>
      <c r="C851" t="n">
        <v>61.416243721</v>
      </c>
      <c r="D851" t="n">
        <v>77.922519732</v>
      </c>
      <c r="E851" t="n">
        <v>69.165464965</v>
      </c>
      <c r="F851" t="n">
        <v/>
      </c>
      <c r="G851" t="n">
        <v/>
      </c>
      <c r="H851" t="n">
        <v/>
      </c>
      <c r="I851" t="n">
        <v>46.855430843</v>
      </c>
      <c r="J851" t="n">
        <v/>
      </c>
      <c r="K851" t="n">
        <v>69.628992422</v>
      </c>
      <c r="L851" t="n">
        <v>83.276315208</v>
      </c>
      <c r="M851" t="n">
        <v>78.145331035</v>
      </c>
      <c r="N851" t="n">
        <v>100.214245864</v>
      </c>
      <c r="O851" t="n">
        <v/>
      </c>
      <c r="P851" t="n">
        <v/>
      </c>
      <c r="Q851" t="n">
        <v>66.299437004</v>
      </c>
      <c r="R851" t="n">
        <v>90.742780772</v>
      </c>
      <c r="S851" t="n">
        <v>74.70574021199999</v>
      </c>
      <c r="T851" t="n">
        <v>81.818181818</v>
      </c>
      <c r="U851" t="n">
        <v/>
      </c>
      <c r="V851" t="n">
        <v>129.078269408</v>
      </c>
      <c r="W851" t="n">
        <v>43.1760002</v>
      </c>
      <c r="X851" t="n">
        <v/>
      </c>
      <c r="Y851" t="n">
        <v/>
      </c>
      <c r="Z851" t="n">
        <v>13.404058441</v>
      </c>
      <c r="AA851" t="n">
        <v/>
      </c>
      <c r="AB851" t="n">
        <v/>
      </c>
      <c r="AC851" t="n">
        <v>112.609483801</v>
      </c>
      <c r="AD851" t="n">
        <v>100.19327992</v>
      </c>
      <c r="AE851" t="n">
        <v>19.766829193</v>
      </c>
      <c r="AF851" t="n">
        <v>71.96942481799999</v>
      </c>
      <c r="AG851" t="n">
        <v/>
      </c>
      <c r="AH851" t="n">
        <v>62.680923203</v>
      </c>
      <c r="AI851" t="n">
        <v>76.437592228</v>
      </c>
      <c r="AJ851" t="n">
        <v>85.387587446</v>
      </c>
      <c r="AK851" t="n">
        <v/>
      </c>
      <c r="AL851" t="n">
        <v>65.664287954</v>
      </c>
      <c r="AM851" t="n">
        <v>37.159413811</v>
      </c>
      <c r="AN851" t="n">
        <v>105.601802377</v>
      </c>
      <c r="AO851" t="n">
        <v/>
      </c>
      <c r="AP851" t="n">
        <v>43.369969633</v>
      </c>
      <c r="AQ851" t="n">
        <v/>
      </c>
      <c r="AR851" t="n">
        <v>69.942911509</v>
      </c>
      <c r="AS851" t="n">
        <v>28.397633531</v>
      </c>
      <c r="AT851" t="n">
        <v>61.035700185</v>
      </c>
      <c r="AU851" t="n">
        <v/>
      </c>
    </row>
    <row r="852">
      <c r="A852" s="105" t="n">
        <v>32813</v>
      </c>
      <c r="B852" t="n">
        <v>47.704451382</v>
      </c>
      <c r="C852" t="n">
        <v>62.649135719</v>
      </c>
      <c r="D852" t="n">
        <v>77.15325440300001</v>
      </c>
      <c r="E852" t="n">
        <v>69.875497763</v>
      </c>
      <c r="F852" t="n">
        <v/>
      </c>
      <c r="G852" t="n">
        <v/>
      </c>
      <c r="H852" t="n">
        <v/>
      </c>
      <c r="I852" t="n">
        <v>47.700476343</v>
      </c>
      <c r="J852" t="n">
        <v/>
      </c>
      <c r="K852" t="n">
        <v>69.937631573</v>
      </c>
      <c r="L852" t="n">
        <v>82.94974142300001</v>
      </c>
      <c r="M852" t="n">
        <v>78.07865413099999</v>
      </c>
      <c r="N852" t="n">
        <v>100.512550679</v>
      </c>
      <c r="O852" t="n">
        <v/>
      </c>
      <c r="P852" t="n">
        <v/>
      </c>
      <c r="Q852" t="n">
        <v>66.358474793</v>
      </c>
      <c r="R852" t="n">
        <v>91.75103389100001</v>
      </c>
      <c r="S852" t="n">
        <v>75.09030956700001</v>
      </c>
      <c r="T852" t="n">
        <v>82.45489918600001</v>
      </c>
      <c r="U852" t="n">
        <v/>
      </c>
      <c r="V852" t="n">
        <v>128.382345024</v>
      </c>
      <c r="W852" t="n">
        <v>42.63909657</v>
      </c>
      <c r="X852" t="n">
        <v/>
      </c>
      <c r="Y852" t="n">
        <v/>
      </c>
      <c r="Z852" t="n">
        <v>13.876349091</v>
      </c>
      <c r="AA852" t="n">
        <v/>
      </c>
      <c r="AB852" t="n">
        <v/>
      </c>
      <c r="AC852" t="n">
        <v>112.727523092</v>
      </c>
      <c r="AD852" t="n">
        <v>100.903151336</v>
      </c>
      <c r="AE852" t="n">
        <v>20.063437563</v>
      </c>
      <c r="AF852" t="n">
        <v>73.373725921</v>
      </c>
      <c r="AG852" t="n">
        <v/>
      </c>
      <c r="AH852" t="n">
        <v>62.753219539</v>
      </c>
      <c r="AI852" t="n">
        <v>77.07398291299999</v>
      </c>
      <c r="AJ852" t="n">
        <v>84.731600859</v>
      </c>
      <c r="AK852" t="n">
        <v/>
      </c>
      <c r="AL852" t="n">
        <v>66.04152705200001</v>
      </c>
      <c r="AM852" t="n">
        <v>35.425439153</v>
      </c>
      <c r="AN852" t="n">
        <v>105.282000027</v>
      </c>
      <c r="AO852" t="n">
        <v/>
      </c>
      <c r="AP852" t="n">
        <v>58.605301314</v>
      </c>
      <c r="AQ852" t="n">
        <v/>
      </c>
      <c r="AR852" t="n">
        <v>69.942911509</v>
      </c>
      <c r="AS852" t="n">
        <v>29.097575202</v>
      </c>
      <c r="AT852" t="n">
        <v>61.237785124</v>
      </c>
      <c r="AU852" t="n">
        <v/>
      </c>
    </row>
    <row r="853">
      <c r="A853" s="105" t="n">
        <v>32843</v>
      </c>
      <c r="B853" t="n">
        <v>48.828654342</v>
      </c>
      <c r="C853" t="n">
        <v>62.935919834</v>
      </c>
      <c r="D853" t="n">
        <v>78.59756680700001</v>
      </c>
      <c r="E853" t="n">
        <v>70.643329393</v>
      </c>
      <c r="F853" t="n">
        <v/>
      </c>
      <c r="G853" t="n">
        <v/>
      </c>
      <c r="H853" t="n">
        <v/>
      </c>
      <c r="I853" t="n">
        <v>48.824585627</v>
      </c>
      <c r="J853" t="n">
        <v/>
      </c>
      <c r="K853" t="n">
        <v>71.110460346</v>
      </c>
      <c r="L853" t="n">
        <v>86.324337202</v>
      </c>
      <c r="M853" t="n">
        <v>78.79304952699999</v>
      </c>
      <c r="N853" t="n">
        <v>100.611253475</v>
      </c>
      <c r="O853" t="n">
        <v/>
      </c>
      <c r="P853" t="n">
        <v/>
      </c>
      <c r="Q853" t="n">
        <v>65.768096903</v>
      </c>
      <c r="R853" t="n">
        <v>92.02601201500001</v>
      </c>
      <c r="S853" t="n">
        <v>75.60943537999999</v>
      </c>
      <c r="T853" t="n">
        <v>82.34877962500001</v>
      </c>
      <c r="U853" t="n">
        <v/>
      </c>
      <c r="V853" t="n">
        <v>128.37111112</v>
      </c>
      <c r="W853" t="n">
        <v>39.283448886</v>
      </c>
      <c r="X853" t="n">
        <v/>
      </c>
      <c r="Y853" t="n">
        <v/>
      </c>
      <c r="Z853" t="n">
        <v>14.168719494</v>
      </c>
      <c r="AA853" t="n">
        <v/>
      </c>
      <c r="AB853" t="n">
        <v/>
      </c>
      <c r="AC853" t="n">
        <v>113.55379813</v>
      </c>
      <c r="AD853" t="n">
        <v>101.51161255</v>
      </c>
      <c r="AE853" t="n">
        <v>19.957506002</v>
      </c>
      <c r="AF853" t="n">
        <v>73.39712158899999</v>
      </c>
      <c r="AG853" t="n">
        <v/>
      </c>
      <c r="AH853" t="n">
        <v>62.825515875</v>
      </c>
      <c r="AI853" t="n">
        <v>79.407415423</v>
      </c>
      <c r="AJ853" t="n">
        <v>83.96628317299999</v>
      </c>
      <c r="AK853" t="n">
        <v/>
      </c>
      <c r="AL853" t="n">
        <v>66.48657436000001</v>
      </c>
      <c r="AM853" t="n">
        <v>38.135488152</v>
      </c>
      <c r="AN853" t="n">
        <v>105.254604569</v>
      </c>
      <c r="AO853" t="n">
        <v/>
      </c>
      <c r="AP853" t="n">
        <v>62.523096606</v>
      </c>
      <c r="AQ853" t="n">
        <v/>
      </c>
      <c r="AR853" t="n">
        <v>70.690042035</v>
      </c>
      <c r="AS853" t="n">
        <v>29.497541872</v>
      </c>
      <c r="AT853" t="n">
        <v>61.588409434</v>
      </c>
      <c r="AU853" t="n">
        <v/>
      </c>
    </row>
    <row r="854">
      <c r="A854" s="105" t="n">
        <v>32874</v>
      </c>
      <c r="B854" t="n">
        <v>48.280599972</v>
      </c>
      <c r="C854" t="n">
        <v>64.09998477800001</v>
      </c>
      <c r="D854" t="n">
        <v>76.810198396</v>
      </c>
      <c r="E854" t="n">
        <v>69.05503630299999</v>
      </c>
      <c r="F854" t="n">
        <v/>
      </c>
      <c r="G854" t="n">
        <v/>
      </c>
      <c r="H854" t="n">
        <v/>
      </c>
      <c r="I854" t="n">
        <v>48.276576924</v>
      </c>
      <c r="J854" t="n">
        <v>68.266799972</v>
      </c>
      <c r="K854" t="n">
        <v>70.98700468600001</v>
      </c>
      <c r="L854" t="n">
        <v>83.058599351</v>
      </c>
      <c r="M854" t="n">
        <v>78.87877697499999</v>
      </c>
      <c r="N854" t="n">
        <v>100.965281928</v>
      </c>
      <c r="O854" t="n">
        <v/>
      </c>
      <c r="P854" t="n">
        <v/>
      </c>
      <c r="Q854" t="n">
        <v>68.910603377</v>
      </c>
      <c r="R854" t="n">
        <v>91.03924134</v>
      </c>
      <c r="S854" t="n">
        <v>74.980895444</v>
      </c>
      <c r="T854" t="n">
        <v>81.499823134</v>
      </c>
      <c r="U854" t="n">
        <v/>
      </c>
      <c r="V854" t="n">
        <v>126.899918757</v>
      </c>
      <c r="W854" t="n">
        <v>42.191676879</v>
      </c>
      <c r="X854" t="n">
        <v/>
      </c>
      <c r="Y854" t="n">
        <v/>
      </c>
      <c r="Z854" t="n">
        <v>13.430665022</v>
      </c>
      <c r="AA854" t="n">
        <v/>
      </c>
      <c r="AB854" t="n">
        <v>39.012998564</v>
      </c>
      <c r="AC854" t="n">
        <v>110.190817432</v>
      </c>
      <c r="AD854" t="n">
        <v>100.903151336</v>
      </c>
      <c r="AE854" t="n">
        <v>19.769</v>
      </c>
      <c r="AF854" t="n">
        <v>71.467489098</v>
      </c>
      <c r="AG854" t="n">
        <v/>
      </c>
      <c r="AH854" t="n">
        <v>64.994405951</v>
      </c>
      <c r="AI854" t="n">
        <v>76.629110469</v>
      </c>
      <c r="AJ854" t="n">
        <v>84.07561427100001</v>
      </c>
      <c r="AK854" t="n">
        <v/>
      </c>
      <c r="AL854" t="n">
        <v>66.12853777399999</v>
      </c>
      <c r="AM854" t="n">
        <v>31.307367425</v>
      </c>
      <c r="AN854" t="n">
        <v>106.924487196</v>
      </c>
      <c r="AO854" t="n">
        <v/>
      </c>
      <c r="AP854" t="n">
        <v>43.164036314</v>
      </c>
      <c r="AQ854" t="n">
        <v/>
      </c>
      <c r="AR854" t="n">
        <v>69.74054075799999</v>
      </c>
      <c r="AS854" t="n">
        <v>29.897508541</v>
      </c>
      <c r="AT854" t="n">
        <v>61.258211766</v>
      </c>
      <c r="AU854" t="n">
        <v/>
      </c>
    </row>
    <row r="855">
      <c r="A855" s="105" t="n">
        <v>32905</v>
      </c>
      <c r="B855" t="n">
        <v>49.630366297</v>
      </c>
      <c r="C855" t="n">
        <v>63.391017714</v>
      </c>
      <c r="D855" t="n">
        <v>76.098024783</v>
      </c>
      <c r="E855" t="n">
        <v>69.41451684</v>
      </c>
      <c r="F855" t="n">
        <v/>
      </c>
      <c r="G855" t="n">
        <v/>
      </c>
      <c r="H855" t="n">
        <v/>
      </c>
      <c r="I855" t="n">
        <v>49.626230778</v>
      </c>
      <c r="J855" t="n">
        <v>65.450760902</v>
      </c>
      <c r="K855" t="n">
        <v>70.678365535</v>
      </c>
      <c r="L855" t="n">
        <v>82.405451781</v>
      </c>
      <c r="M855" t="n">
        <v>79.80272835300001</v>
      </c>
      <c r="N855" t="n">
        <v>98.43973781699999</v>
      </c>
      <c r="O855" t="n">
        <v/>
      </c>
      <c r="P855" t="n">
        <v/>
      </c>
      <c r="Q855" t="n">
        <v>68.83229587300001</v>
      </c>
      <c r="R855" t="n">
        <v>92.519229006</v>
      </c>
      <c r="S855" t="n">
        <v>75.376849197</v>
      </c>
      <c r="T855" t="n">
        <v>80.969225327</v>
      </c>
      <c r="U855" t="n">
        <v/>
      </c>
      <c r="V855" t="n">
        <v>131.795520294</v>
      </c>
      <c r="W855" t="n">
        <v>40.715191898</v>
      </c>
      <c r="X855" t="n">
        <v/>
      </c>
      <c r="Y855" t="n">
        <v/>
      </c>
      <c r="Z855" t="n">
        <v>13.668375908</v>
      </c>
      <c r="AA855" t="n">
        <v/>
      </c>
      <c r="AB855" t="n">
        <v>39.223122434</v>
      </c>
      <c r="AC855" t="n">
        <v>110.790767436</v>
      </c>
      <c r="AD855" t="n">
        <v>101.410202348</v>
      </c>
      <c r="AE855" t="n">
        <v>20.231</v>
      </c>
      <c r="AF855" t="n">
        <v>74.510870884</v>
      </c>
      <c r="AG855" t="n">
        <v/>
      </c>
      <c r="AH855" t="n">
        <v>64.4883316</v>
      </c>
      <c r="AI855" t="n">
        <v>73.005802429</v>
      </c>
      <c r="AJ855" t="n">
        <v>84.84093195600001</v>
      </c>
      <c r="AK855" t="n">
        <v/>
      </c>
      <c r="AL855" t="n">
        <v>66.272342162</v>
      </c>
      <c r="AM855" t="n">
        <v>28.80538627</v>
      </c>
      <c r="AN855" t="n">
        <v>105.685188588</v>
      </c>
      <c r="AO855" t="n">
        <v/>
      </c>
      <c r="AP855" t="n">
        <v>45.451014653</v>
      </c>
      <c r="AQ855" t="n">
        <v/>
      </c>
      <c r="AR855" t="n">
        <v>69.74054075799999</v>
      </c>
      <c r="AS855" t="n">
        <v>30.997416882</v>
      </c>
      <c r="AT855" t="n">
        <v>61.817961266</v>
      </c>
      <c r="AU855" t="n">
        <v/>
      </c>
    </row>
    <row r="856">
      <c r="A856" s="105" t="n">
        <v>32933</v>
      </c>
      <c r="B856" t="n">
        <v>49.828272809</v>
      </c>
      <c r="C856" t="n">
        <v>65.017121323</v>
      </c>
      <c r="D856" t="n">
        <v>70.201773715</v>
      </c>
      <c r="E856" t="n">
        <v>69.753321371</v>
      </c>
      <c r="F856" t="n">
        <v/>
      </c>
      <c r="G856" t="n">
        <v/>
      </c>
      <c r="H856" t="n">
        <v/>
      </c>
      <c r="I856" t="n">
        <v>49.824120799</v>
      </c>
      <c r="J856" t="n">
        <v>79.936901214</v>
      </c>
      <c r="K856" t="n">
        <v>71.357371667</v>
      </c>
      <c r="L856" t="n">
        <v>83.60288899299999</v>
      </c>
      <c r="M856" t="n">
        <v>79.574121827</v>
      </c>
      <c r="N856" t="n">
        <v>99.46582626199999</v>
      </c>
      <c r="O856" t="n">
        <v/>
      </c>
      <c r="P856" t="n">
        <v/>
      </c>
      <c r="Q856" t="n">
        <v>68.429571567</v>
      </c>
      <c r="R856" t="n">
        <v>92.09923250600001</v>
      </c>
      <c r="S856" t="n">
        <v>75.99942522800001</v>
      </c>
      <c r="T856" t="n">
        <v>82.136540502</v>
      </c>
      <c r="U856" t="n">
        <v/>
      </c>
      <c r="V856" t="n">
        <v>126.406827357</v>
      </c>
      <c r="W856" t="n">
        <v>40.401998114</v>
      </c>
      <c r="X856" t="n">
        <v/>
      </c>
      <c r="Y856" t="n">
        <v/>
      </c>
      <c r="Z856" t="n">
        <v>14.143797678</v>
      </c>
      <c r="AA856" t="n">
        <v/>
      </c>
      <c r="AB856" t="n">
        <v>38.872915984</v>
      </c>
      <c r="AC856" t="n">
        <v>111.190734105</v>
      </c>
      <c r="AD856" t="n">
        <v>103.23558599</v>
      </c>
      <c r="AE856" t="n">
        <v>20.767</v>
      </c>
      <c r="AF856" t="n">
        <v>70.42984461899999</v>
      </c>
      <c r="AG856" t="n">
        <v/>
      </c>
      <c r="AH856" t="n">
        <v>66.36803633300001</v>
      </c>
      <c r="AI856" t="n">
        <v>74.701818958</v>
      </c>
      <c r="AJ856" t="n">
        <v>83.747620978</v>
      </c>
      <c r="AK856" t="n">
        <v/>
      </c>
      <c r="AL856" t="n">
        <v>67.061300993</v>
      </c>
      <c r="AM856" t="n">
        <v>28.819113773</v>
      </c>
      <c r="AN856" t="n">
        <v>108.609181664</v>
      </c>
      <c r="AO856" t="n">
        <v/>
      </c>
      <c r="AP856" t="n">
        <v>44.780693843</v>
      </c>
      <c r="AQ856" t="n">
        <v/>
      </c>
      <c r="AR856" t="n">
        <v>70.347860416</v>
      </c>
      <c r="AS856" t="n">
        <v>31.997333556</v>
      </c>
      <c r="AT856" t="n">
        <v>62.117419811</v>
      </c>
      <c r="AU856" t="n">
        <v/>
      </c>
    </row>
    <row r="857">
      <c r="A857" s="105" t="n">
        <v>32964</v>
      </c>
      <c r="B857" t="n">
        <v>49.339299936</v>
      </c>
      <c r="C857" t="n">
        <v>62.145929496</v>
      </c>
      <c r="D857" t="n">
        <v>53.528997338</v>
      </c>
      <c r="E857" t="n">
        <v>69.218564704</v>
      </c>
      <c r="F857" t="n">
        <v/>
      </c>
      <c r="G857" t="n">
        <v/>
      </c>
      <c r="H857" t="n">
        <v/>
      </c>
      <c r="I857" t="n">
        <v>49.33518867</v>
      </c>
      <c r="J857" t="n">
        <v>71.758274038</v>
      </c>
      <c r="K857" t="n">
        <v>70.12281506399999</v>
      </c>
      <c r="L857" t="n">
        <v>82.296593852</v>
      </c>
      <c r="M857" t="n">
        <v>79.897981073</v>
      </c>
      <c r="N857" t="n">
        <v>100.818475315</v>
      </c>
      <c r="O857" t="n">
        <v/>
      </c>
      <c r="P857" t="n">
        <v/>
      </c>
      <c r="Q857" t="n">
        <v>67.769551178</v>
      </c>
      <c r="R857" t="n">
        <v>92.53922884000001</v>
      </c>
      <c r="S857" t="n">
        <v>75.875301463</v>
      </c>
      <c r="T857" t="n">
        <v>82.66713830899999</v>
      </c>
      <c r="U857" t="n">
        <v/>
      </c>
      <c r="V857" t="n">
        <v>124.778747723</v>
      </c>
      <c r="W857" t="n">
        <v>40.401998114</v>
      </c>
      <c r="X857" t="n">
        <v/>
      </c>
      <c r="Y857" t="n">
        <v/>
      </c>
      <c r="Z857" t="n">
        <v>13.371237301</v>
      </c>
      <c r="AA857" t="n">
        <v/>
      </c>
      <c r="AB857" t="n">
        <v>39.293163725</v>
      </c>
      <c r="AC857" t="n">
        <v>112.090659112</v>
      </c>
      <c r="AD857" t="n">
        <v>103.438406395</v>
      </c>
      <c r="AE857" t="n">
        <v>20.702</v>
      </c>
      <c r="AF857" t="n">
        <v>73.69691994</v>
      </c>
      <c r="AG857" t="n">
        <v/>
      </c>
      <c r="AH857" t="n">
        <v>65.789665646</v>
      </c>
      <c r="AI857" t="n">
        <v>76.93747711100001</v>
      </c>
      <c r="AJ857" t="n">
        <v>83.31029658600001</v>
      </c>
      <c r="AK857" t="n">
        <v/>
      </c>
      <c r="AL857" t="n">
        <v>66.887337067</v>
      </c>
      <c r="AM857" t="n">
        <v>28.535465851</v>
      </c>
      <c r="AN857" t="n">
        <v>111.531212921</v>
      </c>
      <c r="AO857" t="n">
        <v/>
      </c>
      <c r="AP857" t="n">
        <v>48.46883346</v>
      </c>
      <c r="AQ857" t="n">
        <v/>
      </c>
      <c r="AR857" t="n">
        <v>70.14542053</v>
      </c>
      <c r="AS857" t="n">
        <v>32.19731689</v>
      </c>
      <c r="AT857" t="n">
        <v>61.984349159</v>
      </c>
      <c r="AU857" t="n">
        <v/>
      </c>
    </row>
    <row r="858">
      <c r="A858" s="105" t="n">
        <v>32994</v>
      </c>
      <c r="B858" t="n">
        <v>48.811863299</v>
      </c>
      <c r="C858" t="n">
        <v>63.571595044</v>
      </c>
      <c r="D858" t="n">
        <v>66.99550443</v>
      </c>
      <c r="E858" t="n">
        <v>69.365646283</v>
      </c>
      <c r="F858" t="n">
        <v/>
      </c>
      <c r="G858" t="n">
        <v/>
      </c>
      <c r="H858" t="n">
        <v/>
      </c>
      <c r="I858" t="n">
        <v>48.807795983</v>
      </c>
      <c r="J858" t="n">
        <v>73.778297159</v>
      </c>
      <c r="K858" t="n">
        <v>71.912922138</v>
      </c>
      <c r="L858" t="n">
        <v>80.88144078400001</v>
      </c>
      <c r="M858" t="n">
        <v>79.878930529</v>
      </c>
      <c r="N858" t="n">
        <v>99.75499551199999</v>
      </c>
      <c r="O858" t="n">
        <v/>
      </c>
      <c r="P858" t="n">
        <v/>
      </c>
      <c r="Q858" t="n">
        <v>68.530252644</v>
      </c>
      <c r="R858" t="n">
        <v>92.79922667300001</v>
      </c>
      <c r="S858" t="n">
        <v>76.233726881</v>
      </c>
      <c r="T858" t="n">
        <v>82.136540502</v>
      </c>
      <c r="U858" t="n">
        <v/>
      </c>
      <c r="V858" t="n">
        <v>128.468294908</v>
      </c>
      <c r="W858" t="n">
        <v>40.223030238</v>
      </c>
      <c r="X858" t="n">
        <v/>
      </c>
      <c r="Y858" t="n">
        <v/>
      </c>
      <c r="Z858" t="n">
        <v>13.78723135</v>
      </c>
      <c r="AA858" t="n">
        <v/>
      </c>
      <c r="AB858" t="n">
        <v>40.413824366</v>
      </c>
      <c r="AC858" t="n">
        <v>110.790767436</v>
      </c>
      <c r="AD858" t="n">
        <v>104.148277811</v>
      </c>
      <c r="AE858" t="n">
        <v>20.37</v>
      </c>
      <c r="AF858" t="n">
        <v>72.79539281300001</v>
      </c>
      <c r="AG858" t="n">
        <v/>
      </c>
      <c r="AH858" t="n">
        <v>66.729518012</v>
      </c>
      <c r="AI858" t="n">
        <v>76.01237718599999</v>
      </c>
      <c r="AJ858" t="n">
        <v>86.590229523</v>
      </c>
      <c r="AK858" t="n">
        <v/>
      </c>
      <c r="AL858" t="n">
        <v>67.09652965399999</v>
      </c>
      <c r="AM858" t="n">
        <v>28.872945334</v>
      </c>
      <c r="AN858" t="n">
        <v>110.759239112</v>
      </c>
      <c r="AO858" t="n">
        <v/>
      </c>
      <c r="AP858" t="n">
        <v>48.156323228</v>
      </c>
      <c r="AQ858" t="n">
        <v/>
      </c>
      <c r="AR858" t="n">
        <v>70.347860416</v>
      </c>
      <c r="AS858" t="n">
        <v>30.397466878</v>
      </c>
      <c r="AT858" t="n">
        <v>62.162239434</v>
      </c>
      <c r="AU858" t="n">
        <v/>
      </c>
    </row>
    <row r="859">
      <c r="A859" s="105" t="n">
        <v>33025</v>
      </c>
      <c r="B859" t="n">
        <v>50.676350255</v>
      </c>
      <c r="C859" t="n">
        <v>63.99870057</v>
      </c>
      <c r="D859" t="n">
        <v>66.776346307</v>
      </c>
      <c r="E859" t="n">
        <v>69.468086488</v>
      </c>
      <c r="F859" t="n">
        <v/>
      </c>
      <c r="G859" t="n">
        <v/>
      </c>
      <c r="H859" t="n">
        <v/>
      </c>
      <c r="I859" t="n">
        <v>50.672127578</v>
      </c>
      <c r="J859" t="n">
        <v>77.14590988800001</v>
      </c>
      <c r="K859" t="n">
        <v>71.912922138</v>
      </c>
      <c r="L859" t="n">
        <v>80.010577357</v>
      </c>
      <c r="M859" t="n">
        <v>79.364565844</v>
      </c>
      <c r="N859" t="n">
        <v>102.361814373</v>
      </c>
      <c r="O859" t="n">
        <v/>
      </c>
      <c r="P859" t="n">
        <v/>
      </c>
      <c r="Q859" t="n">
        <v>67.266145796</v>
      </c>
      <c r="R859" t="n">
        <v>91.42923809</v>
      </c>
      <c r="S859" t="n">
        <v>76.34937732</v>
      </c>
      <c r="T859" t="n">
        <v>83.409975239</v>
      </c>
      <c r="U859" t="n">
        <v/>
      </c>
      <c r="V859" t="n">
        <v>126.706568873</v>
      </c>
      <c r="W859" t="n">
        <v>39.730868578</v>
      </c>
      <c r="X859" t="n">
        <v/>
      </c>
      <c r="Y859" t="n">
        <v/>
      </c>
      <c r="Z859" t="n">
        <v>14.2032254</v>
      </c>
      <c r="AA859" t="n">
        <v/>
      </c>
      <c r="AB859" t="n">
        <v>39.363205015</v>
      </c>
      <c r="AC859" t="n">
        <v>109.690859095</v>
      </c>
      <c r="AD859" t="n">
        <v>104.452508418</v>
      </c>
      <c r="AE859" t="n">
        <v>20.767</v>
      </c>
      <c r="AF859" t="n">
        <v>78.39294268499999</v>
      </c>
      <c r="AG859" t="n">
        <v/>
      </c>
      <c r="AH859" t="n">
        <v>66.874110684</v>
      </c>
      <c r="AI859" t="n">
        <v>77.245843752</v>
      </c>
      <c r="AJ859" t="n">
        <v>87.90220269700001</v>
      </c>
      <c r="AK859" t="n">
        <v/>
      </c>
      <c r="AL859" t="n">
        <v>67.338973756</v>
      </c>
      <c r="AM859" t="n">
        <v>28.528777702</v>
      </c>
      <c r="AN859" t="n">
        <v>110.763502251</v>
      </c>
      <c r="AO859" t="n">
        <v/>
      </c>
      <c r="AP859" t="n">
        <v>45.515764837</v>
      </c>
      <c r="AQ859" t="n">
        <v/>
      </c>
      <c r="AR859" t="n">
        <v>70.44908035900001</v>
      </c>
      <c r="AS859" t="n">
        <v>31.197400217</v>
      </c>
      <c r="AT859" t="n">
        <v>62.363035313</v>
      </c>
      <c r="AU859" t="n">
        <v/>
      </c>
    </row>
    <row r="860">
      <c r="A860" s="105" t="n">
        <v>33055</v>
      </c>
      <c r="B860" t="n">
        <v>49.412607294</v>
      </c>
      <c r="C860" t="n">
        <v>61.36291522</v>
      </c>
      <c r="D860" t="n">
        <v>70.523941068</v>
      </c>
      <c r="E860" t="n">
        <v>69.53152423</v>
      </c>
      <c r="F860" t="n">
        <v/>
      </c>
      <c r="G860" t="n">
        <v/>
      </c>
      <c r="H860" t="n">
        <v/>
      </c>
      <c r="I860" t="n">
        <v>49.40848992</v>
      </c>
      <c r="J860" t="n">
        <v>78.18650401399999</v>
      </c>
      <c r="K860" t="n">
        <v>72.59192827</v>
      </c>
      <c r="L860" t="n">
        <v>82.18773592399999</v>
      </c>
      <c r="M860" t="n">
        <v>79.669374546</v>
      </c>
      <c r="N860" t="n">
        <v>99.311249457</v>
      </c>
      <c r="O860" t="n">
        <v/>
      </c>
      <c r="P860" t="n">
        <v/>
      </c>
      <c r="Q860" t="n">
        <v>66.22577467399999</v>
      </c>
      <c r="R860" t="n">
        <v>91.469237756</v>
      </c>
      <c r="S860" t="n">
        <v>76.415196642</v>
      </c>
      <c r="T860" t="n">
        <v>81.393703573</v>
      </c>
      <c r="U860" t="n">
        <v/>
      </c>
      <c r="V860" t="n">
        <v>128.299968372</v>
      </c>
      <c r="W860" t="n">
        <v>37.851705875</v>
      </c>
      <c r="X860" t="n">
        <v/>
      </c>
      <c r="Y860" t="n">
        <v/>
      </c>
      <c r="Z860" t="n">
        <v>14.262653121</v>
      </c>
      <c r="AA860" t="n">
        <v/>
      </c>
      <c r="AB860" t="n">
        <v>39.713411465</v>
      </c>
      <c r="AC860" t="n">
        <v>109.990834097</v>
      </c>
      <c r="AD860" t="n">
        <v>105.365200239</v>
      </c>
      <c r="AE860" t="n">
        <v>21.433</v>
      </c>
      <c r="AF860" t="n">
        <v>75.092902057</v>
      </c>
      <c r="AG860" t="n">
        <v/>
      </c>
      <c r="AH860" t="n">
        <v>67.813963051</v>
      </c>
      <c r="AI860" t="n">
        <v>77.400027073</v>
      </c>
      <c r="AJ860" t="n">
        <v>79.48370816000001</v>
      </c>
      <c r="AK860" t="n">
        <v/>
      </c>
      <c r="AL860" t="n">
        <v>67.383431696</v>
      </c>
      <c r="AM860" t="n">
        <v>29.6354894</v>
      </c>
      <c r="AN860" t="n">
        <v>113.551020754</v>
      </c>
      <c r="AO860" t="n">
        <v/>
      </c>
      <c r="AP860" t="n">
        <v>52.184372916</v>
      </c>
      <c r="AQ860" t="n">
        <v/>
      </c>
      <c r="AR860" t="n">
        <v>68.62712138400001</v>
      </c>
      <c r="AS860" t="n">
        <v>30.597450212</v>
      </c>
      <c r="AT860" t="n">
        <v>62.264868439</v>
      </c>
      <c r="AU860" t="n">
        <v/>
      </c>
    </row>
    <row r="861">
      <c r="A861" s="105" t="n">
        <v>33086</v>
      </c>
      <c r="B861" t="n">
        <v>49.383596084</v>
      </c>
      <c r="C861" t="n">
        <v>64.21094100000001</v>
      </c>
      <c r="D861" t="n">
        <v>72.18849338299999</v>
      </c>
      <c r="E861" t="n">
        <v>68.47422853400001</v>
      </c>
      <c r="F861" t="n">
        <v/>
      </c>
      <c r="G861" t="n">
        <v/>
      </c>
      <c r="H861" t="n">
        <v/>
      </c>
      <c r="I861" t="n">
        <v>49.379481127</v>
      </c>
      <c r="J861" t="n">
        <v>75.47033777</v>
      </c>
      <c r="K861" t="n">
        <v>73.024023081</v>
      </c>
      <c r="L861" t="n">
        <v>84.038320707</v>
      </c>
      <c r="M861" t="n">
        <v>80.202789775</v>
      </c>
      <c r="N861" t="n">
        <v>98.019142945</v>
      </c>
      <c r="O861" t="n">
        <v/>
      </c>
      <c r="P861" t="n">
        <v/>
      </c>
      <c r="Q861" t="n">
        <v>67.501068307</v>
      </c>
      <c r="R861" t="n">
        <v>90.92924225599999</v>
      </c>
      <c r="S861" t="n">
        <v>76.72773137900001</v>
      </c>
      <c r="T861" t="n">
        <v>81.499823134</v>
      </c>
      <c r="U861" t="n">
        <v/>
      </c>
      <c r="V861" t="n">
        <v>121.971635044</v>
      </c>
      <c r="W861" t="n">
        <v>39.775610547</v>
      </c>
      <c r="X861" t="n">
        <v/>
      </c>
      <c r="Y861" t="n">
        <v/>
      </c>
      <c r="Z861" t="n">
        <v>14.2032254</v>
      </c>
      <c r="AA861" t="n">
        <v/>
      </c>
      <c r="AB861" t="n">
        <v>39.993576625</v>
      </c>
      <c r="AC861" t="n">
        <v>111.190734105</v>
      </c>
      <c r="AD861" t="n">
        <v>106.277892061</v>
      </c>
      <c r="AE861" t="n">
        <v>21.969</v>
      </c>
      <c r="AF861" t="n">
        <v>75.334382511</v>
      </c>
      <c r="AG861" t="n">
        <v/>
      </c>
      <c r="AH861" t="n">
        <v>67.813963051</v>
      </c>
      <c r="AI861" t="n">
        <v>78.170943678</v>
      </c>
      <c r="AJ861" t="n">
        <v>88.77685148</v>
      </c>
      <c r="AK861" t="n">
        <v/>
      </c>
      <c r="AL861" t="n">
        <v>67.666415782</v>
      </c>
      <c r="AM861" t="n">
        <v>29.811539833</v>
      </c>
      <c r="AN861" t="n">
        <v>116.206026264</v>
      </c>
      <c r="AO861" t="n">
        <v/>
      </c>
      <c r="AP861" t="n">
        <v>48.099857874</v>
      </c>
      <c r="AQ861" t="n">
        <v/>
      </c>
      <c r="AR861" t="n">
        <v>70.246640473</v>
      </c>
      <c r="AS861" t="n">
        <v>30.29747521</v>
      </c>
      <c r="AT861" t="n">
        <v>62.493726162</v>
      </c>
      <c r="AU861" t="n">
        <v/>
      </c>
    </row>
    <row r="862">
      <c r="A862" s="105" t="n">
        <v>33117</v>
      </c>
      <c r="B862" t="n">
        <v>50.663163704</v>
      </c>
      <c r="C862" t="n">
        <v>63.445649754</v>
      </c>
      <c r="D862" t="n">
        <v>72.753886161</v>
      </c>
      <c r="E862" t="n">
        <v>67.27830962500001</v>
      </c>
      <c r="F862" t="n">
        <v/>
      </c>
      <c r="G862" t="n">
        <v/>
      </c>
      <c r="H862" t="n">
        <v/>
      </c>
      <c r="I862" t="n">
        <v>50.658942126</v>
      </c>
      <c r="J862" t="n">
        <v>73.72785509800001</v>
      </c>
      <c r="K862" t="n">
        <v>73.70302921299999</v>
      </c>
      <c r="L862" t="n">
        <v>81.75230421099999</v>
      </c>
      <c r="M862" t="n">
        <v>80.60285119700001</v>
      </c>
      <c r="N862" t="n">
        <v>101.426770809</v>
      </c>
      <c r="O862" t="n">
        <v/>
      </c>
      <c r="P862" t="n">
        <v/>
      </c>
      <c r="Q862" t="n">
        <v>66.841047918</v>
      </c>
      <c r="R862" t="n">
        <v>91.719235673</v>
      </c>
      <c r="S862" t="n">
        <v>76.623689351</v>
      </c>
      <c r="T862" t="n">
        <v>81.07534488899999</v>
      </c>
      <c r="U862" t="n">
        <v/>
      </c>
      <c r="V862" t="n">
        <v>105.872565599</v>
      </c>
      <c r="W862" t="n">
        <v>38.970255103</v>
      </c>
      <c r="X862" t="n">
        <v/>
      </c>
      <c r="Y862" t="n">
        <v/>
      </c>
      <c r="Z862" t="n">
        <v>14.381508564</v>
      </c>
      <c r="AA862" t="n">
        <v/>
      </c>
      <c r="AB862" t="n">
        <v>40.764030816</v>
      </c>
      <c r="AC862" t="n">
        <v>110.890759103</v>
      </c>
      <c r="AD862" t="n">
        <v>105.365200239</v>
      </c>
      <c r="AE862" t="n">
        <v>21.904</v>
      </c>
      <c r="AF862" t="n">
        <v>72.13737232299999</v>
      </c>
      <c r="AG862" t="n">
        <v/>
      </c>
      <c r="AH862" t="n">
        <v>68.103148394</v>
      </c>
      <c r="AI862" t="n">
        <v>79.404410244</v>
      </c>
      <c r="AJ862" t="n">
        <v>87.355547208</v>
      </c>
      <c r="AK862" t="n">
        <v/>
      </c>
      <c r="AL862" t="n">
        <v>67.712825392</v>
      </c>
      <c r="AM862" t="n">
        <v>29.684502526</v>
      </c>
      <c r="AN862" t="n">
        <v>113.229512757</v>
      </c>
      <c r="AO862" t="n">
        <v/>
      </c>
      <c r="AP862" t="n">
        <v>43.156910434</v>
      </c>
      <c r="AQ862" t="n">
        <v/>
      </c>
      <c r="AR862" t="n">
        <v>70.347860416</v>
      </c>
      <c r="AS862" t="n">
        <v>32.997250229</v>
      </c>
      <c r="AT862" t="n">
        <v>62.502352948</v>
      </c>
      <c r="AU862" t="n">
        <v/>
      </c>
    </row>
    <row r="863">
      <c r="A863" s="105" t="n">
        <v>33147</v>
      </c>
      <c r="B863" t="n">
        <v>49.921732885</v>
      </c>
      <c r="C863" t="n">
        <v>65.063529976</v>
      </c>
      <c r="D863" t="n">
        <v>71.46441310199999</v>
      </c>
      <c r="E863" t="n">
        <v>67.31026344999999</v>
      </c>
      <c r="F863" t="n">
        <v/>
      </c>
      <c r="G863" t="n">
        <v/>
      </c>
      <c r="H863" t="n">
        <v/>
      </c>
      <c r="I863" t="n">
        <v>49.917573087</v>
      </c>
      <c r="J863" t="n">
        <v>73.501656536</v>
      </c>
      <c r="K863" t="n">
        <v>73.826484873</v>
      </c>
      <c r="L863" t="n">
        <v>83.276315208</v>
      </c>
      <c r="M863" t="n">
        <v>80.76478082</v>
      </c>
      <c r="N863" t="n">
        <v>97.37074940799999</v>
      </c>
      <c r="O863" t="n">
        <v/>
      </c>
      <c r="P863" t="n">
        <v/>
      </c>
      <c r="Q863" t="n">
        <v>66.852234704</v>
      </c>
      <c r="R863" t="n">
        <v>91.39923834</v>
      </c>
      <c r="S863" t="n">
        <v>76.72438850499999</v>
      </c>
      <c r="T863" t="n">
        <v>80.969225327</v>
      </c>
      <c r="U863" t="n">
        <v/>
      </c>
      <c r="V863" t="n">
        <v>128.859173427</v>
      </c>
      <c r="W863" t="n">
        <v>38.478093442</v>
      </c>
      <c r="X863" t="n">
        <v/>
      </c>
      <c r="Y863" t="n">
        <v/>
      </c>
      <c r="Z863" t="n">
        <v>14.084369957</v>
      </c>
      <c r="AA863" t="n">
        <v/>
      </c>
      <c r="AB863" t="n">
        <v>40.553906946</v>
      </c>
      <c r="AC863" t="n">
        <v>110.290809099</v>
      </c>
      <c r="AD863" t="n">
        <v>107.494814489</v>
      </c>
      <c r="AE863" t="n">
        <v>21.904</v>
      </c>
      <c r="AF863" t="n">
        <v>71.38627292300001</v>
      </c>
      <c r="AG863" t="n">
        <v/>
      </c>
      <c r="AH863" t="n">
        <v>68.103148394</v>
      </c>
      <c r="AI863" t="n">
        <v>77.322935413</v>
      </c>
      <c r="AJ863" t="n">
        <v>88.66752038200001</v>
      </c>
      <c r="AK863" t="n">
        <v/>
      </c>
      <c r="AL863" t="n">
        <v>67.81082526599999</v>
      </c>
      <c r="AM863" t="n">
        <v>29.978947368</v>
      </c>
      <c r="AN863" t="n">
        <v>113.668448852</v>
      </c>
      <c r="AO863" t="n">
        <v/>
      </c>
      <c r="AP863" t="n">
        <v>55.871395989</v>
      </c>
      <c r="AQ863" t="n">
        <v/>
      </c>
      <c r="AR863" t="n">
        <v>70.347860416</v>
      </c>
      <c r="AS863" t="n">
        <v>32.797266894</v>
      </c>
      <c r="AT863" t="n">
        <v>62.11940298</v>
      </c>
      <c r="AU863" t="n">
        <v/>
      </c>
    </row>
    <row r="864">
      <c r="A864" s="105" t="n">
        <v>33178</v>
      </c>
      <c r="B864" t="n">
        <v>49.304466185</v>
      </c>
      <c r="C864" t="n">
        <v>64.345943914</v>
      </c>
      <c r="D864" t="n">
        <v>69.854908366</v>
      </c>
      <c r="E864" t="n">
        <v>66.544781367</v>
      </c>
      <c r="F864" t="n">
        <v/>
      </c>
      <c r="G864" t="n">
        <v/>
      </c>
      <c r="H864" t="n">
        <v/>
      </c>
      <c r="I864" t="n">
        <v>49.300357822</v>
      </c>
      <c r="J864" t="n">
        <v>72.175268983</v>
      </c>
      <c r="K864" t="n">
        <v>73.826484873</v>
      </c>
      <c r="L864" t="n">
        <v>84.147178635</v>
      </c>
      <c r="M864" t="n">
        <v>80.002759064</v>
      </c>
      <c r="N864" t="n">
        <v>100.527112647</v>
      </c>
      <c r="O864" t="n">
        <v/>
      </c>
      <c r="P864" t="n">
        <v/>
      </c>
      <c r="Q864" t="n">
        <v>66.606125406</v>
      </c>
      <c r="R864" t="n">
        <v>90.36924692300001</v>
      </c>
      <c r="S864" t="n">
        <v>76.031311868</v>
      </c>
      <c r="T864" t="n">
        <v>80.544747082</v>
      </c>
      <c r="U864" t="n">
        <v/>
      </c>
      <c r="V864" t="n">
        <v>123.790271346</v>
      </c>
      <c r="W864" t="n">
        <v>41.028385682</v>
      </c>
      <c r="X864" t="n">
        <v/>
      </c>
      <c r="Y864" t="n">
        <v/>
      </c>
      <c r="Z864" t="n">
        <v>14.084369957</v>
      </c>
      <c r="AA864" t="n">
        <v/>
      </c>
      <c r="AB864" t="n">
        <v>40.974154686</v>
      </c>
      <c r="AC864" t="n">
        <v>108.690942421</v>
      </c>
      <c r="AD864" t="n">
        <v>106.784943072</v>
      </c>
      <c r="AE864" t="n">
        <v>21.969</v>
      </c>
      <c r="AF864" t="n">
        <v>71.059450493</v>
      </c>
      <c r="AG864" t="n">
        <v/>
      </c>
      <c r="AH864" t="n">
        <v>67.813963051</v>
      </c>
      <c r="AI864" t="n">
        <v>78.093852017</v>
      </c>
      <c r="AJ864" t="n">
        <v>89.104844774</v>
      </c>
      <c r="AK864" t="n">
        <v/>
      </c>
      <c r="AL864" t="n">
        <v>67.336535673</v>
      </c>
      <c r="AM864" t="n">
        <v>29.893036387</v>
      </c>
      <c r="AN864" t="n">
        <v>113.963815489</v>
      </c>
      <c r="AO864" t="n">
        <v/>
      </c>
      <c r="AP864" t="n">
        <v>39.207569693</v>
      </c>
      <c r="AQ864" t="n">
        <v/>
      </c>
      <c r="AR864" t="n">
        <v>70.14542053</v>
      </c>
      <c r="AS864" t="n">
        <v>33.197233564</v>
      </c>
      <c r="AT864" t="n">
        <v>61.347454379</v>
      </c>
      <c r="AU864" t="n">
        <v/>
      </c>
    </row>
    <row r="865">
      <c r="A865" s="105" t="n">
        <v>33208</v>
      </c>
      <c r="B865" t="n">
        <v>52.062477262</v>
      </c>
      <c r="C865" t="n">
        <v>63.533185977</v>
      </c>
      <c r="D865" t="n">
        <v>65.574117335</v>
      </c>
      <c r="E865" t="n">
        <v>66.011434427</v>
      </c>
      <c r="F865" t="n">
        <v/>
      </c>
      <c r="G865" t="n">
        <v/>
      </c>
      <c r="H865" t="n">
        <v/>
      </c>
      <c r="I865" t="n">
        <v>52.058139084</v>
      </c>
      <c r="J865" t="n">
        <v>89.358563756</v>
      </c>
      <c r="K865" t="n">
        <v>74.13512402400001</v>
      </c>
      <c r="L865" t="n">
        <v>82.840883494</v>
      </c>
      <c r="M865" t="n">
        <v>80.840982995</v>
      </c>
      <c r="N865" t="n">
        <v>100.036564991</v>
      </c>
      <c r="O865" t="n">
        <v/>
      </c>
      <c r="P865" t="n">
        <v/>
      </c>
      <c r="Q865" t="n">
        <v>65.230150696</v>
      </c>
      <c r="R865" t="n">
        <v>91.509237423</v>
      </c>
      <c r="S865" t="n">
        <v>75.973429954</v>
      </c>
      <c r="T865" t="n">
        <v>80.12026883599999</v>
      </c>
      <c r="U865" t="n">
        <v/>
      </c>
      <c r="V865" t="n">
        <v>128.994122828</v>
      </c>
      <c r="W865" t="n">
        <v>37.896447844</v>
      </c>
      <c r="X865" t="n">
        <v/>
      </c>
      <c r="Y865" t="n">
        <v/>
      </c>
      <c r="Z865" t="n">
        <v>14.559791728</v>
      </c>
      <c r="AA865" t="n">
        <v/>
      </c>
      <c r="AB865" t="n">
        <v>41.184278556</v>
      </c>
      <c r="AC865" t="n">
        <v>110.490792434</v>
      </c>
      <c r="AD865" t="n">
        <v>106.886353275</v>
      </c>
      <c r="AE865" t="n">
        <v>22.366</v>
      </c>
      <c r="AF865" t="n">
        <v>71.112454649</v>
      </c>
      <c r="AG865" t="n">
        <v/>
      </c>
      <c r="AH865" t="n">
        <v>66.94640702</v>
      </c>
      <c r="AI865" t="n">
        <v>80.175326849</v>
      </c>
      <c r="AJ865" t="n">
        <v>87.24621611000001</v>
      </c>
      <c r="AK865" t="n">
        <v/>
      </c>
      <c r="AL865" t="n">
        <v>67.36377736999999</v>
      </c>
      <c r="AM865" t="n">
        <v>29.251442449</v>
      </c>
      <c r="AN865" t="n">
        <v>115.325691978</v>
      </c>
      <c r="AO865" t="n">
        <v/>
      </c>
      <c r="AP865" t="n">
        <v>33.945852882</v>
      </c>
      <c r="AQ865" t="n">
        <v/>
      </c>
      <c r="AR865" t="n">
        <v>70.955180074</v>
      </c>
      <c r="AS865" t="n">
        <v>31.797350221</v>
      </c>
      <c r="AT865" t="n">
        <v>60.917503302</v>
      </c>
      <c r="AU865" t="n">
        <v/>
      </c>
    </row>
    <row r="866">
      <c r="A866" s="105" t="n">
        <v>33239</v>
      </c>
      <c r="B866" t="n">
        <v>50.637744483</v>
      </c>
      <c r="C866" t="n">
        <v>63.355646873</v>
      </c>
      <c r="D866" t="n">
        <v>64.290257677</v>
      </c>
      <c r="E866" t="n">
        <v>66.348829231</v>
      </c>
      <c r="F866" t="n">
        <v/>
      </c>
      <c r="G866" t="n">
        <v/>
      </c>
      <c r="H866" t="n">
        <v/>
      </c>
      <c r="I866" t="n">
        <v>50.633525022</v>
      </c>
      <c r="J866" t="n">
        <v>68.891927366</v>
      </c>
      <c r="K866" t="n">
        <v>76.40636719699999</v>
      </c>
      <c r="L866" t="n">
        <v>81.208014569</v>
      </c>
      <c r="M866" t="n">
        <v>82.493125573</v>
      </c>
      <c r="N866" t="n">
        <v>100.139512271</v>
      </c>
      <c r="O866" t="n">
        <v/>
      </c>
      <c r="P866" t="n">
        <v/>
      </c>
      <c r="Q866" t="n">
        <v>65.431512849</v>
      </c>
      <c r="R866" t="n">
        <v>92.68922759</v>
      </c>
      <c r="S866" t="n">
        <v>76.383542881</v>
      </c>
      <c r="T866" t="n">
        <v>79.908029713</v>
      </c>
      <c r="U866" t="n">
        <v/>
      </c>
      <c r="V866" t="n">
        <v>123.117331857</v>
      </c>
      <c r="W866" t="n">
        <v>39.149222979</v>
      </c>
      <c r="X866" t="n">
        <v/>
      </c>
      <c r="Y866" t="n">
        <v/>
      </c>
      <c r="Z866" t="n">
        <v>14.381508564</v>
      </c>
      <c r="AA866" t="n">
        <v/>
      </c>
      <c r="AB866" t="n">
        <v>38.522709534</v>
      </c>
      <c r="AC866" t="n">
        <v>111.090742438</v>
      </c>
      <c r="AD866" t="n">
        <v>107.596224691</v>
      </c>
      <c r="AE866" t="n">
        <v>22.301</v>
      </c>
      <c r="AF866" t="n">
        <v>71.397977544</v>
      </c>
      <c r="AG866" t="n">
        <v/>
      </c>
      <c r="AH866" t="n">
        <v>68.681519081</v>
      </c>
      <c r="AI866" t="n">
        <v>78.63349364</v>
      </c>
      <c r="AJ866" t="n">
        <v>88.339527089</v>
      </c>
      <c r="AK866" t="n">
        <v/>
      </c>
      <c r="AL866" t="n">
        <v>67.23639350000001</v>
      </c>
      <c r="AM866" t="n">
        <v>28.808339262</v>
      </c>
      <c r="AN866" t="n">
        <v>111.506895049</v>
      </c>
      <c r="AO866" t="n">
        <v/>
      </c>
      <c r="AP866" t="n">
        <v>45.411111157</v>
      </c>
      <c r="AQ866" t="n">
        <v/>
      </c>
      <c r="AR866" t="n">
        <v>70.04420058700001</v>
      </c>
      <c r="AS866" t="n">
        <v>27.597700192</v>
      </c>
      <c r="AT866" t="n">
        <v>60.708873905</v>
      </c>
      <c r="AU866" t="n">
        <v/>
      </c>
    </row>
    <row r="867">
      <c r="A867" s="105" t="n">
        <v>33270</v>
      </c>
      <c r="B867" t="n">
        <v>50.682139353</v>
      </c>
      <c r="C867" t="n">
        <v>62.149267071</v>
      </c>
      <c r="D867" t="n">
        <v>63.254733461</v>
      </c>
      <c r="E867" t="n">
        <v>65.19614196800001</v>
      </c>
      <c r="F867" t="n">
        <v/>
      </c>
      <c r="G867" t="n">
        <v/>
      </c>
      <c r="H867" t="n">
        <v/>
      </c>
      <c r="I867" t="n">
        <v>50.677916193</v>
      </c>
      <c r="J867" t="n">
        <v>63.540933723</v>
      </c>
      <c r="K867" t="n">
        <v>75.506292191</v>
      </c>
      <c r="L867" t="n">
        <v>82.18773592399999</v>
      </c>
      <c r="M867" t="n">
        <v>81.493208899</v>
      </c>
      <c r="N867" t="n">
        <v>98.54883729399999</v>
      </c>
      <c r="O867" t="n">
        <v/>
      </c>
      <c r="P867" t="n">
        <v/>
      </c>
      <c r="Q867" t="n">
        <v>63.350770604</v>
      </c>
      <c r="R867" t="n">
        <v>92.32923058999999</v>
      </c>
      <c r="S867" t="n">
        <v>75.921417199</v>
      </c>
      <c r="T867" t="n">
        <v>79.908029713</v>
      </c>
      <c r="U867" t="n">
        <v/>
      </c>
      <c r="V867" t="n">
        <v>124.239446414</v>
      </c>
      <c r="W867" t="n">
        <v>36.733156647</v>
      </c>
      <c r="X867" t="n">
        <v/>
      </c>
      <c r="Y867" t="n">
        <v/>
      </c>
      <c r="Z867" t="n">
        <v>14.500364006</v>
      </c>
      <c r="AA867" t="n">
        <v/>
      </c>
      <c r="AB867" t="n">
        <v>39.503287595</v>
      </c>
      <c r="AC867" t="n">
        <v>108.990917424</v>
      </c>
      <c r="AD867" t="n">
        <v>108.0018655</v>
      </c>
      <c r="AE867" t="n">
        <v>22.366</v>
      </c>
      <c r="AF867" t="n">
        <v>72.23483634900001</v>
      </c>
      <c r="AG867" t="n">
        <v/>
      </c>
      <c r="AH867" t="n">
        <v>68.753815417</v>
      </c>
      <c r="AI867" t="n">
        <v>80.468275158</v>
      </c>
      <c r="AJ867" t="n">
        <v>89.979493557</v>
      </c>
      <c r="AK867" t="n">
        <v/>
      </c>
      <c r="AL867" t="n">
        <v>67.043563867</v>
      </c>
      <c r="AM867" t="n">
        <v>27.167447015</v>
      </c>
      <c r="AN867" t="n">
        <v>113.706737501</v>
      </c>
      <c r="AO867" t="n">
        <v/>
      </c>
      <c r="AP867" t="n">
        <v>41.712621408</v>
      </c>
      <c r="AQ867" t="n">
        <v/>
      </c>
      <c r="AR867" t="n">
        <v>70.14542053</v>
      </c>
      <c r="AS867" t="n">
        <v>32.19731689</v>
      </c>
      <c r="AT867" t="n">
        <v>60.267519606</v>
      </c>
      <c r="AU867" t="n">
        <v/>
      </c>
    </row>
    <row r="868">
      <c r="A868" s="105" t="n">
        <v>33298</v>
      </c>
      <c r="B868" t="n">
        <v>50.462230952</v>
      </c>
      <c r="C868" t="n">
        <v>61.987356184</v>
      </c>
      <c r="D868" t="n">
        <v>62.500029371</v>
      </c>
      <c r="E868" t="n">
        <v>65.241253251</v>
      </c>
      <c r="F868" t="n">
        <v/>
      </c>
      <c r="G868" t="n">
        <v/>
      </c>
      <c r="H868" t="n">
        <v/>
      </c>
      <c r="I868" t="n">
        <v>50.458026117</v>
      </c>
      <c r="J868" t="n">
        <v>66.60995397000001</v>
      </c>
      <c r="K868" t="n">
        <v>75.006250521</v>
      </c>
      <c r="L868" t="n">
        <v>82.405451781</v>
      </c>
      <c r="M868" t="n">
        <v>80.69327556</v>
      </c>
      <c r="N868" t="n">
        <v>95.118576526</v>
      </c>
      <c r="O868" t="n">
        <v/>
      </c>
      <c r="P868" t="n">
        <v/>
      </c>
      <c r="Q868" t="n">
        <v>63.205342383</v>
      </c>
      <c r="R868" t="n">
        <v>91.16924025599999</v>
      </c>
      <c r="S868" t="n">
        <v>75.382782498</v>
      </c>
      <c r="T868" t="n">
        <v>79.05907322199999</v>
      </c>
      <c r="U868" t="n">
        <v/>
      </c>
      <c r="V868" t="n">
        <v>124.326157205</v>
      </c>
      <c r="W868" t="n">
        <v>34.585542129</v>
      </c>
      <c r="X868" t="n">
        <v/>
      </c>
      <c r="Y868" t="n">
        <v/>
      </c>
      <c r="Z868" t="n">
        <v>13.846659072</v>
      </c>
      <c r="AA868" t="n">
        <v/>
      </c>
      <c r="AB868" t="n">
        <v>41.674567587</v>
      </c>
      <c r="AC868" t="n">
        <v>108.390967419</v>
      </c>
      <c r="AD868" t="n">
        <v>106.987763477</v>
      </c>
      <c r="AE868" t="n">
        <v>22.431</v>
      </c>
      <c r="AF868" t="n">
        <v>72.884133035</v>
      </c>
      <c r="AG868" t="n">
        <v/>
      </c>
      <c r="AH868" t="n">
        <v>68.17544473</v>
      </c>
      <c r="AI868" t="n">
        <v>75.50357222700001</v>
      </c>
      <c r="AJ868" t="n">
        <v>88.55818928399999</v>
      </c>
      <c r="AK868" t="n">
        <v/>
      </c>
      <c r="AL868" t="n">
        <v>66.61327877799999</v>
      </c>
      <c r="AM868" t="n">
        <v>26.794183724</v>
      </c>
      <c r="AN868" t="n">
        <v>112.704947199</v>
      </c>
      <c r="AO868" t="n">
        <v/>
      </c>
      <c r="AP868" t="n">
        <v>46.11429471</v>
      </c>
      <c r="AQ868" t="n">
        <v/>
      </c>
      <c r="AR868" t="n">
        <v>69.43688092799999</v>
      </c>
      <c r="AS868" t="n">
        <v>33.597200233</v>
      </c>
      <c r="AT868" t="n">
        <v>59.929091786</v>
      </c>
      <c r="AU868" t="n">
        <v/>
      </c>
    </row>
    <row r="869">
      <c r="A869" s="105" t="n">
        <v>33329</v>
      </c>
      <c r="B869" t="n">
        <v>51.104416854</v>
      </c>
      <c r="C869" t="n">
        <v>63.464411778</v>
      </c>
      <c r="D869" t="n">
        <v>66.756209412</v>
      </c>
      <c r="E869" t="n">
        <v>65.277436259</v>
      </c>
      <c r="F869" t="n">
        <v/>
      </c>
      <c r="G869" t="n">
        <v/>
      </c>
      <c r="H869" t="n">
        <v>49.157261086</v>
      </c>
      <c r="I869" t="n">
        <v>51.100158507</v>
      </c>
      <c r="J869" t="n">
        <v>61.159319427</v>
      </c>
      <c r="K869" t="n">
        <v>74.406200517</v>
      </c>
      <c r="L869" t="n">
        <v>81.643446282</v>
      </c>
      <c r="M869" t="n">
        <v>80.193317224</v>
      </c>
      <c r="N869" t="n">
        <v>102.214450383</v>
      </c>
      <c r="O869" t="n">
        <v/>
      </c>
      <c r="P869" t="n">
        <v/>
      </c>
      <c r="Q869" t="n">
        <v>63.227715955</v>
      </c>
      <c r="R869" t="n">
        <v>91.13924050599999</v>
      </c>
      <c r="S869" t="n">
        <v>75.31887489099999</v>
      </c>
      <c r="T869" t="n">
        <v>77.997877609</v>
      </c>
      <c r="U869" t="n">
        <v/>
      </c>
      <c r="V869" t="n">
        <v>124.787067326</v>
      </c>
      <c r="W869" t="n">
        <v>34.809251974</v>
      </c>
      <c r="X869" t="n">
        <v/>
      </c>
      <c r="Y869" t="n">
        <v/>
      </c>
      <c r="Z869" t="n">
        <v>14.262653121</v>
      </c>
      <c r="AA869" t="n">
        <v/>
      </c>
      <c r="AB869" t="n">
        <v>42.374980487</v>
      </c>
      <c r="AC869" t="n">
        <v>107.391050746</v>
      </c>
      <c r="AD869" t="n">
        <v>107.393404286</v>
      </c>
      <c r="AE869" t="n">
        <v>22.699</v>
      </c>
      <c r="AF869" t="n">
        <v>72.884490146</v>
      </c>
      <c r="AG869" t="n">
        <v/>
      </c>
      <c r="AH869" t="n">
        <v>68.320037402</v>
      </c>
      <c r="AI869" t="n">
        <v>77.16875209200001</v>
      </c>
      <c r="AJ869" t="n">
        <v>87.574209404</v>
      </c>
      <c r="AK869" t="n">
        <v/>
      </c>
      <c r="AL869" t="n">
        <v>66.54008075</v>
      </c>
      <c r="AM869" t="n">
        <v>25.318199438</v>
      </c>
      <c r="AN869" t="n">
        <v>108.131344437</v>
      </c>
      <c r="AO869" t="n">
        <v/>
      </c>
      <c r="AP869" t="n">
        <v>37.337113775</v>
      </c>
      <c r="AQ869" t="n">
        <v/>
      </c>
      <c r="AR869" t="n">
        <v>69.03200115600001</v>
      </c>
      <c r="AS869" t="n">
        <v>32.19731689</v>
      </c>
      <c r="AT869" t="n">
        <v>60.088241112</v>
      </c>
      <c r="AU869" t="n">
        <v/>
      </c>
    </row>
    <row r="870">
      <c r="A870" s="105" t="n">
        <v>33359</v>
      </c>
      <c r="B870" t="n">
        <v>50.652635183</v>
      </c>
      <c r="C870" t="n">
        <v>63.001939485</v>
      </c>
      <c r="D870" t="n">
        <v>67.905816804</v>
      </c>
      <c r="E870" t="n">
        <v>65.76661173399999</v>
      </c>
      <c r="F870" t="n">
        <v/>
      </c>
      <c r="G870" t="n">
        <v/>
      </c>
      <c r="H870" t="n">
        <v>50.294729396</v>
      </c>
      <c r="I870" t="n">
        <v>50.648414481</v>
      </c>
      <c r="J870" t="n">
        <v>57.694935313</v>
      </c>
      <c r="K870" t="n">
        <v>73.20610050800001</v>
      </c>
      <c r="L870" t="n">
        <v>82.840883494</v>
      </c>
      <c r="M870" t="n">
        <v>80.193317224</v>
      </c>
      <c r="N870" t="n">
        <v>97.182197684</v>
      </c>
      <c r="O870" t="n">
        <v/>
      </c>
      <c r="P870" t="n">
        <v/>
      </c>
      <c r="Q870" t="n">
        <v>62.701937001</v>
      </c>
      <c r="R870" t="n">
        <v>91.269239423</v>
      </c>
      <c r="S870" t="n">
        <v>75.794724614</v>
      </c>
      <c r="T870" t="n">
        <v>78.952953661</v>
      </c>
      <c r="U870" t="n">
        <v/>
      </c>
      <c r="V870" t="n">
        <v>123.323222939</v>
      </c>
      <c r="W870" t="n">
        <v>33.690702747</v>
      </c>
      <c r="X870" t="n">
        <v/>
      </c>
      <c r="Y870" t="n">
        <v/>
      </c>
      <c r="Z870" t="n">
        <v>13.965514514</v>
      </c>
      <c r="AA870" t="n">
        <v/>
      </c>
      <c r="AB870" t="n">
        <v>43.075393388</v>
      </c>
      <c r="AC870" t="n">
        <v>108.690942421</v>
      </c>
      <c r="AD870" t="n">
        <v>108.508916512</v>
      </c>
      <c r="AE870" t="n">
        <v>22.569</v>
      </c>
      <c r="AF870" t="n">
        <v>70.633191936</v>
      </c>
      <c r="AG870" t="n">
        <v/>
      </c>
      <c r="AH870" t="n">
        <v>68.753815417</v>
      </c>
      <c r="AI870" t="n">
        <v>79.604848562</v>
      </c>
      <c r="AJ870" t="n">
        <v>90.85414234</v>
      </c>
      <c r="AK870" t="n">
        <v/>
      </c>
      <c r="AL870" t="n">
        <v>66.78065971300001</v>
      </c>
      <c r="AM870" t="n">
        <v>23.836414711</v>
      </c>
      <c r="AN870" t="n">
        <v>110.205952468</v>
      </c>
      <c r="AO870" t="n">
        <v/>
      </c>
      <c r="AP870" t="n">
        <v>35.154160708</v>
      </c>
      <c r="AQ870" t="n">
        <v/>
      </c>
      <c r="AR870" t="n">
        <v>68.62712138400001</v>
      </c>
      <c r="AS870" t="n">
        <v>33.697191901</v>
      </c>
      <c r="AT870" t="n">
        <v>60.689042214</v>
      </c>
      <c r="AU870" t="n">
        <v/>
      </c>
    </row>
    <row r="871">
      <c r="A871" s="105" t="n">
        <v>33390</v>
      </c>
      <c r="B871" t="n">
        <v>51.148114344</v>
      </c>
      <c r="C871" t="n">
        <v>62.377126597</v>
      </c>
      <c r="D871" t="n">
        <v>70.828101244</v>
      </c>
      <c r="E871" t="n">
        <v>66.10588617499999</v>
      </c>
      <c r="F871" t="n">
        <v/>
      </c>
      <c r="G871" t="n">
        <v/>
      </c>
      <c r="H871" t="n">
        <v>50.057251881</v>
      </c>
      <c r="I871" t="n">
        <v>51.143852357</v>
      </c>
      <c r="J871" t="n">
        <v>57.997264921</v>
      </c>
      <c r="K871" t="n">
        <v>76.40636719699999</v>
      </c>
      <c r="L871" t="n">
        <v>82.18773592399999</v>
      </c>
      <c r="M871" t="n">
        <v>81.69319223399999</v>
      </c>
      <c r="N871" t="n">
        <v>100.228503079</v>
      </c>
      <c r="O871" t="n">
        <v/>
      </c>
      <c r="P871" t="n">
        <v/>
      </c>
      <c r="Q871" t="n">
        <v>57.074983511</v>
      </c>
      <c r="R871" t="n">
        <v>91.61923650599999</v>
      </c>
      <c r="S871" t="n">
        <v>76.057146444</v>
      </c>
      <c r="T871" t="n">
        <v>79.165192784</v>
      </c>
      <c r="U871" t="n">
        <v/>
      </c>
      <c r="V871" t="n">
        <v>122.146860046</v>
      </c>
      <c r="W871" t="n">
        <v>31.901023982</v>
      </c>
      <c r="X871" t="n">
        <v/>
      </c>
      <c r="Y871" t="n">
        <v/>
      </c>
      <c r="Z871" t="n">
        <v>14.500364006</v>
      </c>
      <c r="AA871" t="n">
        <v/>
      </c>
      <c r="AB871" t="n">
        <v>43.285517258</v>
      </c>
      <c r="AC871" t="n">
        <v>109.090909091</v>
      </c>
      <c r="AD871" t="n">
        <v>105.365200239</v>
      </c>
      <c r="AE871" t="n">
        <v>22.495</v>
      </c>
      <c r="AF871" t="n">
        <v>77.644571993</v>
      </c>
      <c r="AG871" t="n">
        <v/>
      </c>
      <c r="AH871" t="n">
        <v>68.03085205799999</v>
      </c>
      <c r="AI871" t="n">
        <v>79.24251775800001</v>
      </c>
      <c r="AJ871" t="n">
        <v>88.230195991</v>
      </c>
      <c r="AK871" t="n">
        <v/>
      </c>
      <c r="AL871" t="n">
        <v>66.846349452</v>
      </c>
      <c r="AM871" t="n">
        <v>24.618373833</v>
      </c>
      <c r="AN871" t="n">
        <v>113.34864505</v>
      </c>
      <c r="AO871" t="n">
        <v/>
      </c>
      <c r="AP871" t="n">
        <v>35.028586029</v>
      </c>
      <c r="AQ871" t="n">
        <v/>
      </c>
      <c r="AR871" t="n">
        <v>68.424681498</v>
      </c>
      <c r="AS871" t="n">
        <v>31.497375219</v>
      </c>
      <c r="AT871" t="n">
        <v>61.173133809</v>
      </c>
      <c r="AU871" t="n">
        <v/>
      </c>
    </row>
    <row r="872">
      <c r="A872" s="105" t="n">
        <v>33420</v>
      </c>
      <c r="B872" t="n">
        <v>50.422794944</v>
      </c>
      <c r="C872" t="n">
        <v>61.928899482</v>
      </c>
      <c r="D872" t="n">
        <v>72.21465061799999</v>
      </c>
      <c r="E872" t="n">
        <v>66.288210944</v>
      </c>
      <c r="F872" t="n">
        <v/>
      </c>
      <c r="G872" t="n">
        <v/>
      </c>
      <c r="H872" t="n">
        <v>48.905118401</v>
      </c>
      <c r="I872" t="n">
        <v>50.418593394</v>
      </c>
      <c r="J872" t="n">
        <v>55.38529888</v>
      </c>
      <c r="K872" t="n">
        <v>74.206183849</v>
      </c>
      <c r="L872" t="n">
        <v>85.12689999</v>
      </c>
      <c r="M872" t="n">
        <v>80.193317224</v>
      </c>
      <c r="N872" t="n">
        <v>97.774925727</v>
      </c>
      <c r="O872" t="n">
        <v/>
      </c>
      <c r="P872" t="n">
        <v/>
      </c>
      <c r="Q872" t="n">
        <v>62.321586268</v>
      </c>
      <c r="R872" t="n">
        <v>90.069249423</v>
      </c>
      <c r="S872" t="n">
        <v>76.089299469</v>
      </c>
      <c r="T872" t="n">
        <v>78.52847541600001</v>
      </c>
      <c r="U872" t="n">
        <v/>
      </c>
      <c r="V872" t="n">
        <v>120.614909</v>
      </c>
      <c r="W872" t="n">
        <v>32.169475796</v>
      </c>
      <c r="X872" t="n">
        <v/>
      </c>
      <c r="Y872" t="n">
        <v/>
      </c>
      <c r="Z872" t="n">
        <v>14.084369957</v>
      </c>
      <c r="AA872" t="n">
        <v/>
      </c>
      <c r="AB872" t="n">
        <v>43.425599838</v>
      </c>
      <c r="AC872" t="n">
        <v>109.090909091</v>
      </c>
      <c r="AD872" t="n">
        <v>107.697634893</v>
      </c>
      <c r="AE872" t="n">
        <v>23.161</v>
      </c>
      <c r="AF872" t="n">
        <v>73.257044885</v>
      </c>
      <c r="AG872" t="n">
        <v/>
      </c>
      <c r="AH872" t="n">
        <v>69.04300076</v>
      </c>
      <c r="AI872" t="n">
        <v>78.209489508</v>
      </c>
      <c r="AJ872" t="n">
        <v>85.934242935</v>
      </c>
      <c r="AK872" t="n">
        <v/>
      </c>
      <c r="AL872" t="n">
        <v>66.91220402899999</v>
      </c>
      <c r="AM872" t="n">
        <v>24.318343665</v>
      </c>
      <c r="AN872" t="n">
        <v>111.39296883</v>
      </c>
      <c r="AO872" t="n">
        <v/>
      </c>
      <c r="AP872" t="n">
        <v>34.12496981</v>
      </c>
      <c r="AQ872" t="n">
        <v/>
      </c>
      <c r="AR872" t="n">
        <v>68.525901441</v>
      </c>
      <c r="AS872" t="n">
        <v>32.397300225</v>
      </c>
      <c r="AT872" t="n">
        <v>61.336348632</v>
      </c>
      <c r="AU872" t="n">
        <v/>
      </c>
    </row>
    <row r="873">
      <c r="A873" s="105" t="n">
        <v>33451</v>
      </c>
      <c r="B873" t="n">
        <v>51.248968848</v>
      </c>
      <c r="C873" t="n">
        <v>61.236506562</v>
      </c>
      <c r="D873" t="n">
        <v>72.706085839</v>
      </c>
      <c r="E873" t="n">
        <v>66.20127774300001</v>
      </c>
      <c r="F873" t="n">
        <v/>
      </c>
      <c r="G873" t="n">
        <v/>
      </c>
      <c r="H873" t="n">
        <v>50.162272782</v>
      </c>
      <c r="I873" t="n">
        <v>51.244698456</v>
      </c>
      <c r="J873" t="n">
        <v>58.086638237</v>
      </c>
      <c r="K873" t="n">
        <v>73.00608384</v>
      </c>
      <c r="L873" t="n">
        <v>83.38517313600001</v>
      </c>
      <c r="M873" t="n">
        <v>80.093325556</v>
      </c>
      <c r="N873" t="n">
        <v>97.54806437800001</v>
      </c>
      <c r="O873" t="n">
        <v/>
      </c>
      <c r="P873" t="n">
        <v/>
      </c>
      <c r="Q873" t="n">
        <v>61.169347283</v>
      </c>
      <c r="R873" t="n">
        <v>91.00924159</v>
      </c>
      <c r="S873" t="n">
        <v>75.682931891</v>
      </c>
      <c r="T873" t="n">
        <v>77.679518925</v>
      </c>
      <c r="U873" t="n">
        <v/>
      </c>
      <c r="V873" t="n">
        <v>124.09154403</v>
      </c>
      <c r="W873" t="n">
        <v>30.379797032</v>
      </c>
      <c r="X873" t="n">
        <v/>
      </c>
      <c r="Y873" t="n">
        <v/>
      </c>
      <c r="Z873" t="n">
        <v>14.619219449</v>
      </c>
      <c r="AA873" t="n">
        <v/>
      </c>
      <c r="AB873" t="n">
        <v>44.266095319</v>
      </c>
      <c r="AC873" t="n">
        <v>109.690859095</v>
      </c>
      <c r="AD873" t="n">
        <v>105.973661453</v>
      </c>
      <c r="AE873" t="n">
        <v>24.03</v>
      </c>
      <c r="AF873" t="n">
        <v>74.074535377</v>
      </c>
      <c r="AG873" t="n">
        <v/>
      </c>
      <c r="AH873" t="n">
        <v>68.753815417</v>
      </c>
      <c r="AI873" t="n">
        <v>78.340545331</v>
      </c>
      <c r="AJ873" t="n">
        <v>81.123674628</v>
      </c>
      <c r="AK873" t="n">
        <v/>
      </c>
      <c r="AL873" t="n">
        <v>66.665952476</v>
      </c>
      <c r="AM873" t="n">
        <v>23.723864404</v>
      </c>
      <c r="AN873" t="n">
        <v>113.052105136</v>
      </c>
      <c r="AO873" t="n">
        <v/>
      </c>
      <c r="AP873" t="n">
        <v>33.777290367</v>
      </c>
      <c r="AQ873" t="n">
        <v/>
      </c>
      <c r="AR873" t="n">
        <v>66.805162409</v>
      </c>
      <c r="AS873" t="n">
        <v>32.59728356</v>
      </c>
      <c r="AT873" t="n">
        <v>61.347454379</v>
      </c>
      <c r="AU873" t="n">
        <v/>
      </c>
    </row>
    <row r="874">
      <c r="A874" s="105" t="n">
        <v>33482</v>
      </c>
      <c r="B874" t="n">
        <v>50.513420363</v>
      </c>
      <c r="C874" t="n">
        <v>62.698315593</v>
      </c>
      <c r="D874" t="n">
        <v>69.65216696500001</v>
      </c>
      <c r="E874" t="n">
        <v>66.470535713</v>
      </c>
      <c r="F874" t="n">
        <v/>
      </c>
      <c r="G874" t="n">
        <v/>
      </c>
      <c r="H874" t="n">
        <v>50.106500216</v>
      </c>
      <c r="I874" t="n">
        <v>50.509211262</v>
      </c>
      <c r="J874" t="n">
        <v>51.39095125</v>
      </c>
      <c r="K874" t="n">
        <v>72.806067172</v>
      </c>
      <c r="L874" t="n">
        <v>83.38517313600001</v>
      </c>
      <c r="M874" t="n">
        <v>80.293308891</v>
      </c>
      <c r="N874" t="n">
        <v>99.988028105</v>
      </c>
      <c r="O874" t="n">
        <v/>
      </c>
      <c r="P874" t="n">
        <v/>
      </c>
      <c r="Q874" t="n">
        <v>61.079852993</v>
      </c>
      <c r="R874" t="n">
        <v>91.33923883999999</v>
      </c>
      <c r="S874" t="n">
        <v>76.02924688900001</v>
      </c>
      <c r="T874" t="n">
        <v>77.785638486</v>
      </c>
      <c r="U874" t="n">
        <v/>
      </c>
      <c r="V874" t="n">
        <v>131.505956757</v>
      </c>
      <c r="W874" t="n">
        <v>29.395473711</v>
      </c>
      <c r="X874" t="n">
        <v/>
      </c>
      <c r="Y874" t="n">
        <v/>
      </c>
      <c r="Z874" t="n">
        <v>14.797502613</v>
      </c>
      <c r="AA874" t="n">
        <v/>
      </c>
      <c r="AB874" t="n">
        <v>42.515063067</v>
      </c>
      <c r="AC874" t="n">
        <v>110.890759103</v>
      </c>
      <c r="AD874" t="n">
        <v>106.075071656</v>
      </c>
      <c r="AE874" t="n">
        <v>23.826</v>
      </c>
      <c r="AF874" t="n">
        <v>74.330101004</v>
      </c>
      <c r="AG874" t="n">
        <v/>
      </c>
      <c r="AH874" t="n">
        <v>68.753815417</v>
      </c>
      <c r="AI874" t="n">
        <v>76.34387132499999</v>
      </c>
      <c r="AJ874" t="n">
        <v>91.400797829</v>
      </c>
      <c r="AK874" t="n">
        <v/>
      </c>
      <c r="AL874" t="n">
        <v>66.928365836</v>
      </c>
      <c r="AM874" t="n">
        <v>23.154061271</v>
      </c>
      <c r="AN874" t="n">
        <v>112.361103917</v>
      </c>
      <c r="AO874" t="n">
        <v/>
      </c>
      <c r="AP874" t="n">
        <v>33.206447971</v>
      </c>
      <c r="AQ874" t="n">
        <v/>
      </c>
      <c r="AR874" t="n">
        <v>67.614921954</v>
      </c>
      <c r="AS874" t="n">
        <v>33.497208566</v>
      </c>
      <c r="AT874" t="n">
        <v>61.860500245</v>
      </c>
      <c r="AU874" t="n">
        <v/>
      </c>
    </row>
    <row r="875">
      <c r="A875" s="105" t="n">
        <v>33512</v>
      </c>
      <c r="B875" t="n">
        <v>50.115936837</v>
      </c>
      <c r="C875" t="n">
        <v>62.794957104</v>
      </c>
      <c r="D875" t="n">
        <v>71.380965867</v>
      </c>
      <c r="E875" t="n">
        <v>66.18201146600001</v>
      </c>
      <c r="F875" t="n">
        <v/>
      </c>
      <c r="G875" t="n">
        <v/>
      </c>
      <c r="H875" t="n">
        <v>51.241542838</v>
      </c>
      <c r="I875" t="n">
        <v>50.111760857</v>
      </c>
      <c r="J875" t="n">
        <v>52.023112396</v>
      </c>
      <c r="K875" t="n">
        <v>73.906158847</v>
      </c>
      <c r="L875" t="n">
        <v>81.53458835399999</v>
      </c>
      <c r="M875" t="n">
        <v>80.59328389300001</v>
      </c>
      <c r="N875" t="n">
        <v>100.588121339</v>
      </c>
      <c r="O875" t="n">
        <v/>
      </c>
      <c r="P875" t="n">
        <v/>
      </c>
      <c r="Q875" t="n">
        <v>60.598821184</v>
      </c>
      <c r="R875" t="n">
        <v>90.94924209</v>
      </c>
      <c r="S875" t="n">
        <v>76.034984662</v>
      </c>
      <c r="T875" t="n">
        <v>78.74071453800001</v>
      </c>
      <c r="U875" t="n">
        <v/>
      </c>
      <c r="V875" t="n">
        <v>123.34476274</v>
      </c>
      <c r="W875" t="n">
        <v>29.619183557</v>
      </c>
      <c r="X875" t="n">
        <v/>
      </c>
      <c r="Y875" t="n">
        <v/>
      </c>
      <c r="Z875" t="n">
        <v>14.738074892</v>
      </c>
      <c r="AA875" t="n">
        <v/>
      </c>
      <c r="AB875" t="n">
        <v>44.196054029</v>
      </c>
      <c r="AC875" t="n">
        <v>110.190817432</v>
      </c>
      <c r="AD875" t="n">
        <v>105.365200239</v>
      </c>
      <c r="AE875" t="n">
        <v>24.03</v>
      </c>
      <c r="AF875" t="n">
        <v>71.46999830599999</v>
      </c>
      <c r="AG875" t="n">
        <v/>
      </c>
      <c r="AH875" t="n">
        <v>71.067298165</v>
      </c>
      <c r="AI875" t="n">
        <v>78.803095293</v>
      </c>
      <c r="AJ875" t="n">
        <v>87.683540501</v>
      </c>
      <c r="AK875" t="n">
        <v/>
      </c>
      <c r="AL875" t="n">
        <v>67.069934919</v>
      </c>
      <c r="AM875" t="n">
        <v>23.427210329</v>
      </c>
      <c r="AN875" t="n">
        <v>111.796482396</v>
      </c>
      <c r="AO875" t="n">
        <v/>
      </c>
      <c r="AP875" t="n">
        <v>33.879060684</v>
      </c>
      <c r="AQ875" t="n">
        <v/>
      </c>
      <c r="AR875" t="n">
        <v>67.91858178299999</v>
      </c>
      <c r="AS875" t="n">
        <v>33.497208566</v>
      </c>
      <c r="AT875" t="n">
        <v>61.798427049</v>
      </c>
      <c r="AU875" t="n">
        <v/>
      </c>
    </row>
    <row r="876">
      <c r="A876" s="105" t="n">
        <v>33543</v>
      </c>
      <c r="B876" t="n">
        <v>50.344446014</v>
      </c>
      <c r="C876" t="n">
        <v>62.085685448</v>
      </c>
      <c r="D876" t="n">
        <v>67.107234569</v>
      </c>
      <c r="E876" t="n">
        <v>65.846026389</v>
      </c>
      <c r="F876" t="n">
        <v/>
      </c>
      <c r="G876" t="n">
        <v/>
      </c>
      <c r="H876" t="n">
        <v>52.34571437</v>
      </c>
      <c r="I876" t="n">
        <v>50.340250993</v>
      </c>
      <c r="J876" t="n">
        <v>51.951103054</v>
      </c>
      <c r="K876" t="n">
        <v>74.706225519</v>
      </c>
      <c r="L876" t="n">
        <v>82.840883494</v>
      </c>
      <c r="M876" t="n">
        <v>81.493208899</v>
      </c>
      <c r="N876" t="n">
        <v>100.294434931</v>
      </c>
      <c r="O876" t="n">
        <v/>
      </c>
      <c r="P876" t="n">
        <v/>
      </c>
      <c r="Q876" t="n">
        <v>60.117789374</v>
      </c>
      <c r="R876" t="n">
        <v>92.379230173</v>
      </c>
      <c r="S876" t="n">
        <v>76.31170463799999</v>
      </c>
      <c r="T876" t="n">
        <v>78.952953661</v>
      </c>
      <c r="U876" t="n">
        <v/>
      </c>
      <c r="V876" t="n">
        <v>121.445789672</v>
      </c>
      <c r="W876" t="n">
        <v>29.798151433</v>
      </c>
      <c r="X876" t="n">
        <v/>
      </c>
      <c r="Y876" t="n">
        <v/>
      </c>
      <c r="Z876" t="n">
        <v>15.332352105</v>
      </c>
      <c r="AA876" t="n">
        <v/>
      </c>
      <c r="AB876" t="n">
        <v>44.196054029</v>
      </c>
      <c r="AC876" t="n">
        <v>110.790767436</v>
      </c>
      <c r="AD876" t="n">
        <v>106.075071656</v>
      </c>
      <c r="AE876" t="n">
        <v>24.168</v>
      </c>
      <c r="AF876" t="n">
        <v>74.573271472</v>
      </c>
      <c r="AG876" t="n">
        <v/>
      </c>
      <c r="AH876" t="n">
        <v>70.63352015</v>
      </c>
      <c r="AI876" t="n">
        <v>80.02885269399999</v>
      </c>
      <c r="AJ876" t="n">
        <v>88.120864893</v>
      </c>
      <c r="AK876" t="n">
        <v/>
      </c>
      <c r="AL876" t="n">
        <v>67.23358535200001</v>
      </c>
      <c r="AM876" t="n">
        <v>22.753419103</v>
      </c>
      <c r="AN876" t="n">
        <v>111.411791321</v>
      </c>
      <c r="AO876" t="n">
        <v/>
      </c>
      <c r="AP876" t="n">
        <v>33.67770044</v>
      </c>
      <c r="AQ876" t="n">
        <v/>
      </c>
      <c r="AR876" t="n">
        <v>68.930781213</v>
      </c>
      <c r="AS876" t="n">
        <v>33.397216899</v>
      </c>
      <c r="AT876" t="n">
        <v>61.718901966</v>
      </c>
      <c r="AU876" t="n">
        <v/>
      </c>
    </row>
    <row r="877">
      <c r="A877" s="105" t="n">
        <v>33573</v>
      </c>
      <c r="B877" t="n">
        <v>50.788120954</v>
      </c>
      <c r="C877" t="n">
        <v>62.476623946</v>
      </c>
      <c r="D877" t="n">
        <v>63.017791479</v>
      </c>
      <c r="E877" t="n">
        <v>65.14915104799999</v>
      </c>
      <c r="F877" t="n">
        <v/>
      </c>
      <c r="G877" t="n">
        <v/>
      </c>
      <c r="H877" t="n">
        <v>52.164408011</v>
      </c>
      <c r="I877" t="n">
        <v>50.783888964</v>
      </c>
      <c r="J877" t="n">
        <v>58.728846274</v>
      </c>
      <c r="K877" t="n">
        <v>74.80623385299999</v>
      </c>
      <c r="L877" t="n">
        <v>83.494031065</v>
      </c>
      <c r="M877" t="n">
        <v>80.893258895</v>
      </c>
      <c r="N877" t="n">
        <v>101.301740984</v>
      </c>
      <c r="O877" t="n">
        <v/>
      </c>
      <c r="P877" t="n">
        <v/>
      </c>
      <c r="Q877" t="n">
        <v>61.079852993</v>
      </c>
      <c r="R877" t="n">
        <v>91.539237173</v>
      </c>
      <c r="S877" t="n">
        <v>75.797935139</v>
      </c>
      <c r="T877" t="n">
        <v>78.63459497700001</v>
      </c>
      <c r="U877" t="n">
        <v/>
      </c>
      <c r="V877" t="n">
        <v>121.64220263</v>
      </c>
      <c r="W877" t="n">
        <v>28.94805402</v>
      </c>
      <c r="X877" t="n">
        <v/>
      </c>
      <c r="Y877" t="n">
        <v/>
      </c>
      <c r="Z877" t="n">
        <v>14.797502613</v>
      </c>
      <c r="AA877" t="n">
        <v/>
      </c>
      <c r="AB877" t="n">
        <v>43.705764998</v>
      </c>
      <c r="AC877" t="n">
        <v>109.290892426</v>
      </c>
      <c r="AD877" t="n">
        <v>104.655328823</v>
      </c>
      <c r="AE877" t="n">
        <v>24.168</v>
      </c>
      <c r="AF877" t="n">
        <v>75.165325264</v>
      </c>
      <c r="AG877" t="n">
        <v/>
      </c>
      <c r="AH877" t="n">
        <v>69.621371447</v>
      </c>
      <c r="AI877" t="n">
        <v>78.810804459</v>
      </c>
      <c r="AJ877" t="n">
        <v>89.214175872</v>
      </c>
      <c r="AK877" t="n">
        <v/>
      </c>
      <c r="AL877" t="n">
        <v>66.891159978</v>
      </c>
      <c r="AM877" t="n">
        <v>23.074998579</v>
      </c>
      <c r="AN877" t="n">
        <v>109.709420508</v>
      </c>
      <c r="AO877" t="n">
        <v/>
      </c>
      <c r="AP877" t="n">
        <v>32.723616941</v>
      </c>
      <c r="AQ877" t="n">
        <v/>
      </c>
      <c r="AR877" t="n">
        <v>67.81736184</v>
      </c>
      <c r="AS877" t="n">
        <v>33.097241897</v>
      </c>
      <c r="AT877" t="n">
        <v>61.448992641</v>
      </c>
      <c r="AU877" t="n">
        <v/>
      </c>
    </row>
    <row r="878">
      <c r="A878" s="105" t="n">
        <v>33604</v>
      </c>
      <c r="B878" t="n">
        <v>50.427102595</v>
      </c>
      <c r="C878" t="n">
        <v>63.328985047</v>
      </c>
      <c r="D878" t="n">
        <v>63.202079687</v>
      </c>
      <c r="E878" t="n">
        <v>66.06547398399999</v>
      </c>
      <c r="F878" t="n">
        <v/>
      </c>
      <c r="G878" t="n">
        <v/>
      </c>
      <c r="H878" t="n">
        <v>53.521703097</v>
      </c>
      <c r="I878" t="n">
        <v>50.422900686</v>
      </c>
      <c r="J878" t="n">
        <v>53.027305053</v>
      </c>
      <c r="K878" t="n">
        <v>75.706308859</v>
      </c>
      <c r="L878" t="n">
        <v>84.800326205</v>
      </c>
      <c r="M878" t="n">
        <v>81.89317556899999</v>
      </c>
      <c r="N878" t="n">
        <v>99.733083111</v>
      </c>
      <c r="O878" t="n">
        <v/>
      </c>
      <c r="P878" t="n">
        <v/>
      </c>
      <c r="Q878" t="n">
        <v>60.822556909</v>
      </c>
      <c r="R878" t="n">
        <v>91.799235006</v>
      </c>
      <c r="S878" t="n">
        <v>75.749877942</v>
      </c>
      <c r="T878" t="n">
        <v>78.63459497700001</v>
      </c>
      <c r="U878" t="n">
        <v/>
      </c>
      <c r="V878" t="n">
        <v>124.419247781</v>
      </c>
      <c r="W878" t="n">
        <v>28.933487994</v>
      </c>
      <c r="X878" t="n">
        <v/>
      </c>
      <c r="Y878" t="n">
        <v/>
      </c>
      <c r="Z878" t="n">
        <v>15.451207548</v>
      </c>
      <c r="AA878" t="n">
        <v/>
      </c>
      <c r="AB878" t="n">
        <v>44.546260479</v>
      </c>
      <c r="AC878" t="n">
        <v>110.190817432</v>
      </c>
      <c r="AD878" t="n">
        <v>103.945457407</v>
      </c>
      <c r="AE878" t="n">
        <v>24.094</v>
      </c>
      <c r="AF878" t="n">
        <v>72.20068309600001</v>
      </c>
      <c r="AG878" t="n">
        <v/>
      </c>
      <c r="AH878" t="n">
        <v>69.621371447</v>
      </c>
      <c r="AI878" t="n">
        <v>80.283255173</v>
      </c>
      <c r="AJ878" t="n">
        <v>91.07280453600001</v>
      </c>
      <c r="AK878" t="n">
        <v/>
      </c>
      <c r="AL878" t="n">
        <v>66.915320854</v>
      </c>
      <c r="AM878" t="n">
        <v>24.374175913</v>
      </c>
      <c r="AN878" t="n">
        <v>112.791775374</v>
      </c>
      <c r="AO878" t="n">
        <v/>
      </c>
      <c r="AP878" t="n">
        <v>33.307514138</v>
      </c>
      <c r="AQ878" t="n">
        <v>66.965544501</v>
      </c>
      <c r="AR878" t="n">
        <v>69.133221099</v>
      </c>
      <c r="AS878" t="n">
        <v>33.297225231</v>
      </c>
      <c r="AT878" t="n">
        <v>61.128314186</v>
      </c>
      <c r="AU878" t="n">
        <v/>
      </c>
    </row>
    <row r="879">
      <c r="A879" s="105" t="n">
        <v>33635</v>
      </c>
      <c r="B879" t="n">
        <v>50.328410204</v>
      </c>
      <c r="C879" t="n">
        <v>63.270105668</v>
      </c>
      <c r="D879" t="n">
        <v>65.387211296</v>
      </c>
      <c r="E879" t="n">
        <v>66.000156606</v>
      </c>
      <c r="F879" t="n">
        <v/>
      </c>
      <c r="G879" t="n">
        <v/>
      </c>
      <c r="H879" t="n">
        <v>53.325939709</v>
      </c>
      <c r="I879" t="n">
        <v>50.324216519</v>
      </c>
      <c r="J879" t="n">
        <v>53.155529878</v>
      </c>
      <c r="K879" t="n">
        <v>77.006417201</v>
      </c>
      <c r="L879" t="n">
        <v>85.67118963199999</v>
      </c>
      <c r="M879" t="n">
        <v>82.193150571</v>
      </c>
      <c r="N879" t="n">
        <v>100.039083366</v>
      </c>
      <c r="O879" t="n">
        <v/>
      </c>
      <c r="P879" t="n">
        <v/>
      </c>
      <c r="Q879" t="n">
        <v>62.612442711</v>
      </c>
      <c r="R879" t="n">
        <v>91.079241006</v>
      </c>
      <c r="S879" t="n">
        <v>76.08034354900001</v>
      </c>
      <c r="T879" t="n">
        <v>79.05907322199999</v>
      </c>
      <c r="U879" t="n">
        <v/>
      </c>
      <c r="V879" t="n">
        <v>121.193257636</v>
      </c>
      <c r="W879" t="n">
        <v>29.314191784</v>
      </c>
      <c r="X879" t="n">
        <v/>
      </c>
      <c r="Y879" t="n">
        <v/>
      </c>
      <c r="Z879" t="n">
        <v>15.332352105</v>
      </c>
      <c r="AA879" t="n">
        <v/>
      </c>
      <c r="AB879" t="n">
        <v>43.495641128</v>
      </c>
      <c r="AC879" t="n">
        <v>110.190817432</v>
      </c>
      <c r="AD879" t="n">
        <v>103.641226799</v>
      </c>
      <c r="AE879" t="n">
        <v>24.695</v>
      </c>
      <c r="AF879" t="n">
        <v>74.610768116</v>
      </c>
      <c r="AG879" t="n">
        <v/>
      </c>
      <c r="AH879" t="n">
        <v>69.693667783</v>
      </c>
      <c r="AI879" t="n">
        <v>78.702876135</v>
      </c>
      <c r="AJ879" t="n">
        <v>90.088824655</v>
      </c>
      <c r="AK879" t="n">
        <v/>
      </c>
      <c r="AL879" t="n">
        <v>67.160983507</v>
      </c>
      <c r="AM879" t="n">
        <v>24.653625778</v>
      </c>
      <c r="AN879" t="n">
        <v>113.567147259</v>
      </c>
      <c r="AO879" t="n">
        <v/>
      </c>
      <c r="AP879" t="n">
        <v>31.894653746</v>
      </c>
      <c r="AQ879" t="n">
        <v>70.716240109</v>
      </c>
      <c r="AR879" t="n">
        <v>68.930781213</v>
      </c>
      <c r="AS879" t="n">
        <v>32.997250229</v>
      </c>
      <c r="AT879" t="n">
        <v>61.556976202</v>
      </c>
      <c r="AU879" t="n">
        <v/>
      </c>
    </row>
    <row r="880">
      <c r="A880" s="105" t="n">
        <v>33664</v>
      </c>
      <c r="B880" t="n">
        <v>50.213060746</v>
      </c>
      <c r="C880" t="n">
        <v>62.975422441</v>
      </c>
      <c r="D880" t="n">
        <v>64.39556522399999</v>
      </c>
      <c r="E880" t="n">
        <v>65.94517723</v>
      </c>
      <c r="F880" t="n">
        <v/>
      </c>
      <c r="G880" t="n">
        <v/>
      </c>
      <c r="H880" t="n">
        <v>54.431627073</v>
      </c>
      <c r="I880" t="n">
        <v>50.208876673</v>
      </c>
      <c r="J880" t="n">
        <v>53.146839401</v>
      </c>
      <c r="K880" t="n">
        <v>74.80623385299999</v>
      </c>
      <c r="L880" t="n">
        <v>86.759768916</v>
      </c>
      <c r="M880" t="n">
        <v>81.393217232</v>
      </c>
      <c r="N880" t="n">
        <v>98.774082312</v>
      </c>
      <c r="O880" t="n">
        <v/>
      </c>
      <c r="P880" t="n">
        <v/>
      </c>
      <c r="Q880" t="n">
        <v>62.16497126</v>
      </c>
      <c r="R880" t="n">
        <v>91.96923359</v>
      </c>
      <c r="S880" t="n">
        <v>75.77934821700001</v>
      </c>
      <c r="T880" t="n">
        <v>78.74071453800001</v>
      </c>
      <c r="U880" t="n">
        <v/>
      </c>
      <c r="V880" t="n">
        <v>122.910263493</v>
      </c>
      <c r="W880" t="n">
        <v>29.314191784</v>
      </c>
      <c r="X880" t="n">
        <v/>
      </c>
      <c r="Y880" t="n">
        <v/>
      </c>
      <c r="Z880" t="n">
        <v>15.807773876</v>
      </c>
      <c r="AA880" t="n">
        <v/>
      </c>
      <c r="AB880" t="n">
        <v>45.59687983</v>
      </c>
      <c r="AC880" t="n">
        <v>109.990834097</v>
      </c>
      <c r="AD880" t="n">
        <v>102.120073764</v>
      </c>
      <c r="AE880" t="n">
        <v>24.695</v>
      </c>
      <c r="AF880" t="n">
        <v>74.436253601</v>
      </c>
      <c r="AG880" t="n">
        <v/>
      </c>
      <c r="AH880" t="n">
        <v>72.80241022600001</v>
      </c>
      <c r="AI880" t="n">
        <v>77.646720387</v>
      </c>
      <c r="AJ880" t="n">
        <v>92.275446612</v>
      </c>
      <c r="AK880" t="n">
        <v/>
      </c>
      <c r="AL880" t="n">
        <v>67.13619414199999</v>
      </c>
      <c r="AM880" t="n">
        <v>25.567511471</v>
      </c>
      <c r="AN880" t="n">
        <v>109.808239927</v>
      </c>
      <c r="AO880" t="n">
        <v/>
      </c>
      <c r="AP880" t="n">
        <v>35.880559677</v>
      </c>
      <c r="AQ880" t="n">
        <v>67.043683993</v>
      </c>
      <c r="AR880" t="n">
        <v>68.222241612</v>
      </c>
      <c r="AS880" t="n">
        <v>33.097241897</v>
      </c>
      <c r="AT880" t="n">
        <v>62.068733008</v>
      </c>
      <c r="AU880" t="n">
        <v/>
      </c>
    </row>
    <row r="881">
      <c r="A881" s="105" t="n">
        <v>33695</v>
      </c>
      <c r="B881" t="n">
        <v>50.861785338</v>
      </c>
      <c r="C881" t="n">
        <v>62.686344256</v>
      </c>
      <c r="D881" t="n">
        <v>64.790468527</v>
      </c>
      <c r="E881" t="n">
        <v>66.546661003</v>
      </c>
      <c r="F881" t="n">
        <v/>
      </c>
      <c r="G881" t="n">
        <v/>
      </c>
      <c r="H881" t="n">
        <v>55.184267712</v>
      </c>
      <c r="I881" t="n">
        <v>50.857547209</v>
      </c>
      <c r="J881" t="n">
        <v>55.168561435</v>
      </c>
      <c r="K881" t="n">
        <v>74.706225519</v>
      </c>
      <c r="L881" t="n">
        <v>86.106621346</v>
      </c>
      <c r="M881" t="n">
        <v>81.193233897</v>
      </c>
      <c r="N881" t="n">
        <v>98.723082269</v>
      </c>
      <c r="O881" t="n">
        <v/>
      </c>
      <c r="P881" t="n">
        <v/>
      </c>
      <c r="Q881" t="n">
        <v>62.008356253</v>
      </c>
      <c r="R881" t="n">
        <v>91.30923909000001</v>
      </c>
      <c r="S881" t="n">
        <v>75.954974021</v>
      </c>
      <c r="T881" t="n">
        <v>79.271312345</v>
      </c>
      <c r="U881" t="n">
        <v/>
      </c>
      <c r="V881" t="n">
        <v>120.50433367</v>
      </c>
      <c r="W881" t="n">
        <v>29.519186132</v>
      </c>
      <c r="X881" t="n">
        <v/>
      </c>
      <c r="Y881" t="n">
        <v/>
      </c>
      <c r="Z881" t="n">
        <v>15.57006299</v>
      </c>
      <c r="AA881" t="n">
        <v/>
      </c>
      <c r="AB881" t="n">
        <v>45.66692112</v>
      </c>
      <c r="AC881" t="n">
        <v>110.290809099</v>
      </c>
      <c r="AD881" t="n">
        <v>101.613022753</v>
      </c>
      <c r="AE881" t="n">
        <v>24.427</v>
      </c>
      <c r="AF881" t="n">
        <v>71.71903903400001</v>
      </c>
      <c r="AG881" t="n">
        <v/>
      </c>
      <c r="AH881" t="n">
        <v>70.48892747799999</v>
      </c>
      <c r="AI881" t="n">
        <v>79.56630273099999</v>
      </c>
      <c r="AJ881" t="n">
        <v>93.696750885</v>
      </c>
      <c r="AK881" t="n">
        <v/>
      </c>
      <c r="AL881" t="n">
        <v>67.199088825</v>
      </c>
      <c r="AM881" t="n">
        <v>25.778892064</v>
      </c>
      <c r="AN881" t="n">
        <v>110.822426172</v>
      </c>
      <c r="AO881" t="n">
        <v/>
      </c>
      <c r="AP881" t="n">
        <v>33.223054695</v>
      </c>
      <c r="AQ881" t="n">
        <v>67.434381452</v>
      </c>
      <c r="AR881" t="n">
        <v>69.43688092799999</v>
      </c>
      <c r="AS881" t="n">
        <v>33.097241897</v>
      </c>
      <c r="AT881" t="n">
        <v>62.541818014</v>
      </c>
      <c r="AU881" t="n">
        <v/>
      </c>
    </row>
    <row r="882">
      <c r="A882" s="105" t="n">
        <v>33725</v>
      </c>
      <c r="B882" t="n">
        <v>52.217363591</v>
      </c>
      <c r="C882" t="n">
        <v>62.287512693</v>
      </c>
      <c r="D882" t="n">
        <v>63.307387235</v>
      </c>
      <c r="E882" t="n">
        <v>66.20127774300001</v>
      </c>
      <c r="F882" t="n">
        <v/>
      </c>
      <c r="G882" t="n">
        <v/>
      </c>
      <c r="H882" t="n">
        <v>55.707510391</v>
      </c>
      <c r="I882" t="n">
        <v>52.213012507</v>
      </c>
      <c r="J882" t="n">
        <v>53.860030535</v>
      </c>
      <c r="K882" t="n">
        <v>74.206183849</v>
      </c>
      <c r="L882" t="n">
        <v>85.45347377500001</v>
      </c>
      <c r="M882" t="n">
        <v>80.793267228</v>
      </c>
      <c r="N882" t="n">
        <v>97.741081451</v>
      </c>
      <c r="O882" t="n">
        <v/>
      </c>
      <c r="P882" t="n">
        <v/>
      </c>
      <c r="Q882" t="n">
        <v>61.98598268</v>
      </c>
      <c r="R882" t="n">
        <v>91.30923909000001</v>
      </c>
      <c r="S882" t="n">
        <v>75.461868611</v>
      </c>
      <c r="T882" t="n">
        <v>77.679518925</v>
      </c>
      <c r="U882" t="n">
        <v/>
      </c>
      <c r="V882" t="n">
        <v>120.352524875</v>
      </c>
      <c r="W882" t="n">
        <v>29.021342715</v>
      </c>
      <c r="X882" t="n">
        <v/>
      </c>
      <c r="Y882" t="n">
        <v/>
      </c>
      <c r="Z882" t="n">
        <v>15.688918433</v>
      </c>
      <c r="AA882" t="n">
        <v/>
      </c>
      <c r="AB882" t="n">
        <v>45.8070037</v>
      </c>
      <c r="AC882" t="n">
        <v>109.990834097</v>
      </c>
      <c r="AD882" t="n">
        <v>99.280588099</v>
      </c>
      <c r="AE882" t="n">
        <v>24.233</v>
      </c>
      <c r="AF882" t="n">
        <v>73.15084697499999</v>
      </c>
      <c r="AG882" t="n">
        <v/>
      </c>
      <c r="AH882" t="n">
        <v>72.079446867</v>
      </c>
      <c r="AI882" t="n">
        <v>78.047597021</v>
      </c>
      <c r="AJ882" t="n">
        <v>92.60343990600001</v>
      </c>
      <c r="AK882" t="n">
        <v/>
      </c>
      <c r="AL882" t="n">
        <v>66.857451756</v>
      </c>
      <c r="AM882" t="n">
        <v>24.686980819</v>
      </c>
      <c r="AN882" t="n">
        <v>112.64017431</v>
      </c>
      <c r="AO882" t="n">
        <v/>
      </c>
      <c r="AP882" t="n">
        <v>31.1974577</v>
      </c>
      <c r="AQ882" t="n">
        <v>66.965544501</v>
      </c>
      <c r="AR882" t="n">
        <v>68.62712138400001</v>
      </c>
      <c r="AS882" t="n">
        <v>33.997166903</v>
      </c>
      <c r="AT882" t="n">
        <v>62.743605478</v>
      </c>
      <c r="AU882" t="n">
        <v/>
      </c>
    </row>
    <row r="883">
      <c r="A883" s="105" t="n">
        <v>33756</v>
      </c>
      <c r="B883" t="n">
        <v>51.388702953</v>
      </c>
      <c r="C883" t="n">
        <v>63.230795448</v>
      </c>
      <c r="D883" t="n">
        <v>64.439443369</v>
      </c>
      <c r="E883" t="n">
        <v>66.43764206900001</v>
      </c>
      <c r="F883" t="n">
        <v/>
      </c>
      <c r="G883" t="n">
        <v/>
      </c>
      <c r="H883" t="n">
        <v>55.695302063</v>
      </c>
      <c r="I883" t="n">
        <v>51.384420917</v>
      </c>
      <c r="J883" t="n">
        <v>52.889517771</v>
      </c>
      <c r="K883" t="n">
        <v>73.00608384</v>
      </c>
      <c r="L883" t="n">
        <v>87.08634270100001</v>
      </c>
      <c r="M883" t="n">
        <v>79.993333889</v>
      </c>
      <c r="N883" t="n">
        <v>96.596080497</v>
      </c>
      <c r="O883" t="n">
        <v/>
      </c>
      <c r="P883" t="n">
        <v/>
      </c>
      <c r="Q883" t="n">
        <v>62.176158047</v>
      </c>
      <c r="R883" t="n">
        <v>90.22924809</v>
      </c>
      <c r="S883" t="n">
        <v>75.640136787</v>
      </c>
      <c r="T883" t="n">
        <v>78.422355854</v>
      </c>
      <c r="U883" t="n">
        <v/>
      </c>
      <c r="V883" t="n">
        <v>122.191402567</v>
      </c>
      <c r="W883" t="n">
        <v>29.343476691</v>
      </c>
      <c r="X883" t="n">
        <v/>
      </c>
      <c r="Y883" t="n">
        <v/>
      </c>
      <c r="Z883" t="n">
        <v>15.391779826</v>
      </c>
      <c r="AA883" t="n">
        <v/>
      </c>
      <c r="AB883" t="n">
        <v>45.45679725</v>
      </c>
      <c r="AC883" t="n">
        <v>109.790850762</v>
      </c>
      <c r="AD883" t="n">
        <v>101.308792145</v>
      </c>
      <c r="AE883" t="n">
        <v>24.566</v>
      </c>
      <c r="AF883" t="n">
        <v>72.016031807</v>
      </c>
      <c r="AG883" t="n">
        <v/>
      </c>
      <c r="AH883" t="n">
        <v>72.224039539</v>
      </c>
      <c r="AI883" t="n">
        <v>78.24803533799999</v>
      </c>
      <c r="AJ883" t="n">
        <v>93.696750885</v>
      </c>
      <c r="AK883" t="n">
        <v/>
      </c>
      <c r="AL883" t="n">
        <v>66.950342112</v>
      </c>
      <c r="AM883" t="n">
        <v>24.762486772</v>
      </c>
      <c r="AN883" t="n">
        <v>110.939318204</v>
      </c>
      <c r="AO883" t="n">
        <v/>
      </c>
      <c r="AP883" t="n">
        <v>33.086880339</v>
      </c>
      <c r="AQ883" t="n">
        <v>65.090196697</v>
      </c>
      <c r="AR883" t="n">
        <v>68.019801726</v>
      </c>
      <c r="AS883" t="n">
        <v>33.197233564</v>
      </c>
      <c r="AT883" t="n">
        <v>62.777418512</v>
      </c>
      <c r="AU883" t="n">
        <v/>
      </c>
    </row>
    <row r="884">
      <c r="A884" s="105" t="n">
        <v>33786</v>
      </c>
      <c r="B884" t="n">
        <v>49.358639974</v>
      </c>
      <c r="C884" t="n">
        <v>63.117973535</v>
      </c>
      <c r="D884" t="n">
        <v>64.448218998</v>
      </c>
      <c r="E884" t="n">
        <v>65.776949737</v>
      </c>
      <c r="F884" t="n">
        <v/>
      </c>
      <c r="G884" t="n">
        <v/>
      </c>
      <c r="H884" t="n">
        <v>58.12656342</v>
      </c>
      <c r="I884" t="n">
        <v>49.354527097</v>
      </c>
      <c r="J884" t="n">
        <v>53.838897954</v>
      </c>
      <c r="K884" t="n">
        <v>71.705975498</v>
      </c>
      <c r="L884" t="n">
        <v>85.562331704</v>
      </c>
      <c r="M884" t="n">
        <v>78.99341721499999</v>
      </c>
      <c r="N884" t="n">
        <v>95.582079652</v>
      </c>
      <c r="O884" t="n">
        <v/>
      </c>
      <c r="P884" t="n">
        <v/>
      </c>
      <c r="Q884" t="n">
        <v>61.258841573</v>
      </c>
      <c r="R884" t="n">
        <v>89.89925083999999</v>
      </c>
      <c r="S884" t="n">
        <v>75.63035545</v>
      </c>
      <c r="T884" t="n">
        <v>79.165192784</v>
      </c>
      <c r="U884" t="n">
        <v/>
      </c>
      <c r="V884" t="n">
        <v>123.375681355</v>
      </c>
      <c r="W884" t="n">
        <v>28.904203087</v>
      </c>
      <c r="X884" t="n">
        <v/>
      </c>
      <c r="Y884" t="n">
        <v/>
      </c>
      <c r="Z884" t="n">
        <v>16.045484761</v>
      </c>
      <c r="AA884" t="n">
        <v/>
      </c>
      <c r="AB884" t="n">
        <v>46.367334021</v>
      </c>
      <c r="AC884" t="n">
        <v>108.390967419</v>
      </c>
      <c r="AD884" t="n">
        <v>101.105971741</v>
      </c>
      <c r="AE884" t="n">
        <v>24.963</v>
      </c>
      <c r="AF884" t="n">
        <v>72.266983434</v>
      </c>
      <c r="AG884" t="n">
        <v/>
      </c>
      <c r="AH884" t="n">
        <v>73.453077249</v>
      </c>
      <c r="AI884" t="n">
        <v>79.63568522600001</v>
      </c>
      <c r="AJ884" t="n">
        <v>93.587419787</v>
      </c>
      <c r="AK884" t="n">
        <v/>
      </c>
      <c r="AL884" t="n">
        <v>67.12470294800001</v>
      </c>
      <c r="AM884" t="n">
        <v>26.065380785</v>
      </c>
      <c r="AN884" t="n">
        <v>109.327309565</v>
      </c>
      <c r="AO884" t="n">
        <v/>
      </c>
      <c r="AP884" t="n">
        <v>33.361471061</v>
      </c>
      <c r="AQ884" t="n">
        <v>65.71531263200001</v>
      </c>
      <c r="AR884" t="n">
        <v>69.538100871</v>
      </c>
      <c r="AS884" t="n">
        <v>33.797183568</v>
      </c>
      <c r="AT884" t="n">
        <v>63.339349497</v>
      </c>
      <c r="AU884" t="n">
        <v/>
      </c>
    </row>
    <row r="885">
      <c r="A885" s="105" t="n">
        <v>33817</v>
      </c>
      <c r="B885" t="n">
        <v>49.611061658</v>
      </c>
      <c r="C885" t="n">
        <v>61.964748506</v>
      </c>
      <c r="D885" t="n">
        <v>64.088418211</v>
      </c>
      <c r="E885" t="n">
        <v>66.224773203</v>
      </c>
      <c r="F885" t="n">
        <v/>
      </c>
      <c r="G885" t="n">
        <v/>
      </c>
      <c r="H885" t="n">
        <v>56.9062731</v>
      </c>
      <c r="I885" t="n">
        <v>49.606927748</v>
      </c>
      <c r="J885" t="n">
        <v>54.113912145</v>
      </c>
      <c r="K885" t="n">
        <v>71.905992166</v>
      </c>
      <c r="L885" t="n">
        <v>85.888905489</v>
      </c>
      <c r="M885" t="n">
        <v>78.893425548</v>
      </c>
      <c r="N885" t="n">
        <v>95.15607929700001</v>
      </c>
      <c r="O885" t="n">
        <v/>
      </c>
      <c r="P885" t="n">
        <v/>
      </c>
      <c r="Q885" t="n">
        <v>62.64600307</v>
      </c>
      <c r="R885" t="n">
        <v>90.17924850599999</v>
      </c>
      <c r="S885" t="n">
        <v>74.930298654</v>
      </c>
      <c r="T885" t="n">
        <v>79.05907322199999</v>
      </c>
      <c r="U885" t="n">
        <v/>
      </c>
      <c r="V885" t="n">
        <v>124.128963139</v>
      </c>
      <c r="W885" t="n">
        <v>27.00068414</v>
      </c>
      <c r="X885" t="n">
        <v/>
      </c>
      <c r="Y885" t="n">
        <v/>
      </c>
      <c r="Z885" t="n">
        <v>15.807773876</v>
      </c>
      <c r="AA885" t="n">
        <v/>
      </c>
      <c r="AB885" t="n">
        <v>45.66692112</v>
      </c>
      <c r="AC885" t="n">
        <v>106.49112574</v>
      </c>
      <c r="AD885" t="n">
        <v>98.16507587300001</v>
      </c>
      <c r="AE885" t="n">
        <v>24.76</v>
      </c>
      <c r="AF885" t="n">
        <v>71.293762164</v>
      </c>
      <c r="AG885" t="n">
        <v/>
      </c>
      <c r="AH885" t="n">
        <v>72.151743203</v>
      </c>
      <c r="AI885" t="n">
        <v>76.582855473</v>
      </c>
      <c r="AJ885" t="n">
        <v>95.66471064700001</v>
      </c>
      <c r="AK885" t="n">
        <v/>
      </c>
      <c r="AL885" t="n">
        <v>66.40530049</v>
      </c>
      <c r="AM885" t="n">
        <v>25.731864194</v>
      </c>
      <c r="AN885" t="n">
        <v>99.78230576599999</v>
      </c>
      <c r="AO885" t="n">
        <v/>
      </c>
      <c r="AP885" t="n">
        <v>32.728259828</v>
      </c>
      <c r="AQ885" t="n">
        <v>64.465080763</v>
      </c>
      <c r="AR885" t="n">
        <v>70.347860416</v>
      </c>
      <c r="AS885" t="n">
        <v>32.59728356</v>
      </c>
      <c r="AT885" t="n">
        <v>62.987535286</v>
      </c>
      <c r="AU885" t="n">
        <v/>
      </c>
    </row>
    <row r="886">
      <c r="A886" s="105" t="n">
        <v>33848</v>
      </c>
      <c r="B886" t="n">
        <v>49.584691454</v>
      </c>
      <c r="C886" t="n">
        <v>61.953638619</v>
      </c>
      <c r="D886" t="n">
        <v>65.624153277</v>
      </c>
      <c r="E886" t="n">
        <v>66.593651923</v>
      </c>
      <c r="F886" t="n">
        <v/>
      </c>
      <c r="G886" t="n">
        <v/>
      </c>
      <c r="H886" t="n">
        <v>59.53884246</v>
      </c>
      <c r="I886" t="n">
        <v>49.58055974</v>
      </c>
      <c r="J886" t="n">
        <v>54.694651883</v>
      </c>
      <c r="K886" t="n">
        <v>71.30594216199999</v>
      </c>
      <c r="L886" t="n">
        <v>86.215479274</v>
      </c>
      <c r="M886" t="n">
        <v>78.193483876</v>
      </c>
      <c r="N886" t="n">
        <v>94.586078822</v>
      </c>
      <c r="O886" t="n">
        <v/>
      </c>
      <c r="P886" t="n">
        <v/>
      </c>
      <c r="Q886" t="n">
        <v>62.198531619</v>
      </c>
      <c r="R886" t="n">
        <v>88.899259173</v>
      </c>
      <c r="S886" t="n">
        <v>75.50806000199999</v>
      </c>
      <c r="T886" t="n">
        <v>79.589671029</v>
      </c>
      <c r="U886" t="n">
        <v/>
      </c>
      <c r="V886" t="n">
        <v>121.484359574</v>
      </c>
      <c r="W886" t="n">
        <v>29.314191784</v>
      </c>
      <c r="X886" t="n">
        <v/>
      </c>
      <c r="Y886" t="n">
        <v/>
      </c>
      <c r="Z886" t="n">
        <v>16.402051089</v>
      </c>
      <c r="AA886" t="n">
        <v/>
      </c>
      <c r="AB886" t="n">
        <v>46.367334021</v>
      </c>
      <c r="AC886" t="n">
        <v>105.691192401</v>
      </c>
      <c r="AD886" t="n">
        <v>101.91725336</v>
      </c>
      <c r="AE886" t="n">
        <v>24.427</v>
      </c>
      <c r="AF886" t="n">
        <v>73.82329589699999</v>
      </c>
      <c r="AG886" t="n">
        <v/>
      </c>
      <c r="AH886" t="n">
        <v>73.525373585</v>
      </c>
      <c r="AI886" t="n">
        <v>76.86809461599999</v>
      </c>
      <c r="AJ886" t="n">
        <v>94.89939296199999</v>
      </c>
      <c r="AK886" t="n">
        <v/>
      </c>
      <c r="AL886" t="n">
        <v>66.97831261100001</v>
      </c>
      <c r="AM886" t="n">
        <v>25.598000103</v>
      </c>
      <c r="AN886" t="n">
        <v>106.370848955</v>
      </c>
      <c r="AO886" t="n">
        <v/>
      </c>
      <c r="AP886" t="n">
        <v>34.189414116</v>
      </c>
      <c r="AQ886" t="n">
        <v>64.699499238</v>
      </c>
      <c r="AR886" t="n">
        <v>68.222241612</v>
      </c>
      <c r="AS886" t="n">
        <v>34.49712524</v>
      </c>
      <c r="AT886" t="n">
        <v>63.185455569</v>
      </c>
      <c r="AU886" t="n">
        <v/>
      </c>
    </row>
    <row r="887">
      <c r="A887" s="105" t="n">
        <v>33878</v>
      </c>
      <c r="B887" t="n">
        <v>50.302726926</v>
      </c>
      <c r="C887" t="n">
        <v>61.232073363</v>
      </c>
      <c r="D887" t="n">
        <v>65.659255793</v>
      </c>
      <c r="E887" t="n">
        <v>67.39390728799999</v>
      </c>
      <c r="F887" t="n">
        <v/>
      </c>
      <c r="G887" t="n">
        <v/>
      </c>
      <c r="H887" t="n">
        <v>58.41199636</v>
      </c>
      <c r="I887" t="n">
        <v>50.298535381</v>
      </c>
      <c r="J887" t="n">
        <v>54.302888014</v>
      </c>
      <c r="K887" t="n">
        <v>71.205933828</v>
      </c>
      <c r="L887" t="n">
        <v>85.45347377500001</v>
      </c>
      <c r="M887" t="n">
        <v>78.393467211</v>
      </c>
      <c r="N887" t="n">
        <v>93.883078236</v>
      </c>
      <c r="O887" t="n">
        <v/>
      </c>
      <c r="P887" t="n">
        <v/>
      </c>
      <c r="Q887" t="n">
        <v>62.388706986</v>
      </c>
      <c r="R887" t="n">
        <v>89.829251423</v>
      </c>
      <c r="S887" t="n">
        <v>75.356601133</v>
      </c>
      <c r="T887" t="n">
        <v>80.43862752</v>
      </c>
      <c r="U887" t="n">
        <v/>
      </c>
      <c r="V887" t="n">
        <v>121.662711495</v>
      </c>
      <c r="W887" t="n">
        <v>29.958459735</v>
      </c>
      <c r="X887" t="n">
        <v/>
      </c>
      <c r="Y887" t="n">
        <v/>
      </c>
      <c r="Z887" t="n">
        <v>16.520906532</v>
      </c>
      <c r="AA887" t="n">
        <v/>
      </c>
      <c r="AB887" t="n">
        <v>46.717540471</v>
      </c>
      <c r="AC887" t="n">
        <v>106.391134072</v>
      </c>
      <c r="AD887" t="n">
        <v>98.77353708699999</v>
      </c>
      <c r="AE887" t="n">
        <v>24.427</v>
      </c>
      <c r="AF887" t="n">
        <v>74.62022928499999</v>
      </c>
      <c r="AG887" t="n">
        <v/>
      </c>
      <c r="AH887" t="n">
        <v>72.296335875</v>
      </c>
      <c r="AI887" t="n">
        <v>81.51672173999999</v>
      </c>
      <c r="AJ887" t="n">
        <v>93.25942649300001</v>
      </c>
      <c r="AK887" t="n">
        <v/>
      </c>
      <c r="AL887" t="n">
        <v>66.902740837</v>
      </c>
      <c r="AM887" t="n">
        <v>26.364043598</v>
      </c>
      <c r="AN887" t="n">
        <v>107.695391838</v>
      </c>
      <c r="AO887" t="n">
        <v/>
      </c>
      <c r="AP887" t="n">
        <v>33.298310124</v>
      </c>
      <c r="AQ887" t="n">
        <v>65.48089415600001</v>
      </c>
      <c r="AR887" t="n">
        <v>68.121021669</v>
      </c>
      <c r="AS887" t="n">
        <v>34.597116907</v>
      </c>
      <c r="AT887" t="n">
        <v>63.615704122</v>
      </c>
      <c r="AU887" t="n">
        <v/>
      </c>
    </row>
    <row r="888">
      <c r="A888" s="105" t="n">
        <v>33909</v>
      </c>
      <c r="B888" t="n">
        <v>49.067987898</v>
      </c>
      <c r="C888" t="n">
        <v>60.597511252</v>
      </c>
      <c r="D888" t="n">
        <v>66.96682450599999</v>
      </c>
      <c r="E888" t="n">
        <v>67.57200287400001</v>
      </c>
      <c r="F888" t="n">
        <v/>
      </c>
      <c r="G888" t="n">
        <v/>
      </c>
      <c r="H888" t="n">
        <v>57.691468395</v>
      </c>
      <c r="I888" t="n">
        <v>49.06389924</v>
      </c>
      <c r="J888" t="n">
        <v>54.481277506</v>
      </c>
      <c r="K888" t="n">
        <v>70.105842154</v>
      </c>
      <c r="L888" t="n">
        <v>82.623167638</v>
      </c>
      <c r="M888" t="n">
        <v>77.59353387199999</v>
      </c>
      <c r="N888" t="n">
        <v>92.272076893</v>
      </c>
      <c r="O888" t="n">
        <v/>
      </c>
      <c r="P888" t="n">
        <v/>
      </c>
      <c r="Q888" t="n">
        <v>62.836178436</v>
      </c>
      <c r="R888" t="n">
        <v>88.649261256</v>
      </c>
      <c r="S888" t="n">
        <v>75.040235162</v>
      </c>
      <c r="T888" t="n">
        <v>79.377431907</v>
      </c>
      <c r="U888" t="n">
        <v/>
      </c>
      <c r="V888" t="n">
        <v>122.213742577</v>
      </c>
      <c r="W888" t="n">
        <v>29.197052156</v>
      </c>
      <c r="X888" t="n">
        <v/>
      </c>
      <c r="Y888" t="n">
        <v/>
      </c>
      <c r="Z888" t="n">
        <v>16.46147881</v>
      </c>
      <c r="AA888" t="n">
        <v/>
      </c>
      <c r="AB888" t="n">
        <v>46.997705631</v>
      </c>
      <c r="AC888" t="n">
        <v>107.091075744</v>
      </c>
      <c r="AD888" t="n">
        <v>97.556614659</v>
      </c>
      <c r="AE888" t="n">
        <v>24.501</v>
      </c>
      <c r="AF888" t="n">
        <v>73.30217164600001</v>
      </c>
      <c r="AG888" t="n">
        <v/>
      </c>
      <c r="AH888" t="n">
        <v>72.079446867</v>
      </c>
      <c r="AI888" t="n">
        <v>77.762357877</v>
      </c>
      <c r="AJ888" t="n">
        <v>92.60343990600001</v>
      </c>
      <c r="AK888" t="n">
        <v/>
      </c>
      <c r="AL888" t="n">
        <v>66.54407406999999</v>
      </c>
      <c r="AM888" t="n">
        <v>26.288187196</v>
      </c>
      <c r="AN888" t="n">
        <v>107.476783522</v>
      </c>
      <c r="AO888" t="n">
        <v/>
      </c>
      <c r="AP888" t="n">
        <v>32.552569275</v>
      </c>
      <c r="AQ888" t="n">
        <v>64.933917714</v>
      </c>
      <c r="AR888" t="n">
        <v>66.703942466</v>
      </c>
      <c r="AS888" t="n">
        <v>34.49712524</v>
      </c>
      <c r="AT888" t="n">
        <v>63.872326213</v>
      </c>
      <c r="AU888" t="n">
        <v/>
      </c>
    </row>
    <row r="889">
      <c r="A889" s="105" t="n">
        <v>33939</v>
      </c>
      <c r="B889" t="n">
        <v>47.31460776</v>
      </c>
      <c r="C889" t="n">
        <v>59.849292147</v>
      </c>
      <c r="D889" t="n">
        <v>66.238447304</v>
      </c>
      <c r="E889" t="n">
        <v>67.730832183</v>
      </c>
      <c r="F889" t="n">
        <v/>
      </c>
      <c r="G889" t="n">
        <v/>
      </c>
      <c r="H889" t="n">
        <v>57.903092225</v>
      </c>
      <c r="I889" t="n">
        <v>47.310665204</v>
      </c>
      <c r="J889" t="n">
        <v>52.286087919</v>
      </c>
      <c r="K889" t="n">
        <v>68.905742145</v>
      </c>
      <c r="L889" t="n">
        <v>81.643446282</v>
      </c>
      <c r="M889" t="n">
        <v>76.29364219599999</v>
      </c>
      <c r="N889" t="n">
        <v>90.769075641</v>
      </c>
      <c r="O889" t="n">
        <v/>
      </c>
      <c r="P889" t="n">
        <v/>
      </c>
      <c r="Q889" t="n">
        <v>62.668376642</v>
      </c>
      <c r="R889" t="n">
        <v>87.48927092300001</v>
      </c>
      <c r="S889" t="n">
        <v>74.703497192</v>
      </c>
      <c r="T889" t="n">
        <v>79.271312345</v>
      </c>
      <c r="U889" t="n">
        <v/>
      </c>
      <c r="V889" t="n">
        <v>121.037759555</v>
      </c>
      <c r="W889" t="n">
        <v>31.627699427</v>
      </c>
      <c r="X889" t="n">
        <v/>
      </c>
      <c r="Y889" t="n">
        <v/>
      </c>
      <c r="Z889" t="n">
        <v>15.272924384</v>
      </c>
      <c r="AA889" t="n">
        <v/>
      </c>
      <c r="AB889" t="n">
        <v>47.908242402</v>
      </c>
      <c r="AC889" t="n">
        <v>105.291225731</v>
      </c>
      <c r="AD889" t="n">
        <v>97.150973849</v>
      </c>
      <c r="AE889" t="n">
        <v>24.63</v>
      </c>
      <c r="AF889" t="n">
        <v>69.28521277999999</v>
      </c>
      <c r="AG889" t="n">
        <v/>
      </c>
      <c r="AH889" t="n">
        <v>71.50107618</v>
      </c>
      <c r="AI889" t="n">
        <v>74.509089807</v>
      </c>
      <c r="AJ889" t="n">
        <v>94.352737472</v>
      </c>
      <c r="AK889" t="n">
        <v/>
      </c>
      <c r="AL889" t="n">
        <v>66.15210669299999</v>
      </c>
      <c r="AM889" t="n">
        <v>26.483118021</v>
      </c>
      <c r="AN889" t="n">
        <v>103.451908253</v>
      </c>
      <c r="AO889" t="n">
        <v/>
      </c>
      <c r="AP889" t="n">
        <v>33.130444375</v>
      </c>
      <c r="AQ889" t="n">
        <v>63.761825336</v>
      </c>
      <c r="AR889" t="n">
        <v>66.703942466</v>
      </c>
      <c r="AS889" t="n">
        <v>33.597200233</v>
      </c>
      <c r="AT889" t="n">
        <v>63.973170365</v>
      </c>
      <c r="AU889" t="n">
        <v/>
      </c>
    </row>
    <row r="890">
      <c r="A890" s="105" t="n">
        <v>33970</v>
      </c>
      <c r="B890" t="n">
        <v>49.246979969</v>
      </c>
      <c r="C890" t="n">
        <v>58.612635937</v>
      </c>
      <c r="D890" t="n">
        <v>67.58989416199999</v>
      </c>
      <c r="E890" t="n">
        <v>67.856767848</v>
      </c>
      <c r="F890" t="n">
        <v/>
      </c>
      <c r="G890" t="n">
        <v/>
      </c>
      <c r="H890" t="n">
        <v>56.83966914</v>
      </c>
      <c r="I890" t="n">
        <v>49.242876396</v>
      </c>
      <c r="J890" t="n">
        <v>51.402527688</v>
      </c>
      <c r="K890" t="n">
        <v>68.10567547300001</v>
      </c>
      <c r="L890" t="n">
        <v>79.46628771500001</v>
      </c>
      <c r="M890" t="n">
        <v>76.69360886600001</v>
      </c>
      <c r="N890" t="n">
        <v>92.09707674800001</v>
      </c>
      <c r="O890" t="n">
        <v/>
      </c>
      <c r="P890" t="n">
        <v/>
      </c>
      <c r="Q890" t="n">
        <v>62.82499165</v>
      </c>
      <c r="R890" t="n">
        <v>87.369271923</v>
      </c>
      <c r="S890" t="n">
        <v>75.148943778</v>
      </c>
      <c r="T890" t="n">
        <v>79.377431907</v>
      </c>
      <c r="U890" t="n">
        <v/>
      </c>
      <c r="V890" t="n">
        <v>115.326390564</v>
      </c>
      <c r="W890" t="n">
        <v>27.586382278</v>
      </c>
      <c r="X890" t="n">
        <v/>
      </c>
      <c r="Y890" t="n">
        <v/>
      </c>
      <c r="Z890" t="n">
        <v>16.639761974</v>
      </c>
      <c r="AA890" t="n">
        <v/>
      </c>
      <c r="AB890" t="n">
        <v>48.188407562</v>
      </c>
      <c r="AC890" t="n">
        <v>107.091075744</v>
      </c>
      <c r="AD890" t="n">
        <v>99.179177896</v>
      </c>
      <c r="AE890" t="n">
        <v>24.63</v>
      </c>
      <c r="AF890" t="n">
        <v>66.081841834</v>
      </c>
      <c r="AG890" t="n">
        <v/>
      </c>
      <c r="AH890" t="n">
        <v>71.332967341</v>
      </c>
      <c r="AI890" t="n">
        <v>77.80090370800001</v>
      </c>
      <c r="AJ890" t="n">
        <v>89.32350697</v>
      </c>
      <c r="AK890" t="n">
        <v/>
      </c>
      <c r="AL890" t="n">
        <v>66.491756338</v>
      </c>
      <c r="AM890" t="n">
        <v>25.740686649</v>
      </c>
      <c r="AN890" t="n">
        <v>106.38450176</v>
      </c>
      <c r="AO890" t="n">
        <v>77.433438717</v>
      </c>
      <c r="AP890" t="n">
        <v>33.673801519</v>
      </c>
      <c r="AQ890" t="n">
        <v>66.18414958300001</v>
      </c>
      <c r="AR890" t="n">
        <v>66.90638235199999</v>
      </c>
      <c r="AS890" t="n">
        <v>35.097075244</v>
      </c>
      <c r="AT890" t="n">
        <v>64.22870171300001</v>
      </c>
      <c r="AU890" t="n">
        <v/>
      </c>
    </row>
    <row r="891">
      <c r="A891" s="105" t="n">
        <v>34001</v>
      </c>
      <c r="B891" t="n">
        <v>49.281182623</v>
      </c>
      <c r="C891" t="n">
        <v>59.168825146</v>
      </c>
      <c r="D891" t="n">
        <v>69.03787293800001</v>
      </c>
      <c r="E891" t="n">
        <v>68.844047073</v>
      </c>
      <c r="F891" t="n">
        <v/>
      </c>
      <c r="G891" t="n">
        <v/>
      </c>
      <c r="H891" t="n">
        <v>56.769439733</v>
      </c>
      <c r="I891" t="n">
        <v>49.2770762</v>
      </c>
      <c r="J891" t="n">
        <v>51.820816072</v>
      </c>
      <c r="K891" t="n">
        <v>67.105592133</v>
      </c>
      <c r="L891" t="n">
        <v>80.772582855</v>
      </c>
      <c r="M891" t="n">
        <v>76.093658862</v>
      </c>
      <c r="N891" t="n">
        <v>90.724075603</v>
      </c>
      <c r="O891" t="n">
        <v/>
      </c>
      <c r="P891" t="n">
        <v/>
      </c>
      <c r="Q891" t="n">
        <v>63.138221665</v>
      </c>
      <c r="R891" t="n">
        <v>87.51927067299999</v>
      </c>
      <c r="S891" t="n">
        <v>75.28377258499999</v>
      </c>
      <c r="T891" t="n">
        <v>80.544747082</v>
      </c>
      <c r="U891" t="n">
        <v/>
      </c>
      <c r="V891" t="n">
        <v>119.42605326</v>
      </c>
      <c r="W891" t="n">
        <v>29.577755946</v>
      </c>
      <c r="X891" t="n">
        <v/>
      </c>
      <c r="Y891" t="n">
        <v/>
      </c>
      <c r="Z891" t="n">
        <v>16.639761974</v>
      </c>
      <c r="AA891" t="n">
        <v/>
      </c>
      <c r="AB891" t="n">
        <v>49.028903043</v>
      </c>
      <c r="AC891" t="n">
        <v>106.791100742</v>
      </c>
      <c r="AD891" t="n">
        <v>99.381998301</v>
      </c>
      <c r="AE891" t="n">
        <v>24.362</v>
      </c>
      <c r="AF891" t="n">
        <v>70.244349958</v>
      </c>
      <c r="AG891" t="n">
        <v/>
      </c>
      <c r="AH891" t="n">
        <v>72.28032475000001</v>
      </c>
      <c r="AI891" t="n">
        <v>77.754648711</v>
      </c>
      <c r="AJ891" t="n">
        <v>92.49410880799999</v>
      </c>
      <c r="AK891" t="n">
        <v/>
      </c>
      <c r="AL891" t="n">
        <v>66.63574266000001</v>
      </c>
      <c r="AM891" t="n">
        <v>25.932989801</v>
      </c>
      <c r="AN891" t="n">
        <v>103.428439484</v>
      </c>
      <c r="AO891" t="n">
        <v>82.29162637100001</v>
      </c>
      <c r="AP891" t="n">
        <v>33.558843181</v>
      </c>
      <c r="AQ891" t="n">
        <v>63.292988385</v>
      </c>
      <c r="AR891" t="n">
        <v>65.995402865</v>
      </c>
      <c r="AS891" t="n">
        <v>35.197066911</v>
      </c>
      <c r="AT891" t="n">
        <v>64.532820706</v>
      </c>
      <c r="AU891" t="n">
        <v/>
      </c>
    </row>
    <row r="892">
      <c r="A892" s="105" t="n">
        <v>34029</v>
      </c>
      <c r="B892" t="n">
        <v>49.347497044</v>
      </c>
      <c r="C892" t="n">
        <v>59.412603886</v>
      </c>
      <c r="D892" t="n">
        <v>68.79215532800001</v>
      </c>
      <c r="E892" t="n">
        <v>69.54797105199999</v>
      </c>
      <c r="F892" t="n">
        <v/>
      </c>
      <c r="G892" t="n">
        <v/>
      </c>
      <c r="H892" t="n">
        <v>57.780460791</v>
      </c>
      <c r="I892" t="n">
        <v>49.343385095</v>
      </c>
      <c r="J892" t="n">
        <v>50.188150008</v>
      </c>
      <c r="K892" t="n">
        <v>67.205600467</v>
      </c>
      <c r="L892" t="n">
        <v>81.53458835399999</v>
      </c>
      <c r="M892" t="n">
        <v>75.893675527</v>
      </c>
      <c r="N892" t="n">
        <v>90.956075797</v>
      </c>
      <c r="O892" t="n">
        <v/>
      </c>
      <c r="P892" t="n">
        <v/>
      </c>
      <c r="Q892" t="n">
        <v>63.630440261</v>
      </c>
      <c r="R892" t="n">
        <v>87.109274089</v>
      </c>
      <c r="S892" t="n">
        <v>74.63389402999999</v>
      </c>
      <c r="T892" t="n">
        <v>79.801910152</v>
      </c>
      <c r="U892" t="n">
        <v/>
      </c>
      <c r="V892" t="n">
        <v>117.714763376</v>
      </c>
      <c r="W892" t="n">
        <v>30.427018245</v>
      </c>
      <c r="X892" t="n">
        <v/>
      </c>
      <c r="Y892" t="n">
        <v/>
      </c>
      <c r="Z892" t="n">
        <v>16.699189696</v>
      </c>
      <c r="AA892" t="n">
        <v/>
      </c>
      <c r="AB892" t="n">
        <v>48.538614013</v>
      </c>
      <c r="AC892" t="n">
        <v>106.291142405</v>
      </c>
      <c r="AD892" t="n">
        <v>96.035461623</v>
      </c>
      <c r="AE892" t="n">
        <v>25.231</v>
      </c>
      <c r="AF892" t="n">
        <v>70.569405045</v>
      </c>
      <c r="AG892" t="n">
        <v/>
      </c>
      <c r="AH892" t="n">
        <v>72.787195872</v>
      </c>
      <c r="AI892" t="n">
        <v>77.029987103</v>
      </c>
      <c r="AJ892" t="n">
        <v>96.32069723399999</v>
      </c>
      <c r="AK892" t="n">
        <v/>
      </c>
      <c r="AL892" t="n">
        <v>66.254294965</v>
      </c>
      <c r="AM892" t="n">
        <v>26.153584127</v>
      </c>
      <c r="AN892" t="n">
        <v>106.450106612</v>
      </c>
      <c r="AO892" t="n">
        <v>83.580117051</v>
      </c>
      <c r="AP892" t="n">
        <v>31.814874126</v>
      </c>
      <c r="AQ892" t="n">
        <v>62.980430418</v>
      </c>
      <c r="AR892" t="n">
        <v>67.21004218100001</v>
      </c>
      <c r="AS892" t="n">
        <v>33.997166903</v>
      </c>
      <c r="AT892" t="n">
        <v>64.470450036</v>
      </c>
      <c r="AU892" t="n">
        <v/>
      </c>
    </row>
    <row r="893">
      <c r="A893" s="105" t="n">
        <v>34060</v>
      </c>
      <c r="B893" t="n">
        <v>49.186771867</v>
      </c>
      <c r="C893" t="n">
        <v>59.662054159</v>
      </c>
      <c r="D893" t="n">
        <v>69.47665438600001</v>
      </c>
      <c r="E893" t="n">
        <v>69.235951344</v>
      </c>
      <c r="F893" t="n">
        <v/>
      </c>
      <c r="G893" t="n">
        <v/>
      </c>
      <c r="H893" t="n">
        <v>57.243834206</v>
      </c>
      <c r="I893" t="n">
        <v>49.182673311</v>
      </c>
      <c r="J893" t="n">
        <v>51.385031143</v>
      </c>
      <c r="K893" t="n">
        <v>66.70555879699999</v>
      </c>
      <c r="L893" t="n">
        <v>82.405451781</v>
      </c>
      <c r="M893" t="n">
        <v>75.49370885800001</v>
      </c>
      <c r="N893" t="n">
        <v>90.472075393</v>
      </c>
      <c r="O893" t="n">
        <v/>
      </c>
      <c r="P893" t="n">
        <v/>
      </c>
      <c r="Q893" t="n">
        <v>64.10028528399999</v>
      </c>
      <c r="R893" t="n">
        <v>86.52927892300001</v>
      </c>
      <c r="S893" t="n">
        <v>74.908765957</v>
      </c>
      <c r="T893" t="n">
        <v>79.908029713</v>
      </c>
      <c r="U893" t="n">
        <v/>
      </c>
      <c r="V893" t="n">
        <v>119.070297734</v>
      </c>
      <c r="W893" t="n">
        <v>30.924861662</v>
      </c>
      <c r="X893" t="n">
        <v/>
      </c>
      <c r="Y893" t="n">
        <v/>
      </c>
      <c r="Z893" t="n">
        <v>16.639761974</v>
      </c>
      <c r="AA893" t="n">
        <v/>
      </c>
      <c r="AB893" t="n">
        <v>48.118366272</v>
      </c>
      <c r="AC893" t="n">
        <v>106.09115907</v>
      </c>
      <c r="AD893" t="n">
        <v>97.860845266</v>
      </c>
      <c r="AE893" t="n">
        <v>25.092</v>
      </c>
      <c r="AF893" t="n">
        <v>70.14599524400001</v>
      </c>
      <c r="AG893" t="n">
        <v/>
      </c>
      <c r="AH893" t="n">
        <v>72.38855585899999</v>
      </c>
      <c r="AI893" t="n">
        <v>76.18968800499999</v>
      </c>
      <c r="AJ893" t="n">
        <v>95.99270394</v>
      </c>
      <c r="AK893" t="n">
        <v/>
      </c>
      <c r="AL893" t="n">
        <v>66.515350325</v>
      </c>
      <c r="AM893" t="n">
        <v>26.770884599</v>
      </c>
      <c r="AN893" t="n">
        <v>104.694312854</v>
      </c>
      <c r="AO893" t="n">
        <v>82.179340848</v>
      </c>
      <c r="AP893" t="n">
        <v>31.990741175</v>
      </c>
      <c r="AQ893" t="n">
        <v>63.05856991</v>
      </c>
      <c r="AR893" t="n">
        <v>66.50150257999999</v>
      </c>
      <c r="AS893" t="n">
        <v>35.697025248</v>
      </c>
      <c r="AT893" t="n">
        <v>64.655380561</v>
      </c>
      <c r="AU893" t="n">
        <v/>
      </c>
    </row>
    <row r="894">
      <c r="A894" s="105" t="n">
        <v>34090</v>
      </c>
      <c r="B894" t="n">
        <v>49.240500409</v>
      </c>
      <c r="C894" t="n">
        <v>58.275178349</v>
      </c>
      <c r="D894" t="n">
        <v>71.126472628</v>
      </c>
      <c r="E894" t="n">
        <v>68.873651353</v>
      </c>
      <c r="F894" t="n">
        <v/>
      </c>
      <c r="G894" t="n">
        <v/>
      </c>
      <c r="H894" t="n">
        <v>56.562369732</v>
      </c>
      <c r="I894" t="n">
        <v>49.236397376</v>
      </c>
      <c r="J894" t="n">
        <v>52.697555835</v>
      </c>
      <c r="K894" t="n">
        <v>66.70555879699999</v>
      </c>
      <c r="L894" t="n">
        <v>77.18027121900001</v>
      </c>
      <c r="M894" t="n">
        <v>75.29372552300001</v>
      </c>
      <c r="N894" t="n">
        <v>91.195075996</v>
      </c>
      <c r="O894" t="n">
        <v/>
      </c>
      <c r="P894" t="n">
        <v/>
      </c>
      <c r="Q894" t="n">
        <v>63.350770604</v>
      </c>
      <c r="R894" t="n">
        <v>86.429279756</v>
      </c>
      <c r="S894" t="n">
        <v>75.002463943</v>
      </c>
      <c r="T894" t="n">
        <v>80.544747082</v>
      </c>
      <c r="U894" t="n">
        <v/>
      </c>
      <c r="V894" t="n">
        <v>119.605577155</v>
      </c>
      <c r="W894" t="n">
        <v>30.075599363</v>
      </c>
      <c r="X894" t="n">
        <v/>
      </c>
      <c r="Y894" t="n">
        <v/>
      </c>
      <c r="Z894" t="n">
        <v>16.639761974</v>
      </c>
      <c r="AA894" t="n">
        <v/>
      </c>
      <c r="AB894" t="n">
        <v>48.188407562</v>
      </c>
      <c r="AC894" t="n">
        <v>105.491209066</v>
      </c>
      <c r="AD894" t="n">
        <v>99.179177896</v>
      </c>
      <c r="AE894" t="n">
        <v>25.028</v>
      </c>
      <c r="AF894" t="n">
        <v>72.44360165000001</v>
      </c>
      <c r="AG894" t="n">
        <v/>
      </c>
      <c r="AH894" t="n">
        <v>73.032584439</v>
      </c>
      <c r="AI894" t="n">
        <v>76.713911295</v>
      </c>
      <c r="AJ894" t="n">
        <v>96.102035038</v>
      </c>
      <c r="AK894" t="n">
        <v/>
      </c>
      <c r="AL894" t="n">
        <v>66.608388707</v>
      </c>
      <c r="AM894" t="n">
        <v>27.698710156</v>
      </c>
      <c r="AN894" t="n">
        <v>102.767773787</v>
      </c>
      <c r="AO894" t="n">
        <v>82.17290866800001</v>
      </c>
      <c r="AP894" t="n">
        <v>31.71411814</v>
      </c>
      <c r="AQ894" t="n">
        <v>62.902290926</v>
      </c>
      <c r="AR894" t="n">
        <v>67.51370201100001</v>
      </c>
      <c r="AS894" t="n">
        <v>35.297058578</v>
      </c>
      <c r="AT894" t="n">
        <v>64.39677530100001</v>
      </c>
      <c r="AU894" t="n">
        <v/>
      </c>
    </row>
    <row r="895">
      <c r="A895" s="105" t="n">
        <v>34121</v>
      </c>
      <c r="B895" t="n">
        <v>47.834511317</v>
      </c>
      <c r="C895" t="n">
        <v>59.20358538</v>
      </c>
      <c r="D895" t="n">
        <v>70.58238363300001</v>
      </c>
      <c r="E895" t="n">
        <v>69.265085715</v>
      </c>
      <c r="F895" t="n">
        <v/>
      </c>
      <c r="G895" t="n">
        <v/>
      </c>
      <c r="H895" t="n">
        <v>57.690667513</v>
      </c>
      <c r="I895" t="n">
        <v>47.83052544</v>
      </c>
      <c r="J895" t="n">
        <v>50.926226052</v>
      </c>
      <c r="K895" t="n">
        <v>66.205517126</v>
      </c>
      <c r="L895" t="n">
        <v>82.296593852</v>
      </c>
      <c r="M895" t="n">
        <v>74.89375885299999</v>
      </c>
      <c r="N895" t="n">
        <v>90.499075416</v>
      </c>
      <c r="O895" t="n">
        <v/>
      </c>
      <c r="P895" t="n">
        <v/>
      </c>
      <c r="Q895" t="n">
        <v>65.21896391</v>
      </c>
      <c r="R895" t="n">
        <v>85.749285423</v>
      </c>
      <c r="S895" t="n">
        <v>74.61389711</v>
      </c>
      <c r="T895" t="n">
        <v>80.01414927499999</v>
      </c>
      <c r="U895" t="n">
        <v/>
      </c>
      <c r="V895" t="n">
        <v>120.414927965</v>
      </c>
      <c r="W895" t="n">
        <v>31.188425824</v>
      </c>
      <c r="X895" t="n">
        <v/>
      </c>
      <c r="Y895" t="n">
        <v/>
      </c>
      <c r="Z895" t="n">
        <v>16.223767925</v>
      </c>
      <c r="AA895" t="n">
        <v/>
      </c>
      <c r="AB895" t="n">
        <v>49.028903043</v>
      </c>
      <c r="AC895" t="n">
        <v>105.091242396</v>
      </c>
      <c r="AD895" t="n">
        <v>97.35379425399999</v>
      </c>
      <c r="AE895" t="n">
        <v>25.296</v>
      </c>
      <c r="AF895" t="n">
        <v>71.846794485</v>
      </c>
      <c r="AG895" t="n">
        <v/>
      </c>
      <c r="AH895" t="n">
        <v>72.051951073</v>
      </c>
      <c r="AI895" t="n">
        <v>75.966122189</v>
      </c>
      <c r="AJ895" t="n">
        <v>92.38477770999999</v>
      </c>
      <c r="AK895" t="n">
        <v/>
      </c>
      <c r="AL895" t="n">
        <v>66.33793280899999</v>
      </c>
      <c r="AM895" t="n">
        <v>27.402424041</v>
      </c>
      <c r="AN895" t="n">
        <v>102.694250069</v>
      </c>
      <c r="AO895" t="n">
        <v>80.724403599</v>
      </c>
      <c r="AP895" t="n">
        <v>31.18072572</v>
      </c>
      <c r="AQ895" t="n">
        <v>62.277174991</v>
      </c>
      <c r="AR895" t="n">
        <v>68.019801726</v>
      </c>
      <c r="AS895" t="n">
        <v>36.096991917</v>
      </c>
      <c r="AT895" t="n">
        <v>64.55057007000001</v>
      </c>
      <c r="AU895" t="n">
        <v/>
      </c>
    </row>
    <row r="896">
      <c r="A896" s="105" t="n">
        <v>34151</v>
      </c>
      <c r="B896" t="n">
        <v>48.831820017</v>
      </c>
      <c r="C896" t="n">
        <v>57.841004794</v>
      </c>
      <c r="D896" t="n">
        <v>70.994838194</v>
      </c>
      <c r="E896" t="n">
        <v>68.81397288399999</v>
      </c>
      <c r="F896" t="n">
        <v/>
      </c>
      <c r="G896" t="n">
        <v/>
      </c>
      <c r="H896" t="n">
        <v>58.478826964</v>
      </c>
      <c r="I896" t="n">
        <v>48.827751038</v>
      </c>
      <c r="J896" t="n">
        <v>49.761683911</v>
      </c>
      <c r="K896" t="n">
        <v>64.705392116</v>
      </c>
      <c r="L896" t="n">
        <v>87.08634270100001</v>
      </c>
      <c r="M896" t="n">
        <v>74.493792184</v>
      </c>
      <c r="N896" t="n">
        <v>91.366076138</v>
      </c>
      <c r="O896" t="n">
        <v/>
      </c>
      <c r="P896" t="n">
        <v/>
      </c>
      <c r="Q896" t="n">
        <v>66.04678609299999</v>
      </c>
      <c r="R896" t="n">
        <v>86.909275756</v>
      </c>
      <c r="S896" t="n">
        <v>74.50233551300001</v>
      </c>
      <c r="T896" t="n">
        <v>80.756986204</v>
      </c>
      <c r="U896" t="n">
        <v/>
      </c>
      <c r="V896" t="n">
        <v>114.931241966</v>
      </c>
      <c r="W896" t="n">
        <v>31.715554148</v>
      </c>
      <c r="X896" t="n">
        <v/>
      </c>
      <c r="Y896" t="n">
        <v/>
      </c>
      <c r="Z896" t="n">
        <v>16.46147881</v>
      </c>
      <c r="AA896" t="n">
        <v/>
      </c>
      <c r="AB896" t="n">
        <v>49.168985623</v>
      </c>
      <c r="AC896" t="n">
        <v>104.491292392</v>
      </c>
      <c r="AD896" t="n">
        <v>97.252384052</v>
      </c>
      <c r="AE896" t="n">
        <v>25.628</v>
      </c>
      <c r="AF896" t="n">
        <v>71.066954823</v>
      </c>
      <c r="AG896" t="n">
        <v/>
      </c>
      <c r="AH896" t="n">
        <v>71.827091994</v>
      </c>
      <c r="AI896" t="n">
        <v>77.19187959</v>
      </c>
      <c r="AJ896" t="n">
        <v>97.96066370200001</v>
      </c>
      <c r="AK896" t="n">
        <v/>
      </c>
      <c r="AL896" t="n">
        <v>66.32136115</v>
      </c>
      <c r="AM896" t="n">
        <v>26.26755984</v>
      </c>
      <c r="AN896" t="n">
        <v>103.800213037</v>
      </c>
      <c r="AO896" t="n">
        <v>77.78948534600001</v>
      </c>
      <c r="AP896" t="n">
        <v>30.376112503</v>
      </c>
      <c r="AQ896" t="n">
        <v>62.66787245</v>
      </c>
      <c r="AR896" t="n">
        <v>69.133221099</v>
      </c>
      <c r="AS896" t="n">
        <v>36.596950254</v>
      </c>
      <c r="AT896" t="n">
        <v>64.70624884999999</v>
      </c>
      <c r="AU896" t="n">
        <v/>
      </c>
    </row>
    <row r="897">
      <c r="A897" s="105" t="n">
        <v>34182</v>
      </c>
      <c r="B897" t="n">
        <v>49.319567363</v>
      </c>
      <c r="C897" t="n">
        <v>58.921842087</v>
      </c>
      <c r="D897" t="n">
        <v>70.22258284599999</v>
      </c>
      <c r="E897" t="n">
        <v>69.74721255199999</v>
      </c>
      <c r="F897" t="n">
        <v/>
      </c>
      <c r="G897" t="n">
        <v/>
      </c>
      <c r="H897" t="n">
        <v>58.926981255</v>
      </c>
      <c r="I897" t="n">
        <v>49.315457742</v>
      </c>
      <c r="J897" t="n">
        <v>49.919900964</v>
      </c>
      <c r="K897" t="n">
        <v>67.50562546899999</v>
      </c>
      <c r="L897" t="n">
        <v>85.888905489</v>
      </c>
      <c r="M897" t="n">
        <v>75.49370885800001</v>
      </c>
      <c r="N897" t="n">
        <v>89.98007498299999</v>
      </c>
      <c r="O897" t="n">
        <v/>
      </c>
      <c r="P897" t="n">
        <v/>
      </c>
      <c r="Q897" t="n">
        <v>65.588127857</v>
      </c>
      <c r="R897" t="n">
        <v>86.31928067299999</v>
      </c>
      <c r="S897" t="n">
        <v>74.767110644</v>
      </c>
      <c r="T897" t="n">
        <v>80.969225327</v>
      </c>
      <c r="U897" t="n">
        <v/>
      </c>
      <c r="V897" t="n">
        <v>117.392018901</v>
      </c>
      <c r="W897" t="n">
        <v>29.929174828</v>
      </c>
      <c r="X897" t="n">
        <v/>
      </c>
      <c r="Y897" t="n">
        <v/>
      </c>
      <c r="Z897" t="n">
        <v>16.639761974</v>
      </c>
      <c r="AA897" t="n">
        <v/>
      </c>
      <c r="AB897" t="n">
        <v>48.888820463</v>
      </c>
      <c r="AC897" t="n">
        <v>104.59128406</v>
      </c>
      <c r="AD897" t="n">
        <v>96.33969223</v>
      </c>
      <c r="AE897" t="n">
        <v>25.231</v>
      </c>
      <c r="AF897" t="n">
        <v>64.441036684</v>
      </c>
      <c r="AG897" t="n">
        <v/>
      </c>
      <c r="AH897" t="n">
        <v>71.626863109</v>
      </c>
      <c r="AI897" t="n">
        <v>76.505763812</v>
      </c>
      <c r="AJ897" t="n">
        <v>98.944643583</v>
      </c>
      <c r="AK897" t="n">
        <v/>
      </c>
      <c r="AL897" t="n">
        <v>66.344929976</v>
      </c>
      <c r="AM897" t="n">
        <v>26.673974431</v>
      </c>
      <c r="AN897" t="n">
        <v>101.369202742</v>
      </c>
      <c r="AO897" t="n">
        <v>75.160357287</v>
      </c>
      <c r="AP897" t="n">
        <v>32.331062724</v>
      </c>
      <c r="AQ897" t="n">
        <v>65.559033648</v>
      </c>
      <c r="AR897" t="n">
        <v>69.43688092799999</v>
      </c>
      <c r="AS897" t="n">
        <v>34.297141905</v>
      </c>
      <c r="AT897" t="n">
        <v>64.645960507</v>
      </c>
      <c r="AU897" t="n">
        <v/>
      </c>
    </row>
    <row r="898">
      <c r="A898" s="105" t="n">
        <v>34213</v>
      </c>
      <c r="B898" t="n">
        <v>49.485182344</v>
      </c>
      <c r="C898" t="n">
        <v>59.67005685</v>
      </c>
      <c r="D898" t="n">
        <v>69.94176272</v>
      </c>
      <c r="E898" t="n">
        <v>70.652257667</v>
      </c>
      <c r="F898" t="n">
        <v/>
      </c>
      <c r="G898" t="n">
        <v/>
      </c>
      <c r="H898" t="n">
        <v>58.353646442</v>
      </c>
      <c r="I898" t="n">
        <v>49.481058923</v>
      </c>
      <c r="J898" t="n">
        <v>51.669578017</v>
      </c>
      <c r="K898" t="n">
        <v>67.205600467</v>
      </c>
      <c r="L898" t="n">
        <v>86.106621346</v>
      </c>
      <c r="M898" t="n">
        <v>75.79368386</v>
      </c>
      <c r="N898" t="n">
        <v>92.525077104</v>
      </c>
      <c r="O898" t="n">
        <v/>
      </c>
      <c r="P898" t="n">
        <v/>
      </c>
      <c r="Q898" t="n">
        <v>66.952915781</v>
      </c>
      <c r="R898" t="n">
        <v>86.889275923</v>
      </c>
      <c r="S898" t="n">
        <v>75.046953161</v>
      </c>
      <c r="T898" t="n">
        <v>81.28758401100001</v>
      </c>
      <c r="U898" t="n">
        <v/>
      </c>
      <c r="V898" t="n">
        <v>125.694707136</v>
      </c>
      <c r="W898" t="n">
        <v>30.456303152</v>
      </c>
      <c r="X898" t="n">
        <v/>
      </c>
      <c r="Y898" t="n">
        <v/>
      </c>
      <c r="Z898" t="n">
        <v>16.818045139</v>
      </c>
      <c r="AA898" t="n">
        <v/>
      </c>
      <c r="AB898" t="n">
        <v>50.149563684</v>
      </c>
      <c r="AC898" t="n">
        <v>105.191234064</v>
      </c>
      <c r="AD898" t="n">
        <v>96.64392283700001</v>
      </c>
      <c r="AE898" t="n">
        <v>26.294</v>
      </c>
      <c r="AF898" t="n">
        <v>70.184848391</v>
      </c>
      <c r="AG898" t="n">
        <v/>
      </c>
      <c r="AH898" t="n">
        <v>71.98875673400001</v>
      </c>
      <c r="AI898" t="n">
        <v>79.45837440699999</v>
      </c>
      <c r="AJ898" t="n">
        <v>98.288656996</v>
      </c>
      <c r="AK898" t="n">
        <v/>
      </c>
      <c r="AL898" t="n">
        <v>66.916671455</v>
      </c>
      <c r="AM898" t="n">
        <v>27.065486431</v>
      </c>
      <c r="AN898" t="n">
        <v>104.203953181</v>
      </c>
      <c r="AO898" t="n">
        <v>73.917070186</v>
      </c>
      <c r="AP898" t="n">
        <v>31.706652272</v>
      </c>
      <c r="AQ898" t="n">
        <v>65.012057205</v>
      </c>
      <c r="AR898" t="n">
        <v>69.538100871</v>
      </c>
      <c r="AS898" t="n">
        <v>36.496958587</v>
      </c>
      <c r="AT898" t="n">
        <v>64.97675312600001</v>
      </c>
      <c r="AU898" t="n">
        <v/>
      </c>
    </row>
    <row r="899">
      <c r="A899" s="105" t="n">
        <v>34243</v>
      </c>
      <c r="B899" t="n">
        <v>49.9216028</v>
      </c>
      <c r="C899" t="n">
        <v>59.233768161</v>
      </c>
      <c r="D899" t="n">
        <v>70.59115926200001</v>
      </c>
      <c r="E899" t="n">
        <v>70.671054035</v>
      </c>
      <c r="F899" t="n">
        <v/>
      </c>
      <c r="G899" t="n">
        <v/>
      </c>
      <c r="H899" t="n">
        <v>58.801983439</v>
      </c>
      <c r="I899" t="n">
        <v>49.917443013</v>
      </c>
      <c r="J899" t="n">
        <v>50.877961501</v>
      </c>
      <c r="K899" t="n">
        <v>67.205600467</v>
      </c>
      <c r="L899" t="n">
        <v>80.990298712</v>
      </c>
      <c r="M899" t="n">
        <v>75.893675527</v>
      </c>
      <c r="N899" t="n">
        <v>93.196077663</v>
      </c>
      <c r="O899" t="n">
        <v/>
      </c>
      <c r="P899" t="n">
        <v/>
      </c>
      <c r="Q899" t="n">
        <v>67.61293617</v>
      </c>
      <c r="R899" t="n">
        <v>87.259272839</v>
      </c>
      <c r="S899" t="n">
        <v>75.162666179</v>
      </c>
      <c r="T899" t="n">
        <v>81.499823134</v>
      </c>
      <c r="U899" t="n">
        <v/>
      </c>
      <c r="V899" t="n">
        <v>119.606672308</v>
      </c>
      <c r="W899" t="n">
        <v>30.397733338</v>
      </c>
      <c r="X899" t="n">
        <v/>
      </c>
      <c r="Y899" t="n">
        <v/>
      </c>
      <c r="Z899" t="n">
        <v>16.758617417</v>
      </c>
      <c r="AA899" t="n">
        <v/>
      </c>
      <c r="AB899" t="n">
        <v>50.569811424</v>
      </c>
      <c r="AC899" t="n">
        <v>105.091242396</v>
      </c>
      <c r="AD899" t="n">
        <v>95.832641219</v>
      </c>
      <c r="AE899" t="n">
        <v>26.091</v>
      </c>
      <c r="AF899" t="n">
        <v>69.77709195</v>
      </c>
      <c r="AG899" t="n">
        <v/>
      </c>
      <c r="AH899" t="n">
        <v>71.94206304399999</v>
      </c>
      <c r="AI899" t="n">
        <v>79.37357358</v>
      </c>
      <c r="AJ899" t="n">
        <v>100.584610051</v>
      </c>
      <c r="AK899" t="n">
        <v/>
      </c>
      <c r="AL899" t="n">
        <v>66.953608393</v>
      </c>
      <c r="AM899" t="n">
        <v>26.820466883</v>
      </c>
      <c r="AN899" t="n">
        <v>100.050928917</v>
      </c>
      <c r="AO899" t="n">
        <v>73.48469345399999</v>
      </c>
      <c r="AP899" t="n">
        <v>31.077165882</v>
      </c>
      <c r="AQ899" t="n">
        <v>67.35624196000001</v>
      </c>
      <c r="AR899" t="n">
        <v>69.538100871</v>
      </c>
      <c r="AS899" t="n">
        <v>36.896925256</v>
      </c>
      <c r="AT899" t="n">
        <v>65.45965481899999</v>
      </c>
      <c r="AU899" t="n">
        <v/>
      </c>
    </row>
    <row r="900">
      <c r="A900" s="105" t="n">
        <v>34274</v>
      </c>
      <c r="B900" t="n">
        <v>49.824535577</v>
      </c>
      <c r="C900" t="n">
        <v>58.939075633</v>
      </c>
      <c r="D900" t="n">
        <v>70.16115344400001</v>
      </c>
      <c r="E900" t="n">
        <v>70.872175172</v>
      </c>
      <c r="F900" t="n">
        <v/>
      </c>
      <c r="G900" t="n">
        <v/>
      </c>
      <c r="H900" t="n">
        <v>60.534623545</v>
      </c>
      <c r="I900" t="n">
        <v>49.820383878</v>
      </c>
      <c r="J900" t="n">
        <v>50.706300735</v>
      </c>
      <c r="K900" t="n">
        <v>66.605550463</v>
      </c>
      <c r="L900" t="n">
        <v>81.643446282</v>
      </c>
      <c r="M900" t="n">
        <v>75.893675527</v>
      </c>
      <c r="N900" t="n">
        <v>93.630078025</v>
      </c>
      <c r="O900" t="n">
        <v/>
      </c>
      <c r="P900" t="n">
        <v/>
      </c>
      <c r="Q900" t="n">
        <v>68.328890491</v>
      </c>
      <c r="R900" t="n">
        <v>86.669277756</v>
      </c>
      <c r="S900" t="n">
        <v>75.250882215</v>
      </c>
      <c r="T900" t="n">
        <v>82.24266006400001</v>
      </c>
      <c r="U900" t="n">
        <v/>
      </c>
      <c r="V900" t="n">
        <v>120.080375059</v>
      </c>
      <c r="W900" t="n">
        <v>31.246995638</v>
      </c>
      <c r="X900" t="n">
        <v/>
      </c>
      <c r="Y900" t="n">
        <v/>
      </c>
      <c r="Z900" t="n">
        <v>16.758617417</v>
      </c>
      <c r="AA900" t="n">
        <v/>
      </c>
      <c r="AB900" t="n">
        <v>51.270224325</v>
      </c>
      <c r="AC900" t="n">
        <v>105.891175735</v>
      </c>
      <c r="AD900" t="n">
        <v>95.629820814</v>
      </c>
      <c r="AE900" t="n">
        <v>26.627</v>
      </c>
      <c r="AF900" t="n">
        <v>67.05119870999999</v>
      </c>
      <c r="AG900" t="n">
        <v/>
      </c>
      <c r="AH900" t="n">
        <v>72.493404145</v>
      </c>
      <c r="AI900" t="n">
        <v>79.712776886</v>
      </c>
      <c r="AJ900" t="n">
        <v>101.568589932</v>
      </c>
      <c r="AK900" t="n">
        <v/>
      </c>
      <c r="AL900" t="n">
        <v>67.096097857</v>
      </c>
      <c r="AM900" t="n">
        <v>27.520827343</v>
      </c>
      <c r="AN900" t="n">
        <v>103.067510633</v>
      </c>
      <c r="AO900" t="n">
        <v>71.095338782</v>
      </c>
      <c r="AP900" t="n">
        <v>32.323527596</v>
      </c>
      <c r="AQ900" t="n">
        <v>65.402754665</v>
      </c>
      <c r="AR900" t="n">
        <v>70.04420058700001</v>
      </c>
      <c r="AS900" t="n">
        <v>35.497041913</v>
      </c>
      <c r="AT900" t="n">
        <v>65.77101238</v>
      </c>
      <c r="AU900" t="n">
        <v/>
      </c>
    </row>
    <row r="901">
      <c r="A901" s="105" t="n">
        <v>34304</v>
      </c>
      <c r="B901" t="n">
        <v>49.123895284</v>
      </c>
      <c r="C901" t="n">
        <v>59.536494854</v>
      </c>
      <c r="D901" t="n">
        <v>71.35463898099999</v>
      </c>
      <c r="E901" t="n">
        <v>70.241557028</v>
      </c>
      <c r="F901" t="n">
        <v/>
      </c>
      <c r="G901" t="n">
        <v/>
      </c>
      <c r="H901" t="n">
        <v>58.509853101</v>
      </c>
      <c r="I901" t="n">
        <v>49.119801967</v>
      </c>
      <c r="J901" t="n">
        <v>50.766796002</v>
      </c>
      <c r="K901" t="n">
        <v>67.405617135</v>
      </c>
      <c r="L901" t="n">
        <v>79.7928615</v>
      </c>
      <c r="M901" t="n">
        <v>75.993667194</v>
      </c>
      <c r="N901" t="n">
        <v>93.88807824</v>
      </c>
      <c r="O901" t="n">
        <v/>
      </c>
      <c r="P901" t="n">
        <v/>
      </c>
      <c r="Q901" t="n">
        <v>68.61974693400001</v>
      </c>
      <c r="R901" t="n">
        <v>85.87928433899999</v>
      </c>
      <c r="S901" t="n">
        <v>75.36514244200001</v>
      </c>
      <c r="T901" t="n">
        <v>82.45489918600001</v>
      </c>
      <c r="U901" t="n">
        <v/>
      </c>
      <c r="V901" t="n">
        <v>118.768629183</v>
      </c>
      <c r="W901" t="n">
        <v>31.979118309</v>
      </c>
      <c r="X901" t="n">
        <v/>
      </c>
      <c r="Y901" t="n">
        <v/>
      </c>
      <c r="Z901" t="n">
        <v>17.234039188</v>
      </c>
      <c r="AA901" t="n">
        <v/>
      </c>
      <c r="AB901" t="n">
        <v>51.270224325</v>
      </c>
      <c r="AC901" t="n">
        <v>105.791184068</v>
      </c>
      <c r="AD901" t="n">
        <v>94.919949398</v>
      </c>
      <c r="AE901" t="n">
        <v>27.227</v>
      </c>
      <c r="AF901" t="n">
        <v>70.402768392</v>
      </c>
      <c r="AG901" t="n">
        <v/>
      </c>
      <c r="AH901" t="n">
        <v>73.87656847300001</v>
      </c>
      <c r="AI901" t="n">
        <v>74.90996644099999</v>
      </c>
      <c r="AJ901" t="n">
        <v>100.912603345</v>
      </c>
      <c r="AK901" t="n">
        <v/>
      </c>
      <c r="AL901" t="n">
        <v>67.373755127</v>
      </c>
      <c r="AM901" t="n">
        <v>27.696654769</v>
      </c>
      <c r="AN901" t="n">
        <v>105.110136065</v>
      </c>
      <c r="AO901" t="n">
        <v>66.725713703</v>
      </c>
      <c r="AP901" t="n">
        <v>32.578366544</v>
      </c>
      <c r="AQ901" t="n">
        <v>67.043683993</v>
      </c>
      <c r="AR901" t="n">
        <v>71.360059846</v>
      </c>
      <c r="AS901" t="n">
        <v>38.296808599</v>
      </c>
      <c r="AT901" t="n">
        <v>66.142459966</v>
      </c>
      <c r="AU901" t="n">
        <v/>
      </c>
    </row>
    <row r="902">
      <c r="A902" s="105" t="n">
        <v>34335</v>
      </c>
      <c r="B902" t="n">
        <v>49.569698682</v>
      </c>
      <c r="C902" t="n">
        <v>61.312516439</v>
      </c>
      <c r="D902" t="n">
        <v>72.45159259899999</v>
      </c>
      <c r="E902" t="n">
        <v>70.971326013</v>
      </c>
      <c r="F902" t="n">
        <v/>
      </c>
      <c r="G902" t="n">
        <v/>
      </c>
      <c r="H902" t="n">
        <v>57.647145715</v>
      </c>
      <c r="I902" t="n">
        <v>49.565568218</v>
      </c>
      <c r="J902" t="n">
        <v>50.556450302</v>
      </c>
      <c r="K902" t="n">
        <v>67.105592133</v>
      </c>
      <c r="L902" t="n">
        <v>89.15464334000001</v>
      </c>
      <c r="M902" t="n">
        <v>76.093658862</v>
      </c>
      <c r="N902" t="n">
        <v>93.609078008</v>
      </c>
      <c r="O902" t="n">
        <v/>
      </c>
      <c r="P902" t="n">
        <v/>
      </c>
      <c r="Q902" t="n">
        <v>69.179086247</v>
      </c>
      <c r="R902" t="n">
        <v>87.469271089</v>
      </c>
      <c r="S902" t="n">
        <v>75.51227004499999</v>
      </c>
      <c r="T902" t="n">
        <v>82.985496993</v>
      </c>
      <c r="U902" t="n">
        <v/>
      </c>
      <c r="V902" t="n">
        <v>116.841023341</v>
      </c>
      <c r="W902" t="n">
        <v>32.125542844</v>
      </c>
      <c r="X902" t="n">
        <v/>
      </c>
      <c r="Y902" t="n">
        <v/>
      </c>
      <c r="Z902" t="n">
        <v>17.174611467</v>
      </c>
      <c r="AA902" t="n">
        <v/>
      </c>
      <c r="AB902" t="n">
        <v>52.250802386</v>
      </c>
      <c r="AC902" t="n">
        <v>106.09115907</v>
      </c>
      <c r="AD902" t="n">
        <v>94.51430858800001</v>
      </c>
      <c r="AE902" t="n">
        <v>26.959</v>
      </c>
      <c r="AF902" t="n">
        <v>73.627542977</v>
      </c>
      <c r="AG902" t="n">
        <v/>
      </c>
      <c r="AH902" t="n">
        <v>74.682736474</v>
      </c>
      <c r="AI902" t="n">
        <v>78.77225862900001</v>
      </c>
      <c r="AJ902" t="n">
        <v>102.443238715</v>
      </c>
      <c r="AK902" t="n">
        <v/>
      </c>
      <c r="AL902" t="n">
        <v>67.61609224</v>
      </c>
      <c r="AM902" t="n">
        <v>28.573871725</v>
      </c>
      <c r="AN902" t="n">
        <v>103.258002026</v>
      </c>
      <c r="AO902" t="n">
        <v>60.638210756</v>
      </c>
      <c r="AP902" t="n">
        <v>32.004725621</v>
      </c>
      <c r="AQ902" t="n">
        <v>65.48089415600001</v>
      </c>
      <c r="AR902" t="n">
        <v>71.764939618</v>
      </c>
      <c r="AS902" t="n">
        <v>38.196816932</v>
      </c>
      <c r="AT902" t="n">
        <v>66.353270849</v>
      </c>
      <c r="AU902" t="n">
        <v/>
      </c>
    </row>
    <row r="903">
      <c r="A903" s="105" t="n">
        <v>34366</v>
      </c>
      <c r="B903" t="n">
        <v>50.640475599</v>
      </c>
      <c r="C903" t="n">
        <v>60.866067389</v>
      </c>
      <c r="D903" t="n">
        <v>71.223004546</v>
      </c>
      <c r="E903" t="n">
        <v>71.16680823900001</v>
      </c>
      <c r="F903" t="n">
        <v/>
      </c>
      <c r="G903" t="n">
        <v/>
      </c>
      <c r="H903" t="n">
        <v>60.942811359</v>
      </c>
      <c r="I903" t="n">
        <v>50.636255911</v>
      </c>
      <c r="J903" t="n">
        <v>49.866888184</v>
      </c>
      <c r="K903" t="n">
        <v>68.10567547300001</v>
      </c>
      <c r="L903" t="n">
        <v>87.412916486</v>
      </c>
      <c r="M903" t="n">
        <v>77.193567203</v>
      </c>
      <c r="N903" t="n">
        <v>96.219080183</v>
      </c>
      <c r="O903" t="n">
        <v/>
      </c>
      <c r="P903" t="n">
        <v/>
      </c>
      <c r="Q903" t="n">
        <v>69.52587662099999</v>
      </c>
      <c r="R903" t="n">
        <v>87.219273173</v>
      </c>
      <c r="S903" t="n">
        <v>75.91604841</v>
      </c>
      <c r="T903" t="n">
        <v>83.197736116</v>
      </c>
      <c r="U903" t="n">
        <v/>
      </c>
      <c r="V903" t="n">
        <v>118.937885491</v>
      </c>
      <c r="W903" t="n">
        <v>32.008403216</v>
      </c>
      <c r="X903" t="n">
        <v/>
      </c>
      <c r="Y903" t="n">
        <v/>
      </c>
      <c r="Z903" t="n">
        <v>18.244310451</v>
      </c>
      <c r="AA903" t="n">
        <v/>
      </c>
      <c r="AB903" t="n">
        <v>53.231380447</v>
      </c>
      <c r="AC903" t="n">
        <v>107.791017415</v>
      </c>
      <c r="AD903" t="n">
        <v>95.325590207</v>
      </c>
      <c r="AE903" t="n">
        <v>27.024</v>
      </c>
      <c r="AF903" t="n">
        <v>72.142583129</v>
      </c>
      <c r="AG903" t="n">
        <v/>
      </c>
      <c r="AH903" t="n">
        <v>75.008219455</v>
      </c>
      <c r="AI903" t="n">
        <v>80.475984324</v>
      </c>
      <c r="AJ903" t="n">
        <v>103.864542988</v>
      </c>
      <c r="AK903" t="n">
        <v/>
      </c>
      <c r="AL903" t="n">
        <v>67.86422955</v>
      </c>
      <c r="AM903" t="n">
        <v>28.925124137</v>
      </c>
      <c r="AN903" t="n">
        <v>103.05304611</v>
      </c>
      <c r="AO903" t="n">
        <v>63.104672215</v>
      </c>
      <c r="AP903" t="n">
        <v>32.794799187</v>
      </c>
      <c r="AQ903" t="n">
        <v>66.106010091</v>
      </c>
      <c r="AR903" t="n">
        <v>73.283238764</v>
      </c>
      <c r="AS903" t="n">
        <v>34.09715857</v>
      </c>
      <c r="AT903" t="n">
        <v>66.400668592</v>
      </c>
      <c r="AU903" t="n">
        <v/>
      </c>
    </row>
    <row r="904">
      <c r="A904" s="105" t="n">
        <v>34394</v>
      </c>
      <c r="B904" t="n">
        <v>49.685007526</v>
      </c>
      <c r="C904" t="n">
        <v>61.04865892</v>
      </c>
      <c r="D904" t="n">
        <v>71.916279233</v>
      </c>
      <c r="E904" t="n">
        <v>72.155027283</v>
      </c>
      <c r="F904" t="n">
        <v/>
      </c>
      <c r="G904" t="n">
        <v/>
      </c>
      <c r="H904" t="n">
        <v>60.486001627</v>
      </c>
      <c r="I904" t="n">
        <v>49.680867454</v>
      </c>
      <c r="J904" t="n">
        <v>50.620164739</v>
      </c>
      <c r="K904" t="n">
        <v>67.80565047100001</v>
      </c>
      <c r="L904" t="n">
        <v>89.80779090999999</v>
      </c>
      <c r="M904" t="n">
        <v>77.29355887</v>
      </c>
      <c r="N904" t="n">
        <v>96.20708017299999</v>
      </c>
      <c r="O904" t="n">
        <v/>
      </c>
      <c r="P904" t="n">
        <v/>
      </c>
      <c r="Q904" t="n">
        <v>70.141149865</v>
      </c>
      <c r="R904" t="n">
        <v>87.199273339</v>
      </c>
      <c r="S904" t="n">
        <v>76.509318714</v>
      </c>
      <c r="T904" t="n">
        <v>83.62221436199999</v>
      </c>
      <c r="U904" t="n">
        <v/>
      </c>
      <c r="V904" t="n">
        <v>119.014169677</v>
      </c>
      <c r="W904" t="n">
        <v>31.979118309</v>
      </c>
      <c r="X904" t="n">
        <v/>
      </c>
      <c r="Y904" t="n">
        <v/>
      </c>
      <c r="Z904" t="n">
        <v>17.947171844</v>
      </c>
      <c r="AA904" t="n">
        <v/>
      </c>
      <c r="AB904" t="n">
        <v>51.760513355</v>
      </c>
      <c r="AC904" t="n">
        <v>109.290892426</v>
      </c>
      <c r="AD904" t="n">
        <v>96.33969223</v>
      </c>
      <c r="AE904" t="n">
        <v>27.495</v>
      </c>
      <c r="AF904" t="n">
        <v>73.798923656</v>
      </c>
      <c r="AG904" t="n">
        <v/>
      </c>
      <c r="AH904" t="n">
        <v>75.76527288299999</v>
      </c>
      <c r="AI904" t="n">
        <v>80.637876811</v>
      </c>
      <c r="AJ904" t="n">
        <v>101.021934443</v>
      </c>
      <c r="AK904" t="n">
        <v/>
      </c>
      <c r="AL904" t="n">
        <v>68.343842603</v>
      </c>
      <c r="AM904" t="n">
        <v>29.368454376</v>
      </c>
      <c r="AN904" t="n">
        <v>103.086137818</v>
      </c>
      <c r="AO904" t="n">
        <v>61.577655071</v>
      </c>
      <c r="AP904" t="n">
        <v>33.178349635</v>
      </c>
      <c r="AQ904" t="n">
        <v>68.684613322</v>
      </c>
      <c r="AR904" t="n">
        <v>73.688118536</v>
      </c>
      <c r="AS904" t="n">
        <v>34.09715857</v>
      </c>
      <c r="AT904" t="n">
        <v>67.064336156</v>
      </c>
      <c r="AU904" t="n">
        <v/>
      </c>
    </row>
    <row r="905">
      <c r="A905" s="105" t="n">
        <v>34425</v>
      </c>
      <c r="B905" t="n">
        <v>49.184457721</v>
      </c>
      <c r="C905" t="n">
        <v>59.958918584</v>
      </c>
      <c r="D905" t="n">
        <v>71.60035659099999</v>
      </c>
      <c r="E905" t="n">
        <v>72.66064958</v>
      </c>
      <c r="F905" t="n">
        <v/>
      </c>
      <c r="G905" t="n">
        <v/>
      </c>
      <c r="H905" t="n">
        <v>60.509650242</v>
      </c>
      <c r="I905" t="n">
        <v>49.180359358</v>
      </c>
      <c r="J905" t="n">
        <v>51.290196163</v>
      </c>
      <c r="K905" t="n">
        <v>68.60571714300001</v>
      </c>
      <c r="L905" t="n">
        <v>86.65091098800001</v>
      </c>
      <c r="M905" t="n">
        <v>78.693442213</v>
      </c>
      <c r="N905" t="n">
        <v>97.708081423</v>
      </c>
      <c r="O905" t="n">
        <v/>
      </c>
      <c r="P905" t="n">
        <v/>
      </c>
      <c r="Q905" t="n">
        <v>71.427630286</v>
      </c>
      <c r="R905" t="n">
        <v>89.589253423</v>
      </c>
      <c r="S905" t="n">
        <v>77.27407061300001</v>
      </c>
      <c r="T905" t="n">
        <v>84.683409975</v>
      </c>
      <c r="U905" t="n">
        <v/>
      </c>
      <c r="V905" t="n">
        <v>120.193522726</v>
      </c>
      <c r="W905" t="n">
        <v>32.242682471</v>
      </c>
      <c r="X905" t="n">
        <v>26.953364531</v>
      </c>
      <c r="Y905" t="n">
        <v/>
      </c>
      <c r="Z905" t="n">
        <v>18.482021336</v>
      </c>
      <c r="AA905" t="n">
        <v/>
      </c>
      <c r="AB905" t="n">
        <v>51.900595936</v>
      </c>
      <c r="AC905" t="n">
        <v>111.090742438</v>
      </c>
      <c r="AD905" t="n">
        <v>97.252384052</v>
      </c>
      <c r="AE905" t="n">
        <v>27.357</v>
      </c>
      <c r="AF905" t="n">
        <v>74.63909359100001</v>
      </c>
      <c r="AG905" t="n">
        <v/>
      </c>
      <c r="AH905" t="n">
        <v>78.013483564</v>
      </c>
      <c r="AI905" t="n">
        <v>80.514530155</v>
      </c>
      <c r="AJ905" t="n">
        <v>100.693941149</v>
      </c>
      <c r="AK905" t="n">
        <v/>
      </c>
      <c r="AL905" t="n">
        <v>68.875087791</v>
      </c>
      <c r="AM905" t="n">
        <v>29.554088948</v>
      </c>
      <c r="AN905" t="n">
        <v>102.870073625</v>
      </c>
      <c r="AO905" t="n">
        <v>60.677643743</v>
      </c>
      <c r="AP905" t="n">
        <v>32.498116497</v>
      </c>
      <c r="AQ905" t="n">
        <v>67.434381452</v>
      </c>
      <c r="AR905" t="n">
        <v>73.991778365</v>
      </c>
      <c r="AS905" t="n">
        <v>32.097325223</v>
      </c>
      <c r="AT905" t="n">
        <v>67.460870833</v>
      </c>
      <c r="AU905" t="n">
        <v/>
      </c>
    </row>
    <row r="906">
      <c r="A906" s="105" t="n">
        <v>34455</v>
      </c>
      <c r="B906" t="n">
        <v>52.139420219</v>
      </c>
      <c r="C906" t="n">
        <v>59.75175465</v>
      </c>
      <c r="D906" t="n">
        <v>73.44323867</v>
      </c>
      <c r="E906" t="n">
        <v>73.357055012</v>
      </c>
      <c r="F906" t="n">
        <v/>
      </c>
      <c r="G906" t="n">
        <v/>
      </c>
      <c r="H906" t="n">
        <v>60.251978569</v>
      </c>
      <c r="I906" t="n">
        <v>52.13507563</v>
      </c>
      <c r="J906" t="n">
        <v>53.211793184</v>
      </c>
      <c r="K906" t="n">
        <v>68.30569214099999</v>
      </c>
      <c r="L906" t="n">
        <v>92.311523263</v>
      </c>
      <c r="M906" t="n">
        <v>78.493458878</v>
      </c>
      <c r="N906" t="n">
        <v>97.027080856</v>
      </c>
      <c r="O906" t="n">
        <v/>
      </c>
      <c r="P906" t="n">
        <v/>
      </c>
      <c r="Q906" t="n">
        <v>72.143584606</v>
      </c>
      <c r="R906" t="n">
        <v>89.529253923</v>
      </c>
      <c r="S906" t="n">
        <v>77.479869835</v>
      </c>
      <c r="T906" t="n">
        <v>85.744605589</v>
      </c>
      <c r="U906" t="n">
        <v/>
      </c>
      <c r="V906" t="n">
        <v>118.718891822</v>
      </c>
      <c r="W906" t="n">
        <v>32.652671168</v>
      </c>
      <c r="X906" t="n">
        <v>27.388823624</v>
      </c>
      <c r="Y906" t="n">
        <v/>
      </c>
      <c r="Z906" t="n">
        <v>18.303738172</v>
      </c>
      <c r="AA906" t="n">
        <v/>
      </c>
      <c r="AB906" t="n">
        <v>52.110719806</v>
      </c>
      <c r="AC906" t="n">
        <v>111.490709108</v>
      </c>
      <c r="AD906" t="n">
        <v>97.150973849</v>
      </c>
      <c r="AE906" t="n">
        <v>28.226</v>
      </c>
      <c r="AF906" t="n">
        <v>75.462408282</v>
      </c>
      <c r="AG906" t="n">
        <v/>
      </c>
      <c r="AH906" t="n">
        <v>76.701639223</v>
      </c>
      <c r="AI906" t="n">
        <v>79.9594702</v>
      </c>
      <c r="AJ906" t="n">
        <v>102.771232009</v>
      </c>
      <c r="AK906" t="n">
        <v/>
      </c>
      <c r="AL906" t="n">
        <v>69.10105555299999</v>
      </c>
      <c r="AM906" t="n">
        <v>29.858105837</v>
      </c>
      <c r="AN906" t="n">
        <v>103.77448814</v>
      </c>
      <c r="AO906" t="n">
        <v>59.54931154</v>
      </c>
      <c r="AP906" t="n">
        <v>33.806903325</v>
      </c>
      <c r="AQ906" t="n">
        <v>69.544147732</v>
      </c>
      <c r="AR906" t="n">
        <v>74.700317967</v>
      </c>
      <c r="AS906" t="n">
        <v>31.897341888</v>
      </c>
      <c r="AT906" t="n">
        <v>67.77788042500001</v>
      </c>
      <c r="AU906" t="n">
        <v/>
      </c>
    </row>
    <row r="907">
      <c r="A907" s="105" t="n">
        <v>34486</v>
      </c>
      <c r="B907" t="n">
        <v>50.783820468</v>
      </c>
      <c r="C907" t="n">
        <v>60.129899716</v>
      </c>
      <c r="D907" t="n">
        <v>73.732834426</v>
      </c>
      <c r="E907" t="n">
        <v>74.309560957</v>
      </c>
      <c r="F907" t="n">
        <v/>
      </c>
      <c r="G907" t="n">
        <v/>
      </c>
      <c r="H907" t="n">
        <v>60.663422179</v>
      </c>
      <c r="I907" t="n">
        <v>50.779588836</v>
      </c>
      <c r="J907" t="n">
        <v>52.833651336</v>
      </c>
      <c r="K907" t="n">
        <v>68.805733811</v>
      </c>
      <c r="L907" t="n">
        <v>92.093807406</v>
      </c>
      <c r="M907" t="n">
        <v>79.093408883</v>
      </c>
      <c r="N907" t="n">
        <v>98.58008215</v>
      </c>
      <c r="O907" t="n">
        <v/>
      </c>
      <c r="P907" t="n">
        <v/>
      </c>
      <c r="Q907" t="n">
        <v>72.691737133</v>
      </c>
      <c r="R907" t="n">
        <v>89.999250006</v>
      </c>
      <c r="S907" t="n">
        <v>78.02996205700001</v>
      </c>
      <c r="T907" t="n">
        <v>84.78952953700001</v>
      </c>
      <c r="U907" t="n">
        <v/>
      </c>
      <c r="V907" t="n">
        <v>119.121211072</v>
      </c>
      <c r="W907" t="n">
        <v>33.00409005</v>
      </c>
      <c r="X907" t="n">
        <v>28.108768781</v>
      </c>
      <c r="Y907" t="n">
        <v/>
      </c>
      <c r="Z907" t="n">
        <v>19.016870828</v>
      </c>
      <c r="AA907" t="n">
        <v/>
      </c>
      <c r="AB907" t="n">
        <v>52.530967546</v>
      </c>
      <c r="AC907" t="n">
        <v>112.590617449</v>
      </c>
      <c r="AD907" t="n">
        <v>98.367896277</v>
      </c>
      <c r="AE907" t="n">
        <v>28.623</v>
      </c>
      <c r="AF907" t="n">
        <v>73.26836502499999</v>
      </c>
      <c r="AG907" t="n">
        <v/>
      </c>
      <c r="AH907" t="n">
        <v>76.999232479</v>
      </c>
      <c r="AI907" t="n">
        <v>80.183036015</v>
      </c>
      <c r="AJ907" t="n">
        <v>106.597820435</v>
      </c>
      <c r="AK907" t="n">
        <v/>
      </c>
      <c r="AL907" t="n">
        <v>69.50816302600001</v>
      </c>
      <c r="AM907" t="n">
        <v>30.147831782</v>
      </c>
      <c r="AN907" t="n">
        <v>102.7954583</v>
      </c>
      <c r="AO907" t="n">
        <v>59.105724007</v>
      </c>
      <c r="AP907" t="n">
        <v>34.196521986</v>
      </c>
      <c r="AQ907" t="n">
        <v>71.57577451900001</v>
      </c>
      <c r="AR907" t="n">
        <v>75.81373734</v>
      </c>
      <c r="AS907" t="n">
        <v>30.197483543</v>
      </c>
      <c r="AT907" t="n">
        <v>68.22121789400001</v>
      </c>
      <c r="AU907" t="n">
        <v/>
      </c>
    </row>
    <row r="908">
      <c r="A908" s="105" t="n">
        <v>34516</v>
      </c>
      <c r="B908" t="n">
        <v>51.036101892</v>
      </c>
      <c r="C908" t="n">
        <v>55.010369788</v>
      </c>
      <c r="D908" t="n">
        <v>74.075083955</v>
      </c>
      <c r="E908" t="n">
        <v>74.292174316</v>
      </c>
      <c r="F908" t="n">
        <v/>
      </c>
      <c r="G908" t="n">
        <v/>
      </c>
      <c r="H908" t="n">
        <v>58.855340334</v>
      </c>
      <c r="I908" t="n">
        <v>51.031849238</v>
      </c>
      <c r="J908" t="n">
        <v>53.41689152</v>
      </c>
      <c r="K908" t="n">
        <v>68.505708809</v>
      </c>
      <c r="L908" t="n">
        <v>91.00522812299999</v>
      </c>
      <c r="M908" t="n">
        <v>79.293392217</v>
      </c>
      <c r="N908" t="n">
        <v>99.839083199</v>
      </c>
      <c r="O908" t="n">
        <v/>
      </c>
      <c r="P908" t="n">
        <v/>
      </c>
      <c r="Q908" t="n">
        <v>73.407691454</v>
      </c>
      <c r="R908" t="n">
        <v>90.819243173</v>
      </c>
      <c r="S908" t="n">
        <v>78.282698688</v>
      </c>
      <c r="T908" t="n">
        <v>85.214007782</v>
      </c>
      <c r="U908" t="n">
        <v/>
      </c>
      <c r="V908" t="n">
        <v>120.824857992</v>
      </c>
      <c r="W908" t="n">
        <v>33.38479384</v>
      </c>
      <c r="X908" t="n">
        <v>28.346069775</v>
      </c>
      <c r="Y908" t="n">
        <v/>
      </c>
      <c r="Z908" t="n">
        <v>18.422593615</v>
      </c>
      <c r="AA908" t="n">
        <v/>
      </c>
      <c r="AB908" t="n">
        <v>53.161339157</v>
      </c>
      <c r="AC908" t="n">
        <v>112.790600783</v>
      </c>
      <c r="AD908" t="n">
        <v>99.381998301</v>
      </c>
      <c r="AE908" t="n">
        <v>27.56</v>
      </c>
      <c r="AF908" t="n">
        <v>71.879657979</v>
      </c>
      <c r="AG908" t="n">
        <v/>
      </c>
      <c r="AH908" t="n">
        <v>77.086995122</v>
      </c>
      <c r="AI908" t="n">
        <v>81.046462612</v>
      </c>
      <c r="AJ908" t="n">
        <v>102.771232009</v>
      </c>
      <c r="AK908" t="n">
        <v/>
      </c>
      <c r="AL908" t="n">
        <v>69.63585121</v>
      </c>
      <c r="AM908" t="n">
        <v>30.649870939</v>
      </c>
      <c r="AN908" t="n">
        <v>103.036233447</v>
      </c>
      <c r="AO908" t="n">
        <v>58.470253688</v>
      </c>
      <c r="AP908" t="n">
        <v>35.584570223</v>
      </c>
      <c r="AQ908" t="n">
        <v>70.247403158</v>
      </c>
      <c r="AR908" t="n">
        <v>73.890558422</v>
      </c>
      <c r="AS908" t="n">
        <v>31.197400217</v>
      </c>
      <c r="AT908" t="n">
        <v>68.306593327</v>
      </c>
      <c r="AU908" t="n">
        <v/>
      </c>
    </row>
    <row r="909">
      <c r="A909" s="105" t="n">
        <v>34547</v>
      </c>
      <c r="B909" t="n">
        <v>51.018054418</v>
      </c>
      <c r="C909" t="n">
        <v>61.84234058</v>
      </c>
      <c r="D909" t="n">
        <v>77.480027987</v>
      </c>
      <c r="E909" t="n">
        <v>74.94017909999999</v>
      </c>
      <c r="F909" t="n">
        <v/>
      </c>
      <c r="G909" t="n">
        <v/>
      </c>
      <c r="H909" t="n">
        <v>61.490477684</v>
      </c>
      <c r="I909" t="n">
        <v>51.013803267</v>
      </c>
      <c r="J909" t="n">
        <v>53.189958154</v>
      </c>
      <c r="K909" t="n">
        <v>68.505708809</v>
      </c>
      <c r="L909" t="n">
        <v>87.195200629</v>
      </c>
      <c r="M909" t="n">
        <v>79.493375552</v>
      </c>
      <c r="N909" t="n">
        <v>99.955083296</v>
      </c>
      <c r="O909" t="n">
        <v/>
      </c>
      <c r="P909" t="n">
        <v/>
      </c>
      <c r="Q909" t="n">
        <v>73.407691454</v>
      </c>
      <c r="R909" t="n">
        <v>91.319239006</v>
      </c>
      <c r="S909" t="n">
        <v>78.73002658599999</v>
      </c>
      <c r="T909" t="n">
        <v>85.532366466</v>
      </c>
      <c r="U909" t="n">
        <v/>
      </c>
      <c r="V909" t="n">
        <v>121.83719644</v>
      </c>
      <c r="W909" t="n">
        <v>33.911922163</v>
      </c>
      <c r="X909" t="n">
        <v>28.530002555</v>
      </c>
      <c r="Y909" t="n">
        <v/>
      </c>
      <c r="Z909" t="n">
        <v>19.195153992</v>
      </c>
      <c r="AA909" t="n">
        <v/>
      </c>
      <c r="AB909" t="n">
        <v>54.352041088</v>
      </c>
      <c r="AC909" t="n">
        <v>113.190567453</v>
      </c>
      <c r="AD909" t="n">
        <v>100.19327992</v>
      </c>
      <c r="AE909" t="n">
        <v>28.29</v>
      </c>
      <c r="AF909" t="n">
        <v>77.76755980199999</v>
      </c>
      <c r="AG909" t="n">
        <v/>
      </c>
      <c r="AH909" t="n">
        <v>77.599518601</v>
      </c>
      <c r="AI909" t="n">
        <v>81.539849238</v>
      </c>
      <c r="AJ909" t="n">
        <v>96.758021626</v>
      </c>
      <c r="AK909" t="n">
        <v/>
      </c>
      <c r="AL909" t="n">
        <v>70.25453086</v>
      </c>
      <c r="AM909" t="n">
        <v>31.663783781</v>
      </c>
      <c r="AN909" t="n">
        <v>103.302822386</v>
      </c>
      <c r="AO909" t="n">
        <v>59.243750813</v>
      </c>
      <c r="AP909" t="n">
        <v>33.709994388</v>
      </c>
      <c r="AQ909" t="n">
        <v>70.091124175</v>
      </c>
      <c r="AR909" t="n">
        <v>75.408857568</v>
      </c>
      <c r="AS909" t="n">
        <v>33.397216899</v>
      </c>
      <c r="AT909" t="n">
        <v>68.757665155</v>
      </c>
      <c r="AU909" t="n">
        <v/>
      </c>
    </row>
    <row r="910">
      <c r="A910" s="105" t="n">
        <v>34578</v>
      </c>
      <c r="B910" t="n">
        <v>50.937019202</v>
      </c>
      <c r="C910" t="n">
        <v>61.068409936</v>
      </c>
      <c r="D910" t="n">
        <v>77.910033805</v>
      </c>
      <c r="E910" t="n">
        <v>75.59382279499999</v>
      </c>
      <c r="F910" t="n">
        <v/>
      </c>
      <c r="G910" t="n">
        <v/>
      </c>
      <c r="H910" t="n">
        <v>60.871103993</v>
      </c>
      <c r="I910" t="n">
        <v>50.932774805</v>
      </c>
      <c r="J910" t="n">
        <v>53.110889165</v>
      </c>
      <c r="K910" t="n">
        <v>69.505792149</v>
      </c>
      <c r="L910" t="n">
        <v>88.93692748300001</v>
      </c>
      <c r="M910" t="n">
        <v>79.993333889</v>
      </c>
      <c r="N910" t="n">
        <v>100.022083352</v>
      </c>
      <c r="O910" t="n">
        <v/>
      </c>
      <c r="P910" t="n">
        <v/>
      </c>
      <c r="Q910" t="n">
        <v>75.152830111</v>
      </c>
      <c r="R910" t="n">
        <v>91.03924134</v>
      </c>
      <c r="S910" t="n">
        <v>78.889810801</v>
      </c>
      <c r="T910" t="n">
        <v>86.27520339599999</v>
      </c>
      <c r="U910" t="n">
        <v/>
      </c>
      <c r="V910" t="n">
        <v>126.672444294</v>
      </c>
      <c r="W910" t="n">
        <v>34.263341046</v>
      </c>
      <c r="X910" t="n">
        <v>28.745241679</v>
      </c>
      <c r="Y910" t="n">
        <v/>
      </c>
      <c r="Z910" t="n">
        <v>18.244310451</v>
      </c>
      <c r="AA910" t="n">
        <v/>
      </c>
      <c r="AB910" t="n">
        <v>53.371463027</v>
      </c>
      <c r="AC910" t="n">
        <v>113.790517457</v>
      </c>
      <c r="AD910" t="n">
        <v>99.179177896</v>
      </c>
      <c r="AE910" t="n">
        <v>29.224</v>
      </c>
      <c r="AF910" t="n">
        <v>71.73059112599999</v>
      </c>
      <c r="AG910" t="n">
        <v/>
      </c>
      <c r="AH910" t="n">
        <v>77.195041508</v>
      </c>
      <c r="AI910" t="n">
        <v>82.071781695</v>
      </c>
      <c r="AJ910" t="n">
        <v>104.192536282</v>
      </c>
      <c r="AK910" t="n">
        <v/>
      </c>
      <c r="AL910" t="n">
        <v>70.481832879</v>
      </c>
      <c r="AM910" t="n">
        <v>31.216238064</v>
      </c>
      <c r="AN910" t="n">
        <v>106.245196721</v>
      </c>
      <c r="AO910" t="n">
        <v>58.449542546</v>
      </c>
      <c r="AP910" t="n">
        <v>32.64944709</v>
      </c>
      <c r="AQ910" t="n">
        <v>68.05949738699999</v>
      </c>
      <c r="AR910" t="n">
        <v>78.850335632</v>
      </c>
      <c r="AS910" t="n">
        <v>33.997166903</v>
      </c>
      <c r="AT910" t="n">
        <v>68.972045743</v>
      </c>
      <c r="AU910" t="n">
        <v/>
      </c>
    </row>
    <row r="911">
      <c r="A911" s="105" t="n">
        <v>34608</v>
      </c>
      <c r="B911" t="n">
        <v>52.860266477</v>
      </c>
      <c r="C911" t="n">
        <v>60.650435238</v>
      </c>
      <c r="D911" t="n">
        <v>77.962687579</v>
      </c>
      <c r="E911" t="n">
        <v>75.34007182800001</v>
      </c>
      <c r="F911" t="n">
        <v/>
      </c>
      <c r="G911" t="n">
        <v/>
      </c>
      <c r="H911" t="n">
        <v>60.98999067</v>
      </c>
      <c r="I911" t="n">
        <v>52.855861822</v>
      </c>
      <c r="J911" t="n">
        <v>51.66408731</v>
      </c>
      <c r="K911" t="n">
        <v>70.80590049200001</v>
      </c>
      <c r="L911" t="n">
        <v>90.243222624</v>
      </c>
      <c r="M911" t="n">
        <v>80.793267228</v>
      </c>
      <c r="N911" t="n">
        <v>101.013084178</v>
      </c>
      <c r="O911" t="n">
        <v/>
      </c>
      <c r="P911" t="n">
        <v/>
      </c>
      <c r="Q911" t="n">
        <v>75.477246913</v>
      </c>
      <c r="R911" t="n">
        <v>91.90923409</v>
      </c>
      <c r="S911" t="n">
        <v>79.542174151</v>
      </c>
      <c r="T911" t="n">
        <v>86.487442519</v>
      </c>
      <c r="U911" t="n">
        <v/>
      </c>
      <c r="V911" t="n">
        <v>122.398890303</v>
      </c>
      <c r="W911" t="n">
        <v>34.175486325</v>
      </c>
      <c r="X911" t="n">
        <v>29.144117399</v>
      </c>
      <c r="Y911" t="n">
        <v/>
      </c>
      <c r="Z911" t="n">
        <v>19.373437156</v>
      </c>
      <c r="AA911" t="n">
        <v/>
      </c>
      <c r="AB911" t="n">
        <v>54.702247538</v>
      </c>
      <c r="AC911" t="n">
        <v>113.490542455</v>
      </c>
      <c r="AD911" t="n">
        <v>100.19327992</v>
      </c>
      <c r="AE911" t="n">
        <v>29.621</v>
      </c>
      <c r="AF911" t="n">
        <v>72.718174526</v>
      </c>
      <c r="AG911" t="n">
        <v/>
      </c>
      <c r="AH911" t="n">
        <v>77.246818909</v>
      </c>
      <c r="AI911" t="n">
        <v>85.463814754</v>
      </c>
      <c r="AJ911" t="n">
        <v>106.051164946</v>
      </c>
      <c r="AK911" t="n">
        <v/>
      </c>
      <c r="AL911" t="n">
        <v>71.04812917700001</v>
      </c>
      <c r="AM911" t="n">
        <v>30.564499498</v>
      </c>
      <c r="AN911" t="n">
        <v>102.280367014</v>
      </c>
      <c r="AO911" t="n">
        <v>59.470089683</v>
      </c>
      <c r="AP911" t="n">
        <v>33.64063843</v>
      </c>
      <c r="AQ911" t="n">
        <v>67.512520944</v>
      </c>
      <c r="AR911" t="n">
        <v>79.660095176</v>
      </c>
      <c r="AS911" t="n">
        <v>34.797100242</v>
      </c>
      <c r="AT911" t="n">
        <v>69.528919647</v>
      </c>
      <c r="AU911" t="n">
        <v/>
      </c>
    </row>
    <row r="912">
      <c r="A912" s="105" t="n">
        <v>34639</v>
      </c>
      <c r="B912" t="n">
        <v>52.77543452</v>
      </c>
      <c r="C912" t="n">
        <v>62.638334127</v>
      </c>
      <c r="D912" t="n">
        <v>79.20882689</v>
      </c>
      <c r="E912" t="n">
        <v>76.23195948599999</v>
      </c>
      <c r="F912" t="n">
        <v/>
      </c>
      <c r="G912" t="n">
        <v/>
      </c>
      <c r="H912" t="n">
        <v>60.643597989</v>
      </c>
      <c r="I912" t="n">
        <v>52.771036934</v>
      </c>
      <c r="J912" t="n">
        <v>52.53358811</v>
      </c>
      <c r="K912" t="n">
        <v>71.205933828</v>
      </c>
      <c r="L912" t="n">
        <v>92.964670833</v>
      </c>
      <c r="M912" t="n">
        <v>81.393217232</v>
      </c>
      <c r="N912" t="n">
        <v>102.607085506</v>
      </c>
      <c r="O912" t="n">
        <v/>
      </c>
      <c r="P912" t="n">
        <v/>
      </c>
      <c r="Q912" t="n">
        <v>75.857597645</v>
      </c>
      <c r="R912" t="n">
        <v>92.699227506</v>
      </c>
      <c r="S912" t="n">
        <v>80.097141529</v>
      </c>
      <c r="T912" t="n">
        <v>86.38132295699999</v>
      </c>
      <c r="U912" t="n">
        <v/>
      </c>
      <c r="V912" t="n">
        <v>121.822326121</v>
      </c>
      <c r="W912" t="n">
        <v>34.292625953</v>
      </c>
      <c r="X912" t="n">
        <v>29.578670865</v>
      </c>
      <c r="Y912" t="n">
        <v/>
      </c>
      <c r="Z912" t="n">
        <v>19.314009435</v>
      </c>
      <c r="AA912" t="n">
        <v/>
      </c>
      <c r="AB912" t="n">
        <v>55.332619149</v>
      </c>
      <c r="AC912" t="n">
        <v>115.390384135</v>
      </c>
      <c r="AD912" t="n">
        <v>100.801741134</v>
      </c>
      <c r="AE912" t="n">
        <v>30.222</v>
      </c>
      <c r="AF912" t="n">
        <v>74.039744175</v>
      </c>
      <c r="AG912" t="n">
        <v/>
      </c>
      <c r="AH912" t="n">
        <v>76.94468162299999</v>
      </c>
      <c r="AI912" t="n">
        <v>80.144490185</v>
      </c>
      <c r="AJ912" t="n">
        <v>106.816482631</v>
      </c>
      <c r="AK912" t="n">
        <v/>
      </c>
      <c r="AL912" t="n">
        <v>71.50420292</v>
      </c>
      <c r="AM912" t="n">
        <v>31.23722909</v>
      </c>
      <c r="AN912" t="n">
        <v>103.953790289</v>
      </c>
      <c r="AO912" t="n">
        <v>60.372172126</v>
      </c>
      <c r="AP912" t="n">
        <v>33.785832686</v>
      </c>
      <c r="AQ912" t="n">
        <v>70.012984683</v>
      </c>
      <c r="AR912" t="n">
        <v>80.368634777</v>
      </c>
      <c r="AS912" t="n">
        <v>34.697108574</v>
      </c>
      <c r="AT912" t="n">
        <v>70.000120643</v>
      </c>
      <c r="AU912" t="n">
        <v/>
      </c>
    </row>
    <row r="913">
      <c r="A913" s="105" t="n">
        <v>34669</v>
      </c>
      <c r="B913" t="n">
        <v>53.125935509</v>
      </c>
      <c r="C913" t="n">
        <v>57.084180076</v>
      </c>
      <c r="D913" t="n">
        <v>83.552763219</v>
      </c>
      <c r="E913" t="n">
        <v>77.425528849</v>
      </c>
      <c r="F913" t="n">
        <v/>
      </c>
      <c r="G913" t="n">
        <v/>
      </c>
      <c r="H913" t="n">
        <v>61.864689162</v>
      </c>
      <c r="I913" t="n">
        <v>53.121508716</v>
      </c>
      <c r="J913" t="n">
        <v>54.55584056</v>
      </c>
      <c r="K913" t="n">
        <v>71.205933828</v>
      </c>
      <c r="L913" t="n">
        <v>98.62528310899999</v>
      </c>
      <c r="M913" t="n">
        <v>82.293142238</v>
      </c>
      <c r="N913" t="n">
        <v>105.297087748</v>
      </c>
      <c r="O913" t="n">
        <v/>
      </c>
      <c r="P913" t="n">
        <v/>
      </c>
      <c r="Q913" t="n">
        <v>76.461684104</v>
      </c>
      <c r="R913" t="n">
        <v>92.58922842299999</v>
      </c>
      <c r="S913" t="n">
        <v>80.789092114</v>
      </c>
      <c r="T913" t="n">
        <v>87.230279448</v>
      </c>
      <c r="U913" t="n">
        <v/>
      </c>
      <c r="V913" t="n">
        <v>122.098489628</v>
      </c>
      <c r="W913" t="n">
        <v>35.405452414</v>
      </c>
      <c r="X913" t="n">
        <v>29.994609476</v>
      </c>
      <c r="Y913" t="n">
        <v/>
      </c>
      <c r="Z913" t="n">
        <v>20.383708419</v>
      </c>
      <c r="AA913" t="n">
        <v/>
      </c>
      <c r="AB913" t="n">
        <v>55.332619149</v>
      </c>
      <c r="AC913" t="n">
        <v>118.190150821</v>
      </c>
      <c r="AD913" t="n">
        <v>101.51161255</v>
      </c>
      <c r="AE913" t="n">
        <v>30.018</v>
      </c>
      <c r="AF913" t="n">
        <v>74.94975491700001</v>
      </c>
      <c r="AG913" t="n">
        <v/>
      </c>
      <c r="AH913" t="n">
        <v>75.95708515600001</v>
      </c>
      <c r="AI913" t="n">
        <v>82.95062662399999</v>
      </c>
      <c r="AJ913" t="n">
        <v>106.925813729</v>
      </c>
      <c r="AK913" t="n">
        <v/>
      </c>
      <c r="AL913" t="n">
        <v>72.07788592999999</v>
      </c>
      <c r="AM913" t="n">
        <v>32.845660696</v>
      </c>
      <c r="AN913" t="n">
        <v>104.718806363</v>
      </c>
      <c r="AO913" t="n">
        <v>60.72082552</v>
      </c>
      <c r="AP913" t="n">
        <v>35.756631411</v>
      </c>
      <c r="AQ913" t="n">
        <v>69.856705699</v>
      </c>
      <c r="AR913" t="n">
        <v>80.874734492</v>
      </c>
      <c r="AS913" t="n">
        <v>33.997166903</v>
      </c>
      <c r="AT913" t="n">
        <v>70.68153757100001</v>
      </c>
      <c r="AU913" t="n">
        <v/>
      </c>
    </row>
    <row r="914">
      <c r="A914" s="105" t="n">
        <v>34700</v>
      </c>
      <c r="B914" t="n">
        <v>54.656796938</v>
      </c>
      <c r="C914" t="n">
        <v>62.790572758</v>
      </c>
      <c r="D914" t="n">
        <v>82.201316361</v>
      </c>
      <c r="E914" t="n">
        <v>78.251971923</v>
      </c>
      <c r="F914" t="n">
        <v/>
      </c>
      <c r="G914" t="n">
        <v/>
      </c>
      <c r="H914" t="n">
        <v>62.753355276</v>
      </c>
      <c r="I914" t="n">
        <v>54.652242585</v>
      </c>
      <c r="J914" t="n">
        <v>58.140279225</v>
      </c>
      <c r="K914" t="n">
        <v>69.805817151</v>
      </c>
      <c r="L914" t="n">
        <v>97.21013004</v>
      </c>
      <c r="M914" t="n">
        <v>81.69319223399999</v>
      </c>
      <c r="N914" t="n">
        <v>104.824087353</v>
      </c>
      <c r="O914" t="n">
        <v/>
      </c>
      <c r="P914" t="n">
        <v/>
      </c>
      <c r="Q914" t="n">
        <v>80.213368895</v>
      </c>
      <c r="R914" t="n">
        <v>93.269222756</v>
      </c>
      <c r="S914" t="n">
        <v>80.26029911400001</v>
      </c>
      <c r="T914" t="n">
        <v>85.744605589</v>
      </c>
      <c r="U914" t="n">
        <v/>
      </c>
      <c r="V914" t="n">
        <v>124.441026525</v>
      </c>
      <c r="W914" t="n">
        <v>34.731899556</v>
      </c>
      <c r="X914" t="n">
        <v>30.542578906</v>
      </c>
      <c r="Y914" t="n">
        <v/>
      </c>
      <c r="Z914" t="n">
        <v>19.967714369</v>
      </c>
      <c r="AA914" t="n">
        <v/>
      </c>
      <c r="AB914" t="n">
        <v>55.402660439</v>
      </c>
      <c r="AC914" t="n">
        <v>117.790184151</v>
      </c>
      <c r="AD914" t="n">
        <v>99.48340850300001</v>
      </c>
      <c r="AE914" t="n">
        <v>30.684</v>
      </c>
      <c r="AF914" t="n">
        <v>74.46300173100001</v>
      </c>
      <c r="AG914" t="n">
        <v/>
      </c>
      <c r="AH914" t="n">
        <v>74.433256595</v>
      </c>
      <c r="AI914" t="n">
        <v>85.007927481</v>
      </c>
      <c r="AJ914" t="n">
        <v>105.613840554</v>
      </c>
      <c r="AK914" t="n">
        <v/>
      </c>
      <c r="AL914" t="n">
        <v>71.84837389</v>
      </c>
      <c r="AM914" t="n">
        <v>32.180098413</v>
      </c>
      <c r="AN914" t="n">
        <v>105.112844504</v>
      </c>
      <c r="AO914" t="n">
        <v>60.182223519</v>
      </c>
      <c r="AP914" t="n">
        <v>33.206265661</v>
      </c>
      <c r="AQ914" t="n">
        <v>73.37298283200001</v>
      </c>
      <c r="AR914" t="n">
        <v>82.08937380899999</v>
      </c>
      <c r="AS914" t="n">
        <v>34.49712524</v>
      </c>
      <c r="AT914" t="n">
        <v>70.829184516</v>
      </c>
      <c r="AU914" t="n">
        <v/>
      </c>
    </row>
    <row r="915">
      <c r="A915" s="105" t="n">
        <v>34731</v>
      </c>
      <c r="B915" t="n">
        <v>54.515568949</v>
      </c>
      <c r="C915" t="n">
        <v>63.955603279</v>
      </c>
      <c r="D915" t="n">
        <v>81.87661808999999</v>
      </c>
      <c r="E915" t="n">
        <v>78.261750296</v>
      </c>
      <c r="F915" t="n">
        <v/>
      </c>
      <c r="G915" t="n">
        <v/>
      </c>
      <c r="H915" t="n">
        <v>62.724383906</v>
      </c>
      <c r="I915" t="n">
        <v>54.511026363</v>
      </c>
      <c r="J915" t="n">
        <v>56.020669706</v>
      </c>
      <c r="K915" t="n">
        <v>70.80590049200001</v>
      </c>
      <c r="L915" t="n">
        <v>94.48868183099999</v>
      </c>
      <c r="M915" t="n">
        <v>81.89317556899999</v>
      </c>
      <c r="N915" t="n">
        <v>103.763086469</v>
      </c>
      <c r="O915" t="n">
        <v/>
      </c>
      <c r="P915" t="n">
        <v/>
      </c>
      <c r="Q915" t="n">
        <v>79.013168861</v>
      </c>
      <c r="R915" t="n">
        <v>92.639228006</v>
      </c>
      <c r="S915" t="n">
        <v>80.530897055</v>
      </c>
      <c r="T915" t="n">
        <v>85.85072515</v>
      </c>
      <c r="U915" t="n">
        <v/>
      </c>
      <c r="V915" t="n">
        <v>123.967703287</v>
      </c>
      <c r="W915" t="n">
        <v>34.849039183</v>
      </c>
      <c r="X915" t="n">
        <v>30.320362863</v>
      </c>
      <c r="Y915" t="n">
        <v/>
      </c>
      <c r="Z915" t="n">
        <v>20.621419304</v>
      </c>
      <c r="AA915" t="n">
        <v/>
      </c>
      <c r="AB915" t="n">
        <v>55.542743019</v>
      </c>
      <c r="AC915" t="n">
        <v>117.09024248</v>
      </c>
      <c r="AD915" t="n">
        <v>100.903151336</v>
      </c>
      <c r="AE915" t="n">
        <v>30.499</v>
      </c>
      <c r="AF915" t="n">
        <v>74.59036472699999</v>
      </c>
      <c r="AG915" t="n">
        <v/>
      </c>
      <c r="AH915" t="n">
        <v>69.54795871100001</v>
      </c>
      <c r="AI915" t="n">
        <v>81.807186026</v>
      </c>
      <c r="AJ915" t="n">
        <v>105.28584726</v>
      </c>
      <c r="AK915" t="n">
        <v/>
      </c>
      <c r="AL915" t="n">
        <v>71.723628463</v>
      </c>
      <c r="AM915" t="n">
        <v>32.885316275</v>
      </c>
      <c r="AN915" t="n">
        <v>106.260125002</v>
      </c>
      <c r="AO915" t="n">
        <v>60.426538283</v>
      </c>
      <c r="AP915" t="n">
        <v>34.780392068</v>
      </c>
      <c r="AQ915" t="n">
        <v>73.138564356</v>
      </c>
      <c r="AR915" t="n">
        <v>82.291813695</v>
      </c>
      <c r="AS915" t="n">
        <v>33.597200233</v>
      </c>
      <c r="AT915" t="n">
        <v>70.733992396</v>
      </c>
      <c r="AU915" t="n">
        <v/>
      </c>
    </row>
    <row r="916">
      <c r="A916" s="105" t="n">
        <v>34759</v>
      </c>
      <c r="B916" t="n">
        <v>51.331550725</v>
      </c>
      <c r="C916" t="n">
        <v>64.30989289599999</v>
      </c>
      <c r="D916" t="n">
        <v>81.87661808999999</v>
      </c>
      <c r="E916" t="n">
        <v>77.70402088199999</v>
      </c>
      <c r="F916" t="n">
        <v/>
      </c>
      <c r="G916" t="n">
        <v/>
      </c>
      <c r="H916" t="n">
        <v>63.292021964</v>
      </c>
      <c r="I916" t="n">
        <v>51.327273452</v>
      </c>
      <c r="J916" t="n">
        <v>56.472834615</v>
      </c>
      <c r="K916" t="n">
        <v>70.005833819</v>
      </c>
      <c r="L916" t="n">
        <v>94.815255616</v>
      </c>
      <c r="M916" t="n">
        <v>81.79318390100001</v>
      </c>
      <c r="N916" t="n">
        <v>103.60808634</v>
      </c>
      <c r="O916" t="n">
        <v/>
      </c>
      <c r="P916" t="n">
        <v/>
      </c>
      <c r="Q916" t="n">
        <v>78.813135523</v>
      </c>
      <c r="R916" t="n">
        <v>93.419221506</v>
      </c>
      <c r="S916" t="n">
        <v>80.68300974100001</v>
      </c>
      <c r="T916" t="n">
        <v>86.06296427300001</v>
      </c>
      <c r="U916" t="n">
        <v/>
      </c>
      <c r="V916" t="n">
        <v>123.492802334</v>
      </c>
      <c r="W916" t="n">
        <v>34.995463718</v>
      </c>
      <c r="X916" t="n">
        <v>30.547608079</v>
      </c>
      <c r="Y916" t="n">
        <v/>
      </c>
      <c r="Z916" t="n">
        <v>21.156268796</v>
      </c>
      <c r="AA916" t="n">
        <v/>
      </c>
      <c r="AB916" t="n">
        <v>55.682825599</v>
      </c>
      <c r="AC916" t="n">
        <v>117.390217482</v>
      </c>
      <c r="AD916" t="n">
        <v>101.91725336</v>
      </c>
      <c r="AE916" t="n">
        <v>31.423</v>
      </c>
      <c r="AF916" t="n">
        <v>73.96114889499999</v>
      </c>
      <c r="AG916" t="n">
        <v/>
      </c>
      <c r="AH916" t="n">
        <v>68.9076213</v>
      </c>
      <c r="AI916" t="n">
        <v>82.84272002599999</v>
      </c>
      <c r="AJ916" t="n">
        <v>107.691131414</v>
      </c>
      <c r="AK916" t="n">
        <v/>
      </c>
      <c r="AL916" t="n">
        <v>71.827493347</v>
      </c>
      <c r="AM916" t="n">
        <v>32.102397172</v>
      </c>
      <c r="AN916" t="n">
        <v>100.780790368</v>
      </c>
      <c r="AO916" t="n">
        <v>58.067824798</v>
      </c>
      <c r="AP916" t="n">
        <v>35.183627443</v>
      </c>
      <c r="AQ916" t="n">
        <v>70.481821634</v>
      </c>
      <c r="AR916" t="n">
        <v>83.607672955</v>
      </c>
      <c r="AS916" t="n">
        <v>33.497208566</v>
      </c>
      <c r="AT916" t="n">
        <v>70.843859968</v>
      </c>
      <c r="AU916" t="n">
        <v/>
      </c>
    </row>
    <row r="917">
      <c r="A917" s="105" t="n">
        <v>34790</v>
      </c>
      <c r="B917" t="n">
        <v>54.47558367</v>
      </c>
      <c r="C917" t="n">
        <v>63.163701233</v>
      </c>
      <c r="D917" t="n">
        <v>80.639254408</v>
      </c>
      <c r="E917" t="n">
        <v>77.537426381</v>
      </c>
      <c r="F917" t="n">
        <v/>
      </c>
      <c r="G917" t="n">
        <v/>
      </c>
      <c r="H917" t="n">
        <v>64.965946473</v>
      </c>
      <c r="I917" t="n">
        <v>54.471044416</v>
      </c>
      <c r="J917" t="n">
        <v>56.558466646</v>
      </c>
      <c r="K917" t="n">
        <v>70.405867156</v>
      </c>
      <c r="L917" t="n">
        <v>94.92411354399999</v>
      </c>
      <c r="M917" t="n">
        <v>82.093158903</v>
      </c>
      <c r="N917" t="n">
        <v>104.057086714</v>
      </c>
      <c r="O917" t="n">
        <v/>
      </c>
      <c r="P917" t="n">
        <v/>
      </c>
      <c r="Q917" t="n">
        <v>78.513085514</v>
      </c>
      <c r="R917" t="n">
        <v>93.429221423</v>
      </c>
      <c r="S917" t="n">
        <v>80.935024438</v>
      </c>
      <c r="T917" t="n">
        <v>86.805801203</v>
      </c>
      <c r="U917" t="n">
        <v/>
      </c>
      <c r="V917" t="n">
        <v>122.709425114</v>
      </c>
      <c r="W917" t="n">
        <v>34.995463718</v>
      </c>
      <c r="X917" t="n">
        <v>31.194686542</v>
      </c>
      <c r="Y917" t="n">
        <v/>
      </c>
      <c r="Z917" t="n">
        <v>21.512835124</v>
      </c>
      <c r="AA917" t="n">
        <v/>
      </c>
      <c r="AB917" t="n">
        <v>56.94356882</v>
      </c>
      <c r="AC917" t="n">
        <v>117.490209149</v>
      </c>
      <c r="AD917" t="n">
        <v>103.134175788</v>
      </c>
      <c r="AE917" t="n">
        <v>31.516</v>
      </c>
      <c r="AF917" t="n">
        <v>74.786797643</v>
      </c>
      <c r="AG917" t="n">
        <v/>
      </c>
      <c r="AH917" t="n">
        <v>68.32697982400001</v>
      </c>
      <c r="AI917" t="n">
        <v>81.618907116</v>
      </c>
      <c r="AJ917" t="n">
        <v>107.90979361</v>
      </c>
      <c r="AK917" t="n">
        <v/>
      </c>
      <c r="AL917" t="n">
        <v>72.224920385</v>
      </c>
      <c r="AM917" t="n">
        <v>32.29330594</v>
      </c>
      <c r="AN917" t="n">
        <v>110.040935217</v>
      </c>
      <c r="AO917" t="n">
        <v>56.970620384</v>
      </c>
      <c r="AP917" t="n">
        <v>36.325486667</v>
      </c>
      <c r="AQ917" t="n">
        <v>69.46600823999999</v>
      </c>
      <c r="AR917" t="n">
        <v>84.21499261300001</v>
      </c>
      <c r="AS917" t="n">
        <v>36.296975252</v>
      </c>
      <c r="AT917" t="n">
        <v>70.728637839</v>
      </c>
      <c r="AU917" t="n">
        <v/>
      </c>
    </row>
    <row r="918">
      <c r="A918" s="105" t="n">
        <v>34820</v>
      </c>
      <c r="B918" t="n">
        <v>54.479564948</v>
      </c>
      <c r="C918" t="n">
        <v>65.793216073</v>
      </c>
      <c r="D918" t="n">
        <v>71.60035659099999</v>
      </c>
      <c r="E918" t="n">
        <v>77.459199399</v>
      </c>
      <c r="F918" t="n">
        <v/>
      </c>
      <c r="G918" t="n">
        <v/>
      </c>
      <c r="H918" t="n">
        <v>65.97605920300001</v>
      </c>
      <c r="I918" t="n">
        <v>54.475025363</v>
      </c>
      <c r="J918" t="n">
        <v>55.854692754</v>
      </c>
      <c r="K918" t="n">
        <v>70.80590049200001</v>
      </c>
      <c r="L918" t="n">
        <v>94.379823902</v>
      </c>
      <c r="M918" t="n">
        <v>82.393133906</v>
      </c>
      <c r="N918" t="n">
        <v>104.896087413</v>
      </c>
      <c r="O918" t="n">
        <v/>
      </c>
      <c r="P918" t="n">
        <v/>
      </c>
      <c r="Q918" t="n">
        <v>77.312885481</v>
      </c>
      <c r="R918" t="n">
        <v>92.98922509000001</v>
      </c>
      <c r="S918" t="n">
        <v>80.866898449</v>
      </c>
      <c r="T918" t="n">
        <v>86.699681641</v>
      </c>
      <c r="U918" t="n">
        <v/>
      </c>
      <c r="V918" t="n">
        <v>121.970562743</v>
      </c>
      <c r="W918" t="n">
        <v>36.108290179</v>
      </c>
      <c r="X918" t="n">
        <v>30.962541485</v>
      </c>
      <c r="Y918" t="n">
        <v/>
      </c>
      <c r="Z918" t="n">
        <v>22.166540059</v>
      </c>
      <c r="AA918" t="n">
        <v/>
      </c>
      <c r="AB918" t="n">
        <v>57.714023011</v>
      </c>
      <c r="AC918" t="n">
        <v>118.190150821</v>
      </c>
      <c r="AD918" t="n">
        <v>101.410202348</v>
      </c>
      <c r="AE918" t="n">
        <v>31.054</v>
      </c>
      <c r="AF918" t="n">
        <v>73.96513096299999</v>
      </c>
      <c r="AG918" t="n">
        <v/>
      </c>
      <c r="AH918" t="n">
        <v>67.46506209499999</v>
      </c>
      <c r="AI918" t="n">
        <v>83.030998935</v>
      </c>
      <c r="AJ918" t="n">
        <v>109.112435686</v>
      </c>
      <c r="AK918" t="n">
        <v/>
      </c>
      <c r="AL918" t="n">
        <v>72.196690226</v>
      </c>
      <c r="AM918" t="n">
        <v>33.324671805</v>
      </c>
      <c r="AN918" t="n">
        <v>106.662245915</v>
      </c>
      <c r="AO918" t="n">
        <v>59.559380491</v>
      </c>
      <c r="AP918" t="n">
        <v>36.861574131</v>
      </c>
      <c r="AQ918" t="n">
        <v>70.012984683</v>
      </c>
      <c r="AR918" t="n">
        <v>84.21499261300001</v>
      </c>
      <c r="AS918" t="n">
        <v>35.99700025</v>
      </c>
      <c r="AT918" t="n">
        <v>71.05695149500001</v>
      </c>
      <c r="AU918" t="n">
        <v/>
      </c>
    </row>
    <row r="919">
      <c r="A919" s="105" t="n">
        <v>34851</v>
      </c>
      <c r="B919" t="n">
        <v>55.169439132</v>
      </c>
      <c r="C919" t="n">
        <v>65.192242482</v>
      </c>
      <c r="D919" t="n">
        <v>76.497157544</v>
      </c>
      <c r="E919" t="n">
        <v>77.31723191099999</v>
      </c>
      <c r="F919" t="n">
        <v/>
      </c>
      <c r="G919" t="n">
        <v/>
      </c>
      <c r="H919" t="n">
        <v>65.69137264299999</v>
      </c>
      <c r="I919" t="n">
        <v>55.164842062</v>
      </c>
      <c r="J919" t="n">
        <v>56.645365271</v>
      </c>
      <c r="K919" t="n">
        <v>70.005833819</v>
      </c>
      <c r="L919" t="n">
        <v>93.18238669</v>
      </c>
      <c r="M919" t="n">
        <v>82.093158903</v>
      </c>
      <c r="N919" t="n">
        <v>104.17208681</v>
      </c>
      <c r="O919" t="n">
        <v/>
      </c>
      <c r="P919" t="n">
        <v/>
      </c>
      <c r="Q919" t="n">
        <v>76.71278546400001</v>
      </c>
      <c r="R919" t="n">
        <v>93.61921984</v>
      </c>
      <c r="S919" t="n">
        <v>80.82812201</v>
      </c>
      <c r="T919" t="n">
        <v>86.16908383400001</v>
      </c>
      <c r="U919" t="n">
        <v/>
      </c>
      <c r="V919" t="n">
        <v>121.005323243</v>
      </c>
      <c r="W919" t="n">
        <v>34.673329742</v>
      </c>
      <c r="X919" t="n">
        <v>31.238693273</v>
      </c>
      <c r="Y919" t="n">
        <v/>
      </c>
      <c r="Z919" t="n">
        <v>21.631690567</v>
      </c>
      <c r="AA919" t="n">
        <v/>
      </c>
      <c r="AB919" t="n">
        <v>56.45327979</v>
      </c>
      <c r="AC919" t="n">
        <v>117.990167486</v>
      </c>
      <c r="AD919" t="n">
        <v>101.308792145</v>
      </c>
      <c r="AE919" t="n">
        <v>32.163</v>
      </c>
      <c r="AF919" t="n">
        <v>74.949887692</v>
      </c>
      <c r="AG919" t="n">
        <v/>
      </c>
      <c r="AH919" t="n">
        <v>67.34687588</v>
      </c>
      <c r="AI919" t="n">
        <v>82.18374384400001</v>
      </c>
      <c r="AJ919" t="n">
        <v>107.035144827</v>
      </c>
      <c r="AK919" t="n">
        <v/>
      </c>
      <c r="AL919" t="n">
        <v>72.24750524</v>
      </c>
      <c r="AM919" t="n">
        <v>33.301156051</v>
      </c>
      <c r="AN919" t="n">
        <v>103.319929591</v>
      </c>
      <c r="AO919" t="n">
        <v>59.74187438</v>
      </c>
      <c r="AP919" t="n">
        <v>36.902340238</v>
      </c>
      <c r="AQ919" t="n">
        <v>74.466935717</v>
      </c>
      <c r="AR919" t="n">
        <v>84.518652442</v>
      </c>
      <c r="AS919" t="n">
        <v>37.196900258</v>
      </c>
      <c r="AT919" t="n">
        <v>71.291659567</v>
      </c>
      <c r="AU919" t="n">
        <v/>
      </c>
    </row>
    <row r="920">
      <c r="A920" s="105" t="n">
        <v>34881</v>
      </c>
      <c r="B920" t="n">
        <v>54.023640129</v>
      </c>
      <c r="C920" t="n">
        <v>63.147700516</v>
      </c>
      <c r="D920" t="n">
        <v>74.60162169199999</v>
      </c>
      <c r="E920" t="n">
        <v>77.07277259</v>
      </c>
      <c r="F920" t="n">
        <v/>
      </c>
      <c r="G920" t="n">
        <v/>
      </c>
      <c r="H920" t="n">
        <v>65.78924770099999</v>
      </c>
      <c r="I920" t="n">
        <v>54.019138534</v>
      </c>
      <c r="J920" t="n">
        <v>54.818011459</v>
      </c>
      <c r="K920" t="n">
        <v>69.805817151</v>
      </c>
      <c r="L920" t="n">
        <v>88.71921162700001</v>
      </c>
      <c r="M920" t="n">
        <v>81.99316723600001</v>
      </c>
      <c r="N920" t="n">
        <v>103.699086416</v>
      </c>
      <c r="O920" t="n">
        <v/>
      </c>
      <c r="P920" t="n">
        <v/>
      </c>
      <c r="Q920" t="n">
        <v>78.013002167</v>
      </c>
      <c r="R920" t="n">
        <v>94.03921634</v>
      </c>
      <c r="S920" t="n">
        <v>80.461740898</v>
      </c>
      <c r="T920" t="n">
        <v>86.699681641</v>
      </c>
      <c r="U920" t="n">
        <v/>
      </c>
      <c r="V920" t="n">
        <v>121.24451833</v>
      </c>
      <c r="W920" t="n">
        <v>35.200458066</v>
      </c>
      <c r="X920" t="n">
        <v>31.968566407</v>
      </c>
      <c r="Y920" t="n">
        <v/>
      </c>
      <c r="Z920" t="n">
        <v>22.64196183</v>
      </c>
      <c r="AA920" t="n">
        <v/>
      </c>
      <c r="AB920" t="n">
        <v>58.134270751</v>
      </c>
      <c r="AC920" t="n">
        <v>117.890175819</v>
      </c>
      <c r="AD920" t="n">
        <v>99.889049313</v>
      </c>
      <c r="AE920" t="n">
        <v>32.163</v>
      </c>
      <c r="AF920" t="n">
        <v>70.840035808</v>
      </c>
      <c r="AG920" t="n">
        <v/>
      </c>
      <c r="AH920" t="n">
        <v>67.344309099</v>
      </c>
      <c r="AI920" t="n">
        <v>82.74858057100001</v>
      </c>
      <c r="AJ920" t="n">
        <v>111.189726546</v>
      </c>
      <c r="AK920" t="n">
        <v/>
      </c>
      <c r="AL920" t="n">
        <v>72.013967279</v>
      </c>
      <c r="AM920" t="n">
        <v>33.920471371</v>
      </c>
      <c r="AN920" t="n">
        <v>109.884599797</v>
      </c>
      <c r="AO920" t="n">
        <v>59.967897261</v>
      </c>
      <c r="AP920" t="n">
        <v>36.954089742</v>
      </c>
      <c r="AQ920" t="n">
        <v>70.012984683</v>
      </c>
      <c r="AR920" t="n">
        <v>84.518652442</v>
      </c>
      <c r="AS920" t="n">
        <v>37.196900258</v>
      </c>
      <c r="AT920" t="n">
        <v>70.989920377</v>
      </c>
      <c r="AU920" t="n">
        <v/>
      </c>
    </row>
    <row r="921">
      <c r="A921" s="105" t="n">
        <v>34912</v>
      </c>
      <c r="B921" t="n">
        <v>53.641844949</v>
      </c>
      <c r="C921" t="n">
        <v>64.27627413899999</v>
      </c>
      <c r="D921" t="n">
        <v>72.89914967599999</v>
      </c>
      <c r="E921" t="n">
        <v>77.243713034</v>
      </c>
      <c r="F921" t="n">
        <v/>
      </c>
      <c r="G921" t="n">
        <v/>
      </c>
      <c r="H921" t="n">
        <v>63.419300884</v>
      </c>
      <c r="I921" t="n">
        <v>53.637375168</v>
      </c>
      <c r="J921" t="n">
        <v>56.946178699</v>
      </c>
      <c r="K921" t="n">
        <v>69.005750479</v>
      </c>
      <c r="L921" t="n">
        <v>91.22294397899999</v>
      </c>
      <c r="M921" t="n">
        <v>81.99316723600001</v>
      </c>
      <c r="N921" t="n">
        <v>103.225086021</v>
      </c>
      <c r="O921" t="n">
        <v/>
      </c>
      <c r="P921" t="n">
        <v/>
      </c>
      <c r="Q921" t="n">
        <v>78.513085514</v>
      </c>
      <c r="R921" t="n">
        <v>93.459221173</v>
      </c>
      <c r="S921" t="n">
        <v>81.143497306</v>
      </c>
      <c r="T921" t="n">
        <v>86.805801203</v>
      </c>
      <c r="U921" t="n">
        <v/>
      </c>
      <c r="V921" t="n">
        <v>122.04822849</v>
      </c>
      <c r="W921" t="n">
        <v>35.464022228</v>
      </c>
      <c r="X921" t="n">
        <v>32.075046867</v>
      </c>
      <c r="Y921" t="n">
        <v/>
      </c>
      <c r="Z921" t="n">
        <v>23.176811322</v>
      </c>
      <c r="AA921" t="n">
        <v/>
      </c>
      <c r="AB921" t="n">
        <v>58.484477201</v>
      </c>
      <c r="AC921" t="n">
        <v>119.990000833</v>
      </c>
      <c r="AD921" t="n">
        <v>101.410202348</v>
      </c>
      <c r="AE921" t="n">
        <v>32.348</v>
      </c>
      <c r="AF921" t="n">
        <v>78.21372060500001</v>
      </c>
      <c r="AG921" t="n">
        <v/>
      </c>
      <c r="AH921" t="n">
        <v>67.833380707</v>
      </c>
      <c r="AI921" t="n">
        <v>83.972393481</v>
      </c>
      <c r="AJ921" t="n">
        <v>108.675111295</v>
      </c>
      <c r="AK921" t="n">
        <v/>
      </c>
      <c r="AL921" t="n">
        <v>72.56848561</v>
      </c>
      <c r="AM921" t="n">
        <v>33.509124179</v>
      </c>
      <c r="AN921" t="n">
        <v>110.318352822</v>
      </c>
      <c r="AO921" t="n">
        <v>59.468465121</v>
      </c>
      <c r="AP921" t="n">
        <v>37.447111058</v>
      </c>
      <c r="AQ921" t="n">
        <v>67.668799928</v>
      </c>
      <c r="AR921" t="n">
        <v>84.61987238499999</v>
      </c>
      <c r="AS921" t="n">
        <v>37.796850262</v>
      </c>
      <c r="AT921" t="n">
        <v>71.923497266</v>
      </c>
      <c r="AU921" t="n">
        <v/>
      </c>
    </row>
    <row r="922">
      <c r="A922" s="105" t="n">
        <v>34943</v>
      </c>
      <c r="B922" t="n">
        <v>53.229576162</v>
      </c>
      <c r="C922" t="n">
        <v>63.321689266</v>
      </c>
      <c r="D922" t="n">
        <v>73.557321847</v>
      </c>
      <c r="E922" t="n">
        <v>76.999253713</v>
      </c>
      <c r="F922" t="n">
        <v/>
      </c>
      <c r="G922" t="n">
        <v/>
      </c>
      <c r="H922" t="n">
        <v>64.97424269699999</v>
      </c>
      <c r="I922" t="n">
        <v>53.225140734</v>
      </c>
      <c r="J922" t="n">
        <v>56.315688212</v>
      </c>
      <c r="K922" t="n">
        <v>70.405867156</v>
      </c>
      <c r="L922" t="n">
        <v>91.767233621</v>
      </c>
      <c r="M922" t="n">
        <v>82.493125573</v>
      </c>
      <c r="N922" t="n">
        <v>103.741086451</v>
      </c>
      <c r="O922" t="n">
        <v/>
      </c>
      <c r="P922" t="n">
        <v/>
      </c>
      <c r="Q922" t="n">
        <v>76.312718786</v>
      </c>
      <c r="R922" t="n">
        <v>93.599220006</v>
      </c>
      <c r="S922" t="n">
        <v>81.18691264900001</v>
      </c>
      <c r="T922" t="n">
        <v>87.124159887</v>
      </c>
      <c r="U922" t="n">
        <v/>
      </c>
      <c r="V922" t="n">
        <v>122.759334225</v>
      </c>
      <c r="W922" t="n">
        <v>35.3468826</v>
      </c>
      <c r="X922" t="n">
        <v>33.356320544</v>
      </c>
      <c r="Y922" t="n">
        <v/>
      </c>
      <c r="Z922" t="n">
        <v>23.057955879</v>
      </c>
      <c r="AA922" t="n">
        <v/>
      </c>
      <c r="AB922" t="n">
        <v>57.994188171</v>
      </c>
      <c r="AC922" t="n">
        <v>119.190067494</v>
      </c>
      <c r="AD922" t="n">
        <v>99.78763911</v>
      </c>
      <c r="AE922" t="n">
        <v>32.07</v>
      </c>
      <c r="AF922" t="n">
        <v>76.247984836</v>
      </c>
      <c r="AG922" t="n">
        <v/>
      </c>
      <c r="AH922" t="n">
        <v>68.526198076</v>
      </c>
      <c r="AI922" t="n">
        <v>84.066532935</v>
      </c>
      <c r="AJ922" t="n">
        <v>111.736382035</v>
      </c>
      <c r="AK922" t="n">
        <v/>
      </c>
      <c r="AL922" t="n">
        <v>72.516897572</v>
      </c>
      <c r="AM922" t="n">
        <v>34.033199425</v>
      </c>
      <c r="AN922" t="n">
        <v>107.693450527</v>
      </c>
      <c r="AO922" t="n">
        <v>58.999815505</v>
      </c>
      <c r="AP922" t="n">
        <v>37.201433575</v>
      </c>
      <c r="AQ922" t="n">
        <v>69.075310781</v>
      </c>
      <c r="AR922" t="n">
        <v>84.21499261300001</v>
      </c>
      <c r="AS922" t="n">
        <v>36.096991917</v>
      </c>
      <c r="AT922" t="n">
        <v>72.211850064</v>
      </c>
      <c r="AU922" t="n">
        <v/>
      </c>
    </row>
    <row r="923">
      <c r="A923" s="105" t="n">
        <v>34973</v>
      </c>
      <c r="B923" t="n">
        <v>52.328262939</v>
      </c>
      <c r="C923" t="n">
        <v>64.39092318599999</v>
      </c>
      <c r="D923" t="n">
        <v>74.496314144</v>
      </c>
      <c r="E923" t="n">
        <v>76.96014022200001</v>
      </c>
      <c r="F923" t="n">
        <v/>
      </c>
      <c r="G923" t="n">
        <v/>
      </c>
      <c r="H923" t="n">
        <v>64.779330324</v>
      </c>
      <c r="I923" t="n">
        <v>52.323902613</v>
      </c>
      <c r="J923" t="n">
        <v>57.589182652</v>
      </c>
      <c r="K923" t="n">
        <v>68.60571714300001</v>
      </c>
      <c r="L923" t="n">
        <v>93.50896047499999</v>
      </c>
      <c r="M923" t="n">
        <v>81.393217232</v>
      </c>
      <c r="N923" t="n">
        <v>103.002085835</v>
      </c>
      <c r="O923" t="n">
        <v/>
      </c>
      <c r="P923" t="n">
        <v/>
      </c>
      <c r="Q923" t="n">
        <v>75.6126021</v>
      </c>
      <c r="R923" t="n">
        <v>91.78923509000001</v>
      </c>
      <c r="S923" t="n">
        <v>81.061478869</v>
      </c>
      <c r="T923" t="n">
        <v>86.805801203</v>
      </c>
      <c r="U923" t="n">
        <v/>
      </c>
      <c r="V923" t="n">
        <v>123.892164628</v>
      </c>
      <c r="W923" t="n">
        <v>35.288312787</v>
      </c>
      <c r="X923" t="n">
        <v>32.393630642</v>
      </c>
      <c r="Y923" t="n">
        <v/>
      </c>
      <c r="Z923" t="n">
        <v>23.711660814</v>
      </c>
      <c r="AA923" t="n">
        <v/>
      </c>
      <c r="AB923" t="n">
        <v>58.414435911</v>
      </c>
      <c r="AC923" t="n">
        <v>119.990000833</v>
      </c>
      <c r="AD923" t="n">
        <v>101.308792145</v>
      </c>
      <c r="AE923" t="n">
        <v>32.255</v>
      </c>
      <c r="AF923" t="n">
        <v>76.444710587</v>
      </c>
      <c r="AG923" t="n">
        <v/>
      </c>
      <c r="AH923" t="n">
        <v>64.70360731300001</v>
      </c>
      <c r="AI923" t="n">
        <v>84.066532935</v>
      </c>
      <c r="AJ923" t="n">
        <v>111.080395448</v>
      </c>
      <c r="AK923" t="n">
        <v/>
      </c>
      <c r="AL923" t="n">
        <v>72.261335417</v>
      </c>
      <c r="AM923" t="n">
        <v>33.755842979</v>
      </c>
      <c r="AN923" t="n">
        <v>114.264395016</v>
      </c>
      <c r="AO923" t="n">
        <v>58.351437208</v>
      </c>
      <c r="AP923" t="n">
        <v>37.405831185</v>
      </c>
      <c r="AQ923" t="n">
        <v>66.574847042</v>
      </c>
      <c r="AR923" t="n">
        <v>84.92353221400001</v>
      </c>
      <c r="AS923" t="n">
        <v>35.097075244</v>
      </c>
      <c r="AT923" t="n">
        <v>72.10109006499999</v>
      </c>
      <c r="AU923" t="n">
        <v/>
      </c>
    </row>
    <row r="924">
      <c r="A924" s="105" t="n">
        <v>35004</v>
      </c>
      <c r="B924" t="n">
        <v>53.941419308</v>
      </c>
      <c r="C924" t="n">
        <v>64.071509514</v>
      </c>
      <c r="D924" t="n">
        <v>74.978973736</v>
      </c>
      <c r="E924" t="n">
        <v>77.155707678</v>
      </c>
      <c r="F924" t="n">
        <v/>
      </c>
      <c r="G924" t="n">
        <v/>
      </c>
      <c r="H924" t="n">
        <v>63.671269123</v>
      </c>
      <c r="I924" t="n">
        <v>53.936924565</v>
      </c>
      <c r="J924" t="n">
        <v>58.198746444</v>
      </c>
      <c r="K924" t="n">
        <v>69.005750479</v>
      </c>
      <c r="L924" t="n">
        <v>95.90383490000001</v>
      </c>
      <c r="M924" t="n">
        <v>81.69319223399999</v>
      </c>
      <c r="N924" t="n">
        <v>103.530086275</v>
      </c>
      <c r="O924" t="n">
        <v/>
      </c>
      <c r="P924" t="n">
        <v/>
      </c>
      <c r="Q924" t="n">
        <v>75.71261877000001</v>
      </c>
      <c r="R924" t="n">
        <v>91.769235256</v>
      </c>
      <c r="S924" t="n">
        <v>81.37242489899999</v>
      </c>
      <c r="T924" t="n">
        <v>87.230279448</v>
      </c>
      <c r="U924" t="n">
        <v/>
      </c>
      <c r="V924" t="n">
        <v>122.796322227</v>
      </c>
      <c r="W924" t="n">
        <v>34.40976558</v>
      </c>
      <c r="X924" t="n">
        <v>33.184100752</v>
      </c>
      <c r="Y924" t="n">
        <v/>
      </c>
      <c r="Z924" t="n">
        <v>23.592805371</v>
      </c>
      <c r="AA924" t="n">
        <v/>
      </c>
      <c r="AB924" t="n">
        <v>58.344394621</v>
      </c>
      <c r="AC924" t="n">
        <v>119.990000833</v>
      </c>
      <c r="AD924" t="n">
        <v>102.120073764</v>
      </c>
      <c r="AE924" t="n">
        <v>32.44</v>
      </c>
      <c r="AF924" t="n">
        <v>74.76235293800001</v>
      </c>
      <c r="AG924" t="n">
        <v/>
      </c>
      <c r="AH924" t="n">
        <v>69.358275003</v>
      </c>
      <c r="AI924" t="n">
        <v>84.25481184500001</v>
      </c>
      <c r="AJ924" t="n">
        <v>112.829693014</v>
      </c>
      <c r="AK924" t="n">
        <v/>
      </c>
      <c r="AL924" t="n">
        <v>72.93042142100001</v>
      </c>
      <c r="AM924" t="n">
        <v>35.00505053</v>
      </c>
      <c r="AN924" t="n">
        <v>110.178191372</v>
      </c>
      <c r="AO924" t="n">
        <v>56.765346533</v>
      </c>
      <c r="AP924" t="n">
        <v>37.262191666</v>
      </c>
      <c r="AQ924" t="n">
        <v>68.76275281300001</v>
      </c>
      <c r="AR924" t="n">
        <v>85.02475215699999</v>
      </c>
      <c r="AS924" t="n">
        <v>38.596783601</v>
      </c>
      <c r="AT924" t="n">
        <v>72.27501400200001</v>
      </c>
      <c r="AU924" t="n">
        <v/>
      </c>
    </row>
    <row r="925">
      <c r="A925" s="105" t="n">
        <v>35034</v>
      </c>
      <c r="B925" t="n">
        <v>53.727631778</v>
      </c>
      <c r="C925" t="n">
        <v>64.028077143</v>
      </c>
      <c r="D925" t="n">
        <v>75.812658486</v>
      </c>
      <c r="E925" t="n">
        <v>76.793545721</v>
      </c>
      <c r="F925" t="n">
        <v/>
      </c>
      <c r="G925" t="n">
        <v/>
      </c>
      <c r="H925" t="n">
        <v>65.82262956700001</v>
      </c>
      <c r="I925" t="n">
        <v>53.723154849</v>
      </c>
      <c r="J925" t="n">
        <v>56.968634539</v>
      </c>
      <c r="K925" t="n">
        <v>69.005750479</v>
      </c>
      <c r="L925" t="n">
        <v>99.278430679</v>
      </c>
      <c r="M925" t="n">
        <v>82.693108908</v>
      </c>
      <c r="N925" t="n">
        <v>104.401087001</v>
      </c>
      <c r="O925" t="n">
        <v/>
      </c>
      <c r="P925" t="n">
        <v/>
      </c>
      <c r="Q925" t="n">
        <v>76.51275212500001</v>
      </c>
      <c r="R925" t="n">
        <v>93.729218923</v>
      </c>
      <c r="S925" t="n">
        <v>81.93120294800001</v>
      </c>
      <c r="T925" t="n">
        <v>87.760877255</v>
      </c>
      <c r="U925" t="n">
        <v/>
      </c>
      <c r="V925" t="n">
        <v>124.915605394</v>
      </c>
      <c r="W925" t="n">
        <v>35.434737321</v>
      </c>
      <c r="X925" t="n">
        <v>33.737570336</v>
      </c>
      <c r="Y925" t="n">
        <v/>
      </c>
      <c r="Z925" t="n">
        <v>24.365365748</v>
      </c>
      <c r="AA925" t="n">
        <v/>
      </c>
      <c r="AB925" t="n">
        <v>59.605137842</v>
      </c>
      <c r="AC925" t="n">
        <v>121.98983418</v>
      </c>
      <c r="AD925" t="n">
        <v>103.438406395</v>
      </c>
      <c r="AE925" t="n">
        <v>33.179</v>
      </c>
      <c r="AF925" t="n">
        <v>74.658723482</v>
      </c>
      <c r="AG925" t="n">
        <v/>
      </c>
      <c r="AH925" t="n">
        <v>73.447431127</v>
      </c>
      <c r="AI925" t="n">
        <v>86.51415875399999</v>
      </c>
      <c r="AJ925" t="n">
        <v>113.813672895</v>
      </c>
      <c r="AK925" t="n">
        <v/>
      </c>
      <c r="AL925" t="n">
        <v>73.724203901</v>
      </c>
      <c r="AM925" t="n">
        <v>34.683905334</v>
      </c>
      <c r="AN925" t="n">
        <v>116.865435118</v>
      </c>
      <c r="AO925" t="n">
        <v>56.376469209</v>
      </c>
      <c r="AP925" t="n">
        <v>37.364563625</v>
      </c>
      <c r="AQ925" t="n">
        <v>67.434381452</v>
      </c>
      <c r="AR925" t="n">
        <v>84.012552727</v>
      </c>
      <c r="AS925" t="n">
        <v>40.196650279</v>
      </c>
      <c r="AT925" t="n">
        <v>72.52737227900001</v>
      </c>
      <c r="AU925" t="n">
        <v/>
      </c>
    </row>
    <row r="926">
      <c r="A926" s="105" t="n">
        <v>35065</v>
      </c>
      <c r="B926" t="n">
        <v>52.78645441</v>
      </c>
      <c r="C926" t="n">
        <v>63.955808596</v>
      </c>
      <c r="D926" t="n">
        <v>74.935095592</v>
      </c>
      <c r="E926" t="n">
        <v>77.542496649</v>
      </c>
      <c r="F926" t="n">
        <v/>
      </c>
      <c r="G926" t="n">
        <v/>
      </c>
      <c r="H926" t="n">
        <v>65.294246968</v>
      </c>
      <c r="I926" t="n">
        <v>52.782055905</v>
      </c>
      <c r="J926" t="n">
        <v>59.416713848</v>
      </c>
      <c r="K926" t="n">
        <v>69.305775481</v>
      </c>
      <c r="L926" t="n">
        <v>89.698932982</v>
      </c>
      <c r="M926" t="n">
        <v>81.89317556899999</v>
      </c>
      <c r="N926" t="n">
        <v>101.062084218</v>
      </c>
      <c r="O926" t="n">
        <v/>
      </c>
      <c r="P926" t="n">
        <v/>
      </c>
      <c r="Q926" t="n">
        <v>76.81280213399999</v>
      </c>
      <c r="R926" t="n">
        <v>92.889225923</v>
      </c>
      <c r="S926" t="n">
        <v>81.403249957</v>
      </c>
      <c r="T926" t="n">
        <v>87.33639900999999</v>
      </c>
      <c r="U926" t="n">
        <v/>
      </c>
      <c r="V926" t="n">
        <v>123.300123538</v>
      </c>
      <c r="W926" t="n">
        <v>35.141888252</v>
      </c>
      <c r="X926" t="n">
        <v>34.137267037</v>
      </c>
      <c r="Y926" t="n">
        <v/>
      </c>
      <c r="Z926" t="n">
        <v>23.889943978</v>
      </c>
      <c r="AA926" t="n">
        <v/>
      </c>
      <c r="AB926" t="n">
        <v>59.254931392</v>
      </c>
      <c r="AC926" t="n">
        <v>120.189984168</v>
      </c>
      <c r="AD926" t="n">
        <v>101.91725336</v>
      </c>
      <c r="AE926" t="n">
        <v>33.087</v>
      </c>
      <c r="AF926" t="n">
        <v>75.050622475</v>
      </c>
      <c r="AG926" t="n">
        <v/>
      </c>
      <c r="AH926" t="n">
        <v>75.066381202</v>
      </c>
      <c r="AI926" t="n">
        <v>85.47862475399999</v>
      </c>
      <c r="AJ926" t="n">
        <v>114.906983874</v>
      </c>
      <c r="AK926" t="n">
        <v/>
      </c>
      <c r="AL926" t="n">
        <v>73.24749698399999</v>
      </c>
      <c r="AM926" t="n">
        <v>35.08222303</v>
      </c>
      <c r="AN926" t="n">
        <v>112.532259116</v>
      </c>
      <c r="AO926" t="n">
        <v>56.468452999</v>
      </c>
      <c r="AP926" t="n">
        <v>36.707673072</v>
      </c>
      <c r="AQ926" t="n">
        <v>68.76275281300001</v>
      </c>
      <c r="AR926" t="n">
        <v>84.21499261300001</v>
      </c>
      <c r="AS926" t="n">
        <v>38.896758603</v>
      </c>
      <c r="AT926" t="n">
        <v>72.1349031</v>
      </c>
      <c r="AU926" t="n">
        <v/>
      </c>
    </row>
    <row r="927">
      <c r="A927" s="105" t="n">
        <v>35096</v>
      </c>
      <c r="B927" t="n">
        <v>53.71549601</v>
      </c>
      <c r="C927" t="n">
        <v>63.037444793</v>
      </c>
      <c r="D927" t="n">
        <v>74.540192289</v>
      </c>
      <c r="E927" t="n">
        <v>77.52293990299999</v>
      </c>
      <c r="F927" t="n">
        <v/>
      </c>
      <c r="G927" t="n">
        <v/>
      </c>
      <c r="H927" t="n">
        <v>67.57874287999999</v>
      </c>
      <c r="I927" t="n">
        <v>53.711020092</v>
      </c>
      <c r="J927" t="n">
        <v>60.184730987</v>
      </c>
      <c r="K927" t="n">
        <v>68.705725477</v>
      </c>
      <c r="L927" t="n">
        <v>94.70639768700001</v>
      </c>
      <c r="M927" t="n">
        <v>81.593200567</v>
      </c>
      <c r="N927" t="n">
        <v>101.143084286</v>
      </c>
      <c r="O927" t="n">
        <v/>
      </c>
      <c r="P927" t="n">
        <v/>
      </c>
      <c r="Q927" t="n">
        <v>78.013002167</v>
      </c>
      <c r="R927" t="n">
        <v>93.179223506</v>
      </c>
      <c r="S927" t="n">
        <v>81.78838895600001</v>
      </c>
      <c r="T927" t="n">
        <v>87.973116378</v>
      </c>
      <c r="U927" t="n">
        <v/>
      </c>
      <c r="V927" t="n">
        <v>122.679583604</v>
      </c>
      <c r="W927" t="n">
        <v>35.522592042</v>
      </c>
      <c r="X927" t="n">
        <v>33.472686988</v>
      </c>
      <c r="Y927" t="n">
        <v/>
      </c>
      <c r="Z927" t="n">
        <v>22.939100436</v>
      </c>
      <c r="AA927" t="n">
        <v/>
      </c>
      <c r="AB927" t="n">
        <v>59.675179132</v>
      </c>
      <c r="AC927" t="n">
        <v>118.890092492</v>
      </c>
      <c r="AD927" t="n">
        <v>101.815843157</v>
      </c>
      <c r="AE927" t="n">
        <v>33.826</v>
      </c>
      <c r="AF927" t="n">
        <v>73.33812594600001</v>
      </c>
      <c r="AG927" t="n">
        <v/>
      </c>
      <c r="AH927" t="n">
        <v>74.74236078</v>
      </c>
      <c r="AI927" t="n">
        <v>85.761043118</v>
      </c>
      <c r="AJ927" t="n">
        <v>118.7335723</v>
      </c>
      <c r="AK927" t="n">
        <v/>
      </c>
      <c r="AL927" t="n">
        <v>73.45225347</v>
      </c>
      <c r="AM927" t="n">
        <v>34.6163096</v>
      </c>
      <c r="AN927" t="n">
        <v>112.442334464</v>
      </c>
      <c r="AO927" t="n">
        <v>55.589896807</v>
      </c>
      <c r="AP927" t="n">
        <v>36.517174185</v>
      </c>
      <c r="AQ927" t="n">
        <v>67.434381452</v>
      </c>
      <c r="AR927" t="n">
        <v>84.92353221400001</v>
      </c>
      <c r="AS927" t="n">
        <v>36.196983585</v>
      </c>
      <c r="AT927" t="n">
        <v>73.16615107</v>
      </c>
      <c r="AU927" t="n">
        <v/>
      </c>
    </row>
    <row r="928">
      <c r="A928" s="105" t="n">
        <v>35125</v>
      </c>
      <c r="B928" t="n">
        <v>53.20874604</v>
      </c>
      <c r="C928" t="n">
        <v>63.046283134</v>
      </c>
      <c r="D928" t="n">
        <v>74.417333484</v>
      </c>
      <c r="E928" t="n">
        <v>77.033659099</v>
      </c>
      <c r="F928" t="n">
        <v/>
      </c>
      <c r="G928" t="n">
        <v/>
      </c>
      <c r="H928" t="n">
        <v>66.18915491600001</v>
      </c>
      <c r="I928" t="n">
        <v>53.204312347</v>
      </c>
      <c r="J928" t="n">
        <v>58.685518634</v>
      </c>
      <c r="K928" t="n">
        <v>68.805733811</v>
      </c>
      <c r="L928" t="n">
        <v>96.121550756</v>
      </c>
      <c r="M928" t="n">
        <v>81.69319223399999</v>
      </c>
      <c r="N928" t="n">
        <v>101.405084504</v>
      </c>
      <c r="O928" t="n">
        <v/>
      </c>
      <c r="P928" t="n">
        <v/>
      </c>
      <c r="Q928" t="n">
        <v>76.81280213399999</v>
      </c>
      <c r="R928" t="n">
        <v>93.82921809</v>
      </c>
      <c r="S928" t="n">
        <v>81.687650539</v>
      </c>
      <c r="T928" t="n">
        <v>88.079235939</v>
      </c>
      <c r="U928" t="n">
        <v/>
      </c>
      <c r="V928" t="n">
        <v>123.149101495</v>
      </c>
      <c r="W928" t="n">
        <v>36.079005272</v>
      </c>
      <c r="X928" t="n">
        <v>34.92424668</v>
      </c>
      <c r="Y928" t="n">
        <v/>
      </c>
      <c r="Z928" t="n">
        <v>23.236239043</v>
      </c>
      <c r="AA928" t="n">
        <v/>
      </c>
      <c r="AB928" t="n">
        <v>60.025385583</v>
      </c>
      <c r="AC928" t="n">
        <v>117.690192484</v>
      </c>
      <c r="AD928" t="n">
        <v>101.714432955</v>
      </c>
      <c r="AE928" t="n">
        <v>33.826</v>
      </c>
      <c r="AF928" t="n">
        <v>78.81944033400001</v>
      </c>
      <c r="AG928" t="n">
        <v/>
      </c>
      <c r="AH928" t="n">
        <v>75.250309687</v>
      </c>
      <c r="AI928" t="n">
        <v>86.89071657300001</v>
      </c>
      <c r="AJ928" t="n">
        <v>113.595010699</v>
      </c>
      <c r="AK928" t="n">
        <v/>
      </c>
      <c r="AL928" t="n">
        <v>73.425948726</v>
      </c>
      <c r="AM928" t="n">
        <v>35.940531716</v>
      </c>
      <c r="AN928" t="n">
        <v>113.179739138</v>
      </c>
      <c r="AO928" t="n">
        <v>56.285889746</v>
      </c>
      <c r="AP928" t="n">
        <v>36.31721063</v>
      </c>
      <c r="AQ928" t="n">
        <v>68.60647383</v>
      </c>
      <c r="AR928" t="n">
        <v>83.405233069</v>
      </c>
      <c r="AS928" t="n">
        <v>36.296975252</v>
      </c>
      <c r="AT928" t="n">
        <v>73.05489528</v>
      </c>
      <c r="AU928" t="n">
        <v/>
      </c>
    </row>
    <row r="929">
      <c r="A929" s="105" t="n">
        <v>35156</v>
      </c>
      <c r="B929" t="n">
        <v>53.12428771</v>
      </c>
      <c r="C929" t="n">
        <v>64.601729331</v>
      </c>
      <c r="D929" t="n">
        <v>76.356747481</v>
      </c>
      <c r="E929" t="n">
        <v>77.424794013</v>
      </c>
      <c r="F929" t="n">
        <v/>
      </c>
      <c r="G929" t="n">
        <v/>
      </c>
      <c r="H929" t="n">
        <v>65.38928883299999</v>
      </c>
      <c r="I929" t="n">
        <v>53.119861055</v>
      </c>
      <c r="J929" t="n">
        <v>56.790070009</v>
      </c>
      <c r="K929" t="n">
        <v>68.805733811</v>
      </c>
      <c r="L929" t="n">
        <v>98.298709324</v>
      </c>
      <c r="M929" t="n">
        <v>80.993250562</v>
      </c>
      <c r="N929" t="n">
        <v>100.699083916</v>
      </c>
      <c r="O929" t="n">
        <v/>
      </c>
      <c r="P929" t="n">
        <v/>
      </c>
      <c r="Q929" t="n">
        <v>75.71261877000001</v>
      </c>
      <c r="R929" t="n">
        <v>92.86922609</v>
      </c>
      <c r="S929" t="n">
        <v>81.918653144</v>
      </c>
      <c r="T929" t="n">
        <v>87.018040325</v>
      </c>
      <c r="U929" t="n">
        <v/>
      </c>
      <c r="V929" t="n">
        <v>122.500977014</v>
      </c>
      <c r="W929" t="n">
        <v>35.229742973</v>
      </c>
      <c r="X929" t="n">
        <v>34.584132852</v>
      </c>
      <c r="Y929" t="n">
        <v/>
      </c>
      <c r="Z929" t="n">
        <v>23.355094486</v>
      </c>
      <c r="AA929" t="n">
        <v/>
      </c>
      <c r="AB929" t="n">
        <v>60.025385583</v>
      </c>
      <c r="AC929" t="n">
        <v>116.390300808</v>
      </c>
      <c r="AD929" t="n">
        <v>102.018663562</v>
      </c>
      <c r="AE929" t="n">
        <v>34.843</v>
      </c>
      <c r="AF929" t="n">
        <v>73.894403513</v>
      </c>
      <c r="AG929" t="n">
        <v/>
      </c>
      <c r="AH929" t="n">
        <v>75.84956398</v>
      </c>
      <c r="AI929" t="n">
        <v>85.007927481</v>
      </c>
      <c r="AJ929" t="n">
        <v>114.469659482</v>
      </c>
      <c r="AK929" t="n">
        <v/>
      </c>
      <c r="AL929" t="n">
        <v>73.72581251699999</v>
      </c>
      <c r="AM929" t="n">
        <v>35.911126423</v>
      </c>
      <c r="AN929" t="n">
        <v>113.238941883</v>
      </c>
      <c r="AO929" t="n">
        <v>56.615510328</v>
      </c>
      <c r="AP929" t="n">
        <v>36.035328223</v>
      </c>
      <c r="AQ929" t="n">
        <v>75.01391216</v>
      </c>
      <c r="AR929" t="n">
        <v>83.405233069</v>
      </c>
      <c r="AS929" t="n">
        <v>37.89684193</v>
      </c>
      <c r="AT929" t="n">
        <v>73.789064508</v>
      </c>
      <c r="AU929" t="n">
        <v/>
      </c>
    </row>
    <row r="930">
      <c r="A930" s="105" t="n">
        <v>35186</v>
      </c>
      <c r="B930" t="n">
        <v>53.79995433</v>
      </c>
      <c r="C930" t="n">
        <v>64.538489747</v>
      </c>
      <c r="D930" t="n">
        <v>76.374298739</v>
      </c>
      <c r="E930" t="n">
        <v>77.816291088</v>
      </c>
      <c r="F930" t="n">
        <v/>
      </c>
      <c r="G930" t="n">
        <v/>
      </c>
      <c r="H930" t="n">
        <v>65.04599154</v>
      </c>
      <c r="I930" t="n">
        <v>53.795471374</v>
      </c>
      <c r="J930" t="n">
        <v>56.646887304</v>
      </c>
      <c r="K930" t="n">
        <v>69.40578381500001</v>
      </c>
      <c r="L930" t="n">
        <v>95.141829401</v>
      </c>
      <c r="M930" t="n">
        <v>81.89317556899999</v>
      </c>
      <c r="N930" t="n">
        <v>101.972084977</v>
      </c>
      <c r="O930" t="n">
        <v/>
      </c>
      <c r="P930" t="n">
        <v/>
      </c>
      <c r="Q930" t="n">
        <v>78.11301883599999</v>
      </c>
      <c r="R930" t="n">
        <v>94.72921058999999</v>
      </c>
      <c r="S930" t="n">
        <v>82.516744715</v>
      </c>
      <c r="T930" t="n">
        <v>87.654757694</v>
      </c>
      <c r="U930" t="n">
        <v/>
      </c>
      <c r="V930" t="n">
        <v>124.172714747</v>
      </c>
      <c r="W930" t="n">
        <v>36.313284527</v>
      </c>
      <c r="X930" t="n">
        <v>34.956088766</v>
      </c>
      <c r="Y930" t="n">
        <v/>
      </c>
      <c r="Z930" t="n">
        <v>24.543648912</v>
      </c>
      <c r="AA930" t="n">
        <v/>
      </c>
      <c r="AB930" t="n">
        <v>59.535096552</v>
      </c>
      <c r="AC930" t="n">
        <v>116.290309141</v>
      </c>
      <c r="AD930" t="n">
        <v>102.627124776</v>
      </c>
      <c r="AE930" t="n">
        <v>34.935</v>
      </c>
      <c r="AF930" t="n">
        <v>73.386629122</v>
      </c>
      <c r="AG930" t="n">
        <v/>
      </c>
      <c r="AH930" t="n">
        <v>76.272087848</v>
      </c>
      <c r="AI930" t="n">
        <v>85.19620639</v>
      </c>
      <c r="AJ930" t="n">
        <v>111.627050938</v>
      </c>
      <c r="AK930" t="n">
        <v/>
      </c>
      <c r="AL930" t="n">
        <v>74.20748527000001</v>
      </c>
      <c r="AM930" t="n">
        <v>36.108267269</v>
      </c>
      <c r="AN930" t="n">
        <v>114.873806767</v>
      </c>
      <c r="AO930" t="n">
        <v>56.68023953</v>
      </c>
      <c r="AP930" t="n">
        <v>36.871490081</v>
      </c>
      <c r="AQ930" t="n">
        <v>69.46600823999999</v>
      </c>
      <c r="AR930" t="n">
        <v>84.92353221400001</v>
      </c>
      <c r="AS930" t="n">
        <v>37.596866928</v>
      </c>
      <c r="AT930" t="n">
        <v>74.34088133</v>
      </c>
      <c r="AU930" t="n">
        <v/>
      </c>
    </row>
    <row r="931">
      <c r="A931" s="105" t="n">
        <v>35217</v>
      </c>
      <c r="B931" t="n">
        <v>54.30670429</v>
      </c>
      <c r="C931" t="n">
        <v>63.311529949</v>
      </c>
      <c r="D931" t="n">
        <v>76.163683644</v>
      </c>
      <c r="E931" t="n">
        <v>78.00715044</v>
      </c>
      <c r="F931" t="n">
        <v/>
      </c>
      <c r="G931" t="n">
        <v/>
      </c>
      <c r="H931" t="n">
        <v>65.15266534200001</v>
      </c>
      <c r="I931" t="n">
        <v>54.302179108</v>
      </c>
      <c r="J931" t="n">
        <v>56.436601827</v>
      </c>
      <c r="K931" t="n">
        <v>69.805817151</v>
      </c>
      <c r="L931" t="n">
        <v>96.230408685</v>
      </c>
      <c r="M931" t="n">
        <v>81.89317556899999</v>
      </c>
      <c r="N931" t="n">
        <v>103.267086056</v>
      </c>
      <c r="O931" t="n">
        <v/>
      </c>
      <c r="P931" t="n">
        <v/>
      </c>
      <c r="Q931" t="n">
        <v>78.813135523</v>
      </c>
      <c r="R931" t="n">
        <v>93.97921684000001</v>
      </c>
      <c r="S931" t="n">
        <v>82.816420048</v>
      </c>
      <c r="T931" t="n">
        <v>87.124159887</v>
      </c>
      <c r="U931" t="n">
        <v/>
      </c>
      <c r="V931" t="n">
        <v>125.03936044</v>
      </c>
      <c r="W931" t="n">
        <v>35.639731669</v>
      </c>
      <c r="X931" t="n">
        <v>34.513567425</v>
      </c>
      <c r="Y931" t="n">
        <v/>
      </c>
      <c r="Z931" t="n">
        <v>24.543648912</v>
      </c>
      <c r="AA931" t="n">
        <v/>
      </c>
      <c r="AB931" t="n">
        <v>60.655757193</v>
      </c>
      <c r="AC931" t="n">
        <v>116.490292476</v>
      </c>
      <c r="AD931" t="n">
        <v>102.829945181</v>
      </c>
      <c r="AE931" t="n">
        <v>33.919</v>
      </c>
      <c r="AF931" t="n">
        <v>74.89788356699999</v>
      </c>
      <c r="AG931" t="n">
        <v/>
      </c>
      <c r="AH931" t="n">
        <v>76.924646139</v>
      </c>
      <c r="AI931" t="n">
        <v>84.537230208</v>
      </c>
      <c r="AJ931" t="n">
        <v>116.546950342</v>
      </c>
      <c r="AK931" t="n">
        <v/>
      </c>
      <c r="AL931" t="n">
        <v>74.452517271</v>
      </c>
      <c r="AM931" t="n">
        <v>35.75519821</v>
      </c>
      <c r="AN931" t="n">
        <v>117.985692113</v>
      </c>
      <c r="AO931" t="n">
        <v>56.533870854</v>
      </c>
      <c r="AP931" t="n">
        <v>36.986962658</v>
      </c>
      <c r="AQ931" t="n">
        <v>68.60647383</v>
      </c>
      <c r="AR931" t="n">
        <v>85.1259721</v>
      </c>
      <c r="AS931" t="n">
        <v>38.596783601</v>
      </c>
      <c r="AT931" t="n">
        <v>74.89606954</v>
      </c>
      <c r="AU931" t="n">
        <v/>
      </c>
    </row>
    <row r="932">
      <c r="A932" s="105" t="n">
        <v>35247</v>
      </c>
      <c r="B932" t="n">
        <v>54.39116262</v>
      </c>
      <c r="C932" t="n">
        <v>64.73222445</v>
      </c>
      <c r="D932" t="n">
        <v>80.41108805499999</v>
      </c>
      <c r="E932" t="n">
        <v>78.799922964</v>
      </c>
      <c r="F932" t="n">
        <v/>
      </c>
      <c r="G932" t="n">
        <v/>
      </c>
      <c r="H932" t="n">
        <v>64.173158934</v>
      </c>
      <c r="I932" t="n">
        <v>54.386630401</v>
      </c>
      <c r="J932" t="n">
        <v>57.769264652</v>
      </c>
      <c r="K932" t="n">
        <v>69.005750479</v>
      </c>
      <c r="L932" t="n">
        <v>95.794976971</v>
      </c>
      <c r="M932" t="n">
        <v>81.193233897</v>
      </c>
      <c r="N932" t="n">
        <v>102.095085079</v>
      </c>
      <c r="O932" t="n">
        <v/>
      </c>
      <c r="P932" t="n">
        <v/>
      </c>
      <c r="Q932" t="n">
        <v>76.01266877800001</v>
      </c>
      <c r="R932" t="n">
        <v>92.30923075600001</v>
      </c>
      <c r="S932" t="n">
        <v>82.74526796000001</v>
      </c>
      <c r="T932" t="n">
        <v>87.018040325</v>
      </c>
      <c r="U932" t="n">
        <v/>
      </c>
      <c r="V932" t="n">
        <v>124.941782255</v>
      </c>
      <c r="W932" t="n">
        <v>36.049720365</v>
      </c>
      <c r="X932" t="n">
        <v>34.114211471</v>
      </c>
      <c r="Y932" t="n">
        <v/>
      </c>
      <c r="Z932" t="n">
        <v>24.484221191</v>
      </c>
      <c r="AA932" t="n">
        <v/>
      </c>
      <c r="AB932" t="n">
        <v>59.114848812</v>
      </c>
      <c r="AC932" t="n">
        <v>116.390300808</v>
      </c>
      <c r="AD932" t="n">
        <v>103.438406395</v>
      </c>
      <c r="AE932" t="n">
        <v>34.658</v>
      </c>
      <c r="AF932" t="n">
        <v>74.275869028</v>
      </c>
      <c r="AG932" t="n">
        <v/>
      </c>
      <c r="AH932" t="n">
        <v>77.365306182</v>
      </c>
      <c r="AI932" t="n">
        <v>85.94932202699999</v>
      </c>
      <c r="AJ932" t="n">
        <v>117.20293693</v>
      </c>
      <c r="AK932" t="n">
        <v/>
      </c>
      <c r="AL932" t="n">
        <v>74.48691823199999</v>
      </c>
      <c r="AM932" t="n">
        <v>36.706995455</v>
      </c>
      <c r="AN932" t="n">
        <v>114.65208724</v>
      </c>
      <c r="AO932" t="n">
        <v>56.295204803</v>
      </c>
      <c r="AP932" t="n">
        <v>37.430768999</v>
      </c>
      <c r="AQ932" t="n">
        <v>71.57577451900001</v>
      </c>
      <c r="AR932" t="n">
        <v>85.935731645</v>
      </c>
      <c r="AS932" t="n">
        <v>38.196816932</v>
      </c>
      <c r="AT932" t="n">
        <v>74.896664491</v>
      </c>
      <c r="AU932" t="n">
        <v/>
      </c>
    </row>
    <row r="933">
      <c r="A933" s="105" t="n">
        <v>35278</v>
      </c>
      <c r="B933" t="n">
        <v>54.56007927</v>
      </c>
      <c r="C933" t="n">
        <v>63.500106011</v>
      </c>
      <c r="D933" t="n">
        <v>78.734942926</v>
      </c>
      <c r="E933" t="n">
        <v>79.069009298</v>
      </c>
      <c r="F933" t="n">
        <v/>
      </c>
      <c r="G933" t="n">
        <v/>
      </c>
      <c r="H933" t="n">
        <v>65.839314847</v>
      </c>
      <c r="I933" t="n">
        <v>54.555532976</v>
      </c>
      <c r="J933" t="n">
        <v>57.408256934</v>
      </c>
      <c r="K933" t="n">
        <v>69.90582548499999</v>
      </c>
      <c r="L933" t="n">
        <v>98.298709324</v>
      </c>
      <c r="M933" t="n">
        <v>82.193150571</v>
      </c>
      <c r="N933" t="n">
        <v>102.773085644</v>
      </c>
      <c r="O933" t="n">
        <v/>
      </c>
      <c r="P933" t="n">
        <v/>
      </c>
      <c r="Q933" t="n">
        <v>79.113185531</v>
      </c>
      <c r="R933" t="n">
        <v>94.319214007</v>
      </c>
      <c r="S933" t="n">
        <v>83.256849293</v>
      </c>
      <c r="T933" t="n">
        <v>87.654757694</v>
      </c>
      <c r="U933" t="n">
        <v/>
      </c>
      <c r="V933" t="n">
        <v>122.460771195</v>
      </c>
      <c r="W933" t="n">
        <v>35.932580738</v>
      </c>
      <c r="X933" t="n">
        <v>34.9205628</v>
      </c>
      <c r="Y933" t="n">
        <v/>
      </c>
      <c r="Z933" t="n">
        <v>23.53337765</v>
      </c>
      <c r="AA933" t="n">
        <v/>
      </c>
      <c r="AB933" t="n">
        <v>60.375592033</v>
      </c>
      <c r="AC933" t="n">
        <v>116.990250812</v>
      </c>
      <c r="AD933" t="n">
        <v>103.539816597</v>
      </c>
      <c r="AE933" t="n">
        <v>34.473</v>
      </c>
      <c r="AF933" t="n">
        <v>72.854930616</v>
      </c>
      <c r="AG933" t="n">
        <v/>
      </c>
      <c r="AH933" t="n">
        <v>76.883037008</v>
      </c>
      <c r="AI933" t="n">
        <v>85.666903663</v>
      </c>
      <c r="AJ933" t="n">
        <v>116.874943636</v>
      </c>
      <c r="AK933" t="n">
        <v/>
      </c>
      <c r="AL933" t="n">
        <v>74.818928114</v>
      </c>
      <c r="AM933" t="n">
        <v>36.854446311</v>
      </c>
      <c r="AN933" t="n">
        <v>116.062908087</v>
      </c>
      <c r="AO933" t="n">
        <v>56.220855238</v>
      </c>
      <c r="AP933" t="n">
        <v>37.338899944</v>
      </c>
      <c r="AQ933" t="n">
        <v>68.137636879</v>
      </c>
      <c r="AR933" t="n">
        <v>86.44183135999999</v>
      </c>
      <c r="AS933" t="n">
        <v>38.096825265</v>
      </c>
      <c r="AT933" t="n">
        <v>75.274061585</v>
      </c>
      <c r="AU933" t="n">
        <v/>
      </c>
    </row>
    <row r="934">
      <c r="A934" s="105" t="n">
        <v>35309</v>
      </c>
      <c r="B934" t="n">
        <v>55.40466254</v>
      </c>
      <c r="C934" t="n">
        <v>65.552645916</v>
      </c>
      <c r="D934" t="n">
        <v>79.682710853</v>
      </c>
      <c r="E934" t="n">
        <v>79.04945255200001</v>
      </c>
      <c r="F934" t="n">
        <v/>
      </c>
      <c r="G934" t="n">
        <v/>
      </c>
      <c r="H934" t="n">
        <v>65.98209948900001</v>
      </c>
      <c r="I934" t="n">
        <v>55.40004587</v>
      </c>
      <c r="J934" t="n">
        <v>58.122322008</v>
      </c>
      <c r="K934" t="n">
        <v>70.50587548999999</v>
      </c>
      <c r="L934" t="n">
        <v>97.427845897</v>
      </c>
      <c r="M934" t="n">
        <v>82.193150571</v>
      </c>
      <c r="N934" t="n">
        <v>103.169085974</v>
      </c>
      <c r="O934" t="n">
        <v/>
      </c>
      <c r="P934" t="n">
        <v/>
      </c>
      <c r="Q934" t="n">
        <v>81.01350225</v>
      </c>
      <c r="R934" t="n">
        <v>94.45921284000001</v>
      </c>
      <c r="S934" t="n">
        <v>83.71575312100001</v>
      </c>
      <c r="T934" t="n">
        <v>88.185355501</v>
      </c>
      <c r="U934" t="n">
        <v/>
      </c>
      <c r="V934" t="n">
        <v>123.928805838</v>
      </c>
      <c r="W934" t="n">
        <v>36.108290179</v>
      </c>
      <c r="X934" t="n">
        <v>34.590071575</v>
      </c>
      <c r="Y934" t="n">
        <v/>
      </c>
      <c r="Z934" t="n">
        <v>23.057955879</v>
      </c>
      <c r="AA934" t="n">
        <v/>
      </c>
      <c r="AB934" t="n">
        <v>61.286128804</v>
      </c>
      <c r="AC934" t="n">
        <v>115.390384135</v>
      </c>
      <c r="AD934" t="n">
        <v>104.655328823</v>
      </c>
      <c r="AE934" t="n">
        <v>34.935</v>
      </c>
      <c r="AF934" t="n">
        <v>75.12887197000001</v>
      </c>
      <c r="AG934" t="n">
        <v/>
      </c>
      <c r="AH934" t="n">
        <v>77.44723449999999</v>
      </c>
      <c r="AI934" t="n">
        <v>86.137600936</v>
      </c>
      <c r="AJ934" t="n">
        <v>116.218957049</v>
      </c>
      <c r="AK934" t="n">
        <v/>
      </c>
      <c r="AL934" t="n">
        <v>75.22798582</v>
      </c>
      <c r="AM934" t="n">
        <v>36.815170434</v>
      </c>
      <c r="AN934" t="n">
        <v>115.544725251</v>
      </c>
      <c r="AO934" t="n">
        <v>56.506519463</v>
      </c>
      <c r="AP934" t="n">
        <v>38.518816856</v>
      </c>
      <c r="AQ934" t="n">
        <v>71.653914011</v>
      </c>
      <c r="AR934" t="n">
        <v>85.1259721</v>
      </c>
      <c r="AS934" t="n">
        <v>37.696858595</v>
      </c>
      <c r="AT934" t="n">
        <v>75.76023550799999</v>
      </c>
      <c r="AU934" t="n">
        <v/>
      </c>
    </row>
    <row r="935">
      <c r="A935" s="105" t="n">
        <v>35339</v>
      </c>
      <c r="B935" t="n">
        <v>54.6445376</v>
      </c>
      <c r="C935" t="n">
        <v>65.805648635</v>
      </c>
      <c r="D935" t="n">
        <v>80.226799848</v>
      </c>
      <c r="E935" t="n">
        <v>78.799922964</v>
      </c>
      <c r="F935" t="n">
        <v/>
      </c>
      <c r="G935" t="n">
        <v/>
      </c>
      <c r="H935" t="n">
        <v>66.01732576800001</v>
      </c>
      <c r="I935" t="n">
        <v>54.639984268</v>
      </c>
      <c r="J935" t="n">
        <v>57.556737081</v>
      </c>
      <c r="K935" t="n">
        <v>69.505792149</v>
      </c>
      <c r="L935" t="n">
        <v>94.92411354399999</v>
      </c>
      <c r="M935" t="n">
        <v>81.79318390100001</v>
      </c>
      <c r="N935" t="n">
        <v>103.279086066</v>
      </c>
      <c r="O935" t="n">
        <v/>
      </c>
      <c r="P935" t="n">
        <v/>
      </c>
      <c r="Q935" t="n">
        <v>81.11351892</v>
      </c>
      <c r="R935" t="n">
        <v>93.489220923</v>
      </c>
      <c r="S935" t="n">
        <v>83.62844563</v>
      </c>
      <c r="T935" t="n">
        <v>88.079235939</v>
      </c>
      <c r="U935" t="n">
        <v/>
      </c>
      <c r="V935" t="n">
        <v>122.798424386</v>
      </c>
      <c r="W935" t="n">
        <v>36.459709062</v>
      </c>
      <c r="X935" t="n">
        <v>35.122800899</v>
      </c>
      <c r="Y935" t="n">
        <v/>
      </c>
      <c r="Z935" t="n">
        <v>24.246510306</v>
      </c>
      <c r="AA935" t="n">
        <v/>
      </c>
      <c r="AB935" t="n">
        <v>60.165468163</v>
      </c>
      <c r="AC935" t="n">
        <v>115.890342471</v>
      </c>
      <c r="AD935" t="n">
        <v>105.263790037</v>
      </c>
      <c r="AE935" t="n">
        <v>34.473</v>
      </c>
      <c r="AF935" t="n">
        <v>75.07303681499999</v>
      </c>
      <c r="AG935" t="n">
        <v/>
      </c>
      <c r="AH935" t="n">
        <v>78.441820585</v>
      </c>
      <c r="AI935" t="n">
        <v>85.47862475399999</v>
      </c>
      <c r="AJ935" t="n">
        <v>112.392368623</v>
      </c>
      <c r="AK935" t="n">
        <v/>
      </c>
      <c r="AL935" t="n">
        <v>75.32359777800001</v>
      </c>
      <c r="AM935" t="n">
        <v>37.683945733</v>
      </c>
      <c r="AN935" t="n">
        <v>113.389589239</v>
      </c>
      <c r="AO935" t="n">
        <v>56.275518887</v>
      </c>
      <c r="AP935" t="n">
        <v>38.250683037</v>
      </c>
      <c r="AQ935" t="n">
        <v>72.122750962</v>
      </c>
      <c r="AR935" t="n">
        <v>84.721092328</v>
      </c>
      <c r="AS935" t="n">
        <v>40.696608616</v>
      </c>
      <c r="AT935" t="n">
        <v>75.750220504</v>
      </c>
      <c r="AU935" t="n">
        <v/>
      </c>
    </row>
    <row r="936">
      <c r="A936" s="105" t="n">
        <v>35370</v>
      </c>
      <c r="B936" t="n">
        <v>55.23574589</v>
      </c>
      <c r="C936" t="n">
        <v>65.899722568</v>
      </c>
      <c r="D936" t="n">
        <v>80.727010698</v>
      </c>
      <c r="E936" t="n">
        <v>80.033084428</v>
      </c>
      <c r="F936" t="n">
        <v/>
      </c>
      <c r="G936" t="n">
        <v/>
      </c>
      <c r="H936" t="n">
        <v>66.883693984</v>
      </c>
      <c r="I936" t="n">
        <v>55.231143295</v>
      </c>
      <c r="J936" t="n">
        <v>57.321238807</v>
      </c>
      <c r="K936" t="n">
        <v>70.50587548999999</v>
      </c>
      <c r="L936" t="n">
        <v>93.18238669</v>
      </c>
      <c r="M936" t="n">
        <v>82.493125573</v>
      </c>
      <c r="N936" t="n">
        <v>104.709087258</v>
      </c>
      <c r="O936" t="n">
        <v/>
      </c>
      <c r="P936" t="n">
        <v/>
      </c>
      <c r="Q936" t="n">
        <v>81.01350225</v>
      </c>
      <c r="R936" t="n">
        <v>94.63921134</v>
      </c>
      <c r="S936" t="n">
        <v>84.29783409700001</v>
      </c>
      <c r="T936" t="n">
        <v>88.60983374600001</v>
      </c>
      <c r="U936" t="n">
        <v/>
      </c>
      <c r="V936" t="n">
        <v>125.047772647</v>
      </c>
      <c r="W936" t="n">
        <v>37.162546827</v>
      </c>
      <c r="X936" t="n">
        <v>33.959303131</v>
      </c>
      <c r="Y936" t="n">
        <v/>
      </c>
      <c r="Z936" t="n">
        <v>25.910486503</v>
      </c>
      <c r="AA936" t="n">
        <v/>
      </c>
      <c r="AB936" t="n">
        <v>59.745220423</v>
      </c>
      <c r="AC936" t="n">
        <v>115.390384135</v>
      </c>
      <c r="AD936" t="n">
        <v>105.770841049</v>
      </c>
      <c r="AE936" t="n">
        <v>34.935</v>
      </c>
      <c r="AF936" t="n">
        <v>75.70243564899999</v>
      </c>
      <c r="AG936" t="n">
        <v/>
      </c>
      <c r="AH936" t="n">
        <v>78.913572434</v>
      </c>
      <c r="AI936" t="n">
        <v>84.443090754</v>
      </c>
      <c r="AJ936" t="n">
        <v>114.797652776</v>
      </c>
      <c r="AK936" t="n">
        <v/>
      </c>
      <c r="AL936" t="n">
        <v>75.902233813</v>
      </c>
      <c r="AM936" t="n">
        <v>37.354704798</v>
      </c>
      <c r="AN936" t="n">
        <v>115.188251419</v>
      </c>
      <c r="AO936" t="n">
        <v>55.804176273</v>
      </c>
      <c r="AP936" t="n">
        <v>37.702398978</v>
      </c>
      <c r="AQ936" t="n">
        <v>72.122750962</v>
      </c>
      <c r="AR936" t="n">
        <v>85.834511702</v>
      </c>
      <c r="AS936" t="n">
        <v>40.896591951</v>
      </c>
      <c r="AT936" t="n">
        <v>76.418647674</v>
      </c>
      <c r="AU936" t="n">
        <v/>
      </c>
    </row>
    <row r="937">
      <c r="A937" s="105" t="n">
        <v>35400</v>
      </c>
      <c r="B937" t="n">
        <v>56.16478749</v>
      </c>
      <c r="C937" t="n">
        <v>66.30711049200001</v>
      </c>
      <c r="D937" t="n">
        <v>80.00740912400001</v>
      </c>
      <c r="E937" t="n">
        <v>78.697068968</v>
      </c>
      <c r="F937" t="n">
        <v/>
      </c>
      <c r="G937" t="n">
        <v/>
      </c>
      <c r="H937" t="n">
        <v>65.99853808899999</v>
      </c>
      <c r="I937" t="n">
        <v>56.160107481</v>
      </c>
      <c r="J937" t="n">
        <v>54.44368845</v>
      </c>
      <c r="K937" t="n">
        <v>70.50587548999999</v>
      </c>
      <c r="L937" t="n">
        <v>95.250687329</v>
      </c>
      <c r="M937" t="n">
        <v>82.393133906</v>
      </c>
      <c r="N937" t="n">
        <v>103.180085983</v>
      </c>
      <c r="O937" t="n">
        <v/>
      </c>
      <c r="P937" t="n">
        <v/>
      </c>
      <c r="Q937" t="n">
        <v>78.413068845</v>
      </c>
      <c r="R937" t="n">
        <v>94.81920984</v>
      </c>
      <c r="S937" t="n">
        <v>84.654469863</v>
      </c>
      <c r="T937" t="n">
        <v>89.034311992</v>
      </c>
      <c r="U937" t="n">
        <v/>
      </c>
      <c r="V937" t="n">
        <v>124.144653808</v>
      </c>
      <c r="W937" t="n">
        <v>37.308971361</v>
      </c>
      <c r="X937" t="n">
        <v>34.996567975</v>
      </c>
      <c r="Y937" t="n">
        <v/>
      </c>
      <c r="Z937" t="n">
        <v>25.137926126</v>
      </c>
      <c r="AA937" t="n">
        <v/>
      </c>
      <c r="AB937" t="n">
        <v>60.165468163</v>
      </c>
      <c r="AC937" t="n">
        <v>115.090409133</v>
      </c>
      <c r="AD937" t="n">
        <v>106.784943072</v>
      </c>
      <c r="AE937" t="n">
        <v>35.86</v>
      </c>
      <c r="AF937" t="n">
        <v>74.779104449</v>
      </c>
      <c r="AG937" t="n">
        <v/>
      </c>
      <c r="AH937" t="n">
        <v>80.940608192</v>
      </c>
      <c r="AI937" t="n">
        <v>85.855182572</v>
      </c>
      <c r="AJ937" t="n">
        <v>115.344308266</v>
      </c>
      <c r="AK937" t="n">
        <v/>
      </c>
      <c r="AL937" t="n">
        <v>76.230955377</v>
      </c>
      <c r="AM937" t="n">
        <v>37.704843951</v>
      </c>
      <c r="AN937" t="n">
        <v>109.82854363</v>
      </c>
      <c r="AO937" t="n">
        <v>54.905802904</v>
      </c>
      <c r="AP937" t="n">
        <v>37.596839717</v>
      </c>
      <c r="AQ937" t="n">
        <v>71.888332487</v>
      </c>
      <c r="AR937" t="n">
        <v>88.16257039200001</v>
      </c>
      <c r="AS937" t="n">
        <v>40.296641947</v>
      </c>
      <c r="AT937" t="n">
        <v>76.901648526</v>
      </c>
      <c r="AU937" t="n">
        <v/>
      </c>
    </row>
    <row r="938">
      <c r="A938" s="105" t="n">
        <v>35431</v>
      </c>
      <c r="B938" t="n">
        <v>57.68503737</v>
      </c>
      <c r="C938" t="n">
        <v>65.072093826</v>
      </c>
      <c r="D938" t="n">
        <v>80.06883852599999</v>
      </c>
      <c r="E938" t="n">
        <v>80.635866759</v>
      </c>
      <c r="F938" t="n">
        <v/>
      </c>
      <c r="G938" t="n">
        <v/>
      </c>
      <c r="H938" t="n">
        <v>67.22961628</v>
      </c>
      <c r="I938" t="n">
        <v>57.680230684</v>
      </c>
      <c r="J938" t="n">
        <v>58.485246384</v>
      </c>
      <c r="K938" t="n">
        <v>69.605800483</v>
      </c>
      <c r="L938" t="n">
        <v>98.080993467</v>
      </c>
      <c r="M938" t="n">
        <v>82.59311724</v>
      </c>
      <c r="N938" t="n">
        <v>105.943088286</v>
      </c>
      <c r="O938" t="n">
        <v/>
      </c>
      <c r="P938" t="n">
        <v/>
      </c>
      <c r="Q938" t="n">
        <v>80.613435573</v>
      </c>
      <c r="R938" t="n">
        <v>93.99921667300001</v>
      </c>
      <c r="S938" t="n">
        <v>84.956293242</v>
      </c>
      <c r="T938" t="n">
        <v>89.034311992</v>
      </c>
      <c r="U938" t="n">
        <v/>
      </c>
      <c r="V938" t="n">
        <v>126.203215906</v>
      </c>
      <c r="W938" t="n">
        <v>37.923954405</v>
      </c>
      <c r="X938" t="n">
        <v>34.689358105</v>
      </c>
      <c r="Y938" t="n">
        <v/>
      </c>
      <c r="Z938" t="n">
        <v>27.217896373</v>
      </c>
      <c r="AA938" t="n">
        <v/>
      </c>
      <c r="AB938" t="n">
        <v>61.005963644</v>
      </c>
      <c r="AC938" t="n">
        <v>115.990334139</v>
      </c>
      <c r="AD938" t="n">
        <v>108.40750631</v>
      </c>
      <c r="AE938" t="n">
        <v>33.919</v>
      </c>
      <c r="AF938" t="n">
        <v>72.955771908</v>
      </c>
      <c r="AG938" t="n">
        <v/>
      </c>
      <c r="AH938" t="n">
        <v>79.653808017</v>
      </c>
      <c r="AI938" t="n">
        <v>85.855182572</v>
      </c>
      <c r="AJ938" t="n">
        <v>117.20293693</v>
      </c>
      <c r="AK938" t="n">
        <v/>
      </c>
      <c r="AL938" t="n">
        <v>76.365284574</v>
      </c>
      <c r="AM938" t="n">
        <v>38.492255463</v>
      </c>
      <c r="AN938" t="n">
        <v>113.703119701</v>
      </c>
      <c r="AO938" t="n">
        <v>55.924648497</v>
      </c>
      <c r="AP938" t="n">
        <v>36.241968899</v>
      </c>
      <c r="AQ938" t="n">
        <v>66.106010091</v>
      </c>
      <c r="AR938" t="n">
        <v>88.466230221</v>
      </c>
      <c r="AS938" t="n">
        <v>38.896758603</v>
      </c>
      <c r="AT938" t="n">
        <v>77.040668685</v>
      </c>
      <c r="AU938" t="n">
        <v/>
      </c>
    </row>
    <row r="939">
      <c r="A939" s="105" t="n">
        <v>35462</v>
      </c>
      <c r="B939" t="n">
        <v>56.92491243</v>
      </c>
      <c r="C939" t="n">
        <v>66.50744813599999</v>
      </c>
      <c r="D939" t="n">
        <v>80.437414942</v>
      </c>
      <c r="E939" t="n">
        <v>81.523800861</v>
      </c>
      <c r="F939" t="n">
        <v/>
      </c>
      <c r="G939" t="n">
        <v/>
      </c>
      <c r="H939" t="n">
        <v>66.666151649</v>
      </c>
      <c r="I939" t="n">
        <v>56.920169083</v>
      </c>
      <c r="J939" t="n">
        <v>58.682591691</v>
      </c>
      <c r="K939" t="n">
        <v>70.605883824</v>
      </c>
      <c r="L939" t="n">
        <v>98.18985139500001</v>
      </c>
      <c r="M939" t="n">
        <v>83.09307557699999</v>
      </c>
      <c r="N939" t="n">
        <v>105.100087583</v>
      </c>
      <c r="O939" t="n">
        <v/>
      </c>
      <c r="P939" t="n">
        <v/>
      </c>
      <c r="Q939" t="n">
        <v>80.313385564</v>
      </c>
      <c r="R939" t="n">
        <v>94.74921042299999</v>
      </c>
      <c r="S939" t="n">
        <v>85.75281701199999</v>
      </c>
      <c r="T939" t="n">
        <v>89.564909798</v>
      </c>
      <c r="U939" t="n">
        <v/>
      </c>
      <c r="V939" t="n">
        <v>126.774071881</v>
      </c>
      <c r="W939" t="n">
        <v>38.626792171</v>
      </c>
      <c r="X939" t="n">
        <v>35.479948798</v>
      </c>
      <c r="Y939" t="n">
        <v/>
      </c>
      <c r="Z939" t="n">
        <v>25.79163106</v>
      </c>
      <c r="AA939" t="n">
        <v/>
      </c>
      <c r="AB939" t="n">
        <v>60.375592033</v>
      </c>
      <c r="AC939" t="n">
        <v>117.990167486</v>
      </c>
      <c r="AD939" t="n">
        <v>108.40750631</v>
      </c>
      <c r="AE939" t="n">
        <v>35.397</v>
      </c>
      <c r="AF939" t="n">
        <v>80.44443398</v>
      </c>
      <c r="AG939" t="n">
        <v/>
      </c>
      <c r="AH939" t="n">
        <v>79.958338514</v>
      </c>
      <c r="AI939" t="n">
        <v>83.40755675299999</v>
      </c>
      <c r="AJ939" t="n">
        <v>117.858923517</v>
      </c>
      <c r="AK939" t="n">
        <v/>
      </c>
      <c r="AL939" t="n">
        <v>77.0679619</v>
      </c>
      <c r="AM939" t="n">
        <v>39.323115191</v>
      </c>
      <c r="AN939" t="n">
        <v>116.648450641</v>
      </c>
      <c r="AO939" t="n">
        <v>58.447157515</v>
      </c>
      <c r="AP939" t="n">
        <v>38.069099603</v>
      </c>
      <c r="AQ939" t="n">
        <v>70.091124175</v>
      </c>
      <c r="AR939" t="n">
        <v>87.55525073299999</v>
      </c>
      <c r="AS939" t="n">
        <v>39.696691942</v>
      </c>
      <c r="AT939" t="n">
        <v>77.950447543</v>
      </c>
      <c r="AU939" t="n">
        <v/>
      </c>
    </row>
    <row r="940">
      <c r="A940" s="105" t="n">
        <v>35490</v>
      </c>
      <c r="B940" t="n">
        <v>56.92491243</v>
      </c>
      <c r="C940" t="n">
        <v>66.46368796500001</v>
      </c>
      <c r="D940" t="n">
        <v>81.43783664199999</v>
      </c>
      <c r="E940" t="n">
        <v>81.034754902</v>
      </c>
      <c r="F940" t="n">
        <v/>
      </c>
      <c r="G940" t="n">
        <v/>
      </c>
      <c r="H940" t="n">
        <v>65.009014593</v>
      </c>
      <c r="I940" t="n">
        <v>56.920169083</v>
      </c>
      <c r="J940" t="n">
        <v>59.127181513</v>
      </c>
      <c r="K940" t="n">
        <v>71.405950496</v>
      </c>
      <c r="L940" t="n">
        <v>97.536703825</v>
      </c>
      <c r="M940" t="n">
        <v>83.993000583</v>
      </c>
      <c r="N940" t="n">
        <v>109.292091077</v>
      </c>
      <c r="O940" t="n">
        <v/>
      </c>
      <c r="P940" t="n">
        <v/>
      </c>
      <c r="Q940" t="n">
        <v>80.913485581</v>
      </c>
      <c r="R940" t="n">
        <v>95.099207507</v>
      </c>
      <c r="S940" t="n">
        <v>86.13255360399999</v>
      </c>
      <c r="T940" t="n">
        <v>88.822072869</v>
      </c>
      <c r="U940" t="n">
        <v/>
      </c>
      <c r="V940" t="n">
        <v>127.062812101</v>
      </c>
      <c r="W940" t="n">
        <v>37.660390244</v>
      </c>
      <c r="X940" t="n">
        <v>36.05665757</v>
      </c>
      <c r="Y940" t="n">
        <v/>
      </c>
      <c r="Z940" t="n">
        <v>27.277324094</v>
      </c>
      <c r="AA940" t="n">
        <v/>
      </c>
      <c r="AB940" t="n">
        <v>61.426211384</v>
      </c>
      <c r="AC940" t="n">
        <v>118.59011749</v>
      </c>
      <c r="AD940" t="n">
        <v>108.813147119</v>
      </c>
      <c r="AE940" t="n">
        <v>35.952</v>
      </c>
      <c r="AF940" t="n">
        <v>75.772191986</v>
      </c>
      <c r="AG940" t="n">
        <v/>
      </c>
      <c r="AH940" t="n">
        <v>80.64192254</v>
      </c>
      <c r="AI940" t="n">
        <v>81.618907116</v>
      </c>
      <c r="AJ940" t="n">
        <v>118.405579006</v>
      </c>
      <c r="AK940" t="n">
        <v/>
      </c>
      <c r="AL940" t="n">
        <v>77.51505921499999</v>
      </c>
      <c r="AM940" t="n">
        <v>38.058395164</v>
      </c>
      <c r="AN940" t="n">
        <v>116.417297262</v>
      </c>
      <c r="AO940" t="n">
        <v>56.358384303</v>
      </c>
      <c r="AP940" t="n">
        <v>37.160783498</v>
      </c>
      <c r="AQ940" t="n">
        <v>69.778566207</v>
      </c>
      <c r="AR940" t="n">
        <v>87.656470676</v>
      </c>
      <c r="AS940" t="n">
        <v>41.396550287</v>
      </c>
      <c r="AT940" t="n">
        <v>78.43642314900001</v>
      </c>
      <c r="AU940" t="n">
        <v/>
      </c>
    </row>
    <row r="941">
      <c r="A941" s="105" t="n">
        <v>35521</v>
      </c>
      <c r="B941" t="n">
        <v>57.7694957</v>
      </c>
      <c r="C941" t="n">
        <v>66.90256442899999</v>
      </c>
      <c r="D941" t="n">
        <v>79.858223432</v>
      </c>
      <c r="E941" t="n">
        <v>82.15169520800001</v>
      </c>
      <c r="F941" t="n">
        <v/>
      </c>
      <c r="G941" t="n">
        <v/>
      </c>
      <c r="H941" t="n">
        <v>66.987457328</v>
      </c>
      <c r="I941" t="n">
        <v>57.764681977</v>
      </c>
      <c r="J941" t="n">
        <v>61.923727274</v>
      </c>
      <c r="K941" t="n">
        <v>71.105925494</v>
      </c>
      <c r="L941" t="n">
        <v>98.62528310899999</v>
      </c>
      <c r="M941" t="n">
        <v>84.992917257</v>
      </c>
      <c r="N941" t="n">
        <v>108.705090588</v>
      </c>
      <c r="O941" t="n">
        <v/>
      </c>
      <c r="P941" t="n">
        <v/>
      </c>
      <c r="Q941" t="n">
        <v>83.41390231699999</v>
      </c>
      <c r="R941" t="n">
        <v>98.44917959</v>
      </c>
      <c r="S941" t="n">
        <v>86.02251404</v>
      </c>
      <c r="T941" t="n">
        <v>88.92819243</v>
      </c>
      <c r="U941" t="n">
        <v/>
      </c>
      <c r="V941" t="n">
        <v>126.083311791</v>
      </c>
      <c r="W941" t="n">
        <v>38.919641239</v>
      </c>
      <c r="X941" t="n">
        <v>36.085259547</v>
      </c>
      <c r="Y941" t="n">
        <v/>
      </c>
      <c r="Z941" t="n">
        <v>27.396179537</v>
      </c>
      <c r="AA941" t="n">
        <v/>
      </c>
      <c r="AB941" t="n">
        <v>61.636335254</v>
      </c>
      <c r="AC941" t="n">
        <v>120.689942505</v>
      </c>
      <c r="AD941" t="n">
        <v>106.075071656</v>
      </c>
      <c r="AE941" t="n">
        <v>36.599</v>
      </c>
      <c r="AF941" t="n">
        <v>77.823558723</v>
      </c>
      <c r="AG941" t="n">
        <v/>
      </c>
      <c r="AH941" t="n">
        <v>81.619494727</v>
      </c>
      <c r="AI941" t="n">
        <v>86.325879845</v>
      </c>
      <c r="AJ941" t="n">
        <v>118.18691681</v>
      </c>
      <c r="AK941" t="n">
        <v/>
      </c>
      <c r="AL941" t="n">
        <v>77.81596741200001</v>
      </c>
      <c r="AM941" t="n">
        <v>41.315845681</v>
      </c>
      <c r="AN941" t="n">
        <v>117.034727582</v>
      </c>
      <c r="AO941" t="n">
        <v>56.227015754</v>
      </c>
      <c r="AP941" t="n">
        <v>37.230893395</v>
      </c>
      <c r="AQ941" t="n">
        <v>76.967399456</v>
      </c>
      <c r="AR941" t="n">
        <v>89.377209708</v>
      </c>
      <c r="AS941" t="n">
        <v>41.796516957</v>
      </c>
      <c r="AT941" t="n">
        <v>78.50206604900001</v>
      </c>
      <c r="AU941" t="n">
        <v/>
      </c>
    </row>
    <row r="942">
      <c r="A942" s="105" t="n">
        <v>35551</v>
      </c>
      <c r="B942" t="n">
        <v>55.99587083</v>
      </c>
      <c r="C942" t="n">
        <v>66.80454606799999</v>
      </c>
      <c r="D942" t="n">
        <v>79.39311509700001</v>
      </c>
      <c r="E942" t="n">
        <v>82.28465792199999</v>
      </c>
      <c r="F942" t="n">
        <v/>
      </c>
      <c r="G942" t="n">
        <v/>
      </c>
      <c r="H942" t="n">
        <v>70.44410136899999</v>
      </c>
      <c r="I942" t="n">
        <v>55.991204896</v>
      </c>
      <c r="J942" t="n">
        <v>57.135278734</v>
      </c>
      <c r="K942" t="n">
        <v>70.205850488</v>
      </c>
      <c r="L942" t="n">
        <v>99.605004464</v>
      </c>
      <c r="M942" t="n">
        <v>84.192983918</v>
      </c>
      <c r="N942" t="n">
        <v>108.03609003</v>
      </c>
      <c r="O942" t="n">
        <v/>
      </c>
      <c r="P942" t="n">
        <v/>
      </c>
      <c r="Q942" t="n">
        <v>81.613602267</v>
      </c>
      <c r="R942" t="n">
        <v>96.62919475699999</v>
      </c>
      <c r="S942" t="n">
        <v>86.50599432999999</v>
      </c>
      <c r="T942" t="n">
        <v>88.92819243</v>
      </c>
      <c r="U942" t="n">
        <v/>
      </c>
      <c r="V942" t="n">
        <v>127.373882873</v>
      </c>
      <c r="W942" t="n">
        <v>38.099663847</v>
      </c>
      <c r="X942" t="n">
        <v>36.334921308</v>
      </c>
      <c r="Y942" t="n">
        <v/>
      </c>
      <c r="Z942" t="n">
        <v>27.039613209</v>
      </c>
      <c r="AA942" t="n">
        <v/>
      </c>
      <c r="AB942" t="n">
        <v>62.126624285</v>
      </c>
      <c r="AC942" t="n">
        <v>120.389967503</v>
      </c>
      <c r="AD942" t="n">
        <v>109.218787929</v>
      </c>
      <c r="AE942" t="n">
        <v>36.322</v>
      </c>
      <c r="AF942" t="n">
        <v>77.02397852599999</v>
      </c>
      <c r="AG942" t="n">
        <v/>
      </c>
      <c r="AH942" t="n">
        <v>82.419086482</v>
      </c>
      <c r="AI942" t="n">
        <v>84.066532935</v>
      </c>
      <c r="AJ942" t="n">
        <v>119.826883279</v>
      </c>
      <c r="AK942" t="n">
        <v/>
      </c>
      <c r="AL942" t="n">
        <v>77.97558616400001</v>
      </c>
      <c r="AM942" t="n">
        <v>39.449640186</v>
      </c>
      <c r="AN942" t="n">
        <v>115.085160898</v>
      </c>
      <c r="AO942" t="n">
        <v>57.314461056</v>
      </c>
      <c r="AP942" t="n">
        <v>36.99543188</v>
      </c>
      <c r="AQ942" t="n">
        <v>70.40368214199999</v>
      </c>
      <c r="AR942" t="n">
        <v>88.97232993599999</v>
      </c>
      <c r="AS942" t="n">
        <v>41.69652529</v>
      </c>
      <c r="AT942" t="n">
        <v>78.938462426</v>
      </c>
      <c r="AU942" t="n">
        <v/>
      </c>
    </row>
    <row r="943">
      <c r="A943" s="105" t="n">
        <v>35582</v>
      </c>
      <c r="B943" t="n">
        <v>57.34720406</v>
      </c>
      <c r="C943" t="n">
        <v>67.154852613</v>
      </c>
      <c r="D943" t="n">
        <v>82.29784827899999</v>
      </c>
      <c r="E943" t="n">
        <v>81.590148453</v>
      </c>
      <c r="F943" t="n">
        <v/>
      </c>
      <c r="G943" t="n">
        <v/>
      </c>
      <c r="H943" t="n">
        <v>68.384478347</v>
      </c>
      <c r="I943" t="n">
        <v>57.342425525</v>
      </c>
      <c r="J943" t="n">
        <v>60.470027578</v>
      </c>
      <c r="K943" t="n">
        <v>73.00608384</v>
      </c>
      <c r="L943" t="n">
        <v>100.475867891</v>
      </c>
      <c r="M943" t="n">
        <v>85.59286726099999</v>
      </c>
      <c r="N943" t="n">
        <v>109.087090906</v>
      </c>
      <c r="O943" t="n">
        <v/>
      </c>
      <c r="P943" t="n">
        <v/>
      </c>
      <c r="Q943" t="n">
        <v>85.214202367</v>
      </c>
      <c r="R943" t="n">
        <v>97.33918884000001</v>
      </c>
      <c r="S943" t="n">
        <v>87.05096486799999</v>
      </c>
      <c r="T943" t="n">
        <v>89.140431553</v>
      </c>
      <c r="U943" t="n">
        <v/>
      </c>
      <c r="V943" t="n">
        <v>126.285165569</v>
      </c>
      <c r="W943" t="n">
        <v>40.208177142</v>
      </c>
      <c r="X943" t="n">
        <v>36.654279832</v>
      </c>
      <c r="Y943" t="n">
        <v/>
      </c>
      <c r="Z943" t="n">
        <v>28.287595357</v>
      </c>
      <c r="AA943" t="n">
        <v/>
      </c>
      <c r="AB943" t="n">
        <v>61.846459124</v>
      </c>
      <c r="AC943" t="n">
        <v>121.389884176</v>
      </c>
      <c r="AD943" t="n">
        <v>108.610326715</v>
      </c>
      <c r="AE943" t="n">
        <v>37.153</v>
      </c>
      <c r="AF943" t="n">
        <v>76.968442517</v>
      </c>
      <c r="AG943" t="n">
        <v/>
      </c>
      <c r="AH943" t="n">
        <v>83.178719027</v>
      </c>
      <c r="AI943" t="n">
        <v>84.725509117</v>
      </c>
      <c r="AJ943" t="n">
        <v>118.405579006</v>
      </c>
      <c r="AK943" t="n">
        <v/>
      </c>
      <c r="AL943" t="n">
        <v>78.676768032</v>
      </c>
      <c r="AM943" t="n">
        <v>42.054537206</v>
      </c>
      <c r="AN943" t="n">
        <v>118.764937299</v>
      </c>
      <c r="AO943" t="n">
        <v>57.766267842</v>
      </c>
      <c r="AP943" t="n">
        <v>38.841431417</v>
      </c>
      <c r="AQ943" t="n">
        <v>70.87251909299999</v>
      </c>
      <c r="AR943" t="n">
        <v>88.365010278</v>
      </c>
      <c r="AS943" t="n">
        <v>42.196483626</v>
      </c>
      <c r="AT943" t="n">
        <v>79.30713357499999</v>
      </c>
      <c r="AU943" t="n">
        <v/>
      </c>
    </row>
    <row r="944">
      <c r="A944" s="105" t="n">
        <v>35612</v>
      </c>
      <c r="B944" t="n">
        <v>57.7694957</v>
      </c>
      <c r="C944" t="n">
        <v>69.423138232</v>
      </c>
      <c r="D944" t="n">
        <v>81.26232406299999</v>
      </c>
      <c r="E944" t="n">
        <v>83.613214942</v>
      </c>
      <c r="F944" t="n">
        <v/>
      </c>
      <c r="G944" t="n">
        <v/>
      </c>
      <c r="H944" t="n">
        <v>68.954101471</v>
      </c>
      <c r="I944" t="n">
        <v>57.764681977</v>
      </c>
      <c r="J944" t="n">
        <v>59.671760233</v>
      </c>
      <c r="K944" t="n">
        <v>73.80615051300001</v>
      </c>
      <c r="L944" t="n">
        <v>99.169572751</v>
      </c>
      <c r="M944" t="n">
        <v>86.292808933</v>
      </c>
      <c r="N944" t="n">
        <v>110.204091837</v>
      </c>
      <c r="O944" t="n">
        <v/>
      </c>
      <c r="P944" t="n">
        <v/>
      </c>
      <c r="Q944" t="n">
        <v>85.014169028</v>
      </c>
      <c r="R944" t="n">
        <v>97.529187257</v>
      </c>
      <c r="S944" t="n">
        <v>87.790752187</v>
      </c>
      <c r="T944" t="n">
        <v>90.732224973</v>
      </c>
      <c r="U944" t="n">
        <v/>
      </c>
      <c r="V944" t="n">
        <v>124.954111209</v>
      </c>
      <c r="W944" t="n">
        <v>39.47605447</v>
      </c>
      <c r="X944" t="n">
        <v>36.927031722</v>
      </c>
      <c r="Y944" t="n">
        <v/>
      </c>
      <c r="Z944" t="n">
        <v>28.763017127</v>
      </c>
      <c r="AA944" t="n">
        <v/>
      </c>
      <c r="AB944" t="n">
        <v>61.846459124</v>
      </c>
      <c r="AC944" t="n">
        <v>122.189817515</v>
      </c>
      <c r="AD944" t="n">
        <v>108.914557322</v>
      </c>
      <c r="AE944" t="n">
        <v>36.322</v>
      </c>
      <c r="AF944" t="n">
        <v>81.134610356</v>
      </c>
      <c r="AG944" t="n">
        <v/>
      </c>
      <c r="AH944" t="n">
        <v>83.07746106</v>
      </c>
      <c r="AI944" t="n">
        <v>85.19620639</v>
      </c>
      <c r="AJ944" t="n">
        <v>121.904174138</v>
      </c>
      <c r="AK944" t="n">
        <v/>
      </c>
      <c r="AL944" t="n">
        <v>79.102816597</v>
      </c>
      <c r="AM944" t="n">
        <v>40.284183478</v>
      </c>
      <c r="AN944" t="n">
        <v>116.503269956</v>
      </c>
      <c r="AO944" t="n">
        <v>58.15435179</v>
      </c>
      <c r="AP944" t="n">
        <v>37.820544461</v>
      </c>
      <c r="AQ944" t="n">
        <v>72.669727405</v>
      </c>
      <c r="AR944" t="n">
        <v>90.08574930899999</v>
      </c>
      <c r="AS944" t="n">
        <v>41.996500292</v>
      </c>
      <c r="AT944" t="n">
        <v>79.97050366400001</v>
      </c>
      <c r="AU944" t="n">
        <v/>
      </c>
    </row>
    <row r="945">
      <c r="A945" s="105" t="n">
        <v>35643</v>
      </c>
      <c r="B945" t="n">
        <v>59.28974558</v>
      </c>
      <c r="C945" t="n">
        <v>68.60762074100001</v>
      </c>
      <c r="D945" t="n">
        <v>81.929271864</v>
      </c>
      <c r="E945" t="n">
        <v>83.42888635</v>
      </c>
      <c r="F945" t="n">
        <v/>
      </c>
      <c r="G945" t="n">
        <v/>
      </c>
      <c r="H945" t="n">
        <v>68.297858021</v>
      </c>
      <c r="I945" t="n">
        <v>59.28480518</v>
      </c>
      <c r="J945" t="n">
        <v>60.518370469</v>
      </c>
      <c r="K945" t="n">
        <v>71.405950496</v>
      </c>
      <c r="L945" t="n">
        <v>96.665840398</v>
      </c>
      <c r="M945" t="n">
        <v>86.3928006</v>
      </c>
      <c r="N945" t="n">
        <v>112.14009345</v>
      </c>
      <c r="O945" t="n">
        <v/>
      </c>
      <c r="P945" t="n">
        <v/>
      </c>
      <c r="Q945" t="n">
        <v>83.91398566399999</v>
      </c>
      <c r="R945" t="n">
        <v>101.26915609</v>
      </c>
      <c r="S945" t="n">
        <v>87.889465681</v>
      </c>
      <c r="T945" t="n">
        <v>89.77714892100001</v>
      </c>
      <c r="U945" t="n">
        <v/>
      </c>
      <c r="V945" t="n">
        <v>120.35096493</v>
      </c>
      <c r="W945" t="n">
        <v>40.911014907</v>
      </c>
      <c r="X945" t="n">
        <v>36.814905975</v>
      </c>
      <c r="Y945" t="n">
        <v/>
      </c>
      <c r="Z945" t="n">
        <v>29.119583455</v>
      </c>
      <c r="AA945" t="n">
        <v/>
      </c>
      <c r="AB945" t="n">
        <v>60.935922354</v>
      </c>
      <c r="AC945" t="n">
        <v>122.889759187</v>
      </c>
      <c r="AD945" t="n">
        <v>108.40750631</v>
      </c>
      <c r="AE945" t="n">
        <v>37.431</v>
      </c>
      <c r="AF945" t="n">
        <v>78.725043298</v>
      </c>
      <c r="AG945" t="n">
        <v/>
      </c>
      <c r="AH945" t="n">
        <v>83.942630503</v>
      </c>
      <c r="AI945" t="n">
        <v>86.04346148099999</v>
      </c>
      <c r="AJ945" t="n">
        <v>116.109625951</v>
      </c>
      <c r="AK945" t="n">
        <v/>
      </c>
      <c r="AL945" t="n">
        <v>79.372405183</v>
      </c>
      <c r="AM945" t="n">
        <v>40.336419274</v>
      </c>
      <c r="AN945" t="n">
        <v>116.288685324</v>
      </c>
      <c r="AO945" t="n">
        <v>58.653168947</v>
      </c>
      <c r="AP945" t="n">
        <v>36.771075324</v>
      </c>
      <c r="AQ945" t="n">
        <v>69.153450273</v>
      </c>
      <c r="AR945" t="n">
        <v>89.579649594</v>
      </c>
      <c r="AS945" t="n">
        <v>43.396383635</v>
      </c>
      <c r="AT945" t="n">
        <v>80.769324207</v>
      </c>
      <c r="AU945" t="n">
        <v/>
      </c>
    </row>
    <row r="946">
      <c r="A946" s="105" t="n">
        <v>35674</v>
      </c>
      <c r="B946" t="n">
        <v>58.36070399</v>
      </c>
      <c r="C946" t="n">
        <v>68.699972303</v>
      </c>
      <c r="D946" t="n">
        <v>83.93889089300001</v>
      </c>
      <c r="E946" t="n">
        <v>83.29298079900001</v>
      </c>
      <c r="F946" t="n">
        <v/>
      </c>
      <c r="G946" t="n">
        <v/>
      </c>
      <c r="H946" t="n">
        <v>69.918771053</v>
      </c>
      <c r="I946" t="n">
        <v>58.355841003</v>
      </c>
      <c r="J946" t="n">
        <v>61.336485289</v>
      </c>
      <c r="K946" t="n">
        <v>72.0060005</v>
      </c>
      <c r="L946" t="n">
        <v>99.169572751</v>
      </c>
      <c r="M946" t="n">
        <v>86.192817265</v>
      </c>
      <c r="N946" t="n">
        <v>111.753093128</v>
      </c>
      <c r="O946" t="n">
        <v/>
      </c>
      <c r="P946" t="n">
        <v/>
      </c>
      <c r="Q946" t="n">
        <v>83.91398566399999</v>
      </c>
      <c r="R946" t="n">
        <v>98.909175757</v>
      </c>
      <c r="S946" t="n">
        <v>88.13401473099999</v>
      </c>
      <c r="T946" t="n">
        <v>90.519985851</v>
      </c>
      <c r="U946" t="n">
        <v/>
      </c>
      <c r="V946" t="n">
        <v>126.02843237</v>
      </c>
      <c r="W946" t="n">
        <v>41.116009255</v>
      </c>
      <c r="X946" t="n">
        <v>37.372970148</v>
      </c>
      <c r="Y946" t="n">
        <v/>
      </c>
      <c r="Z946" t="n">
        <v>29.238438898</v>
      </c>
      <c r="AA946" t="n">
        <v/>
      </c>
      <c r="AB946" t="n">
        <v>61.356170094</v>
      </c>
      <c r="AC946" t="n">
        <v>122.789767519</v>
      </c>
      <c r="AD946" t="n">
        <v>107.697634893</v>
      </c>
      <c r="AE946" t="n">
        <v>37.616</v>
      </c>
      <c r="AF946" t="n">
        <v>81.165792236</v>
      </c>
      <c r="AG946" t="n">
        <v/>
      </c>
      <c r="AH946" t="n">
        <v>84.059728714</v>
      </c>
      <c r="AI946" t="n">
        <v>86.51415875399999</v>
      </c>
      <c r="AJ946" t="n">
        <v>119.498889985</v>
      </c>
      <c r="AK946" t="n">
        <v/>
      </c>
      <c r="AL946" t="n">
        <v>79.656075442</v>
      </c>
      <c r="AM946" t="n">
        <v>41.725478977</v>
      </c>
      <c r="AN946" t="n">
        <v>115.847620482</v>
      </c>
      <c r="AO946" t="n">
        <v>58.021347443</v>
      </c>
      <c r="AP946" t="n">
        <v>37.408833977</v>
      </c>
      <c r="AQ946" t="n">
        <v>71.653914011</v>
      </c>
      <c r="AR946" t="n">
        <v>89.883309423</v>
      </c>
      <c r="AS946" t="n">
        <v>43.296391967</v>
      </c>
      <c r="AT946" t="n">
        <v>81.520152056</v>
      </c>
      <c r="AU946" t="n">
        <v/>
      </c>
    </row>
    <row r="947">
      <c r="A947" s="105" t="n">
        <v>35704</v>
      </c>
      <c r="B947" t="n">
        <v>58.6985373</v>
      </c>
      <c r="C947" t="n">
        <v>68.435183366</v>
      </c>
      <c r="D947" t="n">
        <v>84.37767234</v>
      </c>
      <c r="E947" t="n">
        <v>84.268397411</v>
      </c>
      <c r="F947" t="n">
        <v/>
      </c>
      <c r="G947" t="n">
        <v/>
      </c>
      <c r="H947" t="n">
        <v>69.256774787</v>
      </c>
      <c r="I947" t="n">
        <v>58.693646163</v>
      </c>
      <c r="J947" t="n">
        <v>62.810229072</v>
      </c>
      <c r="K947" t="n">
        <v>73.00608384</v>
      </c>
      <c r="L947" t="n">
        <v>103.088458172</v>
      </c>
      <c r="M947" t="n">
        <v>87.39271727400001</v>
      </c>
      <c r="N947" t="n">
        <v>112.676093897</v>
      </c>
      <c r="O947" t="n">
        <v/>
      </c>
      <c r="P947" t="n">
        <v/>
      </c>
      <c r="Q947" t="n">
        <v>85.314219037</v>
      </c>
      <c r="R947" t="n">
        <v>101.339155507</v>
      </c>
      <c r="S947" t="n">
        <v>88.823651536</v>
      </c>
      <c r="T947" t="n">
        <v>91.581181464</v>
      </c>
      <c r="U947" t="n">
        <v/>
      </c>
      <c r="V947" t="n">
        <v>126.912956008</v>
      </c>
      <c r="W947" t="n">
        <v>41.643137579</v>
      </c>
      <c r="X947" t="n">
        <v>37.550275959</v>
      </c>
      <c r="Y947" t="n">
        <v/>
      </c>
      <c r="Z947" t="n">
        <v>29.179011177</v>
      </c>
      <c r="AA947" t="n">
        <v/>
      </c>
      <c r="AB947" t="n">
        <v>61.776417834</v>
      </c>
      <c r="AC947" t="n">
        <v>124.28964253</v>
      </c>
      <c r="AD947" t="n">
        <v>106.987763477</v>
      </c>
      <c r="AE947" t="n">
        <v>36.784</v>
      </c>
      <c r="AF947" t="n">
        <v>81.70003621799999</v>
      </c>
      <c r="AG947" t="n">
        <v/>
      </c>
      <c r="AH947" t="n">
        <v>84.794704326</v>
      </c>
      <c r="AI947" t="n">
        <v>86.04346148099999</v>
      </c>
      <c r="AJ947" t="n">
        <v>122.778822922</v>
      </c>
      <c r="AK947" t="n">
        <v/>
      </c>
      <c r="AL947" t="n">
        <v>80.160884759</v>
      </c>
      <c r="AM947" t="n">
        <v>41.453703136</v>
      </c>
      <c r="AN947" t="n">
        <v>119.016554814</v>
      </c>
      <c r="AO947" t="n">
        <v>57.54748194</v>
      </c>
      <c r="AP947" t="n">
        <v>38.805645585</v>
      </c>
      <c r="AQ947" t="n">
        <v>72.122750962</v>
      </c>
      <c r="AR947" t="n">
        <v>91.300388626</v>
      </c>
      <c r="AS947" t="n">
        <v>42.896425298</v>
      </c>
      <c r="AT947" t="n">
        <v>82.233002216</v>
      </c>
      <c r="AU947" t="n">
        <v/>
      </c>
    </row>
    <row r="948">
      <c r="A948" s="105" t="n">
        <v>35735</v>
      </c>
      <c r="B948" t="n">
        <v>59.28974558</v>
      </c>
      <c r="C948" t="n">
        <v>66.80760224399999</v>
      </c>
      <c r="D948" t="n">
        <v>80.604151892</v>
      </c>
      <c r="E948" t="n">
        <v>84.368988922</v>
      </c>
      <c r="F948" t="n">
        <v/>
      </c>
      <c r="G948" t="n">
        <v/>
      </c>
      <c r="H948" t="n">
        <v>69.65597217600001</v>
      </c>
      <c r="I948" t="n">
        <v>59.28480518</v>
      </c>
      <c r="J948" t="n">
        <v>64.05316032899999</v>
      </c>
      <c r="K948" t="n">
        <v>73.406117176</v>
      </c>
      <c r="L948" t="n">
        <v>105.701048453</v>
      </c>
      <c r="M948" t="n">
        <v>87.09274227100001</v>
      </c>
      <c r="N948" t="n">
        <v>111.611093009</v>
      </c>
      <c r="O948" t="n">
        <v/>
      </c>
      <c r="P948" t="n">
        <v/>
      </c>
      <c r="Q948" t="n">
        <v>87.214535756</v>
      </c>
      <c r="R948" t="n">
        <v>99.03917467399999</v>
      </c>
      <c r="S948" t="n">
        <v>88.88572554</v>
      </c>
      <c r="T948" t="n">
        <v>92.43013795500001</v>
      </c>
      <c r="U948" t="n">
        <v/>
      </c>
      <c r="V948" t="n">
        <v>128.089755498</v>
      </c>
      <c r="W948" t="n">
        <v>43.019528202</v>
      </c>
      <c r="X948" t="n">
        <v>37.583575709</v>
      </c>
      <c r="Y948" t="n">
        <v/>
      </c>
      <c r="Z948" t="n">
        <v>30.308137882</v>
      </c>
      <c r="AA948" t="n">
        <v/>
      </c>
      <c r="AB948" t="n">
        <v>63.317326216</v>
      </c>
      <c r="AC948" t="n">
        <v>123.589700858</v>
      </c>
      <c r="AD948" t="n">
        <v>105.669430846</v>
      </c>
      <c r="AE948" t="n">
        <v>36.322</v>
      </c>
      <c r="AF948" t="n">
        <v>83.58462794</v>
      </c>
      <c r="AG948" t="n">
        <v/>
      </c>
      <c r="AH948" t="n">
        <v>84.69238794</v>
      </c>
      <c r="AI948" t="n">
        <v>87.267274391</v>
      </c>
      <c r="AJ948" t="n">
        <v>120.701532062</v>
      </c>
      <c r="AK948" t="n">
        <v/>
      </c>
      <c r="AL948" t="n">
        <v>80.20792326500001</v>
      </c>
      <c r="AM948" t="n">
        <v>42.414333843</v>
      </c>
      <c r="AN948" t="n">
        <v>119.83683888</v>
      </c>
      <c r="AO948" t="n">
        <v>58.169941301</v>
      </c>
      <c r="AP948" t="n">
        <v>39.07471784</v>
      </c>
      <c r="AQ948" t="n">
        <v>73.060424864</v>
      </c>
      <c r="AR948" t="n">
        <v>90.996728797</v>
      </c>
      <c r="AS948" t="n">
        <v>42.296475294</v>
      </c>
      <c r="AT948" t="n">
        <v>82.888439628</v>
      </c>
      <c r="AU948" t="n">
        <v/>
      </c>
    </row>
    <row r="949">
      <c r="A949" s="105" t="n">
        <v>35765</v>
      </c>
      <c r="B949" t="n">
        <v>60.97891213</v>
      </c>
      <c r="C949" t="n">
        <v>70.141204945</v>
      </c>
      <c r="D949" t="n">
        <v>77.07634905499999</v>
      </c>
      <c r="E949" t="n">
        <v>84.644277922</v>
      </c>
      <c r="F949" t="n">
        <v/>
      </c>
      <c r="G949" t="n">
        <v/>
      </c>
      <c r="H949" t="n">
        <v>71.127409879</v>
      </c>
      <c r="I949" t="n">
        <v>60.973830977</v>
      </c>
      <c r="J949" t="n">
        <v>59.394598632</v>
      </c>
      <c r="K949" t="n">
        <v>74.106175515</v>
      </c>
      <c r="L949" t="n">
        <v>105.156758812</v>
      </c>
      <c r="M949" t="n">
        <v>87.992667278</v>
      </c>
      <c r="N949" t="n">
        <v>111.825093188</v>
      </c>
      <c r="O949" t="n">
        <v/>
      </c>
      <c r="P949" t="n">
        <v/>
      </c>
      <c r="Q949" t="n">
        <v>88.41473578900001</v>
      </c>
      <c r="R949" t="n">
        <v>100.99915834</v>
      </c>
      <c r="S949" t="n">
        <v>89.211788575</v>
      </c>
      <c r="T949" t="n">
        <v>93.172974885</v>
      </c>
      <c r="U949" t="n">
        <v/>
      </c>
      <c r="V949" t="n">
        <v>128.871848719</v>
      </c>
      <c r="W949" t="n">
        <v>42.053126275</v>
      </c>
      <c r="X949" t="n">
        <v>37.427395263</v>
      </c>
      <c r="Y949" t="n">
        <v/>
      </c>
      <c r="Z949" t="n">
        <v>29.832716111</v>
      </c>
      <c r="AA949" t="n">
        <v/>
      </c>
      <c r="AB949" t="n">
        <v>61.076004934</v>
      </c>
      <c r="AC949" t="n">
        <v>124.489625865</v>
      </c>
      <c r="AD949" t="n">
        <v>104.655328823</v>
      </c>
      <c r="AE949" t="n">
        <v>35.767</v>
      </c>
      <c r="AF949" t="n">
        <v>82.54879170300001</v>
      </c>
      <c r="AG949" t="n">
        <v/>
      </c>
      <c r="AH949" t="n">
        <v>84.061306805</v>
      </c>
      <c r="AI949" t="n">
        <v>84.16067239</v>
      </c>
      <c r="AJ949" t="n">
        <v>121.138856453</v>
      </c>
      <c r="AK949" t="n">
        <v/>
      </c>
      <c r="AL949" t="n">
        <v>80.354593209</v>
      </c>
      <c r="AM949" t="n">
        <v>42.236319322</v>
      </c>
      <c r="AN949" t="n">
        <v>118.375391913</v>
      </c>
      <c r="AO949" t="n">
        <v>56.016721929</v>
      </c>
      <c r="AP949" t="n">
        <v>38.935110272</v>
      </c>
      <c r="AQ949" t="n">
        <v>73.138564356</v>
      </c>
      <c r="AR949" t="n">
        <v>92.616247886</v>
      </c>
      <c r="AS949" t="n">
        <v>42.896425298</v>
      </c>
      <c r="AT949" t="n">
        <v>83.26296112599999</v>
      </c>
      <c r="AU949" t="n">
        <v/>
      </c>
    </row>
    <row r="950">
      <c r="A950" s="105" t="n">
        <v>35796</v>
      </c>
      <c r="B950" t="n">
        <v>61.8234954</v>
      </c>
      <c r="C950" t="n">
        <v>69.437356967</v>
      </c>
      <c r="D950" t="n">
        <v>78.489225316</v>
      </c>
      <c r="E950" t="n">
        <v>84.022001718</v>
      </c>
      <c r="F950" t="n">
        <v/>
      </c>
      <c r="G950" t="n">
        <v/>
      </c>
      <c r="H950" t="n">
        <v>68.642509327</v>
      </c>
      <c r="I950" t="n">
        <v>61.818343871</v>
      </c>
      <c r="J950" t="n">
        <v>63.840329671</v>
      </c>
      <c r="K950" t="n">
        <v>74.906242187</v>
      </c>
      <c r="L950" t="n">
        <v>102.435310602</v>
      </c>
      <c r="M950" t="n">
        <v>88.29264228</v>
      </c>
      <c r="N950" t="n">
        <v>113.395094496</v>
      </c>
      <c r="O950" t="n">
        <v>44.409918415</v>
      </c>
      <c r="P950" t="n">
        <v/>
      </c>
      <c r="Q950" t="n">
        <v>86.614435739</v>
      </c>
      <c r="R950" t="n">
        <v>101.009158257</v>
      </c>
      <c r="S950" t="n">
        <v>89.732982721</v>
      </c>
      <c r="T950" t="n">
        <v>94.021931376</v>
      </c>
      <c r="U950" t="n">
        <v/>
      </c>
      <c r="V950" t="n">
        <v>132.18397757</v>
      </c>
      <c r="W950" t="n">
        <v>41.889417747</v>
      </c>
      <c r="X950" t="n">
        <v>37.61059894</v>
      </c>
      <c r="Y950" t="n">
        <v/>
      </c>
      <c r="Z950" t="n">
        <v>31.674975473</v>
      </c>
      <c r="AA950" t="n">
        <v>25.600218119</v>
      </c>
      <c r="AB950" t="n">
        <v>60.935922354</v>
      </c>
      <c r="AC950" t="n">
        <v>123.589700858</v>
      </c>
      <c r="AD950" t="n">
        <v>106.194264181</v>
      </c>
      <c r="AE950" t="n">
        <v>33.734</v>
      </c>
      <c r="AF950" t="n">
        <v>82.025297608</v>
      </c>
      <c r="AG950" t="n">
        <v/>
      </c>
      <c r="AH950" t="n">
        <v>84.657493922</v>
      </c>
      <c r="AI950" t="n">
        <v>86.702437663</v>
      </c>
      <c r="AJ950" t="n">
        <v>119.170896691</v>
      </c>
      <c r="AK950" t="n">
        <v/>
      </c>
      <c r="AL950" t="n">
        <v>80.73783294</v>
      </c>
      <c r="AM950" t="n">
        <v>43.046497874</v>
      </c>
      <c r="AN950" t="n">
        <v>118.833028187</v>
      </c>
      <c r="AO950" t="n">
        <v>53.758480485</v>
      </c>
      <c r="AP950" t="n">
        <v>40.614825725</v>
      </c>
      <c r="AQ950" t="n">
        <v>73.743091155</v>
      </c>
      <c r="AR950" t="n">
        <v>91.401608569</v>
      </c>
      <c r="AS950" t="n">
        <v>43.396383635</v>
      </c>
      <c r="AT950" t="n">
        <v>83.63688767399999</v>
      </c>
      <c r="AU950" t="n">
        <v/>
      </c>
    </row>
    <row r="951">
      <c r="A951" s="105" t="n">
        <v>35827</v>
      </c>
      <c r="B951" t="n">
        <v>62.752537</v>
      </c>
      <c r="C951" t="n">
        <v>70.23293243400001</v>
      </c>
      <c r="D951" t="n">
        <v>79.95475535</v>
      </c>
      <c r="E951" t="n">
        <v>85.056810125</v>
      </c>
      <c r="F951" t="n">
        <v/>
      </c>
      <c r="G951" t="n">
        <v/>
      </c>
      <c r="H951" t="n">
        <v>68.863943277</v>
      </c>
      <c r="I951" t="n">
        <v>62.747308058</v>
      </c>
      <c r="J951" t="n">
        <v>63.800176928</v>
      </c>
      <c r="K951" t="n">
        <v>74.706225519</v>
      </c>
      <c r="L951" t="n">
        <v>101.455589247</v>
      </c>
      <c r="M951" t="n">
        <v>88.692608949</v>
      </c>
      <c r="N951" t="n">
        <v>115.838096532</v>
      </c>
      <c r="O951" t="n">
        <v>43.725905253</v>
      </c>
      <c r="P951" t="n">
        <v/>
      </c>
      <c r="Q951" t="n">
        <v>88.11468578100001</v>
      </c>
      <c r="R951" t="n">
        <v>101.709152424</v>
      </c>
      <c r="S951" t="n">
        <v>89.424287439</v>
      </c>
      <c r="T951" t="n">
        <v>94.76476830599999</v>
      </c>
      <c r="U951" t="n">
        <v/>
      </c>
      <c r="V951" t="n">
        <v>134.092997488</v>
      </c>
      <c r="W951" t="n">
        <v>43.356134055</v>
      </c>
      <c r="X951" t="n">
        <v>37.982966829</v>
      </c>
      <c r="Y951" t="n">
        <v/>
      </c>
      <c r="Z951" t="n">
        <v>32.982385342</v>
      </c>
      <c r="AA951" t="n">
        <v>25.58203452</v>
      </c>
      <c r="AB951" t="n">
        <v>64.71815201699999</v>
      </c>
      <c r="AC951" t="n">
        <v>123.489709191</v>
      </c>
      <c r="AD951" t="n">
        <v>103.430449498</v>
      </c>
      <c r="AE951" t="n">
        <v>34.011</v>
      </c>
      <c r="AF951" t="n">
        <v>85.474521725</v>
      </c>
      <c r="AG951" t="n">
        <v/>
      </c>
      <c r="AH951" t="n">
        <v>86.489518649</v>
      </c>
      <c r="AI951" t="n">
        <v>85.47862475399999</v>
      </c>
      <c r="AJ951" t="n">
        <v>118.296247908</v>
      </c>
      <c r="AK951" t="n">
        <v/>
      </c>
      <c r="AL951" t="n">
        <v>80.78473672</v>
      </c>
      <c r="AM951" t="n">
        <v>43.622125712</v>
      </c>
      <c r="AN951" t="n">
        <v>124.427500166</v>
      </c>
      <c r="AO951" t="n">
        <v>56.259640412</v>
      </c>
      <c r="AP951" t="n">
        <v>40.333419013</v>
      </c>
      <c r="AQ951" t="n">
        <v>74.58320232</v>
      </c>
      <c r="AR951" t="n">
        <v>91.300388626</v>
      </c>
      <c r="AS951" t="n">
        <v>43.496375302</v>
      </c>
      <c r="AT951" t="n">
        <v>83.77551119899999</v>
      </c>
      <c r="AU951" t="n">
        <v/>
      </c>
    </row>
    <row r="952">
      <c r="A952" s="105" t="n">
        <v>35855</v>
      </c>
      <c r="B952" t="n">
        <v>63.17482863</v>
      </c>
      <c r="C952" t="n">
        <v>69.698798555</v>
      </c>
      <c r="D952" t="n">
        <v>79.62128145</v>
      </c>
      <c r="E952" t="n">
        <v>85.894716003</v>
      </c>
      <c r="F952" t="n">
        <v/>
      </c>
      <c r="G952" t="n">
        <v/>
      </c>
      <c r="H952" t="n">
        <v>67.75678879500001</v>
      </c>
      <c r="I952" t="n">
        <v>63.1695645</v>
      </c>
      <c r="J952" t="n">
        <v>63.991451895</v>
      </c>
      <c r="K952" t="n">
        <v>75.706308859</v>
      </c>
      <c r="L952" t="n">
        <v>103.415031957</v>
      </c>
      <c r="M952" t="n">
        <v>88.692608949</v>
      </c>
      <c r="N952" t="n">
        <v>114.652095543</v>
      </c>
      <c r="O952" t="n">
        <v>43.543986859</v>
      </c>
      <c r="P952" t="n">
        <v/>
      </c>
      <c r="Q952" t="n">
        <v>89.31488581399999</v>
      </c>
      <c r="R952" t="n">
        <v>100.509162424</v>
      </c>
      <c r="S952" t="n">
        <v>89.16393680100001</v>
      </c>
      <c r="T952" t="n">
        <v>95.08312699</v>
      </c>
      <c r="U952" t="n">
        <v/>
      </c>
      <c r="V952" t="n">
        <v>143.690853784</v>
      </c>
      <c r="W952" t="n">
        <v>43.47347136</v>
      </c>
      <c r="X952" t="n">
        <v>37.465762986</v>
      </c>
      <c r="Y952" t="n">
        <v/>
      </c>
      <c r="Z952" t="n">
        <v>33.279523949</v>
      </c>
      <c r="AA952" t="n">
        <v>26.092707237</v>
      </c>
      <c r="AB952" t="n">
        <v>63.737573956</v>
      </c>
      <c r="AC952" t="n">
        <v>122.889759187</v>
      </c>
      <c r="AD952" t="n">
        <v>101.198137638</v>
      </c>
      <c r="AE952" t="n">
        <v>32.625</v>
      </c>
      <c r="AF952" t="n">
        <v>82.73245785</v>
      </c>
      <c r="AG952" t="n">
        <v/>
      </c>
      <c r="AH952" t="n">
        <v>88.08450768199999</v>
      </c>
      <c r="AI952" t="n">
        <v>85.855182572</v>
      </c>
      <c r="AJ952" t="n">
        <v>119.608221083</v>
      </c>
      <c r="AK952" t="n">
        <v/>
      </c>
      <c r="AL952" t="n">
        <v>80.607999365</v>
      </c>
      <c r="AM952" t="n">
        <v>42.476957302</v>
      </c>
      <c r="AN952" t="n">
        <v>123.649369863</v>
      </c>
      <c r="AO952" t="n">
        <v>55.471502888</v>
      </c>
      <c r="AP952" t="n">
        <v>41.826408456</v>
      </c>
      <c r="AQ952" t="n">
        <v>73.92978252499999</v>
      </c>
      <c r="AR952" t="n">
        <v>92.008928227</v>
      </c>
      <c r="AS952" t="n">
        <v>44.196316974</v>
      </c>
      <c r="AT952" t="n">
        <v>83.80991918399999</v>
      </c>
      <c r="AU952" t="n">
        <v/>
      </c>
    </row>
    <row r="953">
      <c r="A953" s="105" t="n">
        <v>35886</v>
      </c>
      <c r="B953" t="n">
        <v>62.66807867</v>
      </c>
      <c r="C953" t="n">
        <v>69.87501136500001</v>
      </c>
      <c r="D953" t="n">
        <v>80.279453621</v>
      </c>
      <c r="E953" t="n">
        <v>85.518032901</v>
      </c>
      <c r="F953" t="n">
        <v/>
      </c>
      <c r="G953" t="n">
        <v/>
      </c>
      <c r="H953" t="n">
        <v>68.862193186</v>
      </c>
      <c r="I953" t="n">
        <v>62.662856765</v>
      </c>
      <c r="J953" t="n">
        <v>63.837806723</v>
      </c>
      <c r="K953" t="n">
        <v>75.006250521</v>
      </c>
      <c r="L953" t="n">
        <v>97.86327761</v>
      </c>
      <c r="M953" t="n">
        <v>88.992583951</v>
      </c>
      <c r="N953" t="n">
        <v>115.355096129</v>
      </c>
      <c r="O953" t="n">
        <v>42.859973696</v>
      </c>
      <c r="P953" t="n">
        <v/>
      </c>
      <c r="Q953" t="n">
        <v>90.01500249999999</v>
      </c>
      <c r="R953" t="n">
        <v>101.819151507</v>
      </c>
      <c r="S953" t="n">
        <v>89.25450610999999</v>
      </c>
      <c r="T953" t="n">
        <v>94.87088786699999</v>
      </c>
      <c r="U953" t="n">
        <v/>
      </c>
      <c r="V953" t="n">
        <v>138.527486634</v>
      </c>
      <c r="W953" t="n">
        <v>43.942820578</v>
      </c>
      <c r="X953" t="n">
        <v>37.934927155</v>
      </c>
      <c r="Y953" t="n">
        <v/>
      </c>
      <c r="Z953" t="n">
        <v>32.44753585</v>
      </c>
      <c r="AA953" t="n">
        <v>26.613786827</v>
      </c>
      <c r="AB953" t="n">
        <v>62.546872025</v>
      </c>
      <c r="AC953" t="n">
        <v>123.88967586</v>
      </c>
      <c r="AD953" t="n">
        <v>100.985536509</v>
      </c>
      <c r="AE953" t="n">
        <v>32.255</v>
      </c>
      <c r="AF953" t="n">
        <v>81.141250103</v>
      </c>
      <c r="AG953" t="n">
        <v/>
      </c>
      <c r="AH953" t="n">
        <v>86.800728409</v>
      </c>
      <c r="AI953" t="n">
        <v>86.796577118</v>
      </c>
      <c r="AJ953" t="n">
        <v>121.576180845</v>
      </c>
      <c r="AK953" t="n">
        <v/>
      </c>
      <c r="AL953" t="n">
        <v>80.559577891</v>
      </c>
      <c r="AM953" t="n">
        <v>43.206576949</v>
      </c>
      <c r="AN953" t="n">
        <v>124.861020711</v>
      </c>
      <c r="AO953" t="n">
        <v>54.766641853</v>
      </c>
      <c r="AP953" t="n">
        <v>41.646688563</v>
      </c>
      <c r="AQ953" t="n">
        <v>74.39651095000001</v>
      </c>
      <c r="AR953" t="n">
        <v>93.122347601</v>
      </c>
      <c r="AS953" t="n">
        <v>43.296391967</v>
      </c>
      <c r="AT953" t="n">
        <v>84.113641543</v>
      </c>
      <c r="AU953" t="n">
        <v/>
      </c>
    </row>
    <row r="954">
      <c r="A954" s="105" t="n">
        <v>35916</v>
      </c>
      <c r="B954" t="n">
        <v>63.25928696</v>
      </c>
      <c r="C954" t="n">
        <v>69.847766619</v>
      </c>
      <c r="D954" t="n">
        <v>81.859066832</v>
      </c>
      <c r="E954" t="n">
        <v>84.835027248</v>
      </c>
      <c r="F954" t="n">
        <v/>
      </c>
      <c r="G954" t="n">
        <v/>
      </c>
      <c r="H954" t="n">
        <v>67.867054411</v>
      </c>
      <c r="I954" t="n">
        <v>63.254015792</v>
      </c>
      <c r="J954" t="n">
        <v>62.632417546</v>
      </c>
      <c r="K954" t="n">
        <v>75.40628385700001</v>
      </c>
      <c r="L954" t="n">
        <v>98.298709324</v>
      </c>
      <c r="M954" t="n">
        <v>89.392550621</v>
      </c>
      <c r="N954" t="n">
        <v>115.781096484</v>
      </c>
      <c r="O954" t="n">
        <v>41.90672131</v>
      </c>
      <c r="P954" t="n">
        <v/>
      </c>
      <c r="Q954" t="n">
        <v>89.614935823</v>
      </c>
      <c r="R954" t="n">
        <v>103.09914084</v>
      </c>
      <c r="S954" t="n">
        <v>89.33410449500001</v>
      </c>
      <c r="T954" t="n">
        <v>93.38521400800001</v>
      </c>
      <c r="U954" t="n">
        <v/>
      </c>
      <c r="V954" t="n">
        <v>134.347479119</v>
      </c>
      <c r="W954" t="n">
        <v>45.057524972</v>
      </c>
      <c r="X954" t="n">
        <v>37.959184867</v>
      </c>
      <c r="Y954" t="n">
        <v/>
      </c>
      <c r="Z954" t="n">
        <v>32.804102178</v>
      </c>
      <c r="AA954" t="n">
        <v>27.112295829</v>
      </c>
      <c r="AB954" t="n">
        <v>62.686954605</v>
      </c>
      <c r="AC954" t="n">
        <v>123.689692526</v>
      </c>
      <c r="AD954" t="n">
        <v>100.241432556</v>
      </c>
      <c r="AE954" t="n">
        <v>32.625</v>
      </c>
      <c r="AF954" t="n">
        <v>82.10871059599999</v>
      </c>
      <c r="AG954" t="n">
        <v/>
      </c>
      <c r="AH954" t="n">
        <v>87.424904387</v>
      </c>
      <c r="AI954" t="n">
        <v>87.643832209</v>
      </c>
      <c r="AJ954" t="n">
        <v>117.093605832</v>
      </c>
      <c r="AK954" t="n">
        <v/>
      </c>
      <c r="AL954" t="n">
        <v>80.703279799</v>
      </c>
      <c r="AM954" t="n">
        <v>43.486374829</v>
      </c>
      <c r="AN954" t="n">
        <v>125.566798374</v>
      </c>
      <c r="AO954" t="n">
        <v>52.371595967</v>
      </c>
      <c r="AP954" t="n">
        <v>39.951434961</v>
      </c>
      <c r="AQ954" t="n">
        <v>74.20981958</v>
      </c>
      <c r="AR954" t="n">
        <v>91.604048455</v>
      </c>
      <c r="AS954" t="n">
        <v>44.296308641</v>
      </c>
      <c r="AT954" t="n">
        <v>84.641263702</v>
      </c>
      <c r="AU954" t="n">
        <v/>
      </c>
    </row>
    <row r="955">
      <c r="A955" s="105" t="n">
        <v>35947</v>
      </c>
      <c r="B955" t="n">
        <v>63.76603692</v>
      </c>
      <c r="C955" t="n">
        <v>71.10547954099999</v>
      </c>
      <c r="D955" t="n">
        <v>80.69190818200001</v>
      </c>
      <c r="E955" t="n">
        <v>84.78285877899999</v>
      </c>
      <c r="F955" t="n">
        <v/>
      </c>
      <c r="G955" t="n">
        <v/>
      </c>
      <c r="H955" t="n">
        <v>66.22051293</v>
      </c>
      <c r="I955" t="n">
        <v>63.760723526</v>
      </c>
      <c r="J955" t="n">
        <v>61.654119184</v>
      </c>
      <c r="K955" t="n">
        <v>74.80623385299999</v>
      </c>
      <c r="L955" t="n">
        <v>110.381939374</v>
      </c>
      <c r="M955" t="n">
        <v>88.892592284</v>
      </c>
      <c r="N955" t="n">
        <v>115.604096337</v>
      </c>
      <c r="O955" t="n">
        <v>41.404626542</v>
      </c>
      <c r="P955" t="n">
        <v/>
      </c>
      <c r="Q955" t="n">
        <v>88.41473578900001</v>
      </c>
      <c r="R955" t="n">
        <v>102.429146424</v>
      </c>
      <c r="S955" t="n">
        <v>88.940297141</v>
      </c>
      <c r="T955" t="n">
        <v>92.960735762</v>
      </c>
      <c r="U955" t="n">
        <v/>
      </c>
      <c r="V955" t="n">
        <v>135.955354703</v>
      </c>
      <c r="W955" t="n">
        <v>45.350868233</v>
      </c>
      <c r="X955" t="n">
        <v>38.540717982</v>
      </c>
      <c r="Y955" t="n">
        <v/>
      </c>
      <c r="Z955" t="n">
        <v>32.8635299</v>
      </c>
      <c r="AA955" t="n">
        <v>27.392984393</v>
      </c>
      <c r="AB955" t="n">
        <v>64.508028147</v>
      </c>
      <c r="AC955" t="n">
        <v>123.489709191</v>
      </c>
      <c r="AD955" t="n">
        <v>100.241432556</v>
      </c>
      <c r="AE955" t="n">
        <v>32.163</v>
      </c>
      <c r="AF955" t="n">
        <v>85.012258338</v>
      </c>
      <c r="AG955" t="n">
        <v/>
      </c>
      <c r="AH955" t="n">
        <v>86.67175114600001</v>
      </c>
      <c r="AI955" t="n">
        <v>86.231740391</v>
      </c>
      <c r="AJ955" t="n">
        <v>120.920194258</v>
      </c>
      <c r="AK955" t="n">
        <v/>
      </c>
      <c r="AL955" t="n">
        <v>80.30077562</v>
      </c>
      <c r="AM955" t="n">
        <v>43.156559112</v>
      </c>
      <c r="AN955" t="n">
        <v>122.290961938</v>
      </c>
      <c r="AO955" t="n">
        <v>51.211070832</v>
      </c>
      <c r="AP955" t="n">
        <v>39.324780942</v>
      </c>
      <c r="AQ955" t="n">
        <v>72.249560195</v>
      </c>
      <c r="AR955" t="n">
        <v>93.729667259</v>
      </c>
      <c r="AS955" t="n">
        <v>42.296475294</v>
      </c>
      <c r="AT955" t="n">
        <v>84.132580809</v>
      </c>
      <c r="AU955" t="n">
        <v/>
      </c>
    </row>
    <row r="956">
      <c r="A956" s="105" t="n">
        <v>35977</v>
      </c>
      <c r="B956" t="n">
        <v>63.85049525</v>
      </c>
      <c r="C956" t="n">
        <v>70.694713194</v>
      </c>
      <c r="D956" t="n">
        <v>81.385182869</v>
      </c>
      <c r="E956" t="n">
        <v>83.45911730900001</v>
      </c>
      <c r="F956" t="n">
        <v/>
      </c>
      <c r="G956" t="n">
        <v/>
      </c>
      <c r="H956" t="n">
        <v>69.908608685</v>
      </c>
      <c r="I956" t="n">
        <v>63.845174819</v>
      </c>
      <c r="J956" t="n">
        <v>62.169988836</v>
      </c>
      <c r="K956" t="n">
        <v>76.40636719699999</v>
      </c>
      <c r="L956" t="n">
        <v>115.062830294</v>
      </c>
      <c r="M956" t="n">
        <v>89.79251729000001</v>
      </c>
      <c r="N956" t="n">
        <v>115.41609618</v>
      </c>
      <c r="O956" t="n">
        <v>40.218518611</v>
      </c>
      <c r="P956" t="n">
        <v/>
      </c>
      <c r="Q956" t="n">
        <v>89.31488581399999</v>
      </c>
      <c r="R956" t="n">
        <v>103.03914134</v>
      </c>
      <c r="S956" t="n">
        <v>88.871777756</v>
      </c>
      <c r="T956" t="n">
        <v>92.21789883300001</v>
      </c>
      <c r="U956" t="n">
        <v/>
      </c>
      <c r="V956" t="n">
        <v>136.933662004</v>
      </c>
      <c r="W956" t="n">
        <v>45.52687419</v>
      </c>
      <c r="X956" t="n">
        <v>38.330911008</v>
      </c>
      <c r="Y956" t="n">
        <v/>
      </c>
      <c r="Z956" t="n">
        <v>34.052084326</v>
      </c>
      <c r="AA956" t="n">
        <v>27.630578998</v>
      </c>
      <c r="AB956" t="n">
        <v>63.247284926</v>
      </c>
      <c r="AC956" t="n">
        <v>123.289725856</v>
      </c>
      <c r="AD956" t="n">
        <v>100.028831426</v>
      </c>
      <c r="AE956" t="n">
        <v>31.516</v>
      </c>
      <c r="AF956" t="n">
        <v>70.62914221600001</v>
      </c>
      <c r="AG956" t="n">
        <v/>
      </c>
      <c r="AH956" t="n">
        <v>87.344947784</v>
      </c>
      <c r="AI956" t="n">
        <v>87.549692755</v>
      </c>
      <c r="AJ956" t="n">
        <v>118.405579006</v>
      </c>
      <c r="AK956" t="n">
        <v/>
      </c>
      <c r="AL956" t="n">
        <v>80.316543392</v>
      </c>
      <c r="AM956" t="n">
        <v>42.568577747</v>
      </c>
      <c r="AN956" t="n">
        <v>124.252449179</v>
      </c>
      <c r="AO956" t="n">
        <v>49.791472641</v>
      </c>
      <c r="AP956" t="n">
        <v>39.984700409</v>
      </c>
      <c r="AQ956" t="n">
        <v>73.08967136</v>
      </c>
      <c r="AR956" t="n">
        <v>94.43820685999999</v>
      </c>
      <c r="AS956" t="n">
        <v>42.696441963</v>
      </c>
      <c r="AT956" t="n">
        <v>83.79494625700001</v>
      </c>
      <c r="AU956" t="n">
        <v/>
      </c>
    </row>
    <row r="957">
      <c r="A957" s="105" t="n">
        <v>36008</v>
      </c>
      <c r="B957" t="n">
        <v>63.25928696</v>
      </c>
      <c r="C957" t="n">
        <v>69.564049889</v>
      </c>
      <c r="D957" t="n">
        <v>80.033736011</v>
      </c>
      <c r="E957" t="n">
        <v>85.60257257400001</v>
      </c>
      <c r="F957" t="n">
        <v/>
      </c>
      <c r="G957" t="n">
        <v/>
      </c>
      <c r="H957" t="n">
        <v>68.974494488</v>
      </c>
      <c r="I957" t="n">
        <v>63.254015792</v>
      </c>
      <c r="J957" t="n">
        <v>60.932571744</v>
      </c>
      <c r="K957" t="n">
        <v>74.706225519</v>
      </c>
      <c r="L957" t="n">
        <v>109.837649732</v>
      </c>
      <c r="M957" t="n">
        <v>88.49262561499999</v>
      </c>
      <c r="N957" t="n">
        <v>115.468096223</v>
      </c>
      <c r="O957" t="n">
        <v>40.720613379</v>
      </c>
      <c r="P957" t="n">
        <v/>
      </c>
      <c r="Q957" t="n">
        <v>88.81480246700001</v>
      </c>
      <c r="R957" t="n">
        <v>100.409163257</v>
      </c>
      <c r="S957" t="n">
        <v>88.97890348599999</v>
      </c>
      <c r="T957" t="n">
        <v>92.00565971</v>
      </c>
      <c r="U957" t="n">
        <v/>
      </c>
      <c r="V957" t="n">
        <v>139.94040717</v>
      </c>
      <c r="W957" t="n">
        <v>45.820217452</v>
      </c>
      <c r="X957" t="n">
        <v>38.48765743</v>
      </c>
      <c r="Y957" t="n">
        <v/>
      </c>
      <c r="Z957" t="n">
        <v>35.656632802</v>
      </c>
      <c r="AA957" t="n">
        <v>27.678718675</v>
      </c>
      <c r="AB957" t="n">
        <v>63.527450086</v>
      </c>
      <c r="AC957" t="n">
        <v>121.589867511</v>
      </c>
      <c r="AD957" t="n">
        <v>98.221721825</v>
      </c>
      <c r="AE957" t="n">
        <v>32.81</v>
      </c>
      <c r="AF957" t="n">
        <v>77.231017697</v>
      </c>
      <c r="AG957" t="n">
        <v/>
      </c>
      <c r="AH957" t="n">
        <v>87.411307714</v>
      </c>
      <c r="AI957" t="n">
        <v>86.51415875399999</v>
      </c>
      <c r="AJ957" t="n">
        <v>111.189726546</v>
      </c>
      <c r="AK957" t="n">
        <v/>
      </c>
      <c r="AL957" t="n">
        <v>80.450743245</v>
      </c>
      <c r="AM957" t="n">
        <v>43.11160877</v>
      </c>
      <c r="AN957" t="n">
        <v>122.063509899</v>
      </c>
      <c r="AO957" t="n">
        <v>49.296192122</v>
      </c>
      <c r="AP957" t="n">
        <v>39.763562519</v>
      </c>
      <c r="AQ957" t="n">
        <v>74.116473895</v>
      </c>
      <c r="AR957" t="n">
        <v>95.551626234</v>
      </c>
      <c r="AS957" t="n">
        <v>42.996416965</v>
      </c>
      <c r="AT957" t="n">
        <v>85.520600913</v>
      </c>
      <c r="AU957" t="n">
        <v/>
      </c>
    </row>
    <row r="958">
      <c r="A958" s="105" t="n">
        <v>36039</v>
      </c>
      <c r="B958" t="n">
        <v>65.20182848</v>
      </c>
      <c r="C958" t="n">
        <v>69.524042153</v>
      </c>
      <c r="D958" t="n">
        <v>79.682710853</v>
      </c>
      <c r="E958" t="n">
        <v>85.846025431</v>
      </c>
      <c r="F958" t="n">
        <v/>
      </c>
      <c r="G958" t="n">
        <v/>
      </c>
      <c r="H958" t="n">
        <v>67.53349920399999</v>
      </c>
      <c r="I958" t="n">
        <v>65.196395447</v>
      </c>
      <c r="J958" t="n">
        <v>60.421377456</v>
      </c>
      <c r="K958" t="n">
        <v>74.206183849</v>
      </c>
      <c r="L958" t="n">
        <v>108.857928376</v>
      </c>
      <c r="M958" t="n">
        <v>88.892592284</v>
      </c>
      <c r="N958" t="n">
        <v>115.705096421</v>
      </c>
      <c r="O958" t="n">
        <v>38.442995083</v>
      </c>
      <c r="P958" t="n">
        <v/>
      </c>
      <c r="Q958" t="n">
        <v>88.31471912000001</v>
      </c>
      <c r="R958" t="n">
        <v>102.249147924</v>
      </c>
      <c r="S958" t="n">
        <v>89.242860452</v>
      </c>
      <c r="T958" t="n">
        <v>91.26282277999999</v>
      </c>
      <c r="U958" t="n">
        <v/>
      </c>
      <c r="V958" t="n">
        <v>135.407651739</v>
      </c>
      <c r="W958" t="n">
        <v>45.878886104</v>
      </c>
      <c r="X958" t="n">
        <v>38.415714569</v>
      </c>
      <c r="Y958" t="n">
        <v/>
      </c>
      <c r="Z958" t="n">
        <v>35.240638753</v>
      </c>
      <c r="AA958" t="n">
        <v>27.301696138</v>
      </c>
      <c r="AB958" t="n">
        <v>63.317326216</v>
      </c>
      <c r="AC958" t="n">
        <v>123.389717524</v>
      </c>
      <c r="AD958" t="n">
        <v>99.497328602</v>
      </c>
      <c r="AE958" t="n">
        <v>34.658</v>
      </c>
      <c r="AF958" t="n">
        <v>76.320631732</v>
      </c>
      <c r="AG958" t="n">
        <v/>
      </c>
      <c r="AH958" t="n">
        <v>87.296267341</v>
      </c>
      <c r="AI958" t="n">
        <v>86.98485602700001</v>
      </c>
      <c r="AJ958" t="n">
        <v>119.498889985</v>
      </c>
      <c r="AK958" t="n">
        <v/>
      </c>
      <c r="AL958" t="n">
        <v>80.768849319</v>
      </c>
      <c r="AM958" t="n">
        <v>41.759013522</v>
      </c>
      <c r="AN958" t="n">
        <v>124.66823266</v>
      </c>
      <c r="AO958" t="n">
        <v>46.871924567</v>
      </c>
      <c r="AP958" t="n">
        <v>39.202608437</v>
      </c>
      <c r="AQ958" t="n">
        <v>73.183017045</v>
      </c>
      <c r="AR958" t="n">
        <v>94.235766974</v>
      </c>
      <c r="AS958" t="n">
        <v>43.496375302</v>
      </c>
      <c r="AT958" t="n">
        <v>85.44553796</v>
      </c>
      <c r="AU958" t="n">
        <v/>
      </c>
    </row>
    <row r="959">
      <c r="A959" s="105" t="n">
        <v>36069</v>
      </c>
      <c r="B959" t="n">
        <v>64.9484535</v>
      </c>
      <c r="C959" t="n">
        <v>69.74336603899999</v>
      </c>
      <c r="D959" t="n">
        <v>77.304515408</v>
      </c>
      <c r="E959" t="n">
        <v>86.019920329</v>
      </c>
      <c r="F959" t="n">
        <v/>
      </c>
      <c r="G959" t="n">
        <v/>
      </c>
      <c r="H959" t="n">
        <v>66.91111296</v>
      </c>
      <c r="I959" t="n">
        <v>64.94304158</v>
      </c>
      <c r="J959" t="n">
        <v>59.424982492</v>
      </c>
      <c r="K959" t="n">
        <v>74.706225519</v>
      </c>
      <c r="L959" t="n">
        <v>97.21013004</v>
      </c>
      <c r="M959" t="n">
        <v>89.092575619</v>
      </c>
      <c r="N959" t="n">
        <v>117.002097502</v>
      </c>
      <c r="O959" t="n">
        <v>37.8972399</v>
      </c>
      <c r="P959" t="n">
        <v/>
      </c>
      <c r="Q959" t="n">
        <v>89.01483580599999</v>
      </c>
      <c r="R959" t="n">
        <v>102.299147507</v>
      </c>
      <c r="S959" t="n">
        <v>89.466436176</v>
      </c>
      <c r="T959" t="n">
        <v>91.368942342</v>
      </c>
      <c r="U959" t="n">
        <v/>
      </c>
      <c r="V959" t="n">
        <v>139.499226736</v>
      </c>
      <c r="W959" t="n">
        <v>45.702880147</v>
      </c>
      <c r="X959" t="n">
        <v>37.607612594</v>
      </c>
      <c r="Y959" t="n">
        <v/>
      </c>
      <c r="Z959" t="n">
        <v>35.656632802</v>
      </c>
      <c r="AA959" t="n">
        <v>26.952626974</v>
      </c>
      <c r="AB959" t="n">
        <v>63.597491376</v>
      </c>
      <c r="AC959" t="n">
        <v>122.589784185</v>
      </c>
      <c r="AD959" t="n">
        <v>98.965825779</v>
      </c>
      <c r="AE959" t="n">
        <v>35.49</v>
      </c>
      <c r="AF959" t="n">
        <v>76.553309055</v>
      </c>
      <c r="AG959" t="n">
        <v/>
      </c>
      <c r="AH959" t="n">
        <v>87.004277491</v>
      </c>
      <c r="AI959" t="n">
        <v>88.11452948199999</v>
      </c>
      <c r="AJ959" t="n">
        <v>117.640261321</v>
      </c>
      <c r="AK959" t="n">
        <v/>
      </c>
      <c r="AL959" t="n">
        <v>80.887814457</v>
      </c>
      <c r="AM959" t="n">
        <v>41.957167562</v>
      </c>
      <c r="AN959" t="n">
        <v>124.70256955</v>
      </c>
      <c r="AO959" t="n">
        <v>49.633687337</v>
      </c>
      <c r="AP959" t="n">
        <v>38.722203116</v>
      </c>
      <c r="AQ959" t="n">
        <v>72.71628862</v>
      </c>
      <c r="AR959" t="n">
        <v>94.235766974</v>
      </c>
      <c r="AS959" t="n">
        <v>41.996500292</v>
      </c>
      <c r="AT959" t="n">
        <v>86.036919008</v>
      </c>
      <c r="AU959" t="n">
        <v/>
      </c>
    </row>
    <row r="960">
      <c r="A960" s="105" t="n">
        <v>36100</v>
      </c>
      <c r="B960" t="n">
        <v>64.35724521</v>
      </c>
      <c r="C960" t="n">
        <v>69.446246198</v>
      </c>
      <c r="D960" t="n">
        <v>77.980238837</v>
      </c>
      <c r="E960" t="n">
        <v>86.262035533</v>
      </c>
      <c r="F960" t="n">
        <v/>
      </c>
      <c r="G960" t="n">
        <v/>
      </c>
      <c r="H960" t="n">
        <v>65.291393007</v>
      </c>
      <c r="I960" t="n">
        <v>64.351882553</v>
      </c>
      <c r="J960" t="n">
        <v>58.517582818</v>
      </c>
      <c r="K960" t="n">
        <v>73.706142179</v>
      </c>
      <c r="L960" t="n">
        <v>96.55698246999999</v>
      </c>
      <c r="M960" t="n">
        <v>88.59261728200001</v>
      </c>
      <c r="N960" t="n">
        <v>116.492097077</v>
      </c>
      <c r="O960" t="n">
        <v>40.262179025</v>
      </c>
      <c r="P960" t="n">
        <v/>
      </c>
      <c r="Q960" t="n">
        <v>88.51475245899999</v>
      </c>
      <c r="R960" t="n">
        <v>102.91914234</v>
      </c>
      <c r="S960" t="n">
        <v>89.261925327</v>
      </c>
      <c r="T960" t="n">
        <v>91.899540149</v>
      </c>
      <c r="U960" t="n">
        <v/>
      </c>
      <c r="V960" t="n">
        <v>140.075679003</v>
      </c>
      <c r="W960" t="n">
        <v>45.820217452</v>
      </c>
      <c r="X960" t="n">
        <v>39.407883735</v>
      </c>
      <c r="Y960" t="n">
        <v/>
      </c>
      <c r="Z960" t="n">
        <v>34.943500146</v>
      </c>
      <c r="AA960" t="n">
        <v>26.525570202</v>
      </c>
      <c r="AB960" t="n">
        <v>63.737573956</v>
      </c>
      <c r="AC960" t="n">
        <v>122.189817515</v>
      </c>
      <c r="AD960" t="n">
        <v>98.434322955</v>
      </c>
      <c r="AE960" t="n">
        <v>36.876</v>
      </c>
      <c r="AF960" t="n">
        <v>74.93781172200001</v>
      </c>
      <c r="AG960" t="n">
        <v/>
      </c>
      <c r="AH960" t="n">
        <v>87.743174915</v>
      </c>
      <c r="AI960" t="n">
        <v>88.773505664</v>
      </c>
      <c r="AJ960" t="n">
        <v>116.874943636</v>
      </c>
      <c r="AK960" t="n">
        <v/>
      </c>
      <c r="AL960" t="n">
        <v>80.78885434999999</v>
      </c>
      <c r="AM960" t="n">
        <v>40.892764061</v>
      </c>
      <c r="AN960" t="n">
        <v>122.908863326</v>
      </c>
      <c r="AO960" t="n">
        <v>50.422847435</v>
      </c>
      <c r="AP960" t="n">
        <v>38.520749045</v>
      </c>
      <c r="AQ960" t="n">
        <v>74.303165265</v>
      </c>
      <c r="AR960" t="n">
        <v>94.74186668999999</v>
      </c>
      <c r="AS960" t="n">
        <v>41.396550287</v>
      </c>
      <c r="AT960" t="n">
        <v>85.963343432</v>
      </c>
      <c r="AU960" t="n">
        <v/>
      </c>
    </row>
    <row r="961">
      <c r="A961" s="105" t="n">
        <v>36130</v>
      </c>
      <c r="B961" t="n">
        <v>63.17482863</v>
      </c>
      <c r="C961" t="n">
        <v>68.979961023</v>
      </c>
      <c r="D961" t="n">
        <v>75.329998894</v>
      </c>
      <c r="E961" t="n">
        <v>87.6285819</v>
      </c>
      <c r="F961" t="n">
        <v/>
      </c>
      <c r="G961" t="n">
        <v/>
      </c>
      <c r="H961" t="n">
        <v>64.715006139</v>
      </c>
      <c r="I961" t="n">
        <v>63.1695645</v>
      </c>
      <c r="J961" t="n">
        <v>55.24472922</v>
      </c>
      <c r="K961" t="n">
        <v>74.006167181</v>
      </c>
      <c r="L961" t="n">
        <v>95.577261114</v>
      </c>
      <c r="M961" t="n">
        <v>88.092658945</v>
      </c>
      <c r="N961" t="n">
        <v>117.3600978</v>
      </c>
      <c r="O961" t="n">
        <v>39.811021408</v>
      </c>
      <c r="P961" t="n">
        <v/>
      </c>
      <c r="Q961" t="n">
        <v>88.21470245</v>
      </c>
      <c r="R961" t="n">
        <v>102.159148674</v>
      </c>
      <c r="S961" t="n">
        <v>89.441766556</v>
      </c>
      <c r="T961" t="n">
        <v>93.49133356900001</v>
      </c>
      <c r="U961" t="n">
        <v/>
      </c>
      <c r="V961" t="n">
        <v>139.76750999</v>
      </c>
      <c r="W961" t="n">
        <v>47.05225915</v>
      </c>
      <c r="X961" t="n">
        <v>39.01620866</v>
      </c>
      <c r="Y961" t="n">
        <v/>
      </c>
      <c r="Z961" t="n">
        <v>35.181211032</v>
      </c>
      <c r="AA961" t="n">
        <v>26.389884385</v>
      </c>
      <c r="AB961" t="n">
        <v>63.387367506</v>
      </c>
      <c r="AC961" t="n">
        <v>119.290059162</v>
      </c>
      <c r="AD961" t="n">
        <v>98.32802239</v>
      </c>
      <c r="AE961" t="n">
        <v>37.431</v>
      </c>
      <c r="AF961" t="n">
        <v>73.68251997199999</v>
      </c>
      <c r="AG961" t="n">
        <v/>
      </c>
      <c r="AH961" t="n">
        <v>88.412600231</v>
      </c>
      <c r="AI961" t="n">
        <v>84.16067239</v>
      </c>
      <c r="AJ961" t="n">
        <v>115.453639363</v>
      </c>
      <c r="AK961" t="n">
        <v/>
      </c>
      <c r="AL961" t="n">
        <v>80.751285513</v>
      </c>
      <c r="AM961" t="n">
        <v>41.344129441</v>
      </c>
      <c r="AN961" t="n">
        <v>124.264642785</v>
      </c>
      <c r="AO961" t="n">
        <v>51.804660463</v>
      </c>
      <c r="AP961" t="n">
        <v>38.170344013</v>
      </c>
      <c r="AQ961" t="n">
        <v>71.5961404</v>
      </c>
      <c r="AR961" t="n">
        <v>93.729667259</v>
      </c>
      <c r="AS961" t="n">
        <v>39.096741938</v>
      </c>
      <c r="AT961" t="n">
        <v>86.330626362</v>
      </c>
      <c r="AU961" t="n">
        <v/>
      </c>
    </row>
    <row r="962">
      <c r="A962" s="105" t="n">
        <v>36161</v>
      </c>
      <c r="B962" t="n">
        <v>63.59712027</v>
      </c>
      <c r="C962" t="n">
        <v>69.054257245</v>
      </c>
      <c r="D962" t="n">
        <v>77.655540566</v>
      </c>
      <c r="E962" t="n">
        <v>88.60587122699999</v>
      </c>
      <c r="F962" t="n">
        <v/>
      </c>
      <c r="G962" t="n">
        <v/>
      </c>
      <c r="H962" t="n">
        <v>64.96480883</v>
      </c>
      <c r="I962" t="n">
        <v>63.591820952</v>
      </c>
      <c r="J962" t="n">
        <v>58.284485714</v>
      </c>
      <c r="K962" t="n">
        <v>75.206267189</v>
      </c>
      <c r="L962" t="n">
        <v>104.285895385</v>
      </c>
      <c r="M962" t="n">
        <v>89.492542288</v>
      </c>
      <c r="N962" t="n">
        <v>118.280098567</v>
      </c>
      <c r="O962" t="n">
        <v>38.304737103</v>
      </c>
      <c r="P962" t="n">
        <v/>
      </c>
      <c r="Q962" t="n">
        <v>89.614935823</v>
      </c>
      <c r="R962" t="n">
        <v>102.43914634</v>
      </c>
      <c r="S962" t="n">
        <v>90.364801308</v>
      </c>
      <c r="T962" t="n">
        <v>96.03820304200001</v>
      </c>
      <c r="U962" t="n">
        <v/>
      </c>
      <c r="V962" t="n">
        <v>139.199243211</v>
      </c>
      <c r="W962" t="n">
        <v>47.521608369</v>
      </c>
      <c r="X962" t="n">
        <v>39.700189631</v>
      </c>
      <c r="Y962" t="n">
        <v/>
      </c>
      <c r="Z962" t="n">
        <v>39.341151525</v>
      </c>
      <c r="AA962" t="n">
        <v>26.2928488</v>
      </c>
      <c r="AB962" t="n">
        <v>61.636335254</v>
      </c>
      <c r="AC962" t="n">
        <v>121.589867511</v>
      </c>
      <c r="AD962" t="n">
        <v>99.60362916699999</v>
      </c>
      <c r="AE962" t="n">
        <v>37.153</v>
      </c>
      <c r="AF962" t="n">
        <v>80.36529881</v>
      </c>
      <c r="AG962" t="n">
        <v/>
      </c>
      <c r="AH962" t="n">
        <v>88.98863489199999</v>
      </c>
      <c r="AI962" t="n">
        <v>87.643832209</v>
      </c>
      <c r="AJ962" t="n">
        <v>116.546950342</v>
      </c>
      <c r="AK962" t="n">
        <v/>
      </c>
      <c r="AL962" t="n">
        <v>81.65327715700001</v>
      </c>
      <c r="AM962" t="n">
        <v>41.271476185</v>
      </c>
      <c r="AN962" t="n">
        <v>125.278829506</v>
      </c>
      <c r="AO962" t="n">
        <v>52.552186135</v>
      </c>
      <c r="AP962" t="n">
        <v>38.514420057</v>
      </c>
      <c r="AQ962" t="n">
        <v>73.46305409999999</v>
      </c>
      <c r="AR962" t="n">
        <v>93.122347601</v>
      </c>
      <c r="AS962" t="n">
        <v>40.796600283</v>
      </c>
      <c r="AT962" t="n">
        <v>86.689480824</v>
      </c>
      <c r="AU962" t="n">
        <v/>
      </c>
    </row>
    <row r="963">
      <c r="A963" s="105" t="n">
        <v>36192</v>
      </c>
      <c r="B963" t="n">
        <v>62.83699532</v>
      </c>
      <c r="C963" t="n">
        <v>68.351708421</v>
      </c>
      <c r="D963" t="n">
        <v>76.444503771</v>
      </c>
      <c r="E963" t="n">
        <v>88.52186661499999</v>
      </c>
      <c r="F963" t="n">
        <v/>
      </c>
      <c r="G963" t="n">
        <v/>
      </c>
      <c r="H963" t="n">
        <v>65.512841451</v>
      </c>
      <c r="I963" t="n">
        <v>62.83175934</v>
      </c>
      <c r="J963" t="n">
        <v>58.915485109</v>
      </c>
      <c r="K963" t="n">
        <v>73.80615051300001</v>
      </c>
      <c r="L963" t="n">
        <v>102.326452674</v>
      </c>
      <c r="M963" t="n">
        <v>88.39263394699999</v>
      </c>
      <c r="N963" t="n">
        <v>116.406097005</v>
      </c>
      <c r="O963" t="n">
        <v>38.079158294</v>
      </c>
      <c r="P963" t="n">
        <v/>
      </c>
      <c r="Q963" t="n">
        <v>90.11501917</v>
      </c>
      <c r="R963" t="n">
        <v>102.129148924</v>
      </c>
      <c r="S963" t="n">
        <v>90.28565361299999</v>
      </c>
      <c r="T963" t="n">
        <v>95.507605235</v>
      </c>
      <c r="U963" t="n">
        <v/>
      </c>
      <c r="V963" t="n">
        <v>137.609229143</v>
      </c>
      <c r="W963" t="n">
        <v>45.7615488</v>
      </c>
      <c r="X963" t="n">
        <v>39.336942107</v>
      </c>
      <c r="Y963" t="n">
        <v/>
      </c>
      <c r="Z963" t="n">
        <v>36.964042672</v>
      </c>
      <c r="AA963" t="n">
        <v>26.863868675</v>
      </c>
      <c r="AB963" t="n">
        <v>62.827037185</v>
      </c>
      <c r="AC963" t="n">
        <v>120.989917507</v>
      </c>
      <c r="AD963" t="n">
        <v>99.60362916699999</v>
      </c>
      <c r="AE963" t="n">
        <v>38.632</v>
      </c>
      <c r="AF963" t="n">
        <v>82.86429070299999</v>
      </c>
      <c r="AG963" t="n">
        <v/>
      </c>
      <c r="AH963" t="n">
        <v>88.407231018</v>
      </c>
      <c r="AI963" t="n">
        <v>88.208668937</v>
      </c>
      <c r="AJ963" t="n">
        <v>116.218957049</v>
      </c>
      <c r="AK963" t="n">
        <v/>
      </c>
      <c r="AL963" t="n">
        <v>81.63535410199999</v>
      </c>
      <c r="AM963" t="n">
        <v>41.366747769</v>
      </c>
      <c r="AN963" t="n">
        <v>128.233952614</v>
      </c>
      <c r="AO963" t="n">
        <v>50.993621014</v>
      </c>
      <c r="AP963" t="n">
        <v>38.230459374</v>
      </c>
      <c r="AQ963" t="n">
        <v>71.316103345</v>
      </c>
      <c r="AR963" t="n">
        <v>94.539426803</v>
      </c>
      <c r="AS963" t="n">
        <v>41.096575285</v>
      </c>
      <c r="AT963" t="n">
        <v>87.18606638599999</v>
      </c>
      <c r="AU963" t="n">
        <v/>
      </c>
    </row>
    <row r="964">
      <c r="A964" s="105" t="n">
        <v>36220</v>
      </c>
      <c r="B964" t="n">
        <v>64.86399517</v>
      </c>
      <c r="C964" t="n">
        <v>69.483243964</v>
      </c>
      <c r="D964" t="n">
        <v>76.549811318</v>
      </c>
      <c r="E964" t="n">
        <v>88.19093124699999</v>
      </c>
      <c r="F964" t="n">
        <v/>
      </c>
      <c r="G964" t="n">
        <v/>
      </c>
      <c r="H964" t="n">
        <v>65.41559858700001</v>
      </c>
      <c r="I964" t="n">
        <v>64.858590287</v>
      </c>
      <c r="J964" t="n">
        <v>57.842047289</v>
      </c>
      <c r="K964" t="n">
        <v>74.30619218299999</v>
      </c>
      <c r="L964" t="n">
        <v>104.503611241</v>
      </c>
      <c r="M964" t="n">
        <v>88.49262561499999</v>
      </c>
      <c r="N964" t="n">
        <v>115.14009595</v>
      </c>
      <c r="O964" t="n">
        <v>38.035497879</v>
      </c>
      <c r="P964" t="n">
        <v/>
      </c>
      <c r="Q964" t="n">
        <v>90.915152525</v>
      </c>
      <c r="R964" t="n">
        <v>102.059149507</v>
      </c>
      <c r="S964" t="n">
        <v>90.73359229899999</v>
      </c>
      <c r="T964" t="n">
        <v>96.356561726</v>
      </c>
      <c r="U964" t="n">
        <v/>
      </c>
      <c r="V964" t="n">
        <v>135.674958825</v>
      </c>
      <c r="W964" t="n">
        <v>47.169596455</v>
      </c>
      <c r="X964" t="n">
        <v>39.213977673</v>
      </c>
      <c r="Y964" t="n">
        <v/>
      </c>
      <c r="Z964" t="n">
        <v>35.418921917</v>
      </c>
      <c r="AA964" t="n">
        <v>27.354662227</v>
      </c>
      <c r="AB964" t="n">
        <v>61.426211384</v>
      </c>
      <c r="AC964" t="n">
        <v>121.389884176</v>
      </c>
      <c r="AD964" t="n">
        <v>100.879235944</v>
      </c>
      <c r="AE964" t="n">
        <v>39.279</v>
      </c>
      <c r="AF964" t="n">
        <v>84.228792591</v>
      </c>
      <c r="AG964" t="n">
        <v/>
      </c>
      <c r="AH964" t="n">
        <v>88.83422025500001</v>
      </c>
      <c r="AI964" t="n">
        <v>89.15006348199999</v>
      </c>
      <c r="AJ964" t="n">
        <v>116.65628144</v>
      </c>
      <c r="AK964" t="n">
        <v/>
      </c>
      <c r="AL964" t="n">
        <v>82.133099159</v>
      </c>
      <c r="AM964" t="n">
        <v>43.255241664</v>
      </c>
      <c r="AN964" t="n">
        <v>125.243786954</v>
      </c>
      <c r="AO964" t="n">
        <v>52.22016162</v>
      </c>
      <c r="AP964" t="n">
        <v>38.57312165</v>
      </c>
      <c r="AQ964" t="n">
        <v>71.96952314000001</v>
      </c>
      <c r="AR964" t="n">
        <v>95.45040629099999</v>
      </c>
      <c r="AS964" t="n">
        <v>41.996500292</v>
      </c>
      <c r="AT964" t="n">
        <v>87.368617108</v>
      </c>
      <c r="AU964" t="n">
        <v/>
      </c>
    </row>
    <row r="965">
      <c r="A965" s="105" t="n">
        <v>36251</v>
      </c>
      <c r="B965" t="n">
        <v>65.37074513</v>
      </c>
      <c r="C965" t="n">
        <v>69.59957882499999</v>
      </c>
      <c r="D965" t="n">
        <v>77.874931289</v>
      </c>
      <c r="E965" t="n">
        <v>88.72947037</v>
      </c>
      <c r="F965" t="n">
        <v/>
      </c>
      <c r="G965" t="n">
        <v/>
      </c>
      <c r="H965" t="n">
        <v>65.160969209</v>
      </c>
      <c r="I965" t="n">
        <v>65.365298022</v>
      </c>
      <c r="J965" t="n">
        <v>59.338672163</v>
      </c>
      <c r="K965" t="n">
        <v>74.80623385299999</v>
      </c>
      <c r="L965" t="n">
        <v>98.18985139500001</v>
      </c>
      <c r="M965" t="n">
        <v>89.092575619</v>
      </c>
      <c r="N965" t="n">
        <v>117.070097558</v>
      </c>
      <c r="O965" t="n">
        <v>38.668573891</v>
      </c>
      <c r="P965" t="n">
        <v/>
      </c>
      <c r="Q965" t="n">
        <v>91.615269212</v>
      </c>
      <c r="R965" t="n">
        <v>102.879142674</v>
      </c>
      <c r="S965" t="n">
        <v>90.57810287700001</v>
      </c>
      <c r="T965" t="n">
        <v>96.03820304200001</v>
      </c>
      <c r="U965" t="n">
        <v/>
      </c>
      <c r="V965" t="n">
        <v>135.53260842</v>
      </c>
      <c r="W965" t="n">
        <v>47.462939716</v>
      </c>
      <c r="X965" t="n">
        <v>39.832340466</v>
      </c>
      <c r="Y965" t="n">
        <v/>
      </c>
      <c r="Z965" t="n">
        <v>36.310337737</v>
      </c>
      <c r="AA965" t="n">
        <v>27.940197546</v>
      </c>
      <c r="AB965" t="n">
        <v>62.686954605</v>
      </c>
      <c r="AC965" t="n">
        <v>120.48995917</v>
      </c>
      <c r="AD965" t="n">
        <v>99.17842690800001</v>
      </c>
      <c r="AE965" t="n">
        <v>38.909</v>
      </c>
      <c r="AF965" t="n">
        <v>85.963304178</v>
      </c>
      <c r="AG965" t="n">
        <v/>
      </c>
      <c r="AH965" t="n">
        <v>88.831813584</v>
      </c>
      <c r="AI965" t="n">
        <v>87.549692755</v>
      </c>
      <c r="AJ965" t="n">
        <v>113.376348504</v>
      </c>
      <c r="AK965" t="n">
        <v/>
      </c>
      <c r="AL965" t="n">
        <v>81.994643403</v>
      </c>
      <c r="AM965" t="n">
        <v>43.190593437</v>
      </c>
      <c r="AN965" t="n">
        <v>128.012888298</v>
      </c>
      <c r="AO965" t="n">
        <v>51.605960837</v>
      </c>
      <c r="AP965" t="n">
        <v>38.853256189</v>
      </c>
      <c r="AQ965" t="n">
        <v>70.00926375500001</v>
      </c>
      <c r="AR965" t="n">
        <v>93.830887202</v>
      </c>
      <c r="AS965" t="n">
        <v>41.396550287</v>
      </c>
      <c r="AT965" t="n">
        <v>87.56742981799999</v>
      </c>
      <c r="AU965" t="n">
        <v/>
      </c>
    </row>
    <row r="966">
      <c r="A966" s="105" t="n">
        <v>36281</v>
      </c>
      <c r="B966" t="n">
        <v>66.29978672999999</v>
      </c>
      <c r="C966" t="n">
        <v>69.607146998</v>
      </c>
      <c r="D966" t="n">
        <v>79.28780755</v>
      </c>
      <c r="E966" t="n">
        <v>88.564136451</v>
      </c>
      <c r="F966" t="n">
        <v/>
      </c>
      <c r="G966" t="n">
        <v/>
      </c>
      <c r="H966" t="n">
        <v>65.53838088000001</v>
      </c>
      <c r="I966" t="n">
        <v>66.29426220800001</v>
      </c>
      <c r="J966" t="n">
        <v>61.476699984</v>
      </c>
      <c r="K966" t="n">
        <v>75.306275523</v>
      </c>
      <c r="L966" t="n">
        <v>101.782163032</v>
      </c>
      <c r="M966" t="n">
        <v>89.192567286</v>
      </c>
      <c r="N966" t="n">
        <v>117.008097507</v>
      </c>
      <c r="O966" t="n">
        <v>38.122818709</v>
      </c>
      <c r="P966" t="n">
        <v/>
      </c>
      <c r="Q966" t="n">
        <v>91.515252542</v>
      </c>
      <c r="R966" t="n">
        <v>103.279139341</v>
      </c>
      <c r="S966" t="n">
        <v>91.18686895800001</v>
      </c>
      <c r="T966" t="n">
        <v>96.781039972</v>
      </c>
      <c r="U966" t="n">
        <v/>
      </c>
      <c r="V966" t="n">
        <v>139.139351488</v>
      </c>
      <c r="W966" t="n">
        <v>47.05225915</v>
      </c>
      <c r="X966" t="n">
        <v>40.783732711</v>
      </c>
      <c r="Y966" t="n">
        <v/>
      </c>
      <c r="Z966" t="n">
        <v>36.726331787</v>
      </c>
      <c r="AA966" t="n">
        <v>28.180804293</v>
      </c>
      <c r="AB966" t="n">
        <v>62.266706865</v>
      </c>
      <c r="AC966" t="n">
        <v>119.590034164</v>
      </c>
      <c r="AD966" t="n">
        <v>100.772935379</v>
      </c>
      <c r="AE966" t="n">
        <v>41.035</v>
      </c>
      <c r="AF966" t="n">
        <v>87.622188935</v>
      </c>
      <c r="AG966" t="n">
        <v/>
      </c>
      <c r="AH966" t="n">
        <v>88.61556397299999</v>
      </c>
      <c r="AI966" t="n">
        <v>87.45555330000001</v>
      </c>
      <c r="AJ966" t="n">
        <v>116.437619244</v>
      </c>
      <c r="AK966" t="n">
        <v/>
      </c>
      <c r="AL966" t="n">
        <v>82.737634146</v>
      </c>
      <c r="AM966" t="n">
        <v>44.88678247</v>
      </c>
      <c r="AN966" t="n">
        <v>125.528123196</v>
      </c>
      <c r="AO966" t="n">
        <v>51.775948903</v>
      </c>
      <c r="AP966" t="n">
        <v>39.897249369</v>
      </c>
      <c r="AQ966" t="n">
        <v>72.062868825</v>
      </c>
      <c r="AR966" t="n">
        <v>94.843086633</v>
      </c>
      <c r="AS966" t="n">
        <v>42.796433631</v>
      </c>
      <c r="AT966" t="n">
        <v>88.10100148399999</v>
      </c>
      <c r="AU966" t="n">
        <v/>
      </c>
    </row>
    <row r="967">
      <c r="A967" s="105" t="n">
        <v>36312</v>
      </c>
      <c r="B967" t="n">
        <v>66.72207836</v>
      </c>
      <c r="C967" t="n">
        <v>69.693647845</v>
      </c>
      <c r="D967" t="n">
        <v>78.726167297</v>
      </c>
      <c r="E967" t="n">
        <v>89.779795553</v>
      </c>
      <c r="F967" t="n">
        <v/>
      </c>
      <c r="G967" t="n">
        <v/>
      </c>
      <c r="H967" t="n">
        <v>65.388258655</v>
      </c>
      <c r="I967" t="n">
        <v>66.71651865</v>
      </c>
      <c r="J967" t="n">
        <v>59.301536841</v>
      </c>
      <c r="K967" t="n">
        <v>75.306275523</v>
      </c>
      <c r="L967" t="n">
        <v>101.23787339</v>
      </c>
      <c r="M967" t="n">
        <v>89.89250895799999</v>
      </c>
      <c r="N967" t="n">
        <v>118.161098468</v>
      </c>
      <c r="O967" t="n">
        <v>40.080260631</v>
      </c>
      <c r="P967" t="n">
        <v/>
      </c>
      <c r="Q967" t="n">
        <v>92.115352559</v>
      </c>
      <c r="R967" t="n">
        <v>104.689127591</v>
      </c>
      <c r="S967" t="n">
        <v>91.23465027</v>
      </c>
      <c r="T967" t="n">
        <v>96.250442165</v>
      </c>
      <c r="U967" t="n">
        <v/>
      </c>
      <c r="V967" t="n">
        <v>139.18921376</v>
      </c>
      <c r="W967" t="n">
        <v>48.460306806</v>
      </c>
      <c r="X967" t="n">
        <v>40.363606831</v>
      </c>
      <c r="Y967" t="n">
        <v/>
      </c>
      <c r="Z967" t="n">
        <v>37.558319885</v>
      </c>
      <c r="AA967" t="n">
        <v>28.112778014</v>
      </c>
      <c r="AB967" t="n">
        <v>63.037161055</v>
      </c>
      <c r="AC967" t="n">
        <v>121.489875844</v>
      </c>
      <c r="AD967" t="n">
        <v>100.028831426</v>
      </c>
      <c r="AE967" t="n">
        <v>41.312</v>
      </c>
      <c r="AF967" t="n">
        <v>86.751214968</v>
      </c>
      <c r="AG967" t="n">
        <v/>
      </c>
      <c r="AH967" t="n">
        <v>88.500145523</v>
      </c>
      <c r="AI967" t="n">
        <v>90.279736937</v>
      </c>
      <c r="AJ967" t="n">
        <v>116.874943636</v>
      </c>
      <c r="AK967" t="n">
        <v/>
      </c>
      <c r="AL967" t="n">
        <v>82.822935297</v>
      </c>
      <c r="AM967" t="n">
        <v>43.20903283</v>
      </c>
      <c r="AN967" t="n">
        <v>129.506101128</v>
      </c>
      <c r="AO967" t="n">
        <v>51.417394315</v>
      </c>
      <c r="AP967" t="n">
        <v>38.494735573</v>
      </c>
      <c r="AQ967" t="n">
        <v>73.556399785</v>
      </c>
      <c r="AR967" t="n">
        <v>95.349186348</v>
      </c>
      <c r="AS967" t="n">
        <v>42.796433631</v>
      </c>
      <c r="AT967" t="n">
        <v>88.05052982799999</v>
      </c>
      <c r="AU967" t="n">
        <v/>
      </c>
    </row>
    <row r="968">
      <c r="A968" s="105" t="n">
        <v>36342</v>
      </c>
      <c r="B968" t="n">
        <v>65.8774951</v>
      </c>
      <c r="C968" t="n">
        <v>70.649339036</v>
      </c>
      <c r="D968" t="n">
        <v>77.743296855</v>
      </c>
      <c r="E968" t="n">
        <v>90.290243961</v>
      </c>
      <c r="F968" t="n">
        <v/>
      </c>
      <c r="G968" t="n">
        <v/>
      </c>
      <c r="H968" t="n">
        <v>65.701416377</v>
      </c>
      <c r="I968" t="n">
        <v>65.872005766</v>
      </c>
      <c r="J968" t="n">
        <v>58.99499379</v>
      </c>
      <c r="K968" t="n">
        <v>75.90632552700001</v>
      </c>
      <c r="L968" t="n">
        <v>99.713862393</v>
      </c>
      <c r="M968" t="n">
        <v>90.592450629</v>
      </c>
      <c r="N968" t="n">
        <v>119.770099808</v>
      </c>
      <c r="O968" t="n">
        <v>40.080260631</v>
      </c>
      <c r="P968" t="n">
        <v/>
      </c>
      <c r="Q968" t="n">
        <v>91.615269212</v>
      </c>
      <c r="R968" t="n">
        <v>104.949125424</v>
      </c>
      <c r="S968" t="n">
        <v>91.83656593800001</v>
      </c>
      <c r="T968" t="n">
        <v>97.736116024</v>
      </c>
      <c r="U968" t="n">
        <v/>
      </c>
      <c r="V968" t="n">
        <v>142.552477336</v>
      </c>
      <c r="W968" t="n">
        <v>49.046993329</v>
      </c>
      <c r="X968" t="n">
        <v>40.792419488</v>
      </c>
      <c r="Y968" t="n">
        <v/>
      </c>
      <c r="Z968" t="n">
        <v>39.935428739</v>
      </c>
      <c r="AA968" t="n">
        <v>27.502276752</v>
      </c>
      <c r="AB968" t="n">
        <v>64.017739116</v>
      </c>
      <c r="AC968" t="n">
        <v>122.38980085</v>
      </c>
      <c r="AD968" t="n">
        <v>100.56033425</v>
      </c>
      <c r="AE968" t="n">
        <v>42.606</v>
      </c>
      <c r="AF968" t="n">
        <v>87.206023509</v>
      </c>
      <c r="AG968" t="n">
        <v/>
      </c>
      <c r="AH968" t="n">
        <v>89.366386498</v>
      </c>
      <c r="AI968" t="n">
        <v>90.09145802800001</v>
      </c>
      <c r="AJ968" t="n">
        <v>119.170896691</v>
      </c>
      <c r="AK968" t="n">
        <v/>
      </c>
      <c r="AL968" t="n">
        <v>83.42472464399999</v>
      </c>
      <c r="AM968" t="n">
        <v>44.288510894</v>
      </c>
      <c r="AN968" t="n">
        <v>126.503024963</v>
      </c>
      <c r="AO968" t="n">
        <v>52.828147506</v>
      </c>
      <c r="AP968" t="n">
        <v>38.597724172</v>
      </c>
      <c r="AQ968" t="n">
        <v>72.249560195</v>
      </c>
      <c r="AR968" t="n">
        <v>95.04552651900001</v>
      </c>
      <c r="AS968" t="n">
        <v>42.096491959</v>
      </c>
      <c r="AT968" t="n">
        <v>88.560303465</v>
      </c>
      <c r="AU968" t="n">
        <v/>
      </c>
    </row>
    <row r="969">
      <c r="A969" s="105" t="n">
        <v>36373</v>
      </c>
      <c r="B969" t="n">
        <v>66.89099502000001</v>
      </c>
      <c r="C969" t="n">
        <v>71.088705133</v>
      </c>
      <c r="D969" t="n">
        <v>79.04208993899999</v>
      </c>
      <c r="E969" t="n">
        <v>91.151692532</v>
      </c>
      <c r="F969" t="n">
        <v/>
      </c>
      <c r="G969" t="n">
        <v/>
      </c>
      <c r="H969" t="n">
        <v>67.141388283</v>
      </c>
      <c r="I969" t="n">
        <v>66.885421235</v>
      </c>
      <c r="J969" t="n">
        <v>59.922675559</v>
      </c>
      <c r="K969" t="n">
        <v>76.606383865</v>
      </c>
      <c r="L969" t="n">
        <v>97.86327761</v>
      </c>
      <c r="M969" t="n">
        <v>90.492458962</v>
      </c>
      <c r="N969" t="n">
        <v>118.563098803</v>
      </c>
      <c r="O969" t="n">
        <v>40.080260631</v>
      </c>
      <c r="P969" t="n">
        <v/>
      </c>
      <c r="Q969" t="n">
        <v>90.515085848</v>
      </c>
      <c r="R969" t="n">
        <v>102.989141757</v>
      </c>
      <c r="S969" t="n">
        <v>92.322062398</v>
      </c>
      <c r="T969" t="n">
        <v>98.47895295399999</v>
      </c>
      <c r="U969" t="n">
        <v/>
      </c>
      <c r="V969" t="n">
        <v>140.97234997</v>
      </c>
      <c r="W969" t="n">
        <v>50.689715593</v>
      </c>
      <c r="X969" t="n">
        <v>41.1175818</v>
      </c>
      <c r="Y969" t="n">
        <v/>
      </c>
      <c r="Z969" t="n">
        <v>38.568591148</v>
      </c>
      <c r="AA969" t="n">
        <v>26.603115731</v>
      </c>
      <c r="AB969" t="n">
        <v>64.437986857</v>
      </c>
      <c r="AC969" t="n">
        <v>123.189734189</v>
      </c>
      <c r="AD969" t="n">
        <v>101.517039333</v>
      </c>
      <c r="AE969" t="n">
        <v>42.606</v>
      </c>
      <c r="AF969" t="n">
        <v>93.112011975</v>
      </c>
      <c r="AG969" t="n">
        <v/>
      </c>
      <c r="AH969" t="n">
        <v>88.642536183</v>
      </c>
      <c r="AI969" t="n">
        <v>89.71490021</v>
      </c>
      <c r="AJ969" t="n">
        <v>119.389558887</v>
      </c>
      <c r="AK969" t="n">
        <v/>
      </c>
      <c r="AL969" t="n">
        <v>83.570260972</v>
      </c>
      <c r="AM969" t="n">
        <v>44.72270611</v>
      </c>
      <c r="AN969" t="n">
        <v>128.29043375</v>
      </c>
      <c r="AO969" t="n">
        <v>52.935971997</v>
      </c>
      <c r="AP969" t="n">
        <v>39.478560288</v>
      </c>
      <c r="AQ969" t="n">
        <v>73.183017045</v>
      </c>
      <c r="AR969" t="n">
        <v>93.527227373</v>
      </c>
      <c r="AS969" t="n">
        <v>39.596700275</v>
      </c>
      <c r="AT969" t="n">
        <v>88.955945715</v>
      </c>
      <c r="AU969" t="n">
        <v/>
      </c>
    </row>
    <row r="970">
      <c r="A970" s="105" t="n">
        <v>36404</v>
      </c>
      <c r="B970" t="n">
        <v>67.56666164000001</v>
      </c>
      <c r="C970" t="n">
        <v>71.11072477099999</v>
      </c>
      <c r="D970" t="n">
        <v>80.06883852599999</v>
      </c>
      <c r="E970" t="n">
        <v>92.364676328</v>
      </c>
      <c r="F970" t="n">
        <v/>
      </c>
      <c r="G970" t="n">
        <v/>
      </c>
      <c r="H970" t="n">
        <v>65.663726387</v>
      </c>
      <c r="I970" t="n">
        <v>67.561031554</v>
      </c>
      <c r="J970" t="n">
        <v>59.2983502</v>
      </c>
      <c r="K970" t="n">
        <v>76.306358863</v>
      </c>
      <c r="L970" t="n">
        <v>103.741605743</v>
      </c>
      <c r="M970" t="n">
        <v>91.29239230100001</v>
      </c>
      <c r="N970" t="n">
        <v>119.906099922</v>
      </c>
      <c r="O970" t="n">
        <v>39.898342237</v>
      </c>
      <c r="P970" t="n">
        <v/>
      </c>
      <c r="Q970" t="n">
        <v>92.815469245</v>
      </c>
      <c r="R970" t="n">
        <v>105.809118257</v>
      </c>
      <c r="S970" t="n">
        <v>92.530295091</v>
      </c>
      <c r="T970" t="n">
        <v>99.115670322</v>
      </c>
      <c r="U970" t="n">
        <v/>
      </c>
      <c r="V970" t="n">
        <v>141.09967255</v>
      </c>
      <c r="W970" t="n">
        <v>51.745751335</v>
      </c>
      <c r="X970" t="n">
        <v>41.099661293</v>
      </c>
      <c r="Y970" t="n">
        <v/>
      </c>
      <c r="Z970" t="n">
        <v>41.183410887</v>
      </c>
      <c r="AA970" t="n">
        <v>27.186430866</v>
      </c>
      <c r="AB970" t="n">
        <v>65.62868878800001</v>
      </c>
      <c r="AC970" t="n">
        <v>123.689692526</v>
      </c>
      <c r="AD970" t="n">
        <v>102.261143286</v>
      </c>
      <c r="AE970" t="n">
        <v>44.732</v>
      </c>
      <c r="AF970" t="n">
        <v>93.96993266</v>
      </c>
      <c r="AG970" t="n">
        <v/>
      </c>
      <c r="AH970" t="n">
        <v>88.99275170999999</v>
      </c>
      <c r="AI970" t="n">
        <v>89.244202937</v>
      </c>
      <c r="AJ970" t="n">
        <v>117.749592419</v>
      </c>
      <c r="AK970" t="n">
        <v/>
      </c>
      <c r="AL970" t="n">
        <v>84.075103404</v>
      </c>
      <c r="AM970" t="n">
        <v>45.581984377</v>
      </c>
      <c r="AN970" t="n">
        <v>125.714692426</v>
      </c>
      <c r="AO970" t="n">
        <v>53.562857302</v>
      </c>
      <c r="AP970" t="n">
        <v>38.866458927</v>
      </c>
      <c r="AQ970" t="n">
        <v>74.116473895</v>
      </c>
      <c r="AR970" t="n">
        <v>96.76626555</v>
      </c>
      <c r="AS970" t="n">
        <v>40.696608616</v>
      </c>
      <c r="AT970" t="n">
        <v>88.581325058</v>
      </c>
      <c r="AU970" t="n">
        <v/>
      </c>
    </row>
    <row r="971">
      <c r="A971" s="105" t="n">
        <v>36434</v>
      </c>
      <c r="B971" t="n">
        <v>68.24232825999999</v>
      </c>
      <c r="C971" t="n">
        <v>71.571746795</v>
      </c>
      <c r="D971" t="n">
        <v>81.36763161099999</v>
      </c>
      <c r="E971" t="n">
        <v>91.85101755300001</v>
      </c>
      <c r="F971" t="n">
        <v/>
      </c>
      <c r="G971" t="n">
        <v/>
      </c>
      <c r="H971" t="n">
        <v>68.312692494</v>
      </c>
      <c r="I971" t="n">
        <v>68.236641873</v>
      </c>
      <c r="J971" t="n">
        <v>59.766616304</v>
      </c>
      <c r="K971" t="n">
        <v>77.106425535</v>
      </c>
      <c r="L971" t="n">
        <v>106.680769809</v>
      </c>
      <c r="M971" t="n">
        <v>92.29230897399999</v>
      </c>
      <c r="N971" t="n">
        <v>120.409100341</v>
      </c>
      <c r="O971" t="n">
        <v>41.76846333</v>
      </c>
      <c r="P971" t="n">
        <v/>
      </c>
      <c r="Q971" t="n">
        <v>91.81530255</v>
      </c>
      <c r="R971" t="n">
        <v>107.149107091</v>
      </c>
      <c r="S971" t="n">
        <v>93.23742426699999</v>
      </c>
      <c r="T971" t="n">
        <v>99.009550761</v>
      </c>
      <c r="U971" t="n">
        <v/>
      </c>
      <c r="V971" t="n">
        <v>143.474789538</v>
      </c>
      <c r="W971" t="n">
        <v>52.39110651</v>
      </c>
      <c r="X971" t="n">
        <v>40.789719106</v>
      </c>
      <c r="Y971" t="n">
        <v/>
      </c>
      <c r="Z971" t="n">
        <v>42.431393035</v>
      </c>
      <c r="AA971" t="n">
        <v>27.838481428</v>
      </c>
      <c r="AB971" t="n">
        <v>65.48860620799999</v>
      </c>
      <c r="AC971" t="n">
        <v>124.889592534</v>
      </c>
      <c r="AD971" t="n">
        <v>102.154842721</v>
      </c>
      <c r="AE971" t="n">
        <v>44.824</v>
      </c>
      <c r="AF971" t="n">
        <v>93.063979984</v>
      </c>
      <c r="AG971" t="n">
        <v/>
      </c>
      <c r="AH971" t="n">
        <v>89.04231539200001</v>
      </c>
      <c r="AI971" t="n">
        <v>89.809039664</v>
      </c>
      <c r="AJ971" t="n">
        <v>116.218957049</v>
      </c>
      <c r="AK971" t="n">
        <v/>
      </c>
      <c r="AL971" t="n">
        <v>84.64162880799999</v>
      </c>
      <c r="AM971" t="n">
        <v>45.985215581</v>
      </c>
      <c r="AN971" t="n">
        <v>127.538312901</v>
      </c>
      <c r="AO971" t="n">
        <v>51.908664037</v>
      </c>
      <c r="AP971" t="n">
        <v>39.163928977</v>
      </c>
      <c r="AQ971" t="n">
        <v>75.51665917</v>
      </c>
      <c r="AR971" t="n">
        <v>96.76626555</v>
      </c>
      <c r="AS971" t="n">
        <v>40.396633614</v>
      </c>
      <c r="AT971" t="n">
        <v>89.73086906899999</v>
      </c>
      <c r="AU971" t="n">
        <v/>
      </c>
    </row>
    <row r="972">
      <c r="A972" s="105" t="n">
        <v>36465</v>
      </c>
      <c r="B972" t="n">
        <v>72.21186963</v>
      </c>
      <c r="C972" t="n">
        <v>73.557604313</v>
      </c>
      <c r="D972" t="n">
        <v>80.744561956</v>
      </c>
      <c r="E972" t="n">
        <v>93.028419777</v>
      </c>
      <c r="F972" t="n">
        <v/>
      </c>
      <c r="G972" t="n">
        <v/>
      </c>
      <c r="H972" t="n">
        <v>70.49826755399999</v>
      </c>
      <c r="I972" t="n">
        <v>72.205852476</v>
      </c>
      <c r="J972" t="n">
        <v>59.154468377</v>
      </c>
      <c r="K972" t="n">
        <v>77.006417201</v>
      </c>
      <c r="L972" t="n">
        <v>108.422496663</v>
      </c>
      <c r="M972" t="n">
        <v>92.69227564400001</v>
      </c>
      <c r="N972" t="n">
        <v>121.170100975</v>
      </c>
      <c r="O972" t="n">
        <v>41.179047733</v>
      </c>
      <c r="P972" t="n">
        <v/>
      </c>
      <c r="Q972" t="n">
        <v>91.715285881</v>
      </c>
      <c r="R972" t="n">
        <v>107.229106424</v>
      </c>
      <c r="S972" t="n">
        <v>93.795256189</v>
      </c>
      <c r="T972" t="n">
        <v>99.964626813</v>
      </c>
      <c r="U972" t="n">
        <v/>
      </c>
      <c r="V972" t="n">
        <v>142.634529371</v>
      </c>
      <c r="W972" t="n">
        <v>53.15379899</v>
      </c>
      <c r="X972" t="n">
        <v>40.780961533</v>
      </c>
      <c r="Y972" t="n">
        <v/>
      </c>
      <c r="Z972" t="n">
        <v>41.123983166</v>
      </c>
      <c r="AA972" t="n">
        <v>28.853140618</v>
      </c>
      <c r="AB972" t="n">
        <v>66.74934942900001</v>
      </c>
      <c r="AC972" t="n">
        <v>125.689525873</v>
      </c>
      <c r="AD972" t="n">
        <v>103.217848369</v>
      </c>
      <c r="AE972" t="n">
        <v>46.858</v>
      </c>
      <c r="AF972" t="n">
        <v>91.395924984</v>
      </c>
      <c r="AG972" t="n">
        <v/>
      </c>
      <c r="AH972" t="n">
        <v>90.131493475</v>
      </c>
      <c r="AI972" t="n">
        <v>91.503549847</v>
      </c>
      <c r="AJ972" t="n">
        <v>120.373538768</v>
      </c>
      <c r="AK972" t="n">
        <v/>
      </c>
      <c r="AL972" t="n">
        <v>85.39854928699999</v>
      </c>
      <c r="AM972" t="n">
        <v>46.436140384</v>
      </c>
      <c r="AN972" t="n">
        <v>129.377620238</v>
      </c>
      <c r="AO972" t="n">
        <v>53.399551364</v>
      </c>
      <c r="AP972" t="n">
        <v>39.721401471</v>
      </c>
      <c r="AQ972" t="n">
        <v>74.58320232</v>
      </c>
      <c r="AR972" t="n">
        <v>97.06992538</v>
      </c>
      <c r="AS972" t="n">
        <v>40.996583618</v>
      </c>
      <c r="AT972" t="n">
        <v>90.19949194500001</v>
      </c>
      <c r="AU972" t="n">
        <v/>
      </c>
    </row>
    <row r="973">
      <c r="A973" s="105" t="n">
        <v>36495</v>
      </c>
      <c r="B973" t="n">
        <v>68.74907822</v>
      </c>
      <c r="C973" t="n">
        <v>72.166079422</v>
      </c>
      <c r="D973" t="n">
        <v>81.45538790000001</v>
      </c>
      <c r="E973" t="n">
        <v>94.47870322599999</v>
      </c>
      <c r="F973" t="n">
        <v/>
      </c>
      <c r="G973" t="n">
        <v/>
      </c>
      <c r="H973" t="n">
        <v>70.86373548500001</v>
      </c>
      <c r="I973" t="n">
        <v>68.743349608</v>
      </c>
      <c r="J973" t="n">
        <v>59.134434433</v>
      </c>
      <c r="K973" t="n">
        <v>77.106425535</v>
      </c>
      <c r="L973" t="n">
        <v>110.926229015</v>
      </c>
      <c r="M973" t="n">
        <v>92.392300642</v>
      </c>
      <c r="N973" t="n">
        <v>122.011101676</v>
      </c>
      <c r="O973" t="n">
        <v>41.310028977</v>
      </c>
      <c r="P973" t="n">
        <v/>
      </c>
      <c r="Q973" t="n">
        <v>98.916486081</v>
      </c>
      <c r="R973" t="n">
        <v>106.309114091</v>
      </c>
      <c r="S973" t="n">
        <v>93.942238205</v>
      </c>
      <c r="T973" t="n">
        <v>98.58507251499999</v>
      </c>
      <c r="U973" t="n">
        <v/>
      </c>
      <c r="V973" t="n">
        <v>145.232629146</v>
      </c>
      <c r="W973" t="n">
        <v>51.100396159</v>
      </c>
      <c r="X973" t="n">
        <v>42.106048651</v>
      </c>
      <c r="Y973" t="n">
        <v/>
      </c>
      <c r="Z973" t="n">
        <v>41.361694051</v>
      </c>
      <c r="AA973" t="n">
        <v>30.053242463</v>
      </c>
      <c r="AB973" t="n">
        <v>67.379721039</v>
      </c>
      <c r="AC973" t="n">
        <v>124.28964253</v>
      </c>
      <c r="AD973" t="n">
        <v>103.111547804</v>
      </c>
      <c r="AE973" t="n">
        <v>46.673</v>
      </c>
      <c r="AF973" t="n">
        <v>93.35796343299999</v>
      </c>
      <c r="AG973" t="n">
        <v/>
      </c>
      <c r="AH973" t="n">
        <v>90.412879409</v>
      </c>
      <c r="AI973" t="n">
        <v>91.22113148299999</v>
      </c>
      <c r="AJ973" t="n">
        <v>122.560160726</v>
      </c>
      <c r="AK973" t="n">
        <v/>
      </c>
      <c r="AL973" t="n">
        <v>85.60027768099999</v>
      </c>
      <c r="AM973" t="n">
        <v>49.167312702</v>
      </c>
      <c r="AN973" t="n">
        <v>129.295579174</v>
      </c>
      <c r="AO973" t="n">
        <v>62.040222335</v>
      </c>
      <c r="AP973" t="n">
        <v>39.227069563</v>
      </c>
      <c r="AQ973" t="n">
        <v>75.89004190999999</v>
      </c>
      <c r="AR973" t="n">
        <v>96.665045607</v>
      </c>
      <c r="AS973" t="n">
        <v>41.196566953</v>
      </c>
      <c r="AT973" t="n">
        <v>90.908871559</v>
      </c>
      <c r="AU973" t="n">
        <v/>
      </c>
    </row>
    <row r="974">
      <c r="A974" s="105" t="n">
        <v>36526</v>
      </c>
      <c r="B974" t="n">
        <v>66.55316171</v>
      </c>
      <c r="C974" t="n">
        <v>64.894592117</v>
      </c>
      <c r="D974" t="n">
        <v>80.68313255299999</v>
      </c>
      <c r="E974" t="n">
        <v>94.841207205</v>
      </c>
      <c r="F974" t="n">
        <v/>
      </c>
      <c r="G974" t="n">
        <v/>
      </c>
      <c r="H974" t="n">
        <v>70.69221692799999</v>
      </c>
      <c r="I974" t="n">
        <v>66.54761607499999</v>
      </c>
      <c r="J974" t="n">
        <v>58.490251625</v>
      </c>
      <c r="K974" t="n">
        <v>76.506375531</v>
      </c>
      <c r="L974" t="n">
        <v>107</v>
      </c>
      <c r="M974" t="n">
        <v>92.09232564</v>
      </c>
      <c r="N974" t="n">
        <v>122.485102071</v>
      </c>
      <c r="O974" t="n">
        <v>44.303691974</v>
      </c>
      <c r="P974" t="n">
        <v/>
      </c>
      <c r="Q974" t="n">
        <v>96.016002667</v>
      </c>
      <c r="R974" t="n">
        <v>107.069107757</v>
      </c>
      <c r="S974" t="n">
        <v>93.91701566499999</v>
      </c>
      <c r="T974" t="n">
        <v>99.009550761</v>
      </c>
      <c r="U974" t="n">
        <v/>
      </c>
      <c r="V974" t="n">
        <v>149.163267005</v>
      </c>
      <c r="W974" t="n">
        <v>53.704475373</v>
      </c>
      <c r="X974" t="n">
        <v>41.64200364</v>
      </c>
      <c r="Y974" t="n">
        <v/>
      </c>
      <c r="Z974" t="n">
        <v>38.806302033</v>
      </c>
      <c r="AA974" t="n">
        <v>28.944346335</v>
      </c>
      <c r="AB974" t="n">
        <v>64.648110727</v>
      </c>
      <c r="AC974" t="n">
        <v>124.589617532</v>
      </c>
      <c r="AD974" t="n">
        <v>103.005247239</v>
      </c>
      <c r="AE974" t="n">
        <v>47.733</v>
      </c>
      <c r="AF974" t="n">
        <v>86.99275060399999</v>
      </c>
      <c r="AG974" t="n">
        <v>57.2</v>
      </c>
      <c r="AH974" t="n">
        <v>91.58931336000001</v>
      </c>
      <c r="AI974" t="n">
        <v>92.25666548300001</v>
      </c>
      <c r="AJ974" t="n">
        <v>120.093095423</v>
      </c>
      <c r="AK974" t="n">
        <v/>
      </c>
      <c r="AL974" t="n">
        <v>85.426516535</v>
      </c>
      <c r="AM974" t="n">
        <v>44.7</v>
      </c>
      <c r="AN974" t="n">
        <v>127.85472502</v>
      </c>
      <c r="AO974" t="n">
        <v>58.046960041</v>
      </c>
      <c r="AP974" t="n">
        <v>39.903325277</v>
      </c>
      <c r="AQ974" t="n">
        <v>74.116473895</v>
      </c>
      <c r="AR974" t="n">
        <v>92.992250646</v>
      </c>
      <c r="AS974" t="n">
        <v>41.496541955</v>
      </c>
      <c r="AT974" t="n">
        <v>90.855028515</v>
      </c>
      <c r="AU974" t="n">
        <v/>
      </c>
    </row>
    <row r="975">
      <c r="A975" s="105" t="n">
        <v>36557</v>
      </c>
      <c r="B975" t="n">
        <v>69.67811982000001</v>
      </c>
      <c r="C975" t="n">
        <v>67.694358803</v>
      </c>
      <c r="D975" t="n">
        <v>80.7884401</v>
      </c>
      <c r="E975" t="n">
        <v>94.475492858</v>
      </c>
      <c r="F975" t="n">
        <v/>
      </c>
      <c r="G975" t="n">
        <v/>
      </c>
      <c r="H975" t="n">
        <v>69.496151336</v>
      </c>
      <c r="I975" t="n">
        <v>69.672313794</v>
      </c>
      <c r="J975" t="n">
        <v>60.089985002</v>
      </c>
      <c r="K975" t="n">
        <v>78.406533878</v>
      </c>
      <c r="L975" t="n">
        <v>107</v>
      </c>
      <c r="M975" t="n">
        <v>93.192233981</v>
      </c>
      <c r="N975" t="n">
        <v>122.977102481</v>
      </c>
      <c r="O975" t="n">
        <v>44.803733644</v>
      </c>
      <c r="P975" t="n">
        <v/>
      </c>
      <c r="Q975" t="n">
        <v>96.31605267499999</v>
      </c>
      <c r="R975" t="n">
        <v>107.389105091</v>
      </c>
      <c r="S975" t="n">
        <v>94.369434316</v>
      </c>
      <c r="T975" t="n">
        <v>99.221789883</v>
      </c>
      <c r="U975" t="n">
        <v/>
      </c>
      <c r="V975" t="n">
        <v>149.662809092</v>
      </c>
      <c r="W975" t="n">
        <v>53.904492041</v>
      </c>
      <c r="X975" t="n">
        <v>41.09041638</v>
      </c>
      <c r="Y975" t="n">
        <v/>
      </c>
      <c r="Z975" t="n">
        <v>38.806302033</v>
      </c>
      <c r="AA975" t="n">
        <v>28.234287129</v>
      </c>
      <c r="AB975" t="n">
        <v>68.01009265</v>
      </c>
      <c r="AC975" t="n">
        <v>125.189567536</v>
      </c>
      <c r="AD975" t="n">
        <v>102.898946674</v>
      </c>
      <c r="AE975" t="n">
        <v>47.833</v>
      </c>
      <c r="AF975" t="n">
        <v>89.69252562299999</v>
      </c>
      <c r="AG975" t="n">
        <v>57.3</v>
      </c>
      <c r="AH975" t="n">
        <v>92.230482997</v>
      </c>
      <c r="AI975" t="n">
        <v>93.103920575</v>
      </c>
      <c r="AJ975" t="n">
        <v>121.489526765</v>
      </c>
      <c r="AK975" t="n">
        <v/>
      </c>
      <c r="AL975" t="n">
        <v>86.06395662</v>
      </c>
      <c r="AM975" t="n">
        <v>46.1</v>
      </c>
      <c r="AN975" t="n">
        <v>128.878586682</v>
      </c>
      <c r="AO975" t="n">
        <v>56.083905774</v>
      </c>
      <c r="AP975" t="n">
        <v>40.703391949</v>
      </c>
      <c r="AQ975" t="n">
        <v>76.35677033499999</v>
      </c>
      <c r="AR975" t="n">
        <v>97.79185067900001</v>
      </c>
      <c r="AS975" t="n">
        <v>42.996416965</v>
      </c>
      <c r="AT975" t="n">
        <v>91.188696729</v>
      </c>
      <c r="AU975" t="n">
        <v/>
      </c>
    </row>
    <row r="976">
      <c r="A976" s="105" t="n">
        <v>36586</v>
      </c>
      <c r="B976" t="n">
        <v>69.42474482999999</v>
      </c>
      <c r="C976" t="n">
        <v>68.69427547700001</v>
      </c>
      <c r="D976" t="n">
        <v>82.11356007099999</v>
      </c>
      <c r="E976" t="n">
        <v>95.56889047</v>
      </c>
      <c r="F976" t="n">
        <v/>
      </c>
      <c r="G976" t="n">
        <v/>
      </c>
      <c r="H976" t="n">
        <v>69.906532078</v>
      </c>
      <c r="I976" t="n">
        <v>69.418959917</v>
      </c>
      <c r="J976" t="n">
        <v>60.589901683</v>
      </c>
      <c r="K976" t="n">
        <v>78.506542212</v>
      </c>
      <c r="L976" t="n">
        <v>108.6</v>
      </c>
      <c r="M976" t="n">
        <v>93.59220065</v>
      </c>
      <c r="N976" t="n">
        <v>124.100103417</v>
      </c>
      <c r="O976" t="n">
        <v>44.303691974</v>
      </c>
      <c r="P976" t="n">
        <v/>
      </c>
      <c r="Q976" t="n">
        <v>95.51591931999999</v>
      </c>
      <c r="R976" t="n">
        <v>108.099099174</v>
      </c>
      <c r="S976" t="n">
        <v>94.934073357</v>
      </c>
      <c r="T976" t="n">
        <v>98.903431199</v>
      </c>
      <c r="U976" t="n">
        <v/>
      </c>
      <c r="V976" t="n">
        <v>151.660977437</v>
      </c>
      <c r="W976" t="n">
        <v>56.304692058</v>
      </c>
      <c r="X976" t="n">
        <v>42.603802365</v>
      </c>
      <c r="Y976" t="n">
        <v/>
      </c>
      <c r="Z976" t="n">
        <v>39.99485646</v>
      </c>
      <c r="AA976" t="n">
        <v>28.276299227</v>
      </c>
      <c r="AB976" t="n">
        <v>69.200794581</v>
      </c>
      <c r="AC976" t="n">
        <v>126.289475877</v>
      </c>
      <c r="AD976" t="n">
        <v>104.387154581</v>
      </c>
      <c r="AE976" t="n">
        <v>48.375</v>
      </c>
      <c r="AF976" t="n">
        <v>87.39271727400001</v>
      </c>
      <c r="AG976" t="n">
        <v>57.4</v>
      </c>
      <c r="AH976" t="n">
        <v>92.316600286</v>
      </c>
      <c r="AI976" t="n">
        <v>93.38633893799999</v>
      </c>
      <c r="AJ976" t="n">
        <v>123.002327386</v>
      </c>
      <c r="AK976" t="n">
        <v/>
      </c>
      <c r="AL976" t="n">
        <v>86.51113887299999</v>
      </c>
      <c r="AM976" t="n">
        <v>45.7</v>
      </c>
      <c r="AN976" t="n">
        <v>120.815676095</v>
      </c>
      <c r="AO976" t="n">
        <v>56.093697289</v>
      </c>
      <c r="AP976" t="n">
        <v>40.803400283</v>
      </c>
      <c r="AQ976" t="n">
        <v>77.38357286999999</v>
      </c>
      <c r="AR976" t="n">
        <v>98.291809016</v>
      </c>
      <c r="AS976" t="n">
        <v>42.196483626</v>
      </c>
      <c r="AT976" t="n">
        <v>91.53495806700001</v>
      </c>
      <c r="AU976" t="n">
        <v/>
      </c>
    </row>
    <row r="977">
      <c r="A977" s="105" t="n">
        <v>36617</v>
      </c>
      <c r="B977" t="n">
        <v>70.10041145</v>
      </c>
      <c r="C977" t="n">
        <v>71.19406716100001</v>
      </c>
      <c r="D977" t="n">
        <v>82.87703979</v>
      </c>
      <c r="E977" t="n">
        <v>95.300022205</v>
      </c>
      <c r="F977" t="n">
        <v/>
      </c>
      <c r="G977" t="n">
        <v/>
      </c>
      <c r="H977" t="n">
        <v>69.037339424</v>
      </c>
      <c r="I977" t="n">
        <v>70.094570236</v>
      </c>
      <c r="J977" t="n">
        <v>60.489918347</v>
      </c>
      <c r="K977" t="n">
        <v>79.506625552</v>
      </c>
      <c r="L977" t="n">
        <v>108.6</v>
      </c>
      <c r="M977" t="n">
        <v>94.692108991</v>
      </c>
      <c r="N977" t="n">
        <v>123.680103067</v>
      </c>
      <c r="O977" t="n">
        <v>44.603716976</v>
      </c>
      <c r="P977" t="n">
        <v/>
      </c>
      <c r="Q977" t="n">
        <v>97.016169362</v>
      </c>
      <c r="R977" t="n">
        <v>108.729093924</v>
      </c>
      <c r="S977" t="n">
        <v>95.690756135</v>
      </c>
      <c r="T977" t="n">
        <v>98.903431199</v>
      </c>
      <c r="U977" t="n">
        <v/>
      </c>
      <c r="V977" t="n">
        <v>152.160519524</v>
      </c>
      <c r="W977" t="n">
        <v>55.604633719</v>
      </c>
      <c r="X977" t="n">
        <v>42.775219329</v>
      </c>
      <c r="Y977" t="n">
        <v/>
      </c>
      <c r="Z977" t="n">
        <v>43.144525691</v>
      </c>
      <c r="AA977" t="n">
        <v>28.583011993</v>
      </c>
      <c r="AB977" t="n">
        <v>69.901207481</v>
      </c>
      <c r="AC977" t="n">
        <v>127.289392551</v>
      </c>
      <c r="AD977" t="n">
        <v>105.981663052</v>
      </c>
      <c r="AE977" t="n">
        <v>48.096</v>
      </c>
      <c r="AF977" t="n">
        <v>92.69227564400001</v>
      </c>
      <c r="AG977" t="n">
        <v>57.1</v>
      </c>
      <c r="AH977" t="n">
        <v>92.183907594</v>
      </c>
      <c r="AI977" t="n">
        <v>93.76289675699999</v>
      </c>
      <c r="AJ977" t="n">
        <v>117.882079131</v>
      </c>
      <c r="AK977" t="n">
        <v/>
      </c>
      <c r="AL977" t="n">
        <v>87.141165179</v>
      </c>
      <c r="AM977" t="n">
        <v>47</v>
      </c>
      <c r="AN977" t="n">
        <v>119.663831726</v>
      </c>
      <c r="AO977" t="n">
        <v>61.565138531</v>
      </c>
      <c r="AP977" t="n">
        <v>41.403450288</v>
      </c>
      <c r="AQ977" t="n">
        <v>77.38357286999999</v>
      </c>
      <c r="AR977" t="n">
        <v>99.391717357</v>
      </c>
      <c r="AS977" t="n">
        <v>43.296391967</v>
      </c>
      <c r="AT977" t="n">
        <v>92.105515838</v>
      </c>
      <c r="AU977" t="n">
        <v/>
      </c>
    </row>
    <row r="978">
      <c r="A978" s="105" t="n">
        <v>36647</v>
      </c>
      <c r="B978" t="n">
        <v>71.36728635</v>
      </c>
      <c r="C978" t="n">
        <v>71.894008833</v>
      </c>
      <c r="D978" t="n">
        <v>82.64009780799999</v>
      </c>
      <c r="E978" t="n">
        <v>96.747897878</v>
      </c>
      <c r="F978" t="n">
        <v/>
      </c>
      <c r="G978" t="n">
        <v/>
      </c>
      <c r="H978" t="n">
        <v>69.804385956</v>
      </c>
      <c r="I978" t="n">
        <v>71.36133957200001</v>
      </c>
      <c r="J978" t="n">
        <v>61.389768372</v>
      </c>
      <c r="K978" t="n">
        <v>81.406783899</v>
      </c>
      <c r="L978" t="n">
        <v>112.8</v>
      </c>
      <c r="M978" t="n">
        <v>95.992000667</v>
      </c>
      <c r="N978" t="n">
        <v>124.781103984</v>
      </c>
      <c r="O978" t="n">
        <v>44.903741978</v>
      </c>
      <c r="P978" t="n">
        <v/>
      </c>
      <c r="Q978" t="n">
        <v>101.216869478</v>
      </c>
      <c r="R978" t="n">
        <v>110.079082674</v>
      </c>
      <c r="S978" t="n">
        <v>96.114772411</v>
      </c>
      <c r="T978" t="n">
        <v>98.266713831</v>
      </c>
      <c r="U978" t="n">
        <v/>
      </c>
      <c r="V978" t="n">
        <v>148.26409125</v>
      </c>
      <c r="W978" t="n">
        <v>57.004750396</v>
      </c>
      <c r="X978" t="n">
        <v>43.079916124</v>
      </c>
      <c r="Y978" t="n">
        <v/>
      </c>
      <c r="Z978" t="n">
        <v>43.501092019</v>
      </c>
      <c r="AA978" t="n">
        <v>29.115003804</v>
      </c>
      <c r="AB978" t="n">
        <v>71.442115863</v>
      </c>
      <c r="AC978" t="n">
        <v>127.989334222</v>
      </c>
      <c r="AD978" t="n">
        <v>105.343859663</v>
      </c>
      <c r="AE978" t="n">
        <v>49.946</v>
      </c>
      <c r="AF978" t="n">
        <v>93.492208983</v>
      </c>
      <c r="AG978" t="n">
        <v>58.7</v>
      </c>
      <c r="AH978" t="n">
        <v>93.181716227</v>
      </c>
      <c r="AI978" t="n">
        <v>95.080849121</v>
      </c>
      <c r="AJ978" t="n">
        <v>122.885958107</v>
      </c>
      <c r="AK978" t="n">
        <v/>
      </c>
      <c r="AL978" t="n">
        <v>87.851396978</v>
      </c>
      <c r="AM978" t="n">
        <v>48.1</v>
      </c>
      <c r="AN978" t="n">
        <v>128.622621267</v>
      </c>
      <c r="AO978" t="n">
        <v>56.752575741</v>
      </c>
      <c r="AP978" t="n">
        <v>39.503291941</v>
      </c>
      <c r="AQ978" t="n">
        <v>79.343832255</v>
      </c>
      <c r="AR978" t="n">
        <v>101.191567369</v>
      </c>
      <c r="AS978" t="n">
        <v>43.896341972</v>
      </c>
      <c r="AT978" t="n">
        <v>92.37800328199999</v>
      </c>
      <c r="AU978" t="n">
        <v/>
      </c>
    </row>
    <row r="979">
      <c r="A979" s="105" t="n">
        <v>36678</v>
      </c>
      <c r="B979" t="n">
        <v>70.77607807</v>
      </c>
      <c r="C979" t="n">
        <v>70.99408382599999</v>
      </c>
      <c r="D979" t="n">
        <v>84.658492467</v>
      </c>
      <c r="E979" t="n">
        <v>97.074820286</v>
      </c>
      <c r="F979" t="n">
        <v/>
      </c>
      <c r="G979" t="n">
        <v/>
      </c>
      <c r="H979" t="n">
        <v>69.507781229</v>
      </c>
      <c r="I979" t="n">
        <v>70.770180555</v>
      </c>
      <c r="J979" t="n">
        <v>61.289785036</v>
      </c>
      <c r="K979" t="n">
        <v>79.606633886</v>
      </c>
      <c r="L979" t="n">
        <v>110.3</v>
      </c>
      <c r="M979" t="n">
        <v>94.692108991</v>
      </c>
      <c r="N979" t="n">
        <v>123.668103057</v>
      </c>
      <c r="O979" t="n">
        <v>46.803900325</v>
      </c>
      <c r="P979" t="n">
        <v/>
      </c>
      <c r="Q979" t="n">
        <v>97.016169362</v>
      </c>
      <c r="R979" t="n">
        <v>108.649094591</v>
      </c>
      <c r="S979" t="n">
        <v>96.096662192</v>
      </c>
      <c r="T979" t="n">
        <v>98.903431199</v>
      </c>
      <c r="U979" t="n">
        <v/>
      </c>
      <c r="V979" t="n">
        <v>150.262259595</v>
      </c>
      <c r="W979" t="n">
        <v>58.704892074</v>
      </c>
      <c r="X979" t="n">
        <v>42.751140438</v>
      </c>
      <c r="Y979" t="n">
        <v/>
      </c>
      <c r="Z979" t="n">
        <v>43.917086068</v>
      </c>
      <c r="AA979" t="n">
        <v>29.242759184</v>
      </c>
      <c r="AB979" t="n">
        <v>71.442115863</v>
      </c>
      <c r="AC979" t="n">
        <v>127.789350887</v>
      </c>
      <c r="AD979" t="n">
        <v>106.725767005</v>
      </c>
      <c r="AE979" t="n">
        <v>49.426</v>
      </c>
      <c r="AF979" t="n">
        <v>91.29239230100001</v>
      </c>
      <c r="AG979" t="n">
        <v>58.6</v>
      </c>
      <c r="AH979" t="n">
        <v>93.60291259500001</v>
      </c>
      <c r="AI979" t="n">
        <v>93.951175666</v>
      </c>
      <c r="AJ979" t="n">
        <v>120.32583398</v>
      </c>
      <c r="AK979" t="n">
        <v/>
      </c>
      <c r="AL979" t="n">
        <v>87.801023602</v>
      </c>
      <c r="AM979" t="n">
        <v>48.1</v>
      </c>
      <c r="AN979" t="n">
        <v>127.726742313</v>
      </c>
      <c r="AO979" t="n">
        <v>57.44532794</v>
      </c>
      <c r="AP979" t="n">
        <v>38.203183599</v>
      </c>
      <c r="AQ979" t="n">
        <v>79.43717794</v>
      </c>
      <c r="AR979" t="n">
        <v>104.19131739</v>
      </c>
      <c r="AS979" t="n">
        <v>44.496291976</v>
      </c>
      <c r="AT979" t="n">
        <v>92.43234211799999</v>
      </c>
      <c r="AU979" t="n">
        <v/>
      </c>
    </row>
    <row r="980">
      <c r="A980" s="105" t="n">
        <v>36708</v>
      </c>
      <c r="B980" t="n">
        <v>71.70511965999999</v>
      </c>
      <c r="C980" t="n">
        <v>70.99408382599999</v>
      </c>
      <c r="D980" t="n">
        <v>85.255235235</v>
      </c>
      <c r="E980" t="n">
        <v>97.079635837</v>
      </c>
      <c r="F980" t="n">
        <v/>
      </c>
      <c r="G980" t="n">
        <v/>
      </c>
      <c r="H980" t="n">
        <v>70.063702668</v>
      </c>
      <c r="I980" t="n">
        <v>71.699144731</v>
      </c>
      <c r="J980" t="n">
        <v>61.789701716</v>
      </c>
      <c r="K980" t="n">
        <v>80.906742229</v>
      </c>
      <c r="L980" t="n">
        <v>107.4</v>
      </c>
      <c r="M980" t="n">
        <v>95.792017332</v>
      </c>
      <c r="N980" t="n">
        <v>124.635103863</v>
      </c>
      <c r="O980" t="n">
        <v>43.403616968</v>
      </c>
      <c r="P980" t="n">
        <v/>
      </c>
      <c r="Q980" t="n">
        <v>100.416736123</v>
      </c>
      <c r="R980" t="n">
        <v>109.929083924</v>
      </c>
      <c r="S980" t="n">
        <v>96.136574521</v>
      </c>
      <c r="T980" t="n">
        <v>98.266713831</v>
      </c>
      <c r="U980" t="n">
        <v/>
      </c>
      <c r="V980" t="n">
        <v>148.064274415</v>
      </c>
      <c r="W980" t="n">
        <v>59.004917076</v>
      </c>
      <c r="X980" t="n">
        <v>42.84706712</v>
      </c>
      <c r="Y980" t="n">
        <v/>
      </c>
      <c r="Z980" t="n">
        <v>46.056484037</v>
      </c>
      <c r="AA980" t="n">
        <v>29.735978512</v>
      </c>
      <c r="AB980" t="n">
        <v>72.142528763</v>
      </c>
      <c r="AC980" t="n">
        <v>126.789434214</v>
      </c>
      <c r="AD980" t="n">
        <v>106.513165876</v>
      </c>
      <c r="AE980" t="n">
        <v>51.021</v>
      </c>
      <c r="AF980" t="n">
        <v>93.092242313</v>
      </c>
      <c r="AG980" t="n">
        <v>58.4</v>
      </c>
      <c r="AH980" t="n">
        <v>92.77404082699999</v>
      </c>
      <c r="AI980" t="n">
        <v>95.551546394</v>
      </c>
      <c r="AJ980" t="n">
        <v>124.049650892</v>
      </c>
      <c r="AK980" t="n">
        <v/>
      </c>
      <c r="AL980" t="n">
        <v>87.97900029500001</v>
      </c>
      <c r="AM980" t="n">
        <v>47.7</v>
      </c>
      <c r="AN980" t="n">
        <v>125.551036281</v>
      </c>
      <c r="AO980" t="n">
        <v>57.463373316</v>
      </c>
      <c r="AP980" t="n">
        <v>40.103341945</v>
      </c>
      <c r="AQ980" t="n">
        <v>79.157140885</v>
      </c>
      <c r="AR980" t="n">
        <v>100.491625698</v>
      </c>
      <c r="AS980" t="n">
        <v>44.69627531</v>
      </c>
      <c r="AT980" t="n">
        <v>92.25702996299999</v>
      </c>
      <c r="AU980" t="n">
        <v/>
      </c>
    </row>
    <row r="981">
      <c r="A981" s="105" t="n">
        <v>36739</v>
      </c>
      <c r="B981" t="n">
        <v>71.95849464</v>
      </c>
      <c r="C981" t="n">
        <v>72.993917174</v>
      </c>
      <c r="D981" t="n">
        <v>85.237683977</v>
      </c>
      <c r="E981" t="n">
        <v>98.06388096000001</v>
      </c>
      <c r="F981" t="n">
        <v/>
      </c>
      <c r="G981" t="n">
        <v/>
      </c>
      <c r="H981" t="n">
        <v>69.892655421</v>
      </c>
      <c r="I981" t="n">
        <v>71.95249859800001</v>
      </c>
      <c r="J981" t="n">
        <v>64.58923512699999</v>
      </c>
      <c r="K981" t="n">
        <v>81.706808901</v>
      </c>
      <c r="L981" t="n">
        <v>111.8</v>
      </c>
      <c r="M981" t="n">
        <v>95.892008999</v>
      </c>
      <c r="N981" t="n">
        <v>123.518102932</v>
      </c>
      <c r="O981" t="n">
        <v>45.403783649</v>
      </c>
      <c r="P981" t="n">
        <v/>
      </c>
      <c r="Q981" t="n">
        <v>100.8168028</v>
      </c>
      <c r="R981" t="n">
        <v>108.939092174</v>
      </c>
      <c r="S981" t="n">
        <v>96.561797165</v>
      </c>
      <c r="T981" t="n">
        <v>99.540148567</v>
      </c>
      <c r="U981" t="n">
        <v/>
      </c>
      <c r="V981" t="n">
        <v>153.459328948</v>
      </c>
      <c r="W981" t="n">
        <v>59.504958747</v>
      </c>
      <c r="X981" t="n">
        <v>42.928883053</v>
      </c>
      <c r="Y981" t="n">
        <v/>
      </c>
      <c r="Z981" t="n">
        <v>44.689646446</v>
      </c>
      <c r="AA981" t="n">
        <v>29.993907032</v>
      </c>
      <c r="AB981" t="n">
        <v>72.84294166399999</v>
      </c>
      <c r="AC981" t="n">
        <v>127.989334222</v>
      </c>
      <c r="AD981" t="n">
        <v>108.001373782</v>
      </c>
      <c r="AE981" t="n">
        <v>51.81</v>
      </c>
      <c r="AF981" t="n">
        <v>94.092158987</v>
      </c>
      <c r="AG981" t="n">
        <v>59.7</v>
      </c>
      <c r="AH981" t="n">
        <v>93.566527364</v>
      </c>
      <c r="AI981" t="n">
        <v>95.080849121</v>
      </c>
      <c r="AJ981" t="n">
        <v>121.140418929</v>
      </c>
      <c r="AK981" t="n">
        <v/>
      </c>
      <c r="AL981" t="n">
        <v>88.51749420500001</v>
      </c>
      <c r="AM981" t="n">
        <v>48.3</v>
      </c>
      <c r="AN981" t="n">
        <v>131.566223545</v>
      </c>
      <c r="AO981" t="n">
        <v>57.577494393</v>
      </c>
      <c r="AP981" t="n">
        <v>40.603383615</v>
      </c>
      <c r="AQ981" t="n">
        <v>79.0637952</v>
      </c>
      <c r="AR981" t="n">
        <v>102.791434047</v>
      </c>
      <c r="AS981" t="n">
        <v>45.796183651</v>
      </c>
      <c r="AT981" t="n">
        <v>92.009133816</v>
      </c>
      <c r="AU981" t="n">
        <v/>
      </c>
    </row>
    <row r="982">
      <c r="A982" s="105" t="n">
        <v>36770</v>
      </c>
      <c r="B982" t="n">
        <v>72.12741130000001</v>
      </c>
      <c r="C982" t="n">
        <v>74.193817182</v>
      </c>
      <c r="D982" t="n">
        <v>84.219711019</v>
      </c>
      <c r="E982" t="n">
        <v>98.025089021</v>
      </c>
      <c r="F982" t="n">
        <v/>
      </c>
      <c r="G982" t="n">
        <v/>
      </c>
      <c r="H982" t="n">
        <v>69.692539592</v>
      </c>
      <c r="I982" t="n">
        <v>72.121401183</v>
      </c>
      <c r="J982" t="n">
        <v>64.38926845500001</v>
      </c>
      <c r="K982" t="n">
        <v>81.806817235</v>
      </c>
      <c r="L982" t="n">
        <v>108.2</v>
      </c>
      <c r="M982" t="n">
        <v>95.992000667</v>
      </c>
      <c r="N982" t="n">
        <v>123.669103058</v>
      </c>
      <c r="O982" t="n">
        <v>46.303858655</v>
      </c>
      <c r="P982" t="n">
        <v/>
      </c>
      <c r="Q982" t="n">
        <v>102.61710285</v>
      </c>
      <c r="R982" t="n">
        <v>109.239089674</v>
      </c>
      <c r="S982" t="n">
        <v>96.319635241</v>
      </c>
      <c r="T982" t="n">
        <v>99.115670322</v>
      </c>
      <c r="U982" t="n">
        <v/>
      </c>
      <c r="V982" t="n">
        <v>146.665556573</v>
      </c>
      <c r="W982" t="n">
        <v>61.005083757</v>
      </c>
      <c r="X982" t="n">
        <v>43.43837679</v>
      </c>
      <c r="Y982" t="n">
        <v/>
      </c>
      <c r="Z982" t="n">
        <v>45.699917709</v>
      </c>
      <c r="AA982" t="n">
        <v>29.651225474</v>
      </c>
      <c r="AB982" t="n">
        <v>71.442115863</v>
      </c>
      <c r="AC982" t="n">
        <v>127.889342555</v>
      </c>
      <c r="AD982" t="n">
        <v>105.769061922</v>
      </c>
      <c r="AE982" t="n">
        <v>50.576</v>
      </c>
      <c r="AF982" t="n">
        <v>91.892342305</v>
      </c>
      <c r="AG982" t="n">
        <v>60.4</v>
      </c>
      <c r="AH982" t="n">
        <v>93.469777229</v>
      </c>
      <c r="AI982" t="n">
        <v>94.04531512</v>
      </c>
      <c r="AJ982" t="n">
        <v>121.489526765</v>
      </c>
      <c r="AK982" t="n">
        <v/>
      </c>
      <c r="AL982" t="n">
        <v>88.189159918</v>
      </c>
      <c r="AM982" t="n">
        <v>48.3</v>
      </c>
      <c r="AN982" t="n">
        <v>132.462102499</v>
      </c>
      <c r="AO982" t="n">
        <v>57.415292845</v>
      </c>
      <c r="AP982" t="n">
        <v>40.703391949</v>
      </c>
      <c r="AQ982" t="n">
        <v>79.62386931</v>
      </c>
      <c r="AR982" t="n">
        <v>102.891425715</v>
      </c>
      <c r="AS982" t="n">
        <v>43.996333639</v>
      </c>
      <c r="AT982" t="n">
        <v>92.37076471500001</v>
      </c>
      <c r="AU982" t="n">
        <v/>
      </c>
    </row>
    <row r="983">
      <c r="A983" s="105" t="n">
        <v>36800</v>
      </c>
      <c r="B983" t="n">
        <v>71.87403630999999</v>
      </c>
      <c r="C983" t="n">
        <v>74.393800517</v>
      </c>
      <c r="D983" t="n">
        <v>86.04504184</v>
      </c>
      <c r="E983" t="n">
        <v>98.24232387799999</v>
      </c>
      <c r="F983" t="n">
        <v/>
      </c>
      <c r="G983" t="n">
        <v/>
      </c>
      <c r="H983" t="n">
        <v>70.86803666900001</v>
      </c>
      <c r="I983" t="n">
        <v>71.86804730599999</v>
      </c>
      <c r="J983" t="n">
        <v>65.38910181599999</v>
      </c>
      <c r="K983" t="n">
        <v>81.506792233</v>
      </c>
      <c r="L983" t="n">
        <v>110.9</v>
      </c>
      <c r="M983" t="n">
        <v>96.19198400099999</v>
      </c>
      <c r="N983" t="n">
        <v>122.332101943</v>
      </c>
      <c r="O983" t="n">
        <v>45.203766981</v>
      </c>
      <c r="P983" t="n">
        <v/>
      </c>
      <c r="Q983" t="n">
        <v>103.617269545</v>
      </c>
      <c r="R983" t="n">
        <v>110.439079674</v>
      </c>
      <c r="S983" t="n">
        <v>96.5492823</v>
      </c>
      <c r="T983" t="n">
        <v>99.540148567</v>
      </c>
      <c r="U983" t="n">
        <v/>
      </c>
      <c r="V983" t="n">
        <v>149.562900674</v>
      </c>
      <c r="W983" t="n">
        <v>60.105008751</v>
      </c>
      <c r="X983" t="n">
        <v>43.320153249</v>
      </c>
      <c r="Y983" t="n">
        <v/>
      </c>
      <c r="Z983" t="n">
        <v>48.374165169</v>
      </c>
      <c r="AA983" t="n">
        <v>29.468420346</v>
      </c>
      <c r="AB983" t="n">
        <v>72.142528763</v>
      </c>
      <c r="AC983" t="n">
        <v>128.389300892</v>
      </c>
      <c r="AD983" t="n">
        <v>107.363570394</v>
      </c>
      <c r="AE983" t="n">
        <v>50.222</v>
      </c>
      <c r="AF983" t="n">
        <v>89.292558953</v>
      </c>
      <c r="AG983" t="n">
        <v>61</v>
      </c>
      <c r="AH983" t="n">
        <v>92.518632622</v>
      </c>
      <c r="AI983" t="n">
        <v>95.26912803</v>
      </c>
      <c r="AJ983" t="n">
        <v>123.235065943</v>
      </c>
      <c r="AK983" t="n">
        <v/>
      </c>
      <c r="AL983" t="n">
        <v>88.344712219</v>
      </c>
      <c r="AM983" t="n">
        <v>48</v>
      </c>
      <c r="AN983" t="n">
        <v>130.030431052</v>
      </c>
      <c r="AO983" t="n">
        <v>57.666150211</v>
      </c>
      <c r="AP983" t="n">
        <v>41.203433619</v>
      </c>
      <c r="AQ983" t="n">
        <v>78.78375814499999</v>
      </c>
      <c r="AR983" t="n">
        <v>103.391384051</v>
      </c>
      <c r="AS983" t="n">
        <v>44.596283643</v>
      </c>
      <c r="AT983" t="n">
        <v>92.05484586599999</v>
      </c>
      <c r="AU983" t="n">
        <v/>
      </c>
    </row>
    <row r="984">
      <c r="A984" s="105" t="n">
        <v>36831</v>
      </c>
      <c r="B984" t="n">
        <v>74.49224445999999</v>
      </c>
      <c r="C984" t="n">
        <v>75.09374218799999</v>
      </c>
      <c r="D984" t="n">
        <v>85.325440267</v>
      </c>
      <c r="E984" t="n">
        <v>98.234833021</v>
      </c>
      <c r="F984" t="n">
        <v/>
      </c>
      <c r="G984" t="n">
        <v/>
      </c>
      <c r="H984" t="n">
        <v>69.23212471399999</v>
      </c>
      <c r="I984" t="n">
        <v>74.48603729</v>
      </c>
      <c r="J984" t="n">
        <v>64.88918513599999</v>
      </c>
      <c r="K984" t="n">
        <v>82.206850571</v>
      </c>
      <c r="L984" t="n">
        <v>110.2</v>
      </c>
      <c r="M984" t="n">
        <v>97.091909008</v>
      </c>
      <c r="N984" t="n">
        <v>125.363104469</v>
      </c>
      <c r="O984" t="n">
        <v>46.503875323</v>
      </c>
      <c r="P984" t="n">
        <v/>
      </c>
      <c r="Q984" t="n">
        <v>103.217202867</v>
      </c>
      <c r="R984" t="n">
        <v>110.239081341</v>
      </c>
      <c r="S984" t="n">
        <v>96.873988708</v>
      </c>
      <c r="T984" t="n">
        <v>100.49522462</v>
      </c>
      <c r="U984" t="n">
        <v/>
      </c>
      <c r="V984" t="n">
        <v>148.863541753</v>
      </c>
      <c r="W984" t="n">
        <v>61.105092091</v>
      </c>
      <c r="X984" t="n">
        <v>43.770048804</v>
      </c>
      <c r="Y984" t="n">
        <v/>
      </c>
      <c r="Z984" t="n">
        <v>50.394707694</v>
      </c>
      <c r="AA984" t="n">
        <v>30.342927051</v>
      </c>
      <c r="AB984" t="n">
        <v>70.74170296200001</v>
      </c>
      <c r="AC984" t="n">
        <v>129.989167569</v>
      </c>
      <c r="AD984" t="n">
        <v>107.788772653</v>
      </c>
      <c r="AE984" t="n">
        <v>49.45</v>
      </c>
      <c r="AF984" t="n">
        <v>93.89217565200001</v>
      </c>
      <c r="AG984" t="n">
        <v>61.5</v>
      </c>
      <c r="AH984" t="n">
        <v>91.66012887799999</v>
      </c>
      <c r="AI984" t="n">
        <v>94.704291302</v>
      </c>
      <c r="AJ984" t="n">
        <v>119.976726144</v>
      </c>
      <c r="AK984" t="n">
        <v/>
      </c>
      <c r="AL984" t="n">
        <v>88.619724975</v>
      </c>
      <c r="AM984" t="n">
        <v>47.7</v>
      </c>
      <c r="AN984" t="n">
        <v>131.438240837</v>
      </c>
      <c r="AO984" t="n">
        <v>57.666469912</v>
      </c>
      <c r="AP984" t="n">
        <v>41.403450288</v>
      </c>
      <c r="AQ984" t="n">
        <v>80.27728910499999</v>
      </c>
      <c r="AR984" t="n">
        <v>106.691109074</v>
      </c>
      <c r="AS984" t="n">
        <v>45.196233647</v>
      </c>
      <c r="AT984" t="n">
        <v>92.058217253</v>
      </c>
      <c r="AU984" t="n">
        <v/>
      </c>
    </row>
    <row r="985">
      <c r="A985" s="105" t="n">
        <v>36861</v>
      </c>
      <c r="B985" t="n">
        <v>75.67466103</v>
      </c>
      <c r="C985" t="n">
        <v>75.29372552300001</v>
      </c>
      <c r="D985" t="n">
        <v>89.16039011700001</v>
      </c>
      <c r="E985" t="n">
        <v>98.332749225</v>
      </c>
      <c r="F985" t="n">
        <v/>
      </c>
      <c r="G985" t="n">
        <v/>
      </c>
      <c r="H985" t="n">
        <v>71.070253268</v>
      </c>
      <c r="I985" t="n">
        <v>75.668355334</v>
      </c>
      <c r="J985" t="n">
        <v>66.288951841</v>
      </c>
      <c r="K985" t="n">
        <v>82.70689224100001</v>
      </c>
      <c r="L985" t="n">
        <v>115.2</v>
      </c>
      <c r="M985" t="n">
        <v>97.79185067900001</v>
      </c>
      <c r="N985" t="n">
        <v>126.404105337</v>
      </c>
      <c r="O985" t="n">
        <v>47.903991999</v>
      </c>
      <c r="P985" t="n">
        <v/>
      </c>
      <c r="Q985" t="n">
        <v>102.61710285</v>
      </c>
      <c r="R985" t="n">
        <v>111.209073258</v>
      </c>
      <c r="S985" t="n">
        <v>97.333525352</v>
      </c>
      <c r="T985" t="n">
        <v>103.042094093</v>
      </c>
      <c r="U985" t="n">
        <v/>
      </c>
      <c r="V985" t="n">
        <v>150.761801682</v>
      </c>
      <c r="W985" t="n">
        <v>61.605133761</v>
      </c>
      <c r="X985" t="n">
        <v>43.688704776</v>
      </c>
      <c r="Y985" t="n">
        <v/>
      </c>
      <c r="Z985" t="n">
        <v>49.978713645</v>
      </c>
      <c r="AA985" t="n">
        <v>31.377436753</v>
      </c>
      <c r="AB985" t="n">
        <v>70.74170296200001</v>
      </c>
      <c r="AC985" t="n">
        <v>131.789017582</v>
      </c>
      <c r="AD985" t="n">
        <v>108.8517783</v>
      </c>
      <c r="AE985" t="n">
        <v>48.73</v>
      </c>
      <c r="AF985" t="n">
        <v>100.091659028</v>
      </c>
      <c r="AG985" t="n">
        <v>63.1</v>
      </c>
      <c r="AH985" t="n">
        <v>90.625263199</v>
      </c>
      <c r="AI985" t="n">
        <v>93.668757302</v>
      </c>
      <c r="AJ985" t="n">
        <v>120.558572537</v>
      </c>
      <c r="AK985" t="n">
        <v/>
      </c>
      <c r="AL985" t="n">
        <v>88.900886454</v>
      </c>
      <c r="AM985" t="n">
        <v>51.7</v>
      </c>
      <c r="AN985" t="n">
        <v>131.054292714</v>
      </c>
      <c r="AO985" t="n">
        <v>58.729638788</v>
      </c>
      <c r="AP985" t="n">
        <v>42.603550296</v>
      </c>
      <c r="AQ985" t="n">
        <v>81.397437325</v>
      </c>
      <c r="AR985" t="n">
        <v>101.091575702</v>
      </c>
      <c r="AS985" t="n">
        <v>43.296391967</v>
      </c>
      <c r="AT985" t="n">
        <v>91.754693211</v>
      </c>
      <c r="AU985" t="n">
        <v/>
      </c>
    </row>
    <row r="986">
      <c r="A986" s="105" t="n">
        <v>36892</v>
      </c>
      <c r="B986" t="n">
        <v>73.64766118</v>
      </c>
      <c r="C986" t="n">
        <v>76.793600533</v>
      </c>
      <c r="D986" t="n">
        <v>87.001585396</v>
      </c>
      <c r="E986" t="n">
        <v>95.816356287</v>
      </c>
      <c r="F986" t="n">
        <v/>
      </c>
      <c r="G986" t="n">
        <v/>
      </c>
      <c r="H986" t="n">
        <v>67.249023158</v>
      </c>
      <c r="I986" t="n">
        <v>73.641524386</v>
      </c>
      <c r="J986" t="n">
        <v>66.888851858</v>
      </c>
      <c r="K986" t="n">
        <v>82.506875573</v>
      </c>
      <c r="L986" t="n">
        <v>110.4</v>
      </c>
      <c r="M986" t="n">
        <v>96.891925673</v>
      </c>
      <c r="N986" t="n">
        <v>123.463102886</v>
      </c>
      <c r="O986" t="n">
        <v>49.504125344</v>
      </c>
      <c r="P986" t="n">
        <v/>
      </c>
      <c r="Q986" t="n">
        <v>103.417236206</v>
      </c>
      <c r="R986" t="n">
        <v>110.759077008</v>
      </c>
      <c r="S986" t="n">
        <v>96.062967243</v>
      </c>
      <c r="T986" t="n">
        <v>103.784931022</v>
      </c>
      <c r="U986" t="n">
        <v/>
      </c>
      <c r="V986" t="n">
        <v>153.359420531</v>
      </c>
      <c r="W986" t="n">
        <v>62.905242104</v>
      </c>
      <c r="X986" t="n">
        <v>43.247023579</v>
      </c>
      <c r="Y986" t="n">
        <v/>
      </c>
      <c r="Z986" t="n">
        <v>49.859858202</v>
      </c>
      <c r="AA986" t="n">
        <v>31.499533586</v>
      </c>
      <c r="AB986" t="n">
        <v>71.442115863</v>
      </c>
      <c r="AC986" t="n">
        <v>128.189317557</v>
      </c>
      <c r="AD986" t="n">
        <v>104.81235684</v>
      </c>
      <c r="AE986" t="n">
        <v>48.23</v>
      </c>
      <c r="AF986" t="n">
        <v>93.69219231700001</v>
      </c>
      <c r="AG986" t="n">
        <v>63.2</v>
      </c>
      <c r="AH986" t="n">
        <v>91.081789442</v>
      </c>
      <c r="AI986" t="n">
        <v>92.752165662</v>
      </c>
      <c r="AJ986" t="n">
        <v>122.885958107</v>
      </c>
      <c r="AK986" t="n">
        <v/>
      </c>
      <c r="AL986" t="n">
        <v>87.786218459</v>
      </c>
      <c r="AM986" t="n">
        <v>48.3</v>
      </c>
      <c r="AN986" t="n">
        <v>129.518500221</v>
      </c>
      <c r="AO986" t="n">
        <v>57.786142635</v>
      </c>
      <c r="AP986" t="n">
        <v>42.603550296</v>
      </c>
      <c r="AQ986" t="n">
        <v>80.37063479</v>
      </c>
      <c r="AR986" t="n">
        <v>102.091492376</v>
      </c>
      <c r="AS986" t="n">
        <v>41.796516957</v>
      </c>
      <c r="AT986" t="n">
        <v>91.255926164</v>
      </c>
      <c r="AU986" t="n">
        <v/>
      </c>
    </row>
    <row r="987">
      <c r="A987" s="105" t="n">
        <v>36923</v>
      </c>
      <c r="B987" t="n">
        <v>73.9854945</v>
      </c>
      <c r="C987" t="n">
        <v>76.193650529</v>
      </c>
      <c r="D987" t="n">
        <v>87.896699549</v>
      </c>
      <c r="E987" t="n">
        <v>95.59109551100001</v>
      </c>
      <c r="F987" t="n">
        <v/>
      </c>
      <c r="G987" t="n">
        <v/>
      </c>
      <c r="H987" t="n">
        <v>69.856889154</v>
      </c>
      <c r="I987" t="n">
        <v>73.979329556</v>
      </c>
      <c r="J987" t="n">
        <v>65.989001833</v>
      </c>
      <c r="K987" t="n">
        <v>83.406950579</v>
      </c>
      <c r="L987" t="n">
        <v>115</v>
      </c>
      <c r="M987" t="n">
        <v>97.291892342</v>
      </c>
      <c r="N987" t="n">
        <v>123.194102662</v>
      </c>
      <c r="O987" t="n">
        <v>48.804067006</v>
      </c>
      <c r="P987" t="n">
        <v/>
      </c>
      <c r="Q987" t="n">
        <v>101.716952825</v>
      </c>
      <c r="R987" t="n">
        <v>111.469071091</v>
      </c>
      <c r="S987" t="n">
        <v>96.06525279</v>
      </c>
      <c r="T987" t="n">
        <v>103.784931022</v>
      </c>
      <c r="U987" t="n">
        <v/>
      </c>
      <c r="V987" t="n">
        <v>150.561984847</v>
      </c>
      <c r="W987" t="n">
        <v>62.005167097</v>
      </c>
      <c r="X987" t="n">
        <v>43.933428026</v>
      </c>
      <c r="Y987" t="n">
        <v/>
      </c>
      <c r="Z987" t="n">
        <v>53.960370974</v>
      </c>
      <c r="AA987" t="n">
        <v>32.280702898</v>
      </c>
      <c r="AB987" t="n">
        <v>70.74170296200001</v>
      </c>
      <c r="AC987" t="n">
        <v>127.389384218</v>
      </c>
      <c r="AD987" t="n">
        <v>105.769061922</v>
      </c>
      <c r="AE987" t="n">
        <v>48.741</v>
      </c>
      <c r="AF987" t="n">
        <v>96.19198400099999</v>
      </c>
      <c r="AG987" t="n">
        <v>64.7</v>
      </c>
      <c r="AH987" t="n">
        <v>90.479028122</v>
      </c>
      <c r="AI987" t="n">
        <v>90.98171075</v>
      </c>
      <c r="AJ987" t="n">
        <v>118.580294802</v>
      </c>
      <c r="AK987" t="n">
        <v/>
      </c>
      <c r="AL987" t="n">
        <v>87.769974144</v>
      </c>
      <c r="AM987" t="n">
        <v>47.7</v>
      </c>
      <c r="AN987" t="n">
        <v>130.414379175</v>
      </c>
      <c r="AO987" t="n">
        <v>58.491829266</v>
      </c>
      <c r="AP987" t="n">
        <v>40.603383615</v>
      </c>
      <c r="AQ987" t="n">
        <v>80.9307089</v>
      </c>
      <c r="AR987" t="n">
        <v>101.091575702</v>
      </c>
      <c r="AS987" t="n">
        <v>42.196483626</v>
      </c>
      <c r="AT987" t="n">
        <v>90.63866475899999</v>
      </c>
      <c r="AU987" t="n">
        <v/>
      </c>
    </row>
    <row r="988">
      <c r="A988" s="105" t="n">
        <v>36951</v>
      </c>
      <c r="B988" t="n">
        <v>73.39428621</v>
      </c>
      <c r="C988" t="n">
        <v>74.493792184</v>
      </c>
      <c r="D988" t="n">
        <v>86.659335867</v>
      </c>
      <c r="E988" t="n">
        <v>94.867425205</v>
      </c>
      <c r="F988" t="n">
        <v/>
      </c>
      <c r="G988" t="n">
        <v/>
      </c>
      <c r="H988" t="n">
        <v>70.381435713</v>
      </c>
      <c r="I988" t="n">
        <v>73.38817052900001</v>
      </c>
      <c r="J988" t="n">
        <v>66.48891851400001</v>
      </c>
      <c r="K988" t="n">
        <v>82.006833903</v>
      </c>
      <c r="L988" t="n">
        <v>114.3</v>
      </c>
      <c r="M988" t="n">
        <v>96.791934005</v>
      </c>
      <c r="N988" t="n">
        <v>122.572102143</v>
      </c>
      <c r="O988" t="n">
        <v>49.204100342</v>
      </c>
      <c r="P988" t="n">
        <v/>
      </c>
      <c r="Q988" t="n">
        <v>102.71711952</v>
      </c>
      <c r="R988" t="n">
        <v>111.939067174</v>
      </c>
      <c r="S988" t="n">
        <v>95.434961148</v>
      </c>
      <c r="T988" t="n">
        <v>103.784931022</v>
      </c>
      <c r="U988" t="n">
        <v/>
      </c>
      <c r="V988" t="n">
        <v>142.169677795</v>
      </c>
      <c r="W988" t="n">
        <v>58.904908742</v>
      </c>
      <c r="X988" t="n">
        <v>43.803564158</v>
      </c>
      <c r="Y988" t="n">
        <v/>
      </c>
      <c r="Z988" t="n">
        <v>50.691846301</v>
      </c>
      <c r="AA988" t="n">
        <v>32.456377246</v>
      </c>
      <c r="AB988" t="n">
        <v>69.761124901</v>
      </c>
      <c r="AC988" t="n">
        <v>127.489375885</v>
      </c>
      <c r="AD988" t="n">
        <v>103.961952322</v>
      </c>
      <c r="AE988" t="n">
        <v>49.035</v>
      </c>
      <c r="AF988" t="n">
        <v>98.591784018</v>
      </c>
      <c r="AG988" t="n">
        <v>65.3</v>
      </c>
      <c r="AH988" t="n">
        <v>90.653559578</v>
      </c>
      <c r="AI988" t="n">
        <v>94.817696392</v>
      </c>
      <c r="AJ988" t="n">
        <v>120.32583398</v>
      </c>
      <c r="AK988" t="n">
        <v/>
      </c>
      <c r="AL988" t="n">
        <v>87.251251708</v>
      </c>
      <c r="AM988" t="n">
        <v>48.3</v>
      </c>
      <c r="AN988" t="n">
        <v>133.869912284</v>
      </c>
      <c r="AO988" t="n">
        <v>58.142132978</v>
      </c>
      <c r="AP988" t="n">
        <v>42.20351696</v>
      </c>
      <c r="AQ988" t="n">
        <v>81.397437325</v>
      </c>
      <c r="AR988" t="n">
        <v>101.391550704</v>
      </c>
      <c r="AS988" t="n">
        <v>39.79668361</v>
      </c>
      <c r="AT988" t="n">
        <v>90.407823867</v>
      </c>
      <c r="AU988" t="n">
        <v/>
      </c>
    </row>
    <row r="989">
      <c r="A989" s="105" t="n">
        <v>36982</v>
      </c>
      <c r="B989" t="n">
        <v>72.12741130000001</v>
      </c>
      <c r="C989" t="n">
        <v>73.093908841</v>
      </c>
      <c r="D989" t="n">
        <v>86.360964483</v>
      </c>
      <c r="E989" t="n">
        <v>95.187926879</v>
      </c>
      <c r="F989" t="n">
        <v/>
      </c>
      <c r="G989" t="n">
        <v/>
      </c>
      <c r="H989" t="n">
        <v>70.56974626</v>
      </c>
      <c r="I989" t="n">
        <v>72.121401183</v>
      </c>
      <c r="J989" t="n">
        <v>66.788868522</v>
      </c>
      <c r="K989" t="n">
        <v>80.606717226</v>
      </c>
      <c r="L989" t="n">
        <v>113.6</v>
      </c>
      <c r="M989" t="n">
        <v>95.892008999</v>
      </c>
      <c r="N989" t="n">
        <v>121.445101204</v>
      </c>
      <c r="O989" t="n">
        <v>46.703891991</v>
      </c>
      <c r="P989" t="n">
        <v/>
      </c>
      <c r="Q989" t="n">
        <v>98.316386064</v>
      </c>
      <c r="R989" t="n">
        <v>110.109082424</v>
      </c>
      <c r="S989" t="n">
        <v>94.79026235800001</v>
      </c>
      <c r="T989" t="n">
        <v>103.254333215</v>
      </c>
      <c r="U989" t="n">
        <v/>
      </c>
      <c r="V989" t="n">
        <v>140.371326284</v>
      </c>
      <c r="W989" t="n">
        <v>61.105092091</v>
      </c>
      <c r="X989" t="n">
        <v>43.933320771</v>
      </c>
      <c r="Y989" t="n">
        <v/>
      </c>
      <c r="Z989" t="n">
        <v>50.810701744</v>
      </c>
      <c r="AA989" t="n">
        <v>32.989139873</v>
      </c>
      <c r="AB989" t="n">
        <v>68.64046426</v>
      </c>
      <c r="AC989" t="n">
        <v>126.18948421</v>
      </c>
      <c r="AD989" t="n">
        <v>103.217848369</v>
      </c>
      <c r="AE989" t="n">
        <v>49.407</v>
      </c>
      <c r="AF989" t="n">
        <v>93.392217315</v>
      </c>
      <c r="AG989" t="n">
        <v>65</v>
      </c>
      <c r="AH989" t="n">
        <v>88.16262258</v>
      </c>
      <c r="AI989" t="n">
        <v>95.702923848</v>
      </c>
      <c r="AJ989" t="n">
        <v>120.907680372</v>
      </c>
      <c r="AK989" t="n">
        <v/>
      </c>
      <c r="AL989" t="n">
        <v>86.58368610799999</v>
      </c>
      <c r="AM989" t="n">
        <v>47.7</v>
      </c>
      <c r="AN989" t="n">
        <v>129.134552098</v>
      </c>
      <c r="AO989" t="n">
        <v>58.151126341</v>
      </c>
      <c r="AP989" t="n">
        <v>41.203433619</v>
      </c>
      <c r="AQ989" t="n">
        <v>81.11740027</v>
      </c>
      <c r="AR989" t="n">
        <v>96.49195900300001</v>
      </c>
      <c r="AS989" t="n">
        <v>39.496708608</v>
      </c>
      <c r="AT989" t="n">
        <v>90.111935026</v>
      </c>
      <c r="AU989" t="n">
        <v/>
      </c>
    </row>
    <row r="990">
      <c r="A990" s="105" t="n">
        <v>37012</v>
      </c>
      <c r="B990" t="n">
        <v>72.46524461</v>
      </c>
      <c r="C990" t="n">
        <v>75.79368386</v>
      </c>
      <c r="D990" t="n">
        <v>87.02791228300001</v>
      </c>
      <c r="E990" t="n">
        <v>95.31527145</v>
      </c>
      <c r="F990" t="n">
        <v/>
      </c>
      <c r="G990" t="n">
        <v/>
      </c>
      <c r="H990" t="n">
        <v>71.86236167600001</v>
      </c>
      <c r="I990" t="n">
        <v>72.45920634300001</v>
      </c>
      <c r="J990" t="n">
        <v>66.888851858</v>
      </c>
      <c r="K990" t="n">
        <v>81.506792233</v>
      </c>
      <c r="L990" t="n">
        <v>108.3</v>
      </c>
      <c r="M990" t="n">
        <v>96.19198400099999</v>
      </c>
      <c r="N990" t="n">
        <v>123.082102568</v>
      </c>
      <c r="O990" t="n">
        <v>49.104092008</v>
      </c>
      <c r="P990" t="n">
        <v/>
      </c>
      <c r="Q990" t="n">
        <v>99.01650275</v>
      </c>
      <c r="R990" t="n">
        <v>110.949075424</v>
      </c>
      <c r="S990" t="n">
        <v>94.313154117</v>
      </c>
      <c r="T990" t="n">
        <v>102.299257163</v>
      </c>
      <c r="U990" t="n">
        <v/>
      </c>
      <c r="V990" t="n">
        <v>144.367662976</v>
      </c>
      <c r="W990" t="n">
        <v>62.105175431</v>
      </c>
      <c r="X990" t="n">
        <v>43.814418171</v>
      </c>
      <c r="Y990" t="n">
        <v/>
      </c>
      <c r="Z990" t="n">
        <v>45.105640495</v>
      </c>
      <c r="AA990" t="n">
        <v>33.530657309</v>
      </c>
      <c r="AB990" t="n">
        <v>67.23963845900001</v>
      </c>
      <c r="AC990" t="n">
        <v>126.089492542</v>
      </c>
      <c r="AD990" t="n">
        <v>101.198137638</v>
      </c>
      <c r="AE990" t="n">
        <v>49.824</v>
      </c>
      <c r="AF990" t="n">
        <v>96.39196733599999</v>
      </c>
      <c r="AG990" t="n">
        <v>65.5</v>
      </c>
      <c r="AH990" t="n">
        <v>89.440941924</v>
      </c>
      <c r="AI990" t="n">
        <v>96.489792698</v>
      </c>
      <c r="AJ990" t="n">
        <v>115.554693561</v>
      </c>
      <c r="AK990" t="n">
        <v/>
      </c>
      <c r="AL990" t="n">
        <v>86.415062158</v>
      </c>
      <c r="AM990" t="n">
        <v>48</v>
      </c>
      <c r="AN990" t="n">
        <v>133.229998745</v>
      </c>
      <c r="AO990" t="n">
        <v>60.546987646</v>
      </c>
      <c r="AP990" t="n">
        <v>42.003500292</v>
      </c>
      <c r="AQ990" t="n">
        <v>80.9307089</v>
      </c>
      <c r="AR990" t="n">
        <v>100.39163403</v>
      </c>
      <c r="AS990" t="n">
        <v>39.39671694</v>
      </c>
      <c r="AT990" t="n">
        <v>89.614457039</v>
      </c>
      <c r="AU990" t="n">
        <v/>
      </c>
    </row>
    <row r="991">
      <c r="A991" s="105" t="n">
        <v>37043</v>
      </c>
      <c r="B991" t="n">
        <v>72.54970294</v>
      </c>
      <c r="C991" t="n">
        <v>76.793600533</v>
      </c>
      <c r="D991" t="n">
        <v>85.948509922</v>
      </c>
      <c r="E991" t="n">
        <v>94.377041593</v>
      </c>
      <c r="F991" t="n">
        <v/>
      </c>
      <c r="G991" t="n">
        <v/>
      </c>
      <c r="H991" t="n">
        <v>74.011923771</v>
      </c>
      <c r="I991" t="n">
        <v>72.543657635</v>
      </c>
      <c r="J991" t="n">
        <v>66.788868522</v>
      </c>
      <c r="K991" t="n">
        <v>81.90682556900001</v>
      </c>
      <c r="L991" t="n">
        <v>108.9</v>
      </c>
      <c r="M991" t="n">
        <v>96.19198400099999</v>
      </c>
      <c r="N991" t="n">
        <v>123.458102882</v>
      </c>
      <c r="O991" t="n">
        <v>48.204017001</v>
      </c>
      <c r="P991" t="n">
        <v/>
      </c>
      <c r="Q991" t="n">
        <v>99.01650275</v>
      </c>
      <c r="R991" t="n">
        <v>110.979075174</v>
      </c>
      <c r="S991" t="n">
        <v>93.92038197399999</v>
      </c>
      <c r="T991" t="n">
        <v>102.405376724</v>
      </c>
      <c r="U991" t="n">
        <v/>
      </c>
      <c r="V991" t="n">
        <v>141.770044126</v>
      </c>
      <c r="W991" t="n">
        <v>59.204933744</v>
      </c>
      <c r="X991" t="n">
        <v>44.039439251</v>
      </c>
      <c r="Y991" t="n">
        <v/>
      </c>
      <c r="Z991" t="n">
        <v>49.622147317</v>
      </c>
      <c r="AA991" t="n">
        <v>33.568181456</v>
      </c>
      <c r="AB991" t="n">
        <v>65.20844104699999</v>
      </c>
      <c r="AC991" t="n">
        <v>126.289475877</v>
      </c>
      <c r="AD991" t="n">
        <v>100.135131991</v>
      </c>
      <c r="AE991" t="n">
        <v>49.925</v>
      </c>
      <c r="AF991" t="n">
        <v>96.49195900300001</v>
      </c>
      <c r="AG991" t="n">
        <v>65.3</v>
      </c>
      <c r="AH991" t="n">
        <v>90.114032884</v>
      </c>
      <c r="AI991" t="n">
        <v>93.83411033</v>
      </c>
      <c r="AJ991" t="n">
        <v>118.696664081</v>
      </c>
      <c r="AK991" t="n">
        <v/>
      </c>
      <c r="AL991" t="n">
        <v>86.21924062399999</v>
      </c>
      <c r="AM991" t="n">
        <v>47.1</v>
      </c>
      <c r="AN991" t="n">
        <v>132.97403333</v>
      </c>
      <c r="AO991" t="n">
        <v>59.952002181</v>
      </c>
      <c r="AP991" t="n">
        <v>43.403616968</v>
      </c>
      <c r="AQ991" t="n">
        <v>81.024054585</v>
      </c>
      <c r="AR991" t="n">
        <v>99.691692359</v>
      </c>
      <c r="AS991" t="n">
        <v>39.696691942</v>
      </c>
      <c r="AT991" t="n">
        <v>89.106369097</v>
      </c>
      <c r="AU991" t="n">
        <v/>
      </c>
    </row>
    <row r="992">
      <c r="A992" s="105" t="n">
        <v>37073</v>
      </c>
      <c r="B992" t="n">
        <v>73.22536955</v>
      </c>
      <c r="C992" t="n">
        <v>72.49395883699999</v>
      </c>
      <c r="D992" t="n">
        <v>85.73789482700001</v>
      </c>
      <c r="E992" t="n">
        <v>93.062931226</v>
      </c>
      <c r="F992" t="n">
        <v/>
      </c>
      <c r="G992" t="n">
        <v/>
      </c>
      <c r="H992" t="n">
        <v>69.726698078</v>
      </c>
      <c r="I992" t="n">
        <v>73.21926794399999</v>
      </c>
      <c r="J992" t="n">
        <v>65.589068489</v>
      </c>
      <c r="K992" t="n">
        <v>79.40661721799999</v>
      </c>
      <c r="L992" t="n">
        <v>110.6</v>
      </c>
      <c r="M992" t="n">
        <v>94.392133989</v>
      </c>
      <c r="N992" t="n">
        <v>121.635101363</v>
      </c>
      <c r="O992" t="n">
        <v>49.504125344</v>
      </c>
      <c r="P992" t="n">
        <v/>
      </c>
      <c r="Q992" t="n">
        <v>96.916152692</v>
      </c>
      <c r="R992" t="n">
        <v>109.429088091</v>
      </c>
      <c r="S992" t="n">
        <v>92.751457763</v>
      </c>
      <c r="T992" t="n">
        <v>101.662539795</v>
      </c>
      <c r="U992" t="n">
        <v/>
      </c>
      <c r="V992" t="n">
        <v>141.070685205</v>
      </c>
      <c r="W992" t="n">
        <v>59.004917076</v>
      </c>
      <c r="X992" t="n">
        <v>43.743223603</v>
      </c>
      <c r="Y992" t="n">
        <v/>
      </c>
      <c r="Z992" t="n">
        <v>47.007327578</v>
      </c>
      <c r="AA992" t="n">
        <v>35.893432818</v>
      </c>
      <c r="AB992" t="n">
        <v>66.74934942900001</v>
      </c>
      <c r="AC992" t="n">
        <v>123.88967586</v>
      </c>
      <c r="AD992" t="n">
        <v>98.753224649</v>
      </c>
      <c r="AE992" t="n">
        <v>48.934</v>
      </c>
      <c r="AF992" t="n">
        <v>97.79185067900001</v>
      </c>
      <c r="AG992" t="n">
        <v>66.3</v>
      </c>
      <c r="AH992" t="n">
        <v>91.262110032</v>
      </c>
      <c r="AI992" t="n">
        <v>92.94888287400001</v>
      </c>
      <c r="AJ992" t="n">
        <v>118.580294802</v>
      </c>
      <c r="AK992" t="n">
        <v/>
      </c>
      <c r="AL992" t="n">
        <v>85.264640718</v>
      </c>
      <c r="AM992" t="n">
        <v>47.3</v>
      </c>
      <c r="AN992" t="n">
        <v>128.622621267</v>
      </c>
      <c r="AO992" t="n">
        <v>59.859029303</v>
      </c>
      <c r="AP992" t="n">
        <v>42.103508626</v>
      </c>
      <c r="AQ992" t="n">
        <v>81.770820065</v>
      </c>
      <c r="AR992" t="n">
        <v>99.391717357</v>
      </c>
      <c r="AS992" t="n">
        <v>40.196650279</v>
      </c>
      <c r="AT992" t="n">
        <v>88.57706124400001</v>
      </c>
      <c r="AU992" t="n">
        <v/>
      </c>
    </row>
    <row r="993">
      <c r="A993" s="105" t="n">
        <v>37104</v>
      </c>
      <c r="B993" t="n">
        <v>73.47874453</v>
      </c>
      <c r="C993" t="n">
        <v>75.893675527</v>
      </c>
      <c r="D993" t="n">
        <v>85.755446085</v>
      </c>
      <c r="E993" t="n">
        <v>93.555722614</v>
      </c>
      <c r="F993" t="n">
        <v/>
      </c>
      <c r="G993" t="n">
        <v/>
      </c>
      <c r="H993" t="n">
        <v>71.114365921</v>
      </c>
      <c r="I993" t="n">
        <v>73.472621812</v>
      </c>
      <c r="J993" t="n">
        <v>66.988835194</v>
      </c>
      <c r="K993" t="n">
        <v>81.60680056699999</v>
      </c>
      <c r="L993" t="n">
        <v>114.6</v>
      </c>
      <c r="M993" t="n">
        <v>96.791934005</v>
      </c>
      <c r="N993" t="n">
        <v>125.30410442</v>
      </c>
      <c r="O993" t="n">
        <v>49.104092008</v>
      </c>
      <c r="P993" t="n">
        <v/>
      </c>
      <c r="Q993" t="n">
        <v>100.8168028</v>
      </c>
      <c r="R993" t="n">
        <v>112.139065508</v>
      </c>
      <c r="S993" t="n">
        <v>93.148394233</v>
      </c>
      <c r="T993" t="n">
        <v>103.042094093</v>
      </c>
      <c r="U993" t="n">
        <v/>
      </c>
      <c r="V993" t="n">
        <v>143.068853551</v>
      </c>
      <c r="W993" t="n">
        <v>62.105175431</v>
      </c>
      <c r="X993" t="n">
        <v>44.149365307</v>
      </c>
      <c r="Y993" t="n">
        <v/>
      </c>
      <c r="Z993" t="n">
        <v>49.622147317</v>
      </c>
      <c r="AA993" t="n">
        <v>38.086228639</v>
      </c>
      <c r="AB993" t="n">
        <v>65.97889523800001</v>
      </c>
      <c r="AC993" t="n">
        <v>126.089492542</v>
      </c>
      <c r="AD993" t="n">
        <v>97.371317307</v>
      </c>
      <c r="AE993" t="n">
        <v>50.073</v>
      </c>
      <c r="AF993" t="n">
        <v>96.19198400099999</v>
      </c>
      <c r="AG993" t="n">
        <v>66.09999999999999</v>
      </c>
      <c r="AH993" t="n">
        <v>90.521215349</v>
      </c>
      <c r="AI993" t="n">
        <v>96.09635827300001</v>
      </c>
      <c r="AJ993" t="n">
        <v>119.743987587</v>
      </c>
      <c r="AK993" t="n">
        <v/>
      </c>
      <c r="AL993" t="n">
        <v>85.98388536900001</v>
      </c>
      <c r="AM993" t="n">
        <v>48.8</v>
      </c>
      <c r="AN993" t="n">
        <v>131.82218896</v>
      </c>
      <c r="AO993" t="n">
        <v>59.536025128</v>
      </c>
      <c r="AP993" t="n">
        <v>42.20351696</v>
      </c>
      <c r="AQ993" t="n">
        <v>81.584128695</v>
      </c>
      <c r="AR993" t="n">
        <v>101.691525706</v>
      </c>
      <c r="AS993" t="n">
        <v>41.396550287</v>
      </c>
      <c r="AT993" t="n">
        <v>88.469275999</v>
      </c>
      <c r="AU993" t="n">
        <v/>
      </c>
    </row>
    <row r="994">
      <c r="A994" s="105" t="n">
        <v>37135</v>
      </c>
      <c r="B994" t="n">
        <v>72.97199457000001</v>
      </c>
      <c r="C994" t="n">
        <v>74.793767186</v>
      </c>
      <c r="D994" t="n">
        <v>84.11440347200001</v>
      </c>
      <c r="E994" t="n">
        <v>92.121491002</v>
      </c>
      <c r="F994" t="n">
        <v/>
      </c>
      <c r="G994" t="n">
        <v/>
      </c>
      <c r="H994" t="n">
        <v>71.299879461</v>
      </c>
      <c r="I994" t="n">
        <v>72.96591407699999</v>
      </c>
      <c r="J994" t="n">
        <v>66.288951841</v>
      </c>
      <c r="K994" t="n">
        <v>80.50670889200001</v>
      </c>
      <c r="L994" t="n">
        <v>112.6</v>
      </c>
      <c r="M994" t="n">
        <v>95.49204233</v>
      </c>
      <c r="N994" t="n">
        <v>122.865102388</v>
      </c>
      <c r="O994" t="n">
        <v>48.504042004</v>
      </c>
      <c r="P994" t="n">
        <v/>
      </c>
      <c r="Q994" t="n">
        <v>100.116686114</v>
      </c>
      <c r="R994" t="n">
        <v>110.479079341</v>
      </c>
      <c r="S994" t="n">
        <v>92.08872087100001</v>
      </c>
      <c r="T994" t="n">
        <v>101.556420233</v>
      </c>
      <c r="U994" t="n">
        <v/>
      </c>
      <c r="V994" t="n">
        <v>141.27050204</v>
      </c>
      <c r="W994" t="n">
        <v>58.404867072</v>
      </c>
      <c r="X994" t="n">
        <v>44.262537612</v>
      </c>
      <c r="Y994" t="n">
        <v/>
      </c>
      <c r="Z994" t="n">
        <v>48.849586939</v>
      </c>
      <c r="AA994" t="n">
        <v>37.343851865</v>
      </c>
      <c r="AB994" t="n">
        <v>66.189019108</v>
      </c>
      <c r="AC994" t="n">
        <v>124.189650862</v>
      </c>
      <c r="AD994" t="n">
        <v>95.56420770699999</v>
      </c>
      <c r="AE994" t="n">
        <v>50.083</v>
      </c>
      <c r="AF994" t="n">
        <v>95.892008999</v>
      </c>
      <c r="AG994" t="n">
        <v>66.2</v>
      </c>
      <c r="AH994" t="n">
        <v>90.66227641899999</v>
      </c>
      <c r="AI994" t="n">
        <v>94.42426196700001</v>
      </c>
      <c r="AJ994" t="n">
        <v>123.235065943</v>
      </c>
      <c r="AK994" t="n">
        <v/>
      </c>
      <c r="AL994" t="n">
        <v>85.11761029500001</v>
      </c>
      <c r="AM994" t="n">
        <v>47.7</v>
      </c>
      <c r="AN994" t="n">
        <v>132.462102499</v>
      </c>
      <c r="AO994" t="n">
        <v>60.221460146</v>
      </c>
      <c r="AP994" t="n">
        <v>42.503541962</v>
      </c>
      <c r="AQ994" t="n">
        <v>80.65067184500001</v>
      </c>
      <c r="AR994" t="n">
        <v>100.491625698</v>
      </c>
      <c r="AS994" t="n">
        <v>41.196566953</v>
      </c>
      <c r="AT994" t="n">
        <v>88.00095059900001</v>
      </c>
      <c r="AU994" t="n">
        <v/>
      </c>
    </row>
    <row r="995">
      <c r="A995" s="105" t="n">
        <v>37165</v>
      </c>
      <c r="B995" t="n">
        <v>73.9854945</v>
      </c>
      <c r="C995" t="n">
        <v>73.193900508</v>
      </c>
      <c r="D995" t="n">
        <v>82.183765103</v>
      </c>
      <c r="E995" t="n">
        <v>92.395174818</v>
      </c>
      <c r="F995" t="n">
        <v/>
      </c>
      <c r="G995" t="n">
        <v/>
      </c>
      <c r="H995" t="n">
        <v>70.325701397</v>
      </c>
      <c r="I995" t="n">
        <v>73.979329556</v>
      </c>
      <c r="J995" t="n">
        <v>66.68888518599999</v>
      </c>
      <c r="K995" t="n">
        <v>79.106592216</v>
      </c>
      <c r="L995" t="n">
        <v>109.5</v>
      </c>
      <c r="M995" t="n">
        <v>94.092158987</v>
      </c>
      <c r="N995" t="n">
        <v>121.914101595</v>
      </c>
      <c r="O995" t="n">
        <v>50.204183682</v>
      </c>
      <c r="P995" t="n">
        <v/>
      </c>
      <c r="Q995" t="n">
        <v>99.216536089</v>
      </c>
      <c r="R995" t="n">
        <v>109.719085674</v>
      </c>
      <c r="S995" t="n">
        <v>91.668582296</v>
      </c>
      <c r="T995" t="n">
        <v>100.919702865</v>
      </c>
      <c r="U995" t="n">
        <v/>
      </c>
      <c r="V995" t="n">
        <v>142.669219882</v>
      </c>
      <c r="W995" t="n">
        <v>61.905158763</v>
      </c>
      <c r="X995" t="n">
        <v>44.421507809</v>
      </c>
      <c r="Y995" t="n">
        <v/>
      </c>
      <c r="Z995" t="n">
        <v>46.947899857</v>
      </c>
      <c r="AA995" t="n">
        <v>36.888958906</v>
      </c>
      <c r="AB995" t="n">
        <v>65.558647498</v>
      </c>
      <c r="AC995" t="n">
        <v>123.489709191</v>
      </c>
      <c r="AD995" t="n">
        <v>95.56420770699999</v>
      </c>
      <c r="AE995" t="n">
        <v>50.388</v>
      </c>
      <c r="AF995" t="n">
        <v>96.091992334</v>
      </c>
      <c r="AG995" t="n">
        <v>66.2</v>
      </c>
      <c r="AH995" t="n">
        <v>88.732865221</v>
      </c>
      <c r="AI995" t="n">
        <v>90.98171075</v>
      </c>
      <c r="AJ995" t="n">
        <v>120.907680372</v>
      </c>
      <c r="AK995" t="n">
        <v/>
      </c>
      <c r="AL995" t="n">
        <v>84.559794801</v>
      </c>
      <c r="AM995" t="n">
        <v>47.8</v>
      </c>
      <c r="AN995" t="n">
        <v>133.229998745</v>
      </c>
      <c r="AO995" t="n">
        <v>60.798820838</v>
      </c>
      <c r="AP995" t="n">
        <v>42.403533628</v>
      </c>
      <c r="AQ995" t="n">
        <v>82.05085712</v>
      </c>
      <c r="AR995" t="n">
        <v>100.691609033</v>
      </c>
      <c r="AS995" t="n">
        <v>38.896758603</v>
      </c>
      <c r="AT995" t="n">
        <v>87.73094211599999</v>
      </c>
      <c r="AU995" t="n">
        <v/>
      </c>
    </row>
    <row r="996">
      <c r="A996" s="105" t="n">
        <v>37196</v>
      </c>
      <c r="B996" t="n">
        <v>71.95849464</v>
      </c>
      <c r="C996" t="n">
        <v>73.093908841</v>
      </c>
      <c r="D996" t="n">
        <v>83.140308658</v>
      </c>
      <c r="E996" t="n">
        <v>92.478911899</v>
      </c>
      <c r="F996" t="n">
        <v/>
      </c>
      <c r="G996" t="n">
        <v/>
      </c>
      <c r="H996" t="n">
        <v>70.97684282100001</v>
      </c>
      <c r="I996" t="n">
        <v>71.95249859800001</v>
      </c>
      <c r="J996" t="n">
        <v>67.18880186600001</v>
      </c>
      <c r="K996" t="n">
        <v>78.10650887600001</v>
      </c>
      <c r="L996" t="n">
        <v>117.8</v>
      </c>
      <c r="M996" t="n">
        <v>93.492208983</v>
      </c>
      <c r="N996" t="n">
        <v>119.845099871</v>
      </c>
      <c r="O996" t="n">
        <v>51.90432536</v>
      </c>
      <c r="P996" t="n">
        <v/>
      </c>
      <c r="Q996" t="n">
        <v>99.216536089</v>
      </c>
      <c r="R996" t="n">
        <v>108.489095924</v>
      </c>
      <c r="S996" t="n">
        <v>90.863574077</v>
      </c>
      <c r="T996" t="n">
        <v>100.707463742</v>
      </c>
      <c r="U996" t="n">
        <v/>
      </c>
      <c r="V996" t="n">
        <v>144.667388227</v>
      </c>
      <c r="W996" t="n">
        <v>59.804983749</v>
      </c>
      <c r="X996" t="n">
        <v>44.878170309</v>
      </c>
      <c r="Y996" t="n">
        <v/>
      </c>
      <c r="Z996" t="n">
        <v>47.839315677</v>
      </c>
      <c r="AA996" t="n">
        <v>36.268818623</v>
      </c>
      <c r="AB996" t="n">
        <v>64.928275887</v>
      </c>
      <c r="AC996" t="n">
        <v>121.689859178</v>
      </c>
      <c r="AD996" t="n">
        <v>94.07599980000001</v>
      </c>
      <c r="AE996" t="n">
        <v>50.715</v>
      </c>
      <c r="AF996" t="n">
        <v>96.691942338</v>
      </c>
      <c r="AG996" t="n">
        <v>65.90000000000001</v>
      </c>
      <c r="AH996" t="n">
        <v>90.667005222</v>
      </c>
      <c r="AI996" t="n">
        <v>94.030827542</v>
      </c>
      <c r="AJ996" t="n">
        <v>122.304111715</v>
      </c>
      <c r="AK996" t="n">
        <v/>
      </c>
      <c r="AL996" t="n">
        <v>84.191236922</v>
      </c>
      <c r="AM996" t="n">
        <v>47.2</v>
      </c>
      <c r="AN996" t="n">
        <v>134.765791238</v>
      </c>
      <c r="AO996" t="n">
        <v>61.38086809</v>
      </c>
      <c r="AP996" t="n">
        <v>41.403450288</v>
      </c>
      <c r="AQ996" t="n">
        <v>81.024054585</v>
      </c>
      <c r="AR996" t="n">
        <v>101.191567369</v>
      </c>
      <c r="AS996" t="n">
        <v>39.596700275</v>
      </c>
      <c r="AT996" t="n">
        <v>87.22285417400001</v>
      </c>
      <c r="AU996" t="n">
        <v/>
      </c>
    </row>
    <row r="997">
      <c r="A997" s="105" t="n">
        <v>37226</v>
      </c>
      <c r="B997" t="n">
        <v>72.63416126</v>
      </c>
      <c r="C997" t="n">
        <v>72.293975502</v>
      </c>
      <c r="D997" t="n">
        <v>83.386026269</v>
      </c>
      <c r="E997" t="n">
        <v>90.677093226</v>
      </c>
      <c r="F997" t="n">
        <v/>
      </c>
      <c r="G997" t="n">
        <v/>
      </c>
      <c r="H997" t="n">
        <v>67.532820947</v>
      </c>
      <c r="I997" t="n">
        <v>72.628108918</v>
      </c>
      <c r="J997" t="n">
        <v>67.288785202</v>
      </c>
      <c r="K997" t="n">
        <v>78.60655054599999</v>
      </c>
      <c r="L997" t="n">
        <v>113.7</v>
      </c>
      <c r="M997" t="n">
        <v>94.192150654</v>
      </c>
      <c r="N997" t="n">
        <v>119.843099869</v>
      </c>
      <c r="O997" t="n">
        <v>52.704392033</v>
      </c>
      <c r="P997" t="n">
        <v/>
      </c>
      <c r="Q997" t="n">
        <v>95.41590265000001</v>
      </c>
      <c r="R997" t="n">
        <v>109.179090174</v>
      </c>
      <c r="S997" t="n">
        <v>91.142414133</v>
      </c>
      <c r="T997" t="n">
        <v>101.025822427</v>
      </c>
      <c r="U997" t="n">
        <v/>
      </c>
      <c r="V997" t="n">
        <v>132.578469736</v>
      </c>
      <c r="W997" t="n">
        <v>59.504958747</v>
      </c>
      <c r="X997" t="n">
        <v>44.91917941</v>
      </c>
      <c r="Y997" t="n">
        <v/>
      </c>
      <c r="Z997" t="n">
        <v>52.534105662</v>
      </c>
      <c r="AA997" t="n">
        <v>35.804759294</v>
      </c>
      <c r="AB997" t="n">
        <v>65.138399757</v>
      </c>
      <c r="AC997" t="n">
        <v>123.389717524</v>
      </c>
      <c r="AD997" t="n">
        <v>95.03270488299999</v>
      </c>
      <c r="AE997" t="n">
        <v>49.447</v>
      </c>
      <c r="AF997" t="n">
        <v>98.291809016</v>
      </c>
      <c r="AG997" t="n">
        <v>66.3</v>
      </c>
      <c r="AH997" t="n">
        <v>90.38336527200001</v>
      </c>
      <c r="AI997" t="n">
        <v>95.801282454</v>
      </c>
      <c r="AJ997" t="n">
        <v>126.493405741</v>
      </c>
      <c r="AK997" t="n">
        <v/>
      </c>
      <c r="AL997" t="n">
        <v>84.317543116</v>
      </c>
      <c r="AM997" t="n">
        <v>49.1</v>
      </c>
      <c r="AN997" t="n">
        <v>132.846050622</v>
      </c>
      <c r="AO997" t="n">
        <v>59.579520516</v>
      </c>
      <c r="AP997" t="n">
        <v>41.003416951</v>
      </c>
      <c r="AQ997" t="n">
        <v>81.86416575</v>
      </c>
      <c r="AR997" t="n">
        <v>100.7916007</v>
      </c>
      <c r="AS997" t="n">
        <v>39.496708608</v>
      </c>
      <c r="AT997" t="n">
        <v>87.192908319</v>
      </c>
      <c r="AU997" t="n">
        <v/>
      </c>
    </row>
    <row r="998">
      <c r="A998" s="105" t="n">
        <v>37257</v>
      </c>
      <c r="B998" t="n">
        <v>72.38078628</v>
      </c>
      <c r="C998" t="n">
        <v>73.69385884499999</v>
      </c>
      <c r="D998" t="n">
        <v>85.73736706299999</v>
      </c>
      <c r="E998" t="n">
        <v>93.86605812400001</v>
      </c>
      <c r="F998" t="n">
        <v/>
      </c>
      <c r="G998" t="n">
        <v/>
      </c>
      <c r="H998" t="n">
        <v>71.20662165900001</v>
      </c>
      <c r="I998" t="n">
        <v>72.37475505</v>
      </c>
      <c r="J998" t="n">
        <v>65.38910181599999</v>
      </c>
      <c r="K998" t="n">
        <v>79.006583882</v>
      </c>
      <c r="L998" t="n">
        <v>115.6</v>
      </c>
      <c r="M998" t="n">
        <v>94.192150654</v>
      </c>
      <c r="N998" t="n">
        <v>121.074100895</v>
      </c>
      <c r="O998" t="n">
        <v>51.204267022</v>
      </c>
      <c r="P998" t="n">
        <v/>
      </c>
      <c r="Q998" t="n">
        <v>98.516419403</v>
      </c>
      <c r="R998" t="n">
        <v>109.169090258</v>
      </c>
      <c r="S998" t="n">
        <v>91.523769695</v>
      </c>
      <c r="T998" t="n">
        <v>101.450300672</v>
      </c>
      <c r="U998" t="n">
        <v/>
      </c>
      <c r="V998" t="n">
        <v>141.27050204</v>
      </c>
      <c r="W998" t="n">
        <v>59.704975415</v>
      </c>
      <c r="X998" t="n">
        <v>44.832168041</v>
      </c>
      <c r="Y998" t="n">
        <v/>
      </c>
      <c r="Z998" t="n">
        <v>53.247238318</v>
      </c>
      <c r="AA998" t="n">
        <v>37.217298605</v>
      </c>
      <c r="AB998" t="n">
        <v>64.788193307</v>
      </c>
      <c r="AC998" t="n">
        <v>122.38980085</v>
      </c>
      <c r="AD998" t="n">
        <v>94.50120205899999</v>
      </c>
      <c r="AE998" t="n">
        <v>50.993</v>
      </c>
      <c r="AF998" t="n">
        <v>97.99183401400001</v>
      </c>
      <c r="AG998" t="n">
        <v>67.7</v>
      </c>
      <c r="AH998" t="n">
        <v>88.718234741</v>
      </c>
      <c r="AI998" t="n">
        <v>94.12918614900001</v>
      </c>
      <c r="AJ998" t="n">
        <v>122.536850272</v>
      </c>
      <c r="AK998" t="n">
        <v/>
      </c>
      <c r="AL998" t="n">
        <v>84.66655259700001</v>
      </c>
      <c r="AM998" t="n">
        <v>48.1</v>
      </c>
      <c r="AN998" t="n">
        <v>130.15841376</v>
      </c>
      <c r="AO998" t="n">
        <v>60.371529676</v>
      </c>
      <c r="AP998" t="n">
        <v>41.503458622</v>
      </c>
      <c r="AQ998" t="n">
        <v>82.98431397</v>
      </c>
      <c r="AR998" t="n">
        <v>99.491709024</v>
      </c>
      <c r="AS998" t="n">
        <v>40.796600283</v>
      </c>
      <c r="AT998" t="n">
        <v>87.800055562</v>
      </c>
      <c r="AU998" t="n">
        <v/>
      </c>
    </row>
    <row r="999">
      <c r="A999" s="105" t="n">
        <v>37288</v>
      </c>
      <c r="B999" t="n">
        <v>72.88753624</v>
      </c>
      <c r="C999" t="n">
        <v>73.49387551</v>
      </c>
      <c r="D999" t="n">
        <v>87.862200661</v>
      </c>
      <c r="E999" t="n">
        <v>95.134688287</v>
      </c>
      <c r="F999" t="n">
        <v/>
      </c>
      <c r="G999" t="n">
        <v/>
      </c>
      <c r="H999" t="n">
        <v>71.25048496399999</v>
      </c>
      <c r="I999" t="n">
        <v>72.881462785</v>
      </c>
      <c r="J999" t="n">
        <v>66.888851858</v>
      </c>
      <c r="K999" t="n">
        <v>79.20660055</v>
      </c>
      <c r="L999" t="n">
        <v>113.4</v>
      </c>
      <c r="M999" t="n">
        <v>94.492125656</v>
      </c>
      <c r="N999" t="n">
        <v>121.738101448</v>
      </c>
      <c r="O999" t="n">
        <v>50.90424202</v>
      </c>
      <c r="P999" t="n">
        <v/>
      </c>
      <c r="Q999" t="n">
        <v>97.416236039</v>
      </c>
      <c r="R999" t="n">
        <v>109.579086841</v>
      </c>
      <c r="S999" t="n">
        <v>92.020053953</v>
      </c>
      <c r="T999" t="n">
        <v>102.617615847</v>
      </c>
      <c r="U999" t="n">
        <v/>
      </c>
      <c r="V999" t="n">
        <v>145.166930314</v>
      </c>
      <c r="W999" t="n">
        <v>63.205267106</v>
      </c>
      <c r="X999" t="n">
        <v>45.090810784</v>
      </c>
      <c r="Y999" t="n">
        <v/>
      </c>
      <c r="Z999" t="n">
        <v>50.810701744</v>
      </c>
      <c r="AA999" t="n">
        <v>39.444161445</v>
      </c>
      <c r="AB999" t="n">
        <v>65.418564917</v>
      </c>
      <c r="AC999" t="n">
        <v>123.789684193</v>
      </c>
      <c r="AD999" t="n">
        <v>95.67050827200001</v>
      </c>
      <c r="AE999" t="n">
        <v>51.975</v>
      </c>
      <c r="AF999" t="n">
        <v>99.09174235499999</v>
      </c>
      <c r="AG999" t="n">
        <v>66.8</v>
      </c>
      <c r="AH999" t="n">
        <v>87.696883427</v>
      </c>
      <c r="AI999" t="n">
        <v>90.29320050600001</v>
      </c>
      <c r="AJ999" t="n">
        <v>124.631497285</v>
      </c>
      <c r="AK999" t="n">
        <v/>
      </c>
      <c r="AL999" t="n">
        <v>85.139231929</v>
      </c>
      <c r="AM999" t="n">
        <v>47.9</v>
      </c>
      <c r="AN999" t="n">
        <v>128.110690436</v>
      </c>
      <c r="AO999" t="n">
        <v>60.379832662</v>
      </c>
      <c r="AP999" t="n">
        <v>43.303608634</v>
      </c>
      <c r="AQ999" t="n">
        <v>82.70427691499999</v>
      </c>
      <c r="AR999" t="n">
        <v>101.691525706</v>
      </c>
      <c r="AS999" t="n">
        <v>43.1964003</v>
      </c>
      <c r="AT999" t="n">
        <v>87.79113130099999</v>
      </c>
      <c r="AU999" t="n">
        <v/>
      </c>
    </row>
    <row r="1000">
      <c r="A1000" s="105" t="n">
        <v>37316</v>
      </c>
      <c r="B1000" t="n">
        <v>71.95849464</v>
      </c>
      <c r="C1000" t="n">
        <v>75.693692192</v>
      </c>
      <c r="D1000" t="n">
        <v>87.314571081</v>
      </c>
      <c r="E1000" t="n">
        <v>94.980055593</v>
      </c>
      <c r="F1000" t="n">
        <v/>
      </c>
      <c r="G1000" t="n">
        <v/>
      </c>
      <c r="H1000" t="n">
        <v>72.145933128</v>
      </c>
      <c r="I1000" t="n">
        <v>71.95249859800001</v>
      </c>
      <c r="J1000" t="n">
        <v>66.48891851400001</v>
      </c>
      <c r="K1000" t="n">
        <v>79.40661721799999</v>
      </c>
      <c r="L1000" t="n">
        <v>111.7</v>
      </c>
      <c r="M1000" t="n">
        <v>95.292058995</v>
      </c>
      <c r="N1000" t="n">
        <v>121.422101185</v>
      </c>
      <c r="O1000" t="n">
        <v>50.604217018</v>
      </c>
      <c r="P1000" t="n">
        <v/>
      </c>
      <c r="Q1000" t="n">
        <v>102.517086181</v>
      </c>
      <c r="R1000" t="n">
        <v>110.099082508</v>
      </c>
      <c r="S1000" t="n">
        <v>92.70086277599999</v>
      </c>
      <c r="T1000" t="n">
        <v>105.801202688</v>
      </c>
      <c r="U1000" t="n">
        <v/>
      </c>
      <c r="V1000" t="n">
        <v>142.669219882</v>
      </c>
      <c r="W1000" t="n">
        <v>62.505208767</v>
      </c>
      <c r="X1000" t="n">
        <v>45.362218735</v>
      </c>
      <c r="Y1000" t="n">
        <v/>
      </c>
      <c r="Z1000" t="n">
        <v>55.683774893</v>
      </c>
      <c r="AA1000" t="n">
        <v>37.826260683</v>
      </c>
      <c r="AB1000" t="n">
        <v>66.539225558</v>
      </c>
      <c r="AC1000" t="n">
        <v>124.689609199</v>
      </c>
      <c r="AD1000" t="n">
        <v>96.09571053099999</v>
      </c>
      <c r="AE1000" t="n">
        <v>53.278</v>
      </c>
      <c r="AF1000" t="n">
        <v>97.091909008</v>
      </c>
      <c r="AG1000" t="n">
        <v>67.5</v>
      </c>
      <c r="AH1000" t="n">
        <v>88.371202154</v>
      </c>
      <c r="AI1000" t="n">
        <v>94.030827542</v>
      </c>
      <c r="AJ1000" t="n">
        <v>112.994569434</v>
      </c>
      <c r="AK1000" t="n">
        <v/>
      </c>
      <c r="AL1000" t="n">
        <v>85.820160133</v>
      </c>
      <c r="AM1000" t="n">
        <v>48</v>
      </c>
      <c r="AN1000" t="n">
        <v>132.846050622</v>
      </c>
      <c r="AO1000" t="n">
        <v>60.347940423</v>
      </c>
      <c r="AP1000" t="n">
        <v>42.20351696</v>
      </c>
      <c r="AQ1000" t="n">
        <v>82.330894175</v>
      </c>
      <c r="AR1000" t="n">
        <v>102.091492376</v>
      </c>
      <c r="AS1000" t="n">
        <v>43.696358637</v>
      </c>
      <c r="AT1000" t="n">
        <v>88.45896352</v>
      </c>
      <c r="AU1000" t="n">
        <v/>
      </c>
    </row>
    <row r="1001">
      <c r="A1001" s="105" t="n">
        <v>37347</v>
      </c>
      <c r="B1001" t="n">
        <v>74.91453609</v>
      </c>
      <c r="C1001" t="n">
        <v>75.19373385599999</v>
      </c>
      <c r="D1001" t="n">
        <v>87.41589466400001</v>
      </c>
      <c r="E1001" t="n">
        <v>96.33563320499999</v>
      </c>
      <c r="F1001" t="n">
        <v/>
      </c>
      <c r="G1001" t="n">
        <v/>
      </c>
      <c r="H1001" t="n">
        <v>72.26802436600001</v>
      </c>
      <c r="I1001" t="n">
        <v>74.908293732</v>
      </c>
      <c r="J1001" t="n">
        <v>67.08881853</v>
      </c>
      <c r="K1001" t="n">
        <v>79.506625552</v>
      </c>
      <c r="L1001" t="n">
        <v>115.5</v>
      </c>
      <c r="M1001" t="n">
        <v>95.09207566000001</v>
      </c>
      <c r="N1001" t="n">
        <v>122.481102068</v>
      </c>
      <c r="O1001" t="n">
        <v>52.904408701</v>
      </c>
      <c r="P1001" t="n">
        <v/>
      </c>
      <c r="Q1001" t="n">
        <v>100.416736123</v>
      </c>
      <c r="R1001" t="n">
        <v>110.779076841</v>
      </c>
      <c r="S1001" t="n">
        <v>92.561903595</v>
      </c>
      <c r="T1001" t="n">
        <v>102.82985497</v>
      </c>
      <c r="U1001" t="n">
        <v/>
      </c>
      <c r="V1001" t="n">
        <v>144.867205062</v>
      </c>
      <c r="W1001" t="n">
        <v>62.305192099</v>
      </c>
      <c r="X1001" t="n">
        <v>45.903366367</v>
      </c>
      <c r="Y1001" t="n">
        <v/>
      </c>
      <c r="Z1001" t="n">
        <v>52.534105662</v>
      </c>
      <c r="AA1001" t="n">
        <v>36.931598813</v>
      </c>
      <c r="AB1001" t="n">
        <v>66.679308139</v>
      </c>
      <c r="AC1001" t="n">
        <v>120.88992584</v>
      </c>
      <c r="AD1001" t="n">
        <v>95.989409966</v>
      </c>
      <c r="AE1001" t="n">
        <v>53.735</v>
      </c>
      <c r="AF1001" t="n">
        <v>99.991667361</v>
      </c>
      <c r="AG1001" t="n">
        <v>68.7</v>
      </c>
      <c r="AH1001" t="n">
        <v>89.17979740200001</v>
      </c>
      <c r="AI1001" t="n">
        <v>96.293075485</v>
      </c>
      <c r="AJ1001" t="n">
        <v>126.493405741</v>
      </c>
      <c r="AK1001" t="n">
        <v/>
      </c>
      <c r="AL1001" t="n">
        <v>85.97622389599999</v>
      </c>
      <c r="AM1001" t="n">
        <v>46.8</v>
      </c>
      <c r="AN1001" t="n">
        <v>135.277722069</v>
      </c>
      <c r="AO1001" t="n">
        <v>60.413979206</v>
      </c>
      <c r="AP1001" t="n">
        <v>43.603633636</v>
      </c>
      <c r="AQ1001" t="n">
        <v>84.197807876</v>
      </c>
      <c r="AR1001" t="n">
        <v>100.691609033</v>
      </c>
      <c r="AS1001" t="n">
        <v>44.496291976</v>
      </c>
      <c r="AT1001" t="n">
        <v>88.884551624</v>
      </c>
      <c r="AU1001" t="n">
        <v/>
      </c>
    </row>
    <row r="1002">
      <c r="A1002" s="105" t="n">
        <v>37377</v>
      </c>
      <c r="B1002" t="n">
        <v>74.15441115</v>
      </c>
      <c r="C1002" t="n">
        <v>75.893675527</v>
      </c>
      <c r="D1002" t="n">
        <v>87.37579681699999</v>
      </c>
      <c r="E1002" t="n">
        <v>96.277579062</v>
      </c>
      <c r="F1002" t="n">
        <v/>
      </c>
      <c r="G1002" t="n">
        <v/>
      </c>
      <c r="H1002" t="n">
        <v>72.183352404</v>
      </c>
      <c r="I1002" t="n">
        <v>74.148232131</v>
      </c>
      <c r="J1002" t="n">
        <v>67.18880186600001</v>
      </c>
      <c r="K1002" t="n">
        <v>78.70655888</v>
      </c>
      <c r="L1002" t="n">
        <v>113.8</v>
      </c>
      <c r="M1002" t="n">
        <v>95.49204233</v>
      </c>
      <c r="N1002" t="n">
        <v>121.430101192</v>
      </c>
      <c r="O1002" t="n">
        <v>53.904492041</v>
      </c>
      <c r="P1002" t="n">
        <v/>
      </c>
      <c r="Q1002" t="n">
        <v>100.616769462</v>
      </c>
      <c r="R1002" t="n">
        <v>109.819084841</v>
      </c>
      <c r="S1002" t="n">
        <v>93.72895935299999</v>
      </c>
      <c r="T1002" t="n">
        <v>105.801202688</v>
      </c>
      <c r="U1002" t="n">
        <v/>
      </c>
      <c r="V1002" t="n">
        <v>139.07251686</v>
      </c>
      <c r="W1002" t="n">
        <v>61.205100425</v>
      </c>
      <c r="X1002" t="n">
        <v>45.699662326</v>
      </c>
      <c r="Y1002" t="n">
        <v/>
      </c>
      <c r="Z1002" t="n">
        <v>55.267780844</v>
      </c>
      <c r="AA1002" t="n">
        <v>35.968831513</v>
      </c>
      <c r="AB1002" t="n">
        <v>66.118977818</v>
      </c>
      <c r="AC1002" t="n">
        <v>125.189567536</v>
      </c>
      <c r="AD1002" t="n">
        <v>99.816230297</v>
      </c>
      <c r="AE1002" t="n">
        <v>53.147</v>
      </c>
      <c r="AF1002" t="n">
        <v>100.7916007</v>
      </c>
      <c r="AG1002" t="n">
        <v>68.40000000000001</v>
      </c>
      <c r="AH1002" t="n">
        <v>89.470858475</v>
      </c>
      <c r="AI1002" t="n">
        <v>97.07994433499999</v>
      </c>
      <c r="AJ1002" t="n">
        <v>124.166020171</v>
      </c>
      <c r="AK1002" t="n">
        <v/>
      </c>
      <c r="AL1002" t="n">
        <v>86.640168018</v>
      </c>
      <c r="AM1002" t="n">
        <v>47.2</v>
      </c>
      <c r="AN1002" t="n">
        <v>131.950171668</v>
      </c>
      <c r="AO1002" t="n">
        <v>59.879773607</v>
      </c>
      <c r="AP1002" t="n">
        <v>44.403700308</v>
      </c>
      <c r="AQ1002" t="n">
        <v>81.86416575</v>
      </c>
      <c r="AR1002" t="n">
        <v>100.891592367</v>
      </c>
      <c r="AS1002" t="n">
        <v>43.096408633</v>
      </c>
      <c r="AT1002" t="n">
        <v>89.269484761</v>
      </c>
      <c r="AU1002" t="n">
        <v/>
      </c>
    </row>
    <row r="1003">
      <c r="A1003" s="105" t="n">
        <v>37408</v>
      </c>
      <c r="B1003" t="n">
        <v>75.08345274</v>
      </c>
      <c r="C1003" t="n">
        <v>74.593783851</v>
      </c>
      <c r="D1003" t="n">
        <v>87.785440037</v>
      </c>
      <c r="E1003" t="n">
        <v>95.590025389</v>
      </c>
      <c r="F1003" t="n">
        <v/>
      </c>
      <c r="G1003" t="n">
        <v/>
      </c>
      <c r="H1003" t="n">
        <v>72.532897785</v>
      </c>
      <c r="I1003" t="n">
        <v>75.07719630699999</v>
      </c>
      <c r="J1003" t="n">
        <v>67.18880186600001</v>
      </c>
      <c r="K1003" t="n">
        <v>80.906742229</v>
      </c>
      <c r="L1003" t="n">
        <v>112.7</v>
      </c>
      <c r="M1003" t="n">
        <v>95.892008999</v>
      </c>
      <c r="N1003" t="n">
        <v>121.421101184</v>
      </c>
      <c r="O1003" t="n">
        <v>52.804400367</v>
      </c>
      <c r="P1003" t="n">
        <v/>
      </c>
      <c r="Q1003" t="n">
        <v>103.017169528</v>
      </c>
      <c r="R1003" t="n">
        <v>109.649086258</v>
      </c>
      <c r="S1003" t="n">
        <v>93.67083037899999</v>
      </c>
      <c r="T1003" t="n">
        <v>100.707463742</v>
      </c>
      <c r="U1003" t="n">
        <v/>
      </c>
      <c r="V1003" t="n">
        <v>141.670135709</v>
      </c>
      <c r="W1003" t="n">
        <v>62.105175431</v>
      </c>
      <c r="X1003" t="n">
        <v>46.105457949</v>
      </c>
      <c r="Y1003" t="n">
        <v/>
      </c>
      <c r="Z1003" t="n">
        <v>56.634618435</v>
      </c>
      <c r="AA1003" t="n">
        <v>34.522359619</v>
      </c>
      <c r="AB1003" t="n">
        <v>65.97889523800001</v>
      </c>
      <c r="AC1003" t="n">
        <v>123.88967586</v>
      </c>
      <c r="AD1003" t="n">
        <v>98.64692408400001</v>
      </c>
      <c r="AE1003" t="n">
        <v>52.749</v>
      </c>
      <c r="AF1003" t="n">
        <v>101.491542371</v>
      </c>
      <c r="AG1003" t="n">
        <v>70.5</v>
      </c>
      <c r="AH1003" t="n">
        <v>89.189811818</v>
      </c>
      <c r="AI1003" t="n">
        <v>96.194716879</v>
      </c>
      <c r="AJ1003" t="n">
        <v>124.166020171</v>
      </c>
      <c r="AK1003" t="n">
        <v/>
      </c>
      <c r="AL1003" t="n">
        <v>86.625223542</v>
      </c>
      <c r="AM1003" t="n">
        <v>48.2</v>
      </c>
      <c r="AN1003" t="n">
        <v>132.462102499</v>
      </c>
      <c r="AO1003" t="n">
        <v>61.188699577</v>
      </c>
      <c r="AP1003" t="n">
        <v>45.603800317</v>
      </c>
      <c r="AQ1003" t="n">
        <v>82.05085712</v>
      </c>
      <c r="AR1003" t="n">
        <v>99.391717357</v>
      </c>
      <c r="AS1003" t="n">
        <v>43.496375302</v>
      </c>
      <c r="AT1003" t="n">
        <v>90.00067923500001</v>
      </c>
      <c r="AU1003" t="n">
        <v/>
      </c>
    </row>
    <row r="1004">
      <c r="A1004" s="105" t="n">
        <v>37438</v>
      </c>
      <c r="B1004" t="n">
        <v>73.73211951</v>
      </c>
      <c r="C1004" t="n">
        <v>74.09382551500001</v>
      </c>
      <c r="D1004" t="n">
        <v>88.020885525</v>
      </c>
      <c r="E1004" t="n">
        <v>96.581761368</v>
      </c>
      <c r="F1004" t="n">
        <v/>
      </c>
      <c r="G1004" t="n">
        <v/>
      </c>
      <c r="H1004" t="n">
        <v>74.126518666</v>
      </c>
      <c r="I1004" t="n">
        <v>73.725975679</v>
      </c>
      <c r="J1004" t="n">
        <v>68.68855190799999</v>
      </c>
      <c r="K1004" t="n">
        <v>79.40661721799999</v>
      </c>
      <c r="L1004" t="n">
        <v>114.1</v>
      </c>
      <c r="M1004" t="n">
        <v>95.19206732799999</v>
      </c>
      <c r="N1004" t="n">
        <v>121.996101663</v>
      </c>
      <c r="O1004" t="n">
        <v>53.104425369</v>
      </c>
      <c r="P1004" t="n">
        <v/>
      </c>
      <c r="Q1004" t="n">
        <v>101.516919487</v>
      </c>
      <c r="R1004" t="n">
        <v>108.519095674</v>
      </c>
      <c r="S1004" t="n">
        <v>93.79522950499999</v>
      </c>
      <c r="T1004" t="n">
        <v>104.315528829</v>
      </c>
      <c r="U1004" t="n">
        <v/>
      </c>
      <c r="V1004" t="n">
        <v>141.770044126</v>
      </c>
      <c r="W1004" t="n">
        <v>63.205267106</v>
      </c>
      <c r="X1004" t="n">
        <v>46.658908205</v>
      </c>
      <c r="Y1004" t="n">
        <v/>
      </c>
      <c r="Z1004" t="n">
        <v>53.425521482</v>
      </c>
      <c r="AA1004" t="n">
        <v>35.151780007</v>
      </c>
      <c r="AB1004" t="n">
        <v>65.068358467</v>
      </c>
      <c r="AC1004" t="n">
        <v>123.389717524</v>
      </c>
      <c r="AD1004" t="n">
        <v>99.391028038</v>
      </c>
      <c r="AE1004" t="n">
        <v>54.064</v>
      </c>
      <c r="AF1004" t="n">
        <v>99.09174235499999</v>
      </c>
      <c r="AG1004" t="n">
        <v>70.3</v>
      </c>
      <c r="AH1004" t="n">
        <v>89.68966403899999</v>
      </c>
      <c r="AI1004" t="n">
        <v>96.194716879</v>
      </c>
      <c r="AJ1004" t="n">
        <v>120.32583398</v>
      </c>
      <c r="AK1004" t="n">
        <v/>
      </c>
      <c r="AL1004" t="n">
        <v>86.840029472</v>
      </c>
      <c r="AM1004" t="n">
        <v>48.8</v>
      </c>
      <c r="AN1004" t="n">
        <v>132.97403333</v>
      </c>
      <c r="AO1004" t="n">
        <v>62.196424375</v>
      </c>
      <c r="AP1004" t="n">
        <v>45.603800317</v>
      </c>
      <c r="AQ1004" t="n">
        <v>83.264351026</v>
      </c>
      <c r="AR1004" t="n">
        <v>99.991667361</v>
      </c>
      <c r="AS1004" t="n">
        <v>43.996333639</v>
      </c>
      <c r="AT1004" t="n">
        <v>89.980054276</v>
      </c>
      <c r="AU1004" t="n">
        <v/>
      </c>
    </row>
    <row r="1005">
      <c r="A1005" s="105" t="n">
        <v>37469</v>
      </c>
      <c r="B1005" t="n">
        <v>71.78957799</v>
      </c>
      <c r="C1005" t="n">
        <v>75.39371719</v>
      </c>
      <c r="D1005" t="n">
        <v>87.110723842</v>
      </c>
      <c r="E1005" t="n">
        <v>96.382451062</v>
      </c>
      <c r="F1005" t="n">
        <v/>
      </c>
      <c r="G1005" t="n">
        <v/>
      </c>
      <c r="H1005" t="n">
        <v>72.35744815300001</v>
      </c>
      <c r="I1005" t="n">
        <v>71.783596024</v>
      </c>
      <c r="J1005" t="n">
        <v>67.18880186600001</v>
      </c>
      <c r="K1005" t="n">
        <v>81.306775565</v>
      </c>
      <c r="L1005" t="n">
        <v>112.9</v>
      </c>
      <c r="M1005" t="n">
        <v>95.592033997</v>
      </c>
      <c r="N1005" t="n">
        <v>122.838102365</v>
      </c>
      <c r="O1005" t="n">
        <v>54.904575381</v>
      </c>
      <c r="P1005" t="n">
        <v/>
      </c>
      <c r="Q1005" t="n">
        <v>101.216869478</v>
      </c>
      <c r="R1005" t="n">
        <v>110.559078674</v>
      </c>
      <c r="S1005" t="n">
        <v>94.011524924</v>
      </c>
      <c r="T1005" t="n">
        <v>102.935974531</v>
      </c>
      <c r="U1005" t="n">
        <v/>
      </c>
      <c r="V1005" t="n">
        <v>139.372242111</v>
      </c>
      <c r="W1005" t="n">
        <v>62.205183765</v>
      </c>
      <c r="X1005" t="n">
        <v>46.956991453</v>
      </c>
      <c r="Y1005" t="n">
        <v/>
      </c>
      <c r="Z1005" t="n">
        <v>52.950099712</v>
      </c>
      <c r="AA1005" t="n">
        <v>35.588791009</v>
      </c>
      <c r="AB1005" t="n">
        <v>65.418564917</v>
      </c>
      <c r="AC1005" t="n">
        <v>121.889842513</v>
      </c>
      <c r="AD1005" t="n">
        <v>99.816230297</v>
      </c>
      <c r="AE1005" t="n">
        <v>54.568</v>
      </c>
      <c r="AF1005" t="n">
        <v>99.591700692</v>
      </c>
      <c r="AG1005" t="n">
        <v>72</v>
      </c>
      <c r="AH1005" t="n">
        <v>89.887022079</v>
      </c>
      <c r="AI1005" t="n">
        <v>96.58815130399999</v>
      </c>
      <c r="AJ1005" t="n">
        <v>120.558572537</v>
      </c>
      <c r="AK1005" t="n">
        <v/>
      </c>
      <c r="AL1005" t="n">
        <v>87.00474499800001</v>
      </c>
      <c r="AM1005" t="n">
        <v>49.4</v>
      </c>
      <c r="AN1005" t="n">
        <v>129.646482929</v>
      </c>
      <c r="AO1005" t="n">
        <v>62.900795544</v>
      </c>
      <c r="AP1005" t="n">
        <v>46.003833653</v>
      </c>
      <c r="AQ1005" t="n">
        <v>83.171005341</v>
      </c>
      <c r="AR1005" t="n">
        <v>99.691692359</v>
      </c>
      <c r="AS1005" t="n">
        <v>44.096325306</v>
      </c>
      <c r="AT1005" t="n">
        <v>89.86413803799999</v>
      </c>
      <c r="AU1005" t="n">
        <v/>
      </c>
    </row>
    <row r="1006">
      <c r="A1006" s="105" t="n">
        <v>37500</v>
      </c>
      <c r="B1006" t="n">
        <v>74.32332780999999</v>
      </c>
      <c r="C1006" t="n">
        <v>75.29372552300001</v>
      </c>
      <c r="D1006" t="n">
        <v>87.662041719</v>
      </c>
      <c r="E1006" t="n">
        <v>95.504950654</v>
      </c>
      <c r="F1006" t="n">
        <v/>
      </c>
      <c r="G1006" t="n">
        <v/>
      </c>
      <c r="H1006" t="n">
        <v>72.43145753</v>
      </c>
      <c r="I1006" t="n">
        <v>74.31713471499999</v>
      </c>
      <c r="J1006" t="n">
        <v>68.68855190799999</v>
      </c>
      <c r="K1006" t="n">
        <v>80.20668388999999</v>
      </c>
      <c r="L1006" t="n">
        <v>113.8</v>
      </c>
      <c r="M1006" t="n">
        <v>95.892008999</v>
      </c>
      <c r="N1006" t="n">
        <v>123.140102617</v>
      </c>
      <c r="O1006" t="n">
        <v>55.204600383</v>
      </c>
      <c r="P1006" t="n">
        <v/>
      </c>
      <c r="Q1006" t="n">
        <v>100.91681947</v>
      </c>
      <c r="R1006" t="n">
        <v>109.169090258</v>
      </c>
      <c r="S1006" t="n">
        <v>94.135712689</v>
      </c>
      <c r="T1006" t="n">
        <v>104.421648391</v>
      </c>
      <c r="U1006" t="n">
        <v/>
      </c>
      <c r="V1006" t="n">
        <v>139.472150529</v>
      </c>
      <c r="W1006" t="n">
        <v>63.605300442</v>
      </c>
      <c r="X1006" t="n">
        <v>46.82147689</v>
      </c>
      <c r="Y1006" t="n">
        <v/>
      </c>
      <c r="Z1006" t="n">
        <v>54.851786794</v>
      </c>
      <c r="AA1006" t="n">
        <v>35.97872035</v>
      </c>
      <c r="AB1006" t="n">
        <v>65.768771368</v>
      </c>
      <c r="AC1006" t="n">
        <v>124.28964253</v>
      </c>
      <c r="AD1006" t="n">
        <v>100.454033685</v>
      </c>
      <c r="AE1006" t="n">
        <v>53.597</v>
      </c>
      <c r="AF1006" t="n">
        <v>100.991584035</v>
      </c>
      <c r="AG1006" t="n">
        <v>71</v>
      </c>
      <c r="AH1006" t="n">
        <v>89.677976659</v>
      </c>
      <c r="AI1006" t="n">
        <v>96.09635827300001</v>
      </c>
      <c r="AJ1006" t="n">
        <v>115.671062839</v>
      </c>
      <c r="AK1006" t="n">
        <v/>
      </c>
      <c r="AL1006" t="n">
        <v>87.128055598</v>
      </c>
      <c r="AM1006" t="n">
        <v>49.6</v>
      </c>
      <c r="AN1006" t="n">
        <v>130.542361883</v>
      </c>
      <c r="AO1006" t="n">
        <v>62.477792142</v>
      </c>
      <c r="AP1006" t="n">
        <v>45.603800317</v>
      </c>
      <c r="AQ1006" t="n">
        <v>83.54438808099999</v>
      </c>
      <c r="AR1006" t="n">
        <v>99.791684026</v>
      </c>
      <c r="AS1006" t="n">
        <v>45.396216982</v>
      </c>
      <c r="AT1006" t="n">
        <v>89.96061921800001</v>
      </c>
      <c r="AU1006" t="n">
        <v/>
      </c>
    </row>
    <row r="1007">
      <c r="A1007" s="105" t="n">
        <v>37530</v>
      </c>
      <c r="B1007" t="n">
        <v>73.39428621</v>
      </c>
      <c r="C1007" t="n">
        <v>76.39363386399999</v>
      </c>
      <c r="D1007" t="n">
        <v>87.956665112</v>
      </c>
      <c r="E1007" t="n">
        <v>96.151839674</v>
      </c>
      <c r="F1007" t="n">
        <v/>
      </c>
      <c r="G1007" t="n">
        <v/>
      </c>
      <c r="H1007" t="n">
        <v>73.39709001</v>
      </c>
      <c r="I1007" t="n">
        <v>73.38817052900001</v>
      </c>
      <c r="J1007" t="n">
        <v>69.788368605</v>
      </c>
      <c r="K1007" t="n">
        <v>79.606633886</v>
      </c>
      <c r="L1007" t="n">
        <v>117.6</v>
      </c>
      <c r="M1007" t="n">
        <v>95.292058995</v>
      </c>
      <c r="N1007" t="n">
        <v>123.880103233</v>
      </c>
      <c r="O1007" t="n">
        <v>56.60471706</v>
      </c>
      <c r="P1007" t="n">
        <v/>
      </c>
      <c r="Q1007" t="n">
        <v>102.61710285</v>
      </c>
      <c r="R1007" t="n">
        <v>108.299097508</v>
      </c>
      <c r="S1007" t="n">
        <v>93.72879570400001</v>
      </c>
      <c r="T1007" t="n">
        <v>102.617615847</v>
      </c>
      <c r="U1007" t="n">
        <v/>
      </c>
      <c r="V1007" t="n">
        <v>143.168761968</v>
      </c>
      <c r="W1007" t="n">
        <v>61.005083757</v>
      </c>
      <c r="X1007" t="n">
        <v>47.312291486</v>
      </c>
      <c r="Y1007" t="n">
        <v/>
      </c>
      <c r="Z1007" t="n">
        <v>52.831244269</v>
      </c>
      <c r="AA1007" t="n">
        <v>36.67768154</v>
      </c>
      <c r="AB1007" t="n">
        <v>65.20844104699999</v>
      </c>
      <c r="AC1007" t="n">
        <v>122.789767519</v>
      </c>
      <c r="AD1007" t="n">
        <v>100.454033685</v>
      </c>
      <c r="AE1007" t="n">
        <v>54.547</v>
      </c>
      <c r="AF1007" t="n">
        <v>107.291059078</v>
      </c>
      <c r="AG1007" t="n">
        <v>72.40000000000001</v>
      </c>
      <c r="AH1007" t="n">
        <v>90.322029194</v>
      </c>
      <c r="AI1007" t="n">
        <v>97.07994433499999</v>
      </c>
      <c r="AJ1007" t="n">
        <v>119.860356866</v>
      </c>
      <c r="AK1007" t="n">
        <v/>
      </c>
      <c r="AL1007" t="n">
        <v>86.97951525800001</v>
      </c>
      <c r="AM1007" t="n">
        <v>49.2</v>
      </c>
      <c r="AN1007" t="n">
        <v>132.718067914</v>
      </c>
      <c r="AO1007" t="n">
        <v>62.824448501</v>
      </c>
      <c r="AP1007" t="n">
        <v>45.703808651</v>
      </c>
      <c r="AQ1007" t="n">
        <v>82.517585545</v>
      </c>
      <c r="AR1007" t="n">
        <v>100.491625698</v>
      </c>
      <c r="AS1007" t="n">
        <v>44.296308641</v>
      </c>
      <c r="AT1007" t="n">
        <v>89.726406939</v>
      </c>
      <c r="AU1007" t="n">
        <v/>
      </c>
    </row>
    <row r="1008">
      <c r="A1008" s="105" t="n">
        <v>37561</v>
      </c>
      <c r="B1008" t="n">
        <v>73.56320286</v>
      </c>
      <c r="C1008" t="n">
        <v>77.193567203</v>
      </c>
      <c r="D1008" t="n">
        <v>87.963700402</v>
      </c>
      <c r="E1008" t="n">
        <v>95.54668542899999</v>
      </c>
      <c r="F1008" t="n">
        <v/>
      </c>
      <c r="G1008" t="n">
        <v/>
      </c>
      <c r="H1008" t="n">
        <v>74.68330219000001</v>
      </c>
      <c r="I1008" t="n">
        <v>73.557073104</v>
      </c>
      <c r="J1008" t="n">
        <v>70.888185302</v>
      </c>
      <c r="K1008" t="n">
        <v>81.006750563</v>
      </c>
      <c r="L1008" t="n">
        <v>114.2</v>
      </c>
      <c r="M1008" t="n">
        <v>95.892008999</v>
      </c>
      <c r="N1008" t="n">
        <v>123.442102868</v>
      </c>
      <c r="O1008" t="n">
        <v>56.004667056</v>
      </c>
      <c r="P1008" t="n">
        <v/>
      </c>
      <c r="Q1008" t="n">
        <v>103.717286214</v>
      </c>
      <c r="R1008" t="n">
        <v>109.349088758</v>
      </c>
      <c r="S1008" t="n">
        <v>94.32869765</v>
      </c>
      <c r="T1008" t="n">
        <v>103.466572338</v>
      </c>
      <c r="U1008" t="n">
        <v/>
      </c>
      <c r="V1008" t="n">
        <v>143.268670385</v>
      </c>
      <c r="W1008" t="n">
        <v>63.705308776</v>
      </c>
      <c r="X1008" t="n">
        <v>46.971018112</v>
      </c>
      <c r="Y1008" t="n">
        <v/>
      </c>
      <c r="Z1008" t="n">
        <v>53.78208781</v>
      </c>
      <c r="AA1008" t="n">
        <v>35.985811061</v>
      </c>
      <c r="AB1008" t="n">
        <v>64.578069437</v>
      </c>
      <c r="AC1008" t="n">
        <v>124.989584201</v>
      </c>
      <c r="AD1008" t="n">
        <v>100.34773312</v>
      </c>
      <c r="AE1008" t="n">
        <v>55.334</v>
      </c>
      <c r="AF1008" t="n">
        <v>105.291225731</v>
      </c>
      <c r="AG1008" t="n">
        <v>74.5</v>
      </c>
      <c r="AH1008" t="n">
        <v>89.872917649</v>
      </c>
      <c r="AI1008" t="n">
        <v>94.42426196700001</v>
      </c>
      <c r="AJ1008" t="n">
        <v>118.696664081</v>
      </c>
      <c r="AK1008" t="n">
        <v/>
      </c>
      <c r="AL1008" t="n">
        <v>87.423809445</v>
      </c>
      <c r="AM1008" t="n">
        <v>50.8</v>
      </c>
      <c r="AN1008" t="n">
        <v>128.494638559</v>
      </c>
      <c r="AO1008" t="n">
        <v>62.091622</v>
      </c>
      <c r="AP1008" t="n">
        <v>47.703975331</v>
      </c>
      <c r="AQ1008" t="n">
        <v>82.42423986</v>
      </c>
      <c r="AR1008" t="n">
        <v>101.491542371</v>
      </c>
      <c r="AS1008" t="n">
        <v>43.396383635</v>
      </c>
      <c r="AT1008" t="n">
        <v>90.21664635800001</v>
      </c>
      <c r="AU1008" t="n">
        <v/>
      </c>
    </row>
    <row r="1009">
      <c r="A1009" s="105" t="n">
        <v>37591</v>
      </c>
      <c r="B1009" t="n">
        <v>73.47874453</v>
      </c>
      <c r="C1009" t="n">
        <v>73.49387551</v>
      </c>
      <c r="D1009" t="n">
        <v>87.71966723600001</v>
      </c>
      <c r="E1009" t="n">
        <v>94.47977334799999</v>
      </c>
      <c r="F1009" t="n">
        <v/>
      </c>
      <c r="G1009" t="n">
        <v/>
      </c>
      <c r="H1009" t="n">
        <v>74.833142643</v>
      </c>
      <c r="I1009" t="n">
        <v>73.472621812</v>
      </c>
      <c r="J1009" t="n">
        <v>70.388268622</v>
      </c>
      <c r="K1009" t="n">
        <v>79.606633886</v>
      </c>
      <c r="L1009" t="n">
        <v>112.7</v>
      </c>
      <c r="M1009" t="n">
        <v>94.392133989</v>
      </c>
      <c r="N1009" t="n">
        <v>122.677102231</v>
      </c>
      <c r="O1009" t="n">
        <v>56.10467539</v>
      </c>
      <c r="P1009" t="n">
        <v/>
      </c>
      <c r="Q1009" t="n">
        <v>100.116686114</v>
      </c>
      <c r="R1009" t="n">
        <v>106.769110257</v>
      </c>
      <c r="S1009" t="n">
        <v>93.69365026600001</v>
      </c>
      <c r="T1009" t="n">
        <v>104.421648391</v>
      </c>
      <c r="U1009" t="n">
        <v/>
      </c>
      <c r="V1009" t="n">
        <v>143.168761968</v>
      </c>
      <c r="W1009" t="n">
        <v>64.80540044999999</v>
      </c>
      <c r="X1009" t="n">
        <v>47.510751059</v>
      </c>
      <c r="Y1009" t="n">
        <v/>
      </c>
      <c r="Z1009" t="n">
        <v>48.968442382</v>
      </c>
      <c r="AA1009" t="n">
        <v>35.536932471</v>
      </c>
      <c r="AB1009" t="n">
        <v>65.768771368</v>
      </c>
      <c r="AC1009" t="n">
        <v>123.689692526</v>
      </c>
      <c r="AD1009" t="n">
        <v>100.241432556</v>
      </c>
      <c r="AE1009" t="n">
        <v>55.951</v>
      </c>
      <c r="AF1009" t="n">
        <v>103.091409049</v>
      </c>
      <c r="AG1009" t="n">
        <v>72.5</v>
      </c>
      <c r="AH1009" t="n">
        <v>90.053802764</v>
      </c>
      <c r="AI1009" t="n">
        <v>93.04724148</v>
      </c>
      <c r="AJ1009" t="n">
        <v>117.416602017</v>
      </c>
      <c r="AK1009" t="n">
        <v/>
      </c>
      <c r="AL1009" t="n">
        <v>87.03278682</v>
      </c>
      <c r="AM1009" t="n">
        <v>50.5</v>
      </c>
      <c r="AN1009" t="n">
        <v>130.414379175</v>
      </c>
      <c r="AO1009" t="n">
        <v>62.068412874</v>
      </c>
      <c r="AP1009" t="n">
        <v>47.903991999</v>
      </c>
      <c r="AQ1009" t="n">
        <v>82.23754848999999</v>
      </c>
      <c r="AR1009" t="n">
        <v>101.891509041</v>
      </c>
      <c r="AS1009" t="n">
        <v>45.996166986</v>
      </c>
      <c r="AT1009" t="n">
        <v>89.730373277</v>
      </c>
      <c r="AU1009" t="n">
        <v/>
      </c>
    </row>
    <row r="1010">
      <c r="A1010" s="105" t="n">
        <v>37622</v>
      </c>
      <c r="B1010" t="n">
        <v>77.53274423000001</v>
      </c>
      <c r="C1010" t="n">
        <v>76.093658862</v>
      </c>
      <c r="D1010" t="n">
        <v>87.852038576</v>
      </c>
      <c r="E1010" t="n">
        <v>95.51618694</v>
      </c>
      <c r="F1010" t="n">
        <v/>
      </c>
      <c r="G1010" t="n">
        <v/>
      </c>
      <c r="H1010" t="n">
        <v>74.02529810599999</v>
      </c>
      <c r="I1010" t="n">
        <v>77.526283706</v>
      </c>
      <c r="J1010" t="n">
        <v>69.188468589</v>
      </c>
      <c r="K1010" t="n">
        <v>80.20668388999999</v>
      </c>
      <c r="L1010" t="n">
        <v>113.7</v>
      </c>
      <c r="M1010" t="n">
        <v>95.992000667</v>
      </c>
      <c r="N1010" t="n">
        <v>123.616103013</v>
      </c>
      <c r="O1010" t="n">
        <v>57.304775398</v>
      </c>
      <c r="P1010" t="n">
        <v/>
      </c>
      <c r="Q1010" t="n">
        <v>99.916652775</v>
      </c>
      <c r="R1010" t="n">
        <v>108.969091924</v>
      </c>
      <c r="S1010" t="n">
        <v>94.611656715</v>
      </c>
      <c r="T1010" t="n">
        <v>104.527767952</v>
      </c>
      <c r="U1010" t="n">
        <v/>
      </c>
      <c r="V1010" t="n">
        <v>142.269586213</v>
      </c>
      <c r="W1010" t="n">
        <v>63.605300442</v>
      </c>
      <c r="X1010" t="n">
        <v>47.778820344</v>
      </c>
      <c r="Y1010" t="n">
        <v/>
      </c>
      <c r="Z1010" t="n">
        <v>53.128382876</v>
      </c>
      <c r="AA1010" t="n">
        <v>35.658041217</v>
      </c>
      <c r="AB1010" t="n">
        <v>65.698730078</v>
      </c>
      <c r="AC1010" t="n">
        <v>124.989584201</v>
      </c>
      <c r="AD1010" t="n">
        <v>101.623339897</v>
      </c>
      <c r="AE1010" t="n">
        <v>54.641</v>
      </c>
      <c r="AF1010" t="n">
        <v>104.891259062</v>
      </c>
      <c r="AG1010" t="n">
        <v>72.7</v>
      </c>
      <c r="AH1010" t="n">
        <v>89.906097288</v>
      </c>
      <c r="AI1010" t="n">
        <v>96.784868516</v>
      </c>
      <c r="AJ1010" t="n">
        <v>119.743987587</v>
      </c>
      <c r="AK1010" t="n">
        <v/>
      </c>
      <c r="AL1010" t="n">
        <v>87.76219577000001</v>
      </c>
      <c r="AM1010" t="n">
        <v>49.5</v>
      </c>
      <c r="AN1010" t="n">
        <v>129.774465636</v>
      </c>
      <c r="AO1010" t="n">
        <v>63.856492119</v>
      </c>
      <c r="AP1010" t="n">
        <v>49.504125344</v>
      </c>
      <c r="AQ1010" t="n">
        <v>81.86416575</v>
      </c>
      <c r="AR1010" t="n">
        <v>102.391467378</v>
      </c>
      <c r="AS1010" t="n">
        <v>47.296058662</v>
      </c>
      <c r="AT1010" t="n">
        <v>90.471681914</v>
      </c>
      <c r="AU1010" t="n">
        <v/>
      </c>
    </row>
    <row r="1011">
      <c r="A1011" s="105" t="n">
        <v>37653</v>
      </c>
      <c r="B1011" t="n">
        <v>76.68816096</v>
      </c>
      <c r="C1011" t="n">
        <v>75.993667194</v>
      </c>
      <c r="D1011" t="n">
        <v>87.530672275</v>
      </c>
      <c r="E1011" t="n">
        <v>95.668679389</v>
      </c>
      <c r="F1011" t="n">
        <v/>
      </c>
      <c r="G1011" t="n">
        <v/>
      </c>
      <c r="H1011" t="n">
        <v>75.707690187</v>
      </c>
      <c r="I1011" t="n">
        <v>76.681770812</v>
      </c>
      <c r="J1011" t="n">
        <v>68.68855190799999</v>
      </c>
      <c r="K1011" t="n">
        <v>80.20668388999999</v>
      </c>
      <c r="L1011" t="n">
        <v>115.9</v>
      </c>
      <c r="M1011" t="n">
        <v>96.091992334</v>
      </c>
      <c r="N1011" t="n">
        <v>124.026103355</v>
      </c>
      <c r="O1011" t="n">
        <v>58.404867072</v>
      </c>
      <c r="P1011" t="n">
        <v/>
      </c>
      <c r="Q1011" t="n">
        <v>102.417069512</v>
      </c>
      <c r="R1011" t="n">
        <v>109.959083674</v>
      </c>
      <c r="S1011" t="n">
        <v>94.62660991600001</v>
      </c>
      <c r="T1011" t="n">
        <v>106.544039618</v>
      </c>
      <c r="U1011" t="n">
        <v/>
      </c>
      <c r="V1011" t="n">
        <v>139.671967363</v>
      </c>
      <c r="W1011" t="n">
        <v>63.30527544</v>
      </c>
      <c r="X1011" t="n">
        <v>48.392740677</v>
      </c>
      <c r="Y1011" t="n">
        <v/>
      </c>
      <c r="Z1011" t="n">
        <v>55.267780844</v>
      </c>
      <c r="AA1011" t="n">
        <v>36.136758338</v>
      </c>
      <c r="AB1011" t="n">
        <v>65.34852362700001</v>
      </c>
      <c r="AC1011" t="n">
        <v>122.489792517</v>
      </c>
      <c r="AD1011" t="n">
        <v>101.188587641</v>
      </c>
      <c r="AE1011" t="n">
        <v>54.909</v>
      </c>
      <c r="AF1011" t="n">
        <v>106.09115907</v>
      </c>
      <c r="AG1011" t="n">
        <v>73</v>
      </c>
      <c r="AH1011" t="n">
        <v>90.91807254299999</v>
      </c>
      <c r="AI1011" t="n">
        <v>97.57173736599999</v>
      </c>
      <c r="AJ1011" t="n">
        <v>119.162141195</v>
      </c>
      <c r="AK1011" t="n">
        <v/>
      </c>
      <c r="AL1011" t="n">
        <v>87.86393482699999</v>
      </c>
      <c r="AM1011" t="n">
        <v>49.9</v>
      </c>
      <c r="AN1011" t="n">
        <v>133.869912284</v>
      </c>
      <c r="AO1011" t="n">
        <v>65.46118682399999</v>
      </c>
      <c r="AP1011" t="n">
        <v>49.704142012</v>
      </c>
      <c r="AQ1011" t="n">
        <v>83.637733766</v>
      </c>
      <c r="AR1011" t="n">
        <v>99.891675694</v>
      </c>
      <c r="AS1011" t="n">
        <v>45.996166986</v>
      </c>
      <c r="AT1011" t="n">
        <v>90.56974963</v>
      </c>
      <c r="AU1011" t="n">
        <v/>
      </c>
    </row>
    <row r="1012">
      <c r="A1012" s="105" t="n">
        <v>37681</v>
      </c>
      <c r="B1012" t="n">
        <v>76.94153593999999</v>
      </c>
      <c r="C1012" t="n">
        <v>74.993750521</v>
      </c>
      <c r="D1012" t="n">
        <v>87.446237791</v>
      </c>
      <c r="E1012" t="n">
        <v>95.31527145</v>
      </c>
      <c r="F1012" t="n">
        <v/>
      </c>
      <c r="G1012" t="n">
        <v/>
      </c>
      <c r="H1012" t="n">
        <v>76.14889087100001</v>
      </c>
      <c r="I1012" t="n">
        <v>76.93512468</v>
      </c>
      <c r="J1012" t="n">
        <v>68.48858523600001</v>
      </c>
      <c r="K1012" t="n">
        <v>80.006667222</v>
      </c>
      <c r="L1012" t="n">
        <v>112.6</v>
      </c>
      <c r="M1012" t="n">
        <v>95.392050662</v>
      </c>
      <c r="N1012" t="n">
        <v>123.640103033</v>
      </c>
      <c r="O1012" t="n">
        <v>58.204850404</v>
      </c>
      <c r="P1012" t="n">
        <v/>
      </c>
      <c r="Q1012" t="n">
        <v>99.11651942</v>
      </c>
      <c r="R1012" t="n">
        <v>109.089090924</v>
      </c>
      <c r="S1012" t="n">
        <v>94.57137117000001</v>
      </c>
      <c r="T1012" t="n">
        <v>106.756278741</v>
      </c>
      <c r="U1012" t="n">
        <v/>
      </c>
      <c r="V1012" t="n">
        <v>140.371326284</v>
      </c>
      <c r="W1012" t="n">
        <v>65.005417118</v>
      </c>
      <c r="X1012" t="n">
        <v>47.99528676</v>
      </c>
      <c r="Y1012" t="n">
        <v/>
      </c>
      <c r="Z1012" t="n">
        <v>54.67350363</v>
      </c>
      <c r="AA1012" t="n">
        <v>35.076544673</v>
      </c>
      <c r="AB1012" t="n">
        <v>64.648110727</v>
      </c>
      <c r="AC1012" t="n">
        <v>122.589784185</v>
      </c>
      <c r="AD1012" t="n">
        <v>101.94940409</v>
      </c>
      <c r="AE1012" t="n">
        <v>56.066</v>
      </c>
      <c r="AF1012" t="n">
        <v>105.591200733</v>
      </c>
      <c r="AG1012" t="n">
        <v>73.09999999999999</v>
      </c>
      <c r="AH1012" t="n">
        <v>90.402303245</v>
      </c>
      <c r="AI1012" t="n">
        <v>94.325903361</v>
      </c>
      <c r="AJ1012" t="n">
        <v>119.162141195</v>
      </c>
      <c r="AK1012" t="n">
        <v/>
      </c>
      <c r="AL1012" t="n">
        <v>87.809277661</v>
      </c>
      <c r="AM1012" t="n">
        <v>50.6</v>
      </c>
      <c r="AN1012" t="n">
        <v>127.726742313</v>
      </c>
      <c r="AO1012" t="n">
        <v>66.644990397</v>
      </c>
      <c r="AP1012" t="n">
        <v>50.104175348</v>
      </c>
      <c r="AQ1012" t="n">
        <v>83.07765965500001</v>
      </c>
      <c r="AR1012" t="n">
        <v>100.091659028</v>
      </c>
      <c r="AS1012" t="n">
        <v>46.696108658</v>
      </c>
      <c r="AT1012" t="n">
        <v>90.302616742</v>
      </c>
      <c r="AU1012" t="n">
        <v/>
      </c>
    </row>
    <row r="1013">
      <c r="A1013" s="105" t="n">
        <v>37712</v>
      </c>
      <c r="B1013" t="n">
        <v>76.60370263</v>
      </c>
      <c r="C1013" t="n">
        <v>76.993583868</v>
      </c>
      <c r="D1013" t="n">
        <v>87.233670756</v>
      </c>
      <c r="E1013" t="n">
        <v>94.971762144</v>
      </c>
      <c r="F1013" t="n">
        <v/>
      </c>
      <c r="G1013" t="n">
        <v/>
      </c>
      <c r="H1013" t="n">
        <v>75.93777952799999</v>
      </c>
      <c r="I1013" t="n">
        <v>76.59731952</v>
      </c>
      <c r="J1013" t="n">
        <v>70.18830195</v>
      </c>
      <c r="K1013" t="n">
        <v>79.806650554</v>
      </c>
      <c r="L1013" t="n">
        <v>114.6</v>
      </c>
      <c r="M1013" t="n">
        <v>95.792017332</v>
      </c>
      <c r="N1013" t="n">
        <v>123.955103296</v>
      </c>
      <c r="O1013" t="n">
        <v>59.604967081</v>
      </c>
      <c r="P1013" t="n">
        <v/>
      </c>
      <c r="Q1013" t="n">
        <v>102.917152859</v>
      </c>
      <c r="R1013" t="n">
        <v>109.129090591</v>
      </c>
      <c r="S1013" t="n">
        <v>94.072754287</v>
      </c>
      <c r="T1013" t="n">
        <v>106.013441811</v>
      </c>
      <c r="U1013" t="n">
        <v/>
      </c>
      <c r="V1013" t="n">
        <v>142.36949463</v>
      </c>
      <c r="W1013" t="n">
        <v>64.30535878000001</v>
      </c>
      <c r="X1013" t="n">
        <v>48.099494295</v>
      </c>
      <c r="Y1013" t="n">
        <v/>
      </c>
      <c r="Z1013" t="n">
        <v>54.376365024</v>
      </c>
      <c r="AA1013" t="n">
        <v>34.499400303</v>
      </c>
      <c r="AB1013" t="n">
        <v>65.20844104699999</v>
      </c>
      <c r="AC1013" t="n">
        <v>124.28964253</v>
      </c>
      <c r="AD1013" t="n">
        <v>100.536459257</v>
      </c>
      <c r="AE1013" t="n">
        <v>55.092</v>
      </c>
      <c r="AF1013" t="n">
        <v>107.791017415</v>
      </c>
      <c r="AG1013" t="n">
        <v>73.8</v>
      </c>
      <c r="AH1013" t="n">
        <v>90.153610778</v>
      </c>
      <c r="AI1013" t="n">
        <v>93.539034511</v>
      </c>
      <c r="AJ1013" t="n">
        <v>116.485647789</v>
      </c>
      <c r="AK1013" t="n">
        <v/>
      </c>
      <c r="AL1013" t="n">
        <v>87.415458668</v>
      </c>
      <c r="AM1013" t="n">
        <v>50.7</v>
      </c>
      <c r="AN1013" t="n">
        <v>131.310258129</v>
      </c>
      <c r="AO1013" t="n">
        <v>66.92674898999999</v>
      </c>
      <c r="AP1013" t="n">
        <v>50.604217018</v>
      </c>
      <c r="AQ1013" t="n">
        <v>82.330894175</v>
      </c>
      <c r="AR1013" t="n">
        <v>103.591367386</v>
      </c>
      <c r="AS1013" t="n">
        <v>45.296225315</v>
      </c>
      <c r="AT1013" t="n">
        <v>89.729778326</v>
      </c>
      <c r="AU1013" t="n">
        <v/>
      </c>
    </row>
    <row r="1014">
      <c r="A1014" s="105" t="n">
        <v>37742</v>
      </c>
      <c r="B1014" t="n">
        <v>75.16791107</v>
      </c>
      <c r="C1014" t="n">
        <v>74.293808849</v>
      </c>
      <c r="D1014" t="n">
        <v>85.936215834</v>
      </c>
      <c r="E1014" t="n">
        <v>95.032491593</v>
      </c>
      <c r="F1014" t="n">
        <v/>
      </c>
      <c r="G1014" t="n">
        <v/>
      </c>
      <c r="H1014" t="n">
        <v>75.37204557699999</v>
      </c>
      <c r="I1014" t="n">
        <v>75.16164759900001</v>
      </c>
      <c r="J1014" t="n">
        <v>68.68855190799999</v>
      </c>
      <c r="K1014" t="n">
        <v>79.106592216</v>
      </c>
      <c r="L1014" t="n">
        <v>112.8</v>
      </c>
      <c r="M1014" t="n">
        <v>94.192150654</v>
      </c>
      <c r="N1014" t="n">
        <v>122.917102431</v>
      </c>
      <c r="O1014" t="n">
        <v>58.204850404</v>
      </c>
      <c r="P1014" t="n">
        <v/>
      </c>
      <c r="Q1014" t="n">
        <v>99.316552759</v>
      </c>
      <c r="R1014" t="n">
        <v>106.539112174</v>
      </c>
      <c r="S1014" t="n">
        <v>93.769125871</v>
      </c>
      <c r="T1014" t="n">
        <v>105.270604882</v>
      </c>
      <c r="U1014" t="n">
        <v/>
      </c>
      <c r="V1014" t="n">
        <v>142.769128299</v>
      </c>
      <c r="W1014" t="n">
        <v>63.905325444</v>
      </c>
      <c r="X1014" t="n">
        <v>48.789607256</v>
      </c>
      <c r="Y1014" t="n">
        <v/>
      </c>
      <c r="Z1014" t="n">
        <v>54.970642237</v>
      </c>
      <c r="AA1014" t="n">
        <v>34.694156783</v>
      </c>
      <c r="AB1014" t="n">
        <v>65.138399757</v>
      </c>
      <c r="AC1014" t="n">
        <v>120.189984168</v>
      </c>
      <c r="AD1014" t="n">
        <v>101.840716025</v>
      </c>
      <c r="AE1014" t="n">
        <v>54.857</v>
      </c>
      <c r="AF1014" t="n">
        <v>105.191234064</v>
      </c>
      <c r="AG1014" t="n">
        <v>75.09999999999999</v>
      </c>
      <c r="AH1014" t="n">
        <v>90.284007618</v>
      </c>
      <c r="AI1014" t="n">
        <v>92.752165662</v>
      </c>
      <c r="AJ1014" t="n">
        <v>116.020170675</v>
      </c>
      <c r="AK1014" t="n">
        <v/>
      </c>
      <c r="AL1014" t="n">
        <v>87.092340552</v>
      </c>
      <c r="AM1014" t="n">
        <v>51.6</v>
      </c>
      <c r="AN1014" t="n">
        <v>130.798327298</v>
      </c>
      <c r="AO1014" t="n">
        <v>66.80256111999999</v>
      </c>
      <c r="AP1014" t="n">
        <v>50.40420035</v>
      </c>
      <c r="AQ1014" t="n">
        <v>83.07765965500001</v>
      </c>
      <c r="AR1014" t="n">
        <v>101.491542371</v>
      </c>
      <c r="AS1014" t="n">
        <v>45.396216982</v>
      </c>
      <c r="AT1014" t="n">
        <v>89.708360099</v>
      </c>
      <c r="AU1014" t="n">
        <v/>
      </c>
    </row>
    <row r="1015">
      <c r="A1015" s="105" t="n">
        <v>37773</v>
      </c>
      <c r="B1015" t="n">
        <v>76.26586933</v>
      </c>
      <c r="C1015" t="n">
        <v>75.593700525</v>
      </c>
      <c r="D1015" t="n">
        <v>86.29330907400001</v>
      </c>
      <c r="E1015" t="n">
        <v>94.58571547</v>
      </c>
      <c r="F1015" t="n">
        <v/>
      </c>
      <c r="G1015" t="n">
        <v/>
      </c>
      <c r="H1015" t="n">
        <v>76.328999743</v>
      </c>
      <c r="I1015" t="n">
        <v>76.25951437000001</v>
      </c>
      <c r="J1015" t="n">
        <v>69.48841859700001</v>
      </c>
      <c r="K1015" t="n">
        <v>78.70655888</v>
      </c>
      <c r="L1015" t="n">
        <v>113.5</v>
      </c>
      <c r="M1015" t="n">
        <v>94.192150654</v>
      </c>
      <c r="N1015" t="n">
        <v>123.338102782</v>
      </c>
      <c r="O1015" t="n">
        <v>58.704892074</v>
      </c>
      <c r="P1015" t="n">
        <v/>
      </c>
      <c r="Q1015" t="n">
        <v>100.316719453</v>
      </c>
      <c r="R1015" t="n">
        <v>106.269114424</v>
      </c>
      <c r="S1015" t="n">
        <v>93.729703677</v>
      </c>
      <c r="T1015" t="n">
        <v>106.437920057</v>
      </c>
      <c r="U1015" t="n">
        <v/>
      </c>
      <c r="V1015" t="n">
        <v>143.968029306</v>
      </c>
      <c r="W1015" t="n">
        <v>66.10550879199999</v>
      </c>
      <c r="X1015" t="n">
        <v>48.958360049</v>
      </c>
      <c r="Y1015" t="n">
        <v/>
      </c>
      <c r="Z1015" t="n">
        <v>55.148925401</v>
      </c>
      <c r="AA1015" t="n">
        <v>34.480225531</v>
      </c>
      <c r="AB1015" t="n">
        <v>64.578069437</v>
      </c>
      <c r="AC1015" t="n">
        <v>121.689859178</v>
      </c>
      <c r="AD1015" t="n">
        <v>100.971211513</v>
      </c>
      <c r="AE1015" t="n">
        <v>56.54</v>
      </c>
      <c r="AF1015" t="n">
        <v>101.691525706</v>
      </c>
      <c r="AG1015" t="n">
        <v>75.2</v>
      </c>
      <c r="AH1015" t="n">
        <v>90.76599907000001</v>
      </c>
      <c r="AI1015" t="n">
        <v>91.080069356</v>
      </c>
      <c r="AJ1015" t="n">
        <v>116.252909232</v>
      </c>
      <c r="AK1015" t="n">
        <v/>
      </c>
      <c r="AL1015" t="n">
        <v>87.355645548</v>
      </c>
      <c r="AM1015" t="n">
        <v>51.9</v>
      </c>
      <c r="AN1015" t="n">
        <v>129.262534805</v>
      </c>
      <c r="AO1015" t="n">
        <v>66.756338152</v>
      </c>
      <c r="AP1015" t="n">
        <v>52.104342029</v>
      </c>
      <c r="AQ1015" t="n">
        <v>82.42423986</v>
      </c>
      <c r="AR1015" t="n">
        <v>102.091492376</v>
      </c>
      <c r="AS1015" t="n">
        <v>47.196066994</v>
      </c>
      <c r="AT1015" t="n">
        <v>89.82754856699999</v>
      </c>
      <c r="AU1015" t="n">
        <v/>
      </c>
    </row>
    <row r="1016">
      <c r="A1016" s="105" t="n">
        <v>37803</v>
      </c>
      <c r="B1016" t="n">
        <v>76.26586933</v>
      </c>
      <c r="C1016" t="n">
        <v>77.79351720699999</v>
      </c>
      <c r="D1016" t="n">
        <v>85.53099856999999</v>
      </c>
      <c r="E1016" t="n">
        <v>95.62079140900001</v>
      </c>
      <c r="F1016" t="n">
        <v/>
      </c>
      <c r="G1016" t="n">
        <v/>
      </c>
      <c r="H1016" t="n">
        <v>75.726906386</v>
      </c>
      <c r="I1016" t="n">
        <v>76.25951437000001</v>
      </c>
      <c r="J1016" t="n">
        <v>69.588401933</v>
      </c>
      <c r="K1016" t="n">
        <v>80.606717226</v>
      </c>
      <c r="L1016" t="n">
        <v>113.5</v>
      </c>
      <c r="M1016" t="n">
        <v>95.792017332</v>
      </c>
      <c r="N1016" t="n">
        <v>123.704103087</v>
      </c>
      <c r="O1016" t="n">
        <v>59.404950413</v>
      </c>
      <c r="P1016" t="n">
        <v/>
      </c>
      <c r="Q1016" t="n">
        <v>101.716952825</v>
      </c>
      <c r="R1016" t="n">
        <v>108.159098674</v>
      </c>
      <c r="S1016" t="n">
        <v>94.570872944</v>
      </c>
      <c r="T1016" t="n">
        <v>106.756278741</v>
      </c>
      <c r="U1016" t="n">
        <v/>
      </c>
      <c r="V1016" t="n">
        <v>143.768212472</v>
      </c>
      <c r="W1016" t="n">
        <v>66.205517126</v>
      </c>
      <c r="X1016" t="n">
        <v>49.601401784</v>
      </c>
      <c r="Y1016" t="n">
        <v/>
      </c>
      <c r="Z1016" t="n">
        <v>56.634618435</v>
      </c>
      <c r="AA1016" t="n">
        <v>34.705698791</v>
      </c>
      <c r="AB1016" t="n">
        <v>65.34852362700001</v>
      </c>
      <c r="AC1016" t="n">
        <v>123.389717524</v>
      </c>
      <c r="AD1016" t="n">
        <v>101.405963769</v>
      </c>
      <c r="AE1016" t="n">
        <v>53.906</v>
      </c>
      <c r="AF1016" t="n">
        <v>103.891342388</v>
      </c>
      <c r="AG1016" t="n">
        <v>77</v>
      </c>
      <c r="AH1016" t="n">
        <v>90.752064722</v>
      </c>
      <c r="AI1016" t="n">
        <v>92.358731237</v>
      </c>
      <c r="AJ1016" t="n">
        <v>118.114817688</v>
      </c>
      <c r="AK1016" t="n">
        <v/>
      </c>
      <c r="AL1016" t="n">
        <v>87.96772552100001</v>
      </c>
      <c r="AM1016" t="n">
        <v>53.9</v>
      </c>
      <c r="AN1016" t="n">
        <v>131.694206252</v>
      </c>
      <c r="AO1016" t="n">
        <v>67.41072316499999</v>
      </c>
      <c r="AP1016" t="n">
        <v>52.704392033</v>
      </c>
      <c r="AQ1016" t="n">
        <v>83.171005341</v>
      </c>
      <c r="AR1016" t="n">
        <v>103.491375719</v>
      </c>
      <c r="AS1016" t="n">
        <v>48.295975335</v>
      </c>
      <c r="AT1016" t="n">
        <v>90.295080699</v>
      </c>
      <c r="AU1016" t="n">
        <v/>
      </c>
    </row>
    <row r="1017">
      <c r="A1017" s="105" t="n">
        <v>37834</v>
      </c>
      <c r="B1017" t="n">
        <v>76.77261928999999</v>
      </c>
      <c r="C1017" t="n">
        <v>75.693692192</v>
      </c>
      <c r="D1017" t="n">
        <v>86.83401346300001</v>
      </c>
      <c r="E1017" t="n">
        <v>94.336109409</v>
      </c>
      <c r="F1017" t="n">
        <v/>
      </c>
      <c r="G1017" t="n">
        <v/>
      </c>
      <c r="H1017" t="n">
        <v>79.12505468499999</v>
      </c>
      <c r="I1017" t="n">
        <v>76.766222105</v>
      </c>
      <c r="J1017" t="n">
        <v>71.088151975</v>
      </c>
      <c r="K1017" t="n">
        <v>78.60655054599999</v>
      </c>
      <c r="L1017" t="n">
        <v>115.4</v>
      </c>
      <c r="M1017" t="n">
        <v>94.692108991</v>
      </c>
      <c r="N1017" t="n">
        <v>123.893103244</v>
      </c>
      <c r="O1017" t="n">
        <v>60.605050421</v>
      </c>
      <c r="P1017" t="n">
        <v/>
      </c>
      <c r="Q1017" t="n">
        <v>101.316886148</v>
      </c>
      <c r="R1017" t="n">
        <v>107.689102591</v>
      </c>
      <c r="S1017" t="n">
        <v>93.752608458</v>
      </c>
      <c r="T1017" t="n">
        <v>106.650159179</v>
      </c>
      <c r="U1017" t="n">
        <v/>
      </c>
      <c r="V1017" t="n">
        <v>137.074348514</v>
      </c>
      <c r="W1017" t="n">
        <v>68.405700475</v>
      </c>
      <c r="X1017" t="n">
        <v>49.842054519</v>
      </c>
      <c r="Y1017" t="n">
        <v/>
      </c>
      <c r="Z1017" t="n">
        <v>59.249438173</v>
      </c>
      <c r="AA1017" t="n">
        <v>34.924923767</v>
      </c>
      <c r="AB1017" t="n">
        <v>64.508028147</v>
      </c>
      <c r="AC1017" t="n">
        <v>120.789934172</v>
      </c>
      <c r="AD1017" t="n">
        <v>100.427771193</v>
      </c>
      <c r="AE1017" t="n">
        <v>56.76</v>
      </c>
      <c r="AF1017" t="n">
        <v>108.490959087</v>
      </c>
      <c r="AG1017" t="n">
        <v>76.59999999999999</v>
      </c>
      <c r="AH1017" t="n">
        <v>90.538700405</v>
      </c>
      <c r="AI1017" t="n">
        <v>93.342317299</v>
      </c>
      <c r="AJ1017" t="n">
        <v>116.834755625</v>
      </c>
      <c r="AK1017" t="n">
        <v/>
      </c>
      <c r="AL1017" t="n">
        <v>87.716597897</v>
      </c>
      <c r="AM1017" t="n">
        <v>54</v>
      </c>
      <c r="AN1017" t="n">
        <v>129.902448344</v>
      </c>
      <c r="AO1017" t="n">
        <v>67.270982489</v>
      </c>
      <c r="AP1017" t="n">
        <v>52.504375365</v>
      </c>
      <c r="AQ1017" t="n">
        <v>83.264351026</v>
      </c>
      <c r="AR1017" t="n">
        <v>102.391467378</v>
      </c>
      <c r="AS1017" t="n">
        <v>49.495875344</v>
      </c>
      <c r="AT1017" t="n">
        <v>90.080700112</v>
      </c>
      <c r="AU1017" t="n">
        <v/>
      </c>
    </row>
    <row r="1018">
      <c r="A1018" s="105" t="n">
        <v>37865</v>
      </c>
      <c r="B1018" t="n">
        <v>76.35032765</v>
      </c>
      <c r="C1018" t="n">
        <v>75.893675527</v>
      </c>
      <c r="D1018" t="n">
        <v>89.36374503899999</v>
      </c>
      <c r="E1018" t="n">
        <v>96.213639246</v>
      </c>
      <c r="F1018" t="n">
        <v/>
      </c>
      <c r="G1018" t="n">
        <v/>
      </c>
      <c r="H1018" t="n">
        <v>76.99823664</v>
      </c>
      <c r="I1018" t="n">
        <v>76.343965653</v>
      </c>
      <c r="J1018" t="n">
        <v>71.388101983</v>
      </c>
      <c r="K1018" t="n">
        <v>78.406533878</v>
      </c>
      <c r="L1018" t="n">
        <v>117</v>
      </c>
      <c r="M1018" t="n">
        <v>94.392133989</v>
      </c>
      <c r="N1018" t="n">
        <v>123.199102666</v>
      </c>
      <c r="O1018" t="n">
        <v>61.005083757</v>
      </c>
      <c r="P1018" t="n">
        <v/>
      </c>
      <c r="Q1018" t="n">
        <v>101.616936156</v>
      </c>
      <c r="R1018" t="n">
        <v>107.299105841</v>
      </c>
      <c r="S1018" t="n">
        <v>94.610598588</v>
      </c>
      <c r="T1018" t="n">
        <v>106.225680934</v>
      </c>
      <c r="U1018" t="n">
        <v/>
      </c>
      <c r="V1018" t="n">
        <v>145.6664724</v>
      </c>
      <c r="W1018" t="n">
        <v>67.405617135</v>
      </c>
      <c r="X1018" t="n">
        <v>50.180273832</v>
      </c>
      <c r="Y1018" t="n">
        <v/>
      </c>
      <c r="Z1018" t="n">
        <v>53.78208781</v>
      </c>
      <c r="AA1018" t="n">
        <v>35.297867474</v>
      </c>
      <c r="AB1018" t="n">
        <v>64.71815201699999</v>
      </c>
      <c r="AC1018" t="n">
        <v>121.289892509</v>
      </c>
      <c r="AD1018" t="n">
        <v>103.471036986</v>
      </c>
      <c r="AE1018" t="n">
        <v>57.479</v>
      </c>
      <c r="AF1018" t="n">
        <v>109.190900758</v>
      </c>
      <c r="AG1018" t="n">
        <v>78.09999999999999</v>
      </c>
      <c r="AH1018" t="n">
        <v>90.58447994300001</v>
      </c>
      <c r="AI1018" t="n">
        <v>93.342317299</v>
      </c>
      <c r="AJ1018" t="n">
        <v>118.463925524</v>
      </c>
      <c r="AK1018" t="n">
        <v/>
      </c>
      <c r="AL1018" t="n">
        <v>88.299860384</v>
      </c>
      <c r="AM1018" t="n">
        <v>54</v>
      </c>
      <c r="AN1018" t="n">
        <v>134.125877699</v>
      </c>
      <c r="AO1018" t="n">
        <v>68.549243043</v>
      </c>
      <c r="AP1018" t="n">
        <v>52.104342029</v>
      </c>
      <c r="AQ1018" t="n">
        <v>83.731079451</v>
      </c>
      <c r="AR1018" t="n">
        <v>102.991417382</v>
      </c>
      <c r="AS1018" t="n">
        <v>49.495875344</v>
      </c>
      <c r="AT1018" t="n">
        <v>90.675750022</v>
      </c>
      <c r="AU1018" t="n">
        <v/>
      </c>
    </row>
    <row r="1019">
      <c r="A1019" s="105" t="n">
        <v>37895</v>
      </c>
      <c r="B1019" t="n">
        <v>76.35032765</v>
      </c>
      <c r="C1019" t="n">
        <v>76.39363386399999</v>
      </c>
      <c r="D1019" t="n">
        <v>89.627353705</v>
      </c>
      <c r="E1019" t="n">
        <v>96.756191327</v>
      </c>
      <c r="F1019" t="n">
        <v/>
      </c>
      <c r="G1019" t="n">
        <v/>
      </c>
      <c r="H1019" t="n">
        <v>76.09843465599999</v>
      </c>
      <c r="I1019" t="n">
        <v>76.343965653</v>
      </c>
      <c r="J1019" t="n">
        <v>71.788035327</v>
      </c>
      <c r="K1019" t="n">
        <v>80.806733894</v>
      </c>
      <c r="L1019" t="n">
        <v>114.8</v>
      </c>
      <c r="M1019" t="n">
        <v>96.791934005</v>
      </c>
      <c r="N1019" t="n">
        <v>125.248104373</v>
      </c>
      <c r="O1019" t="n">
        <v>61.905158763</v>
      </c>
      <c r="P1019" t="n">
        <v/>
      </c>
      <c r="Q1019" t="n">
        <v>101.516919487</v>
      </c>
      <c r="R1019" t="n">
        <v>109.899084174</v>
      </c>
      <c r="S1019" t="n">
        <v>95.554576105</v>
      </c>
      <c r="T1019" t="n">
        <v>107.392996109</v>
      </c>
      <c r="U1019" t="n">
        <v/>
      </c>
      <c r="V1019" t="n">
        <v>144.767296645</v>
      </c>
      <c r="W1019" t="n">
        <v>68.10567547300001</v>
      </c>
      <c r="X1019" t="n">
        <v>49.981431938</v>
      </c>
      <c r="Y1019" t="n">
        <v/>
      </c>
      <c r="Z1019" t="n">
        <v>61.448263863</v>
      </c>
      <c r="AA1019" t="n">
        <v>35.976724519</v>
      </c>
      <c r="AB1019" t="n">
        <v>68.15017523</v>
      </c>
      <c r="AC1019" t="n">
        <v>122.589784185</v>
      </c>
      <c r="AD1019" t="n">
        <v>104.666605691</v>
      </c>
      <c r="AE1019" t="n">
        <v>59.077</v>
      </c>
      <c r="AF1019" t="n">
        <v>108.590950754</v>
      </c>
      <c r="AG1019" t="n">
        <v>78.59999999999999</v>
      </c>
      <c r="AH1019" t="n">
        <v>91.041636885</v>
      </c>
      <c r="AI1019" t="n">
        <v>96.883227123</v>
      </c>
      <c r="AJ1019" t="n">
        <v>121.024049651</v>
      </c>
      <c r="AK1019" t="n">
        <v/>
      </c>
      <c r="AL1019" t="n">
        <v>89.289880004</v>
      </c>
      <c r="AM1019" t="n">
        <v>55.2</v>
      </c>
      <c r="AN1019" t="n">
        <v>131.054292714</v>
      </c>
      <c r="AO1019" t="n">
        <v>68.34942920500001</v>
      </c>
      <c r="AP1019" t="n">
        <v>52.804400367</v>
      </c>
      <c r="AQ1019" t="n">
        <v>85.597993151</v>
      </c>
      <c r="AR1019" t="n">
        <v>102.591450712</v>
      </c>
      <c r="AS1019" t="n">
        <v>48.995917007</v>
      </c>
      <c r="AT1019" t="n">
        <v>90.78898898200001</v>
      </c>
      <c r="AU1019" t="n">
        <v/>
      </c>
    </row>
    <row r="1020">
      <c r="A1020" s="105" t="n">
        <v>37926</v>
      </c>
      <c r="B1020" t="n">
        <v>76.35032765</v>
      </c>
      <c r="C1020" t="n">
        <v>75.893675527</v>
      </c>
      <c r="D1020" t="n">
        <v>90.826832036</v>
      </c>
      <c r="E1020" t="n">
        <v>96.83618298</v>
      </c>
      <c r="F1020" t="n">
        <v/>
      </c>
      <c r="G1020" t="n">
        <v/>
      </c>
      <c r="H1020" t="n">
        <v>77.452867501</v>
      </c>
      <c r="I1020" t="n">
        <v>76.343965653</v>
      </c>
      <c r="J1020" t="n">
        <v>72.78786868900001</v>
      </c>
      <c r="K1020" t="n">
        <v>81.60680056699999</v>
      </c>
      <c r="L1020" t="n">
        <v>112.8</v>
      </c>
      <c r="M1020" t="n">
        <v>96.49195900300001</v>
      </c>
      <c r="N1020" t="n">
        <v>124.326103605</v>
      </c>
      <c r="O1020" t="n">
        <v>62.705225435</v>
      </c>
      <c r="P1020" t="n">
        <v/>
      </c>
      <c r="Q1020" t="n">
        <v>102.817136189</v>
      </c>
      <c r="R1020" t="n">
        <v>107.759102007</v>
      </c>
      <c r="S1020" t="n">
        <v>95.872855574</v>
      </c>
      <c r="T1020" t="n">
        <v>106.225680934</v>
      </c>
      <c r="U1020" t="n">
        <v/>
      </c>
      <c r="V1020" t="n">
        <v>141.770044126</v>
      </c>
      <c r="W1020" t="n">
        <v>69.005750479</v>
      </c>
      <c r="X1020" t="n">
        <v>51.158268775</v>
      </c>
      <c r="Y1020" t="n">
        <v/>
      </c>
      <c r="Z1020" t="n">
        <v>61.448263863</v>
      </c>
      <c r="AA1020" t="n">
        <v>35.445785729</v>
      </c>
      <c r="AB1020" t="n">
        <v>64.648110727</v>
      </c>
      <c r="AC1020" t="n">
        <v>124.089659195</v>
      </c>
      <c r="AD1020" t="n">
        <v>104.883981819</v>
      </c>
      <c r="AE1020" t="n">
        <v>59.154</v>
      </c>
      <c r="AF1020" t="n">
        <v>107.491042413</v>
      </c>
      <c r="AG1020" t="n">
        <v>78.3</v>
      </c>
      <c r="AH1020" t="n">
        <v>91.34546930099999</v>
      </c>
      <c r="AI1020" t="n">
        <v>94.325903361</v>
      </c>
      <c r="AJ1020" t="n">
        <v>119.045771916</v>
      </c>
      <c r="AK1020" t="n">
        <v/>
      </c>
      <c r="AL1020" t="n">
        <v>89.45786672600001</v>
      </c>
      <c r="AM1020" t="n">
        <v>55.5</v>
      </c>
      <c r="AN1020" t="n">
        <v>131.82218896</v>
      </c>
      <c r="AO1020" t="n">
        <v>68.365296176</v>
      </c>
      <c r="AP1020" t="n">
        <v>54.304525377</v>
      </c>
      <c r="AQ1020" t="n">
        <v>85.97137589099999</v>
      </c>
      <c r="AR1020" t="n">
        <v>102.391467378</v>
      </c>
      <c r="AS1020" t="n">
        <v>48.795933672</v>
      </c>
      <c r="AT1020" t="n">
        <v>91.400598355</v>
      </c>
      <c r="AU1020" t="n">
        <v/>
      </c>
    </row>
    <row r="1021">
      <c r="A1021" s="105" t="n">
        <v>37956</v>
      </c>
      <c r="B1021" t="n">
        <v>77.70166089</v>
      </c>
      <c r="C1021" t="n">
        <v>78.493458878</v>
      </c>
      <c r="D1021" t="n">
        <v>89.44354438000001</v>
      </c>
      <c r="E1021" t="n">
        <v>97.030677735</v>
      </c>
      <c r="F1021" t="n">
        <v/>
      </c>
      <c r="G1021" t="n">
        <v/>
      </c>
      <c r="H1021" t="n">
        <v>76.646127478</v>
      </c>
      <c r="I1021" t="n">
        <v>77.695186291</v>
      </c>
      <c r="J1021" t="n">
        <v>74.48758540199999</v>
      </c>
      <c r="K1021" t="n">
        <v>82.006833903</v>
      </c>
      <c r="L1021" t="n">
        <v>111.2</v>
      </c>
      <c r="M1021" t="n">
        <v>96.791934005</v>
      </c>
      <c r="N1021" t="n">
        <v>123.690103075</v>
      </c>
      <c r="O1021" t="n">
        <v>62.305192099</v>
      </c>
      <c r="P1021" t="n">
        <v/>
      </c>
      <c r="Q1021" t="n">
        <v>101.316886148</v>
      </c>
      <c r="R1021" t="n">
        <v>108.409096591</v>
      </c>
      <c r="S1021" t="n">
        <v>95.952527046</v>
      </c>
      <c r="T1021" t="n">
        <v>106.225680934</v>
      </c>
      <c r="U1021" t="n">
        <v/>
      </c>
      <c r="V1021" t="n">
        <v>146.865373408</v>
      </c>
      <c r="W1021" t="n">
        <v>72.40603383600001</v>
      </c>
      <c r="X1021" t="n">
        <v>50.921518639</v>
      </c>
      <c r="Y1021" t="n">
        <v/>
      </c>
      <c r="Z1021" t="n">
        <v>58.239166911</v>
      </c>
      <c r="AA1021" t="n">
        <v>35.231618279</v>
      </c>
      <c r="AB1021" t="n">
        <v>66.259060398</v>
      </c>
      <c r="AC1021" t="n">
        <v>124.089659195</v>
      </c>
      <c r="AD1021" t="n">
        <v>104.557917627</v>
      </c>
      <c r="AE1021" t="n">
        <v>60.222</v>
      </c>
      <c r="AF1021" t="n">
        <v>105.091242396</v>
      </c>
      <c r="AG1021" t="n">
        <v>79.90000000000001</v>
      </c>
      <c r="AH1021" t="n">
        <v>92.66046200300001</v>
      </c>
      <c r="AI1021" t="n">
        <v>92.260372631</v>
      </c>
      <c r="AJ1021" t="n">
        <v>120.093095423</v>
      </c>
      <c r="AK1021" t="n">
        <v/>
      </c>
      <c r="AL1021" t="n">
        <v>89.775398714</v>
      </c>
      <c r="AM1021" t="n">
        <v>56.7</v>
      </c>
      <c r="AN1021" t="n">
        <v>133.48596416</v>
      </c>
      <c r="AO1021" t="n">
        <v>70.01200423</v>
      </c>
      <c r="AP1021" t="n">
        <v>55.804650388</v>
      </c>
      <c r="AQ1021" t="n">
        <v>84.757881986</v>
      </c>
      <c r="AR1021" t="n">
        <v>104.691275727</v>
      </c>
      <c r="AS1021" t="n">
        <v>49.695858678</v>
      </c>
      <c r="AT1021" t="n">
        <v>91.47685121000001</v>
      </c>
      <c r="AU1021" t="n">
        <v/>
      </c>
    </row>
    <row r="1022">
      <c r="A1022" s="105" t="n">
        <v>37987</v>
      </c>
      <c r="B1022" t="n">
        <v>77.95503586</v>
      </c>
      <c r="C1022" t="n">
        <v>76.993583868</v>
      </c>
      <c r="D1022" t="n">
        <v>91.031152699</v>
      </c>
      <c r="E1022" t="n">
        <v>96.629649348</v>
      </c>
      <c r="F1022" t="n">
        <v/>
      </c>
      <c r="G1022" t="n">
        <v/>
      </c>
      <c r="H1022" t="n">
        <v>79.234750749</v>
      </c>
      <c r="I1022" t="n">
        <v>77.94854014800001</v>
      </c>
      <c r="J1022" t="n">
        <v>74.387602066</v>
      </c>
      <c r="K1022" t="n">
        <v>81.306775565</v>
      </c>
      <c r="L1022" t="n">
        <v>111.3</v>
      </c>
      <c r="M1022" t="n">
        <v>96.691942338</v>
      </c>
      <c r="N1022" t="n">
        <v>123.753103128</v>
      </c>
      <c r="O1022" t="n">
        <v>62.905242104</v>
      </c>
      <c r="P1022" t="n">
        <v/>
      </c>
      <c r="Q1022" t="n">
        <v>101.816969495</v>
      </c>
      <c r="R1022" t="n">
        <v>109.089090924</v>
      </c>
      <c r="S1022" t="n">
        <v>96.326219513</v>
      </c>
      <c r="T1022" t="n">
        <v>107.180756986</v>
      </c>
      <c r="U1022" t="n">
        <v/>
      </c>
      <c r="V1022" t="n">
        <v>140.970776788</v>
      </c>
      <c r="W1022" t="n">
        <v>69.805817151</v>
      </c>
      <c r="X1022" t="n">
        <v>51.659349825</v>
      </c>
      <c r="Y1022" t="n">
        <v/>
      </c>
      <c r="Z1022" t="n">
        <v>55.743202615</v>
      </c>
      <c r="AA1022" t="n">
        <v>35.873129663</v>
      </c>
      <c r="AB1022" t="n">
        <v>69.69555035099999</v>
      </c>
      <c r="AC1022" t="n">
        <v>124.089659195</v>
      </c>
      <c r="AD1022" t="n">
        <v>106.405614716</v>
      </c>
      <c r="AE1022" t="n">
        <v>59.982</v>
      </c>
      <c r="AF1022" t="n">
        <v>108.790934089</v>
      </c>
      <c r="AG1022" t="n">
        <v>79.8</v>
      </c>
      <c r="AH1022" t="n">
        <v>93.23121886200001</v>
      </c>
      <c r="AI1022" t="n">
        <v>97.57173736599999</v>
      </c>
      <c r="AJ1022" t="n">
        <v>118.463925524</v>
      </c>
      <c r="AK1022" t="n">
        <v/>
      </c>
      <c r="AL1022" t="n">
        <v>90.100958279</v>
      </c>
      <c r="AM1022" t="n">
        <v>57.9</v>
      </c>
      <c r="AN1022" t="n">
        <v>129.843016915</v>
      </c>
      <c r="AO1022" t="n">
        <v>70.127044998</v>
      </c>
      <c r="AP1022" t="n">
        <v>51.304275356</v>
      </c>
      <c r="AQ1022" t="n">
        <v>85.784684521</v>
      </c>
      <c r="AR1022" t="n">
        <v>106.09115907</v>
      </c>
      <c r="AS1022" t="n">
        <v>50.495792017</v>
      </c>
      <c r="AT1022" t="n">
        <v>91.62905944400001</v>
      </c>
      <c r="AU1022" t="n">
        <v/>
      </c>
    </row>
    <row r="1023">
      <c r="A1023" s="105" t="n">
        <v>38018</v>
      </c>
      <c r="B1023" t="n">
        <v>78.37732750000001</v>
      </c>
      <c r="C1023" t="n">
        <v>77.99350054200001</v>
      </c>
      <c r="D1023" t="n">
        <v>92.49047433</v>
      </c>
      <c r="E1023" t="n">
        <v>96.296841266</v>
      </c>
      <c r="F1023" t="n">
        <v/>
      </c>
      <c r="G1023" t="n">
        <v/>
      </c>
      <c r="H1023" t="n">
        <v>80.865534766</v>
      </c>
      <c r="I1023" t="n">
        <v>78.37079660000001</v>
      </c>
      <c r="J1023" t="n">
        <v>76.687218797</v>
      </c>
      <c r="K1023" t="n">
        <v>81.706808901</v>
      </c>
      <c r="L1023" t="n">
        <v>111.7</v>
      </c>
      <c r="M1023" t="n">
        <v>97.191900675</v>
      </c>
      <c r="N1023" t="n">
        <v>124.601103834</v>
      </c>
      <c r="O1023" t="n">
        <v>62.405200433</v>
      </c>
      <c r="P1023" t="n">
        <v/>
      </c>
      <c r="Q1023" t="n">
        <v>103.617269545</v>
      </c>
      <c r="R1023" t="n">
        <v>110.189081758</v>
      </c>
      <c r="S1023" t="n">
        <v>96.581644454</v>
      </c>
      <c r="T1023" t="n">
        <v>106.968517863</v>
      </c>
      <c r="U1023" t="n">
        <v/>
      </c>
      <c r="V1023" t="n">
        <v>143.46848722</v>
      </c>
      <c r="W1023" t="n">
        <v>70.80590049200001</v>
      </c>
      <c r="X1023" t="n">
        <v>50.85638315</v>
      </c>
      <c r="Y1023" t="n">
        <v/>
      </c>
      <c r="Z1023" t="n">
        <v>56.396907549</v>
      </c>
      <c r="AA1023" t="n">
        <v>36.686728051</v>
      </c>
      <c r="AB1023" t="n">
        <v>68.758782201</v>
      </c>
      <c r="AC1023" t="n">
        <v>123.789684193</v>
      </c>
      <c r="AD1023" t="n">
        <v>106.079550524</v>
      </c>
      <c r="AE1023" t="n">
        <v>63.036</v>
      </c>
      <c r="AF1023" t="n">
        <v>109.590867428</v>
      </c>
      <c r="AG1023" t="n">
        <v>79.90000000000001</v>
      </c>
      <c r="AH1023" t="n">
        <v>93.43997922</v>
      </c>
      <c r="AI1023" t="n">
        <v>97.965171791</v>
      </c>
      <c r="AJ1023" t="n">
        <v>117.882079131</v>
      </c>
      <c r="AK1023" t="n">
        <v/>
      </c>
      <c r="AL1023" t="n">
        <v>90.626266677</v>
      </c>
      <c r="AM1023" t="n">
        <v>58.2</v>
      </c>
      <c r="AN1023" t="n">
        <v>126.869512711</v>
      </c>
      <c r="AO1023" t="n">
        <v>70.533205033</v>
      </c>
      <c r="AP1023" t="n">
        <v>54.904575381</v>
      </c>
      <c r="AQ1023" t="n">
        <v>85.691338836</v>
      </c>
      <c r="AR1023" t="n">
        <v>106.291142405</v>
      </c>
      <c r="AS1023" t="n">
        <v>50.895758687</v>
      </c>
      <c r="AT1023" t="n">
        <v>92.186329982</v>
      </c>
      <c r="AU1023" t="n">
        <v/>
      </c>
    </row>
    <row r="1024">
      <c r="A1024" s="105" t="n">
        <v>38047</v>
      </c>
      <c r="B1024" t="n">
        <v>78.54624416</v>
      </c>
      <c r="C1024" t="n">
        <v>78.593450546</v>
      </c>
      <c r="D1024" t="n">
        <v>92.930581785</v>
      </c>
      <c r="E1024" t="n">
        <v>97.47397596</v>
      </c>
      <c r="F1024" t="n">
        <v/>
      </c>
      <c r="G1024" t="n">
        <v/>
      </c>
      <c r="H1024" t="n">
        <v>80.00263961</v>
      </c>
      <c r="I1024" t="n">
        <v>78.539699185</v>
      </c>
      <c r="J1024" t="n">
        <v>76.08731878</v>
      </c>
      <c r="K1024" t="n">
        <v>81.206767231</v>
      </c>
      <c r="L1024" t="n">
        <v>112.9</v>
      </c>
      <c r="M1024" t="n">
        <v>96.891925673</v>
      </c>
      <c r="N1024" t="n">
        <v>126.001105001</v>
      </c>
      <c r="O1024" t="n">
        <v>62.705225435</v>
      </c>
      <c r="P1024" t="n">
        <v/>
      </c>
      <c r="Q1024" t="n">
        <v>103.617269545</v>
      </c>
      <c r="R1024" t="n">
        <v>109.849084591</v>
      </c>
      <c r="S1024" t="n">
        <v>96.248081806</v>
      </c>
      <c r="T1024" t="n">
        <v>108.2419526</v>
      </c>
      <c r="U1024" t="n">
        <v/>
      </c>
      <c r="V1024" t="n">
        <v>147.065190242</v>
      </c>
      <c r="W1024" t="n">
        <v>70.50587548999999</v>
      </c>
      <c r="X1024" t="n">
        <v>51.518613424</v>
      </c>
      <c r="Y1024" t="n">
        <v/>
      </c>
      <c r="Z1024" t="n">
        <v>57.942028304</v>
      </c>
      <c r="AA1024" t="n">
        <v>38.090064569</v>
      </c>
      <c r="AB1024" t="n">
        <v>70.163934426</v>
      </c>
      <c r="AC1024" t="n">
        <v>121.489875844</v>
      </c>
      <c r="AD1024" t="n">
        <v>105.536110204</v>
      </c>
      <c r="AE1024" t="n">
        <v>61.939</v>
      </c>
      <c r="AF1024" t="n">
        <v>113.090575785</v>
      </c>
      <c r="AG1024" t="n">
        <v>81.5</v>
      </c>
      <c r="AH1024" t="n">
        <v>95.00129934900001</v>
      </c>
      <c r="AI1024" t="n">
        <v>97.57173736599999</v>
      </c>
      <c r="AJ1024" t="n">
        <v>119.627618309</v>
      </c>
      <c r="AK1024" t="n">
        <v/>
      </c>
      <c r="AL1024" t="n">
        <v>90.526873733</v>
      </c>
      <c r="AM1024" t="n">
        <v>59.6</v>
      </c>
      <c r="AN1024" t="n">
        <v>132.816521119</v>
      </c>
      <c r="AO1024" t="n">
        <v>71.048783328</v>
      </c>
      <c r="AP1024" t="n">
        <v>53.004417035</v>
      </c>
      <c r="AQ1024" t="n">
        <v>86.90483274100001</v>
      </c>
      <c r="AR1024" t="n">
        <v>104.691275727</v>
      </c>
      <c r="AS1024" t="n">
        <v>51.195733689</v>
      </c>
      <c r="AT1024" t="n">
        <v>91.820732745</v>
      </c>
      <c r="AU1024" t="n">
        <v/>
      </c>
    </row>
    <row r="1025">
      <c r="A1025" s="105" t="n">
        <v>38078</v>
      </c>
      <c r="B1025" t="n">
        <v>79.72866073</v>
      </c>
      <c r="C1025" t="n">
        <v>80.49329222599999</v>
      </c>
      <c r="D1025" t="n">
        <v>93.66969455100001</v>
      </c>
      <c r="E1025" t="n">
        <v>97.296068103</v>
      </c>
      <c r="F1025" t="n">
        <v/>
      </c>
      <c r="G1025" t="n">
        <v/>
      </c>
      <c r="H1025" t="n">
        <v>80.054853581</v>
      </c>
      <c r="I1025" t="n">
        <v>79.722017229</v>
      </c>
      <c r="J1025" t="n">
        <v>77.187135477</v>
      </c>
      <c r="K1025" t="n">
        <v>82.40686723899999</v>
      </c>
      <c r="L1025" t="n">
        <v>114.3</v>
      </c>
      <c r="M1025" t="n">
        <v>97.79185067900001</v>
      </c>
      <c r="N1025" t="n">
        <v>125.612104677</v>
      </c>
      <c r="O1025" t="n">
        <v>64.105342112</v>
      </c>
      <c r="P1025" t="n">
        <v/>
      </c>
      <c r="Q1025" t="n">
        <v>104.51741957</v>
      </c>
      <c r="R1025" t="n">
        <v>109.859084508</v>
      </c>
      <c r="S1025" t="n">
        <v>97.020093964</v>
      </c>
      <c r="T1025" t="n">
        <v>107.923593916</v>
      </c>
      <c r="U1025" t="n">
        <v/>
      </c>
      <c r="V1025" t="n">
        <v>147.364915494</v>
      </c>
      <c r="W1025" t="n">
        <v>70.80590049200001</v>
      </c>
      <c r="X1025" t="n">
        <v>54.011918566</v>
      </c>
      <c r="Y1025" t="n">
        <v/>
      </c>
      <c r="Z1025" t="n">
        <v>58.774016403</v>
      </c>
      <c r="AA1025" t="n">
        <v>39.334009997</v>
      </c>
      <c r="AB1025" t="n">
        <v>69.039812646</v>
      </c>
      <c r="AC1025" t="n">
        <v>123.789684193</v>
      </c>
      <c r="AD1025" t="n">
        <v>107.383807293</v>
      </c>
      <c r="AE1025" t="n">
        <v>62.608</v>
      </c>
      <c r="AF1025" t="n">
        <v>109.89084243</v>
      </c>
      <c r="AG1025" t="n">
        <v>82.5</v>
      </c>
      <c r="AH1025" t="n">
        <v>94.40833425700001</v>
      </c>
      <c r="AI1025" t="n">
        <v>96.883227123</v>
      </c>
      <c r="AJ1025" t="n">
        <v>117.416602017</v>
      </c>
      <c r="AK1025" t="n">
        <v/>
      </c>
      <c r="AL1025" t="n">
        <v>91.200407927</v>
      </c>
      <c r="AM1025" t="n">
        <v>61.6</v>
      </c>
      <c r="AN1025" t="n">
        <v>131.94924906</v>
      </c>
      <c r="AO1025" t="n">
        <v>71.768530954</v>
      </c>
      <c r="AP1025" t="n">
        <v>52.504375365</v>
      </c>
      <c r="AQ1025" t="n">
        <v>87.558252536</v>
      </c>
      <c r="AR1025" t="n">
        <v>107.891009083</v>
      </c>
      <c r="AS1025" t="n">
        <v>52.095658695</v>
      </c>
      <c r="AT1025" t="n">
        <v>92.19366770800001</v>
      </c>
      <c r="AU1025" t="n">
        <v/>
      </c>
    </row>
    <row r="1026">
      <c r="A1026" s="105" t="n">
        <v>38108</v>
      </c>
      <c r="B1026" t="n">
        <v>80.31986902</v>
      </c>
      <c r="C1026" t="n">
        <v>79.19340055000001</v>
      </c>
      <c r="D1026" t="n">
        <v>94.672338913</v>
      </c>
      <c r="E1026" t="n">
        <v>96.879255409</v>
      </c>
      <c r="F1026" t="n">
        <v/>
      </c>
      <c r="G1026" t="n">
        <v/>
      </c>
      <c r="H1026" t="n">
        <v>82.388974248</v>
      </c>
      <c r="I1026" t="n">
        <v>80.313176255</v>
      </c>
      <c r="J1026" t="n">
        <v>76.687218797</v>
      </c>
      <c r="K1026" t="n">
        <v>83.306942245</v>
      </c>
      <c r="L1026" t="n">
        <v>114.1</v>
      </c>
      <c r="M1026" t="n">
        <v>97.79185067900001</v>
      </c>
      <c r="N1026" t="n">
        <v>126.342105285</v>
      </c>
      <c r="O1026" t="n">
        <v>64.80540044999999</v>
      </c>
      <c r="P1026" t="n">
        <v/>
      </c>
      <c r="Q1026" t="n">
        <v>107.017836306</v>
      </c>
      <c r="R1026" t="n">
        <v>109.259089508</v>
      </c>
      <c r="S1026" t="n">
        <v>97.293767065</v>
      </c>
      <c r="T1026" t="n">
        <v>106.331800495</v>
      </c>
      <c r="U1026" t="n">
        <v/>
      </c>
      <c r="V1026" t="n">
        <v>146.965281825</v>
      </c>
      <c r="W1026" t="n">
        <v>70.605883824</v>
      </c>
      <c r="X1026" t="n">
        <v>53.609328603</v>
      </c>
      <c r="Y1026" t="n">
        <v/>
      </c>
      <c r="Z1026" t="n">
        <v>55.802630336</v>
      </c>
      <c r="AA1026" t="n">
        <v>39.059363183</v>
      </c>
      <c r="AB1026" t="n">
        <v>69.039812646</v>
      </c>
      <c r="AC1026" t="n">
        <v>123.489709191</v>
      </c>
      <c r="AD1026" t="n">
        <v>107.492495357</v>
      </c>
      <c r="AE1026" t="n">
        <v>63.522</v>
      </c>
      <c r="AF1026" t="n">
        <v>108.490959087</v>
      </c>
      <c r="AG1026" t="n">
        <v>80.59999999999999</v>
      </c>
      <c r="AH1026" t="n">
        <v>94.129203467</v>
      </c>
      <c r="AI1026" t="n">
        <v>97.965171791</v>
      </c>
      <c r="AJ1026" t="n">
        <v>118.463925524</v>
      </c>
      <c r="AK1026" t="n">
        <v/>
      </c>
      <c r="AL1026" t="n">
        <v>91.433629</v>
      </c>
      <c r="AM1026" t="n">
        <v>59.4</v>
      </c>
      <c r="AN1026" t="n">
        <v>130.338600949</v>
      </c>
      <c r="AO1026" t="n">
        <v>72.20582338600001</v>
      </c>
      <c r="AP1026" t="n">
        <v>54.504542045</v>
      </c>
      <c r="AQ1026" t="n">
        <v>85.317956096</v>
      </c>
      <c r="AR1026" t="n">
        <v>106.791100742</v>
      </c>
      <c r="AS1026" t="n">
        <v>53.595533706</v>
      </c>
      <c r="AT1026" t="n">
        <v>92.856542004</v>
      </c>
      <c r="AU1026" t="n">
        <v/>
      </c>
    </row>
    <row r="1027">
      <c r="A1027" s="105" t="n">
        <v>38139</v>
      </c>
      <c r="B1027" t="n">
        <v>80.99553564</v>
      </c>
      <c r="C1027" t="n">
        <v>80.69327556</v>
      </c>
      <c r="D1027" t="n">
        <v>94.900749112</v>
      </c>
      <c r="E1027" t="n">
        <v>98.295294939</v>
      </c>
      <c r="F1027" t="n">
        <v/>
      </c>
      <c r="G1027" t="n">
        <v/>
      </c>
      <c r="H1027" t="n">
        <v>82.70266482</v>
      </c>
      <c r="I1027" t="n">
        <v>80.988786574</v>
      </c>
      <c r="J1027" t="n">
        <v>76.487252125</v>
      </c>
      <c r="K1027" t="n">
        <v>82.70689224100001</v>
      </c>
      <c r="L1027" t="n">
        <v>114.3</v>
      </c>
      <c r="M1027" t="n">
        <v>97.79185067900001</v>
      </c>
      <c r="N1027" t="n">
        <v>126.518105432</v>
      </c>
      <c r="O1027" t="n">
        <v>64.80540044999999</v>
      </c>
      <c r="P1027" t="n">
        <v/>
      </c>
      <c r="Q1027" t="n">
        <v>108.418069678</v>
      </c>
      <c r="R1027" t="n">
        <v>110.309080758</v>
      </c>
      <c r="S1027" t="n">
        <v>97.026857772</v>
      </c>
      <c r="T1027" t="n">
        <v>106.013441811</v>
      </c>
      <c r="U1027" t="n">
        <v/>
      </c>
      <c r="V1027" t="n">
        <v>144.367662976</v>
      </c>
      <c r="W1027" t="n">
        <v>71.205933828</v>
      </c>
      <c r="X1027" t="n">
        <v>53.73009866</v>
      </c>
      <c r="Y1027" t="n">
        <v/>
      </c>
      <c r="Z1027" t="n">
        <v>57.228895648</v>
      </c>
      <c r="AA1027" t="n">
        <v>38.527496126</v>
      </c>
      <c r="AB1027" t="n">
        <v>70.25761124100001</v>
      </c>
      <c r="AC1027" t="n">
        <v>122.789767519</v>
      </c>
      <c r="AD1027" t="n">
        <v>107.818559549</v>
      </c>
      <c r="AE1027" t="n">
        <v>61.719</v>
      </c>
      <c r="AF1027" t="n">
        <v>115.890342471</v>
      </c>
      <c r="AG1027" t="n">
        <v>80</v>
      </c>
      <c r="AH1027" t="n">
        <v>94.239516024</v>
      </c>
      <c r="AI1027" t="n">
        <v>98.06353039699999</v>
      </c>
      <c r="AJ1027" t="n">
        <v>125.678820791</v>
      </c>
      <c r="AK1027" t="n">
        <v/>
      </c>
      <c r="AL1027" t="n">
        <v>91.21754715100001</v>
      </c>
      <c r="AM1027" t="n">
        <v>58.8</v>
      </c>
      <c r="AN1027" t="n">
        <v>129.966912924</v>
      </c>
      <c r="AO1027" t="n">
        <v>72.797446225</v>
      </c>
      <c r="AP1027" t="n">
        <v>53.004417035</v>
      </c>
      <c r="AQ1027" t="n">
        <v>86.344758631</v>
      </c>
      <c r="AR1027" t="n">
        <v>106.49112574</v>
      </c>
      <c r="AS1027" t="n">
        <v>53.095575369</v>
      </c>
      <c r="AT1027" t="n">
        <v>92.148253134</v>
      </c>
      <c r="AU1027" t="n">
        <v/>
      </c>
    </row>
    <row r="1028">
      <c r="A1028" s="105" t="n">
        <v>38169</v>
      </c>
      <c r="B1028" t="n">
        <v>81.75566058</v>
      </c>
      <c r="C1028" t="n">
        <v>82.59311724</v>
      </c>
      <c r="D1028" t="n">
        <v>95.566283098</v>
      </c>
      <c r="E1028" t="n">
        <v>97.63048136800001</v>
      </c>
      <c r="F1028" t="n">
        <v/>
      </c>
      <c r="G1028" t="n">
        <v/>
      </c>
      <c r="H1028" t="n">
        <v>83.255951448</v>
      </c>
      <c r="I1028" t="n">
        <v>81.748848176</v>
      </c>
      <c r="J1028" t="n">
        <v>77.687052158</v>
      </c>
      <c r="K1028" t="n">
        <v>83.70697558099999</v>
      </c>
      <c r="L1028" t="n">
        <v>111.9</v>
      </c>
      <c r="M1028" t="n">
        <v>98.691775685</v>
      </c>
      <c r="N1028" t="n">
        <v>126.749105624</v>
      </c>
      <c r="O1028" t="n">
        <v>66.205517126</v>
      </c>
      <c r="P1028" t="n">
        <v/>
      </c>
      <c r="Q1028" t="n">
        <v>105.117519587</v>
      </c>
      <c r="R1028" t="n">
        <v>110.769076924</v>
      </c>
      <c r="S1028" t="n">
        <v>97.678916727</v>
      </c>
      <c r="T1028" t="n">
        <v>104.952246197</v>
      </c>
      <c r="U1028" t="n">
        <v/>
      </c>
      <c r="V1028" t="n">
        <v>146.76546499</v>
      </c>
      <c r="W1028" t="n">
        <v>70.905908826</v>
      </c>
      <c r="X1028" t="n">
        <v>55.447927977</v>
      </c>
      <c r="Y1028" t="n">
        <v/>
      </c>
      <c r="Z1028" t="n">
        <v>63.647089552</v>
      </c>
      <c r="AA1028" t="n">
        <v>37.909007947</v>
      </c>
      <c r="AB1028" t="n">
        <v>69.22716627600001</v>
      </c>
      <c r="AC1028" t="n">
        <v>123.089742521</v>
      </c>
      <c r="AD1028" t="n">
        <v>109.340192446</v>
      </c>
      <c r="AE1028" t="n">
        <v>60.94</v>
      </c>
      <c r="AF1028" t="n">
        <v>112.290642446</v>
      </c>
      <c r="AG1028" t="n">
        <v>80.7</v>
      </c>
      <c r="AH1028" t="n">
        <v>94.05959044700001</v>
      </c>
      <c r="AI1028" t="n">
        <v>100.424136946</v>
      </c>
      <c r="AJ1028" t="n">
        <v>115.438324282</v>
      </c>
      <c r="AK1028" t="n">
        <v/>
      </c>
      <c r="AL1028" t="n">
        <v>91.66859243499999</v>
      </c>
      <c r="AM1028" t="n">
        <v>58.7</v>
      </c>
      <c r="AN1028" t="n">
        <v>129.595224898</v>
      </c>
      <c r="AO1028" t="n">
        <v>72.624875653</v>
      </c>
      <c r="AP1028" t="n">
        <v>52.804400367</v>
      </c>
      <c r="AQ1028" t="n">
        <v>86.811487056</v>
      </c>
      <c r="AR1028" t="n">
        <v>105.091242396</v>
      </c>
      <c r="AS1028" t="n">
        <v>53.895508708</v>
      </c>
      <c r="AT1028" t="n">
        <v>92.823125604</v>
      </c>
      <c r="AU1028" t="n">
        <v/>
      </c>
    </row>
    <row r="1029">
      <c r="A1029" s="105" t="n">
        <v>38200</v>
      </c>
      <c r="B1029" t="n">
        <v>82.34686886999999</v>
      </c>
      <c r="C1029" t="n">
        <v>80.49329222599999</v>
      </c>
      <c r="D1029" t="n">
        <v>96.608496835</v>
      </c>
      <c r="E1029" t="n">
        <v>98.15671408199999</v>
      </c>
      <c r="F1029" t="n">
        <v/>
      </c>
      <c r="G1029" t="n">
        <v/>
      </c>
      <c r="H1029" t="n">
        <v>84.877250184</v>
      </c>
      <c r="I1029" t="n">
        <v>82.340007203</v>
      </c>
      <c r="J1029" t="n">
        <v>77.78703549399999</v>
      </c>
      <c r="K1029" t="n">
        <v>82.90690890899999</v>
      </c>
      <c r="L1029" t="n">
        <v>111.5</v>
      </c>
      <c r="M1029" t="n">
        <v>96.59195067100001</v>
      </c>
      <c r="N1029" t="n">
        <v>125.086104238</v>
      </c>
      <c r="O1029" t="n">
        <v>67.50562546899999</v>
      </c>
      <c r="P1029" t="n">
        <v/>
      </c>
      <c r="Q1029" t="n">
        <v>108.218036339</v>
      </c>
      <c r="R1029" t="n">
        <v>106.899109174</v>
      </c>
      <c r="S1029" t="n">
        <v>96.921185378</v>
      </c>
      <c r="T1029" t="n">
        <v>103.678811461</v>
      </c>
      <c r="U1029" t="n">
        <v/>
      </c>
      <c r="V1029" t="n">
        <v>135.475813837</v>
      </c>
      <c r="W1029" t="n">
        <v>70.80590049200001</v>
      </c>
      <c r="X1029" t="n">
        <v>55.799579326</v>
      </c>
      <c r="Y1029" t="n">
        <v/>
      </c>
      <c r="Z1029" t="n">
        <v>50.988984908</v>
      </c>
      <c r="AA1029" t="n">
        <v>37.476393433</v>
      </c>
      <c r="AB1029" t="n">
        <v>70.725995316</v>
      </c>
      <c r="AC1029" t="n">
        <v>120.389967503</v>
      </c>
      <c r="AD1029" t="n">
        <v>107.818559549</v>
      </c>
      <c r="AE1029" t="n">
        <v>61.908</v>
      </c>
      <c r="AF1029" t="n">
        <v>111.090742438</v>
      </c>
      <c r="AG1029" t="n">
        <v>79.8</v>
      </c>
      <c r="AH1029" t="n">
        <v>93.929814073</v>
      </c>
      <c r="AI1029" t="n">
        <v>96.784868516</v>
      </c>
      <c r="AJ1029" t="n">
        <v>106.012412723</v>
      </c>
      <c r="AK1029" t="n">
        <v/>
      </c>
      <c r="AL1029" t="n">
        <v>90.917768682</v>
      </c>
      <c r="AM1029" t="n">
        <v>59.1</v>
      </c>
      <c r="AN1029" t="n">
        <v>124.019904515</v>
      </c>
      <c r="AO1029" t="n">
        <v>74.151109633</v>
      </c>
      <c r="AP1029" t="n">
        <v>53.404450371</v>
      </c>
      <c r="AQ1029" t="n">
        <v>87.651598221</v>
      </c>
      <c r="AR1029" t="n">
        <v>108.190984085</v>
      </c>
      <c r="AS1029" t="n">
        <v>53.495542038</v>
      </c>
      <c r="AT1029" t="n">
        <v>92.907311135</v>
      </c>
      <c r="AU1029" t="n">
        <v/>
      </c>
    </row>
    <row r="1030">
      <c r="A1030" s="105" t="n">
        <v>38231</v>
      </c>
      <c r="B1030" t="n">
        <v>83.02253549</v>
      </c>
      <c r="C1030" t="n">
        <v>82.293142238</v>
      </c>
      <c r="D1030" t="n">
        <v>97.081160396</v>
      </c>
      <c r="E1030" t="n">
        <v>98.651913245</v>
      </c>
      <c r="F1030" t="n">
        <v/>
      </c>
      <c r="G1030" t="n">
        <v/>
      </c>
      <c r="H1030" t="n">
        <v>85.35395093699999</v>
      </c>
      <c r="I1030" t="n">
        <v>83.015617522</v>
      </c>
      <c r="J1030" t="n">
        <v>77.487085486</v>
      </c>
      <c r="K1030" t="n">
        <v>82.70689224100001</v>
      </c>
      <c r="L1030" t="n">
        <v>112.1</v>
      </c>
      <c r="M1030" t="n">
        <v>98.091825681</v>
      </c>
      <c r="N1030" t="n">
        <v>127.062105885</v>
      </c>
      <c r="O1030" t="n">
        <v>67.30560880100001</v>
      </c>
      <c r="P1030" t="n">
        <v/>
      </c>
      <c r="Q1030" t="n">
        <v>107.817969662</v>
      </c>
      <c r="R1030" t="n">
        <v>110.589078424</v>
      </c>
      <c r="S1030" t="n">
        <v>97.30383650900001</v>
      </c>
      <c r="T1030" t="n">
        <v>103.466572338</v>
      </c>
      <c r="U1030" t="n">
        <v/>
      </c>
      <c r="V1030" t="n">
        <v>144.667388227</v>
      </c>
      <c r="W1030" t="n">
        <v>71.30594216199999</v>
      </c>
      <c r="X1030" t="n">
        <v>56.72229322</v>
      </c>
      <c r="Y1030" t="n">
        <v/>
      </c>
      <c r="Z1030" t="n">
        <v>57.110040205</v>
      </c>
      <c r="AA1030" t="n">
        <v>38.079809425</v>
      </c>
      <c r="AB1030" t="n">
        <v>70.25761124100001</v>
      </c>
      <c r="AC1030" t="n">
        <v>122.189817515</v>
      </c>
      <c r="AD1030" t="n">
        <v>108.144623741</v>
      </c>
      <c r="AE1030" t="n">
        <v>62.611</v>
      </c>
      <c r="AF1030" t="n">
        <v>112.290642446</v>
      </c>
      <c r="AG1030" t="n">
        <v>81.40000000000001</v>
      </c>
      <c r="AH1030" t="n">
        <v>94.47747708199999</v>
      </c>
      <c r="AI1030" t="n">
        <v>99.04711645899999</v>
      </c>
      <c r="AJ1030" t="n">
        <v>114.85647789</v>
      </c>
      <c r="AK1030" t="n">
        <v/>
      </c>
      <c r="AL1030" t="n">
        <v>91.47818100800001</v>
      </c>
      <c r="AM1030" t="n">
        <v>59.3</v>
      </c>
      <c r="AN1030" t="n">
        <v>123.276528464</v>
      </c>
      <c r="AO1030" t="n">
        <v>72.397356137</v>
      </c>
      <c r="AP1030" t="n">
        <v>53.604467039</v>
      </c>
      <c r="AQ1030" t="n">
        <v>87.744943906</v>
      </c>
      <c r="AR1030" t="n">
        <v>108.590950754</v>
      </c>
      <c r="AS1030" t="n">
        <v>52.395633697</v>
      </c>
      <c r="AT1030" t="n">
        <v>93.006469594</v>
      </c>
      <c r="AU1030" t="n">
        <v/>
      </c>
    </row>
    <row r="1031">
      <c r="A1031" s="105" t="n">
        <v>38261</v>
      </c>
      <c r="B1031" t="n">
        <v>83.27591047</v>
      </c>
      <c r="C1031" t="n">
        <v>84.39296725299999</v>
      </c>
      <c r="D1031" t="n">
        <v>96.506997095</v>
      </c>
      <c r="E1031" t="n">
        <v>98.55774246999999</v>
      </c>
      <c r="F1031" t="n">
        <v/>
      </c>
      <c r="G1031" t="n">
        <v/>
      </c>
      <c r="H1031" t="n">
        <v>85.21217751099999</v>
      </c>
      <c r="I1031" t="n">
        <v>83.268971389</v>
      </c>
      <c r="J1031" t="n">
        <v>78.286952175</v>
      </c>
      <c r="K1031" t="n">
        <v>83.70697558099999</v>
      </c>
      <c r="L1031" t="n">
        <v>110.3</v>
      </c>
      <c r="M1031" t="n">
        <v>98.591784018</v>
      </c>
      <c r="N1031" t="n">
        <v>125.95210496</v>
      </c>
      <c r="O1031" t="n">
        <v>67.405617135</v>
      </c>
      <c r="P1031" t="n">
        <v/>
      </c>
      <c r="Q1031" t="n">
        <v>108.11801967</v>
      </c>
      <c r="R1031" t="n">
        <v>111.429071424</v>
      </c>
      <c r="S1031" t="n">
        <v>97.59815810800001</v>
      </c>
      <c r="T1031" t="n">
        <v>104.315528829</v>
      </c>
      <c r="U1031" t="n">
        <v/>
      </c>
      <c r="V1031" t="n">
        <v>138.373157939</v>
      </c>
      <c r="W1031" t="n">
        <v>72.806067172</v>
      </c>
      <c r="X1031" t="n">
        <v>56.865122579</v>
      </c>
      <c r="Y1031" t="n">
        <v/>
      </c>
      <c r="Z1031" t="n">
        <v>57.585461976</v>
      </c>
      <c r="AA1031" t="n">
        <v>38.986103209</v>
      </c>
      <c r="AB1031" t="n">
        <v>73.817330211</v>
      </c>
      <c r="AC1031" t="n">
        <v>123.189734189</v>
      </c>
      <c r="AD1031" t="n">
        <v>106.079550524</v>
      </c>
      <c r="AE1031" t="n">
        <v>62.618</v>
      </c>
      <c r="AF1031" t="n">
        <v>110.790767436</v>
      </c>
      <c r="AG1031" t="n">
        <v>80.90000000000001</v>
      </c>
      <c r="AH1031" t="n">
        <v>95.153249965</v>
      </c>
      <c r="AI1031" t="n">
        <v>98.26024760999999</v>
      </c>
      <c r="AJ1031" t="n">
        <v>119.860356866</v>
      </c>
      <c r="AK1031" t="n">
        <v/>
      </c>
      <c r="AL1031" t="n">
        <v>91.70706009200001</v>
      </c>
      <c r="AM1031" t="n">
        <v>59.9</v>
      </c>
      <c r="AN1031" t="n">
        <v>125.754448634</v>
      </c>
      <c r="AO1031" t="n">
        <v>72.75899746899999</v>
      </c>
      <c r="AP1031" t="n">
        <v>54.304525377</v>
      </c>
      <c r="AQ1031" t="n">
        <v>87.37156116600001</v>
      </c>
      <c r="AR1031" t="n">
        <v>108.390967419</v>
      </c>
      <c r="AS1031" t="n">
        <v>50.595783685</v>
      </c>
      <c r="AT1031" t="n">
        <v>93.82631173</v>
      </c>
      <c r="AU1031" t="n">
        <v/>
      </c>
    </row>
    <row r="1032">
      <c r="A1032" s="105" t="n">
        <v>38292</v>
      </c>
      <c r="B1032" t="n">
        <v>83.86711876</v>
      </c>
      <c r="C1032" t="n">
        <v>83.593033914</v>
      </c>
      <c r="D1032" t="n">
        <v>96.43037959900001</v>
      </c>
      <c r="E1032" t="n">
        <v>98.568443694</v>
      </c>
      <c r="F1032" t="n">
        <v/>
      </c>
      <c r="G1032" t="n">
        <v/>
      </c>
      <c r="H1032" t="n">
        <v>84.37132917700001</v>
      </c>
      <c r="I1032" t="n">
        <v>83.860130416</v>
      </c>
      <c r="J1032" t="n">
        <v>78.386935511</v>
      </c>
      <c r="K1032" t="n">
        <v>82.306858905</v>
      </c>
      <c r="L1032" t="n">
        <v>112.8</v>
      </c>
      <c r="M1032" t="n">
        <v>97.39188401</v>
      </c>
      <c r="N1032" t="n">
        <v>126.870105725</v>
      </c>
      <c r="O1032" t="n">
        <v>67.605633803</v>
      </c>
      <c r="P1032" t="n">
        <v/>
      </c>
      <c r="Q1032" t="n">
        <v>106.517752959</v>
      </c>
      <c r="R1032" t="n">
        <v>109.579086841</v>
      </c>
      <c r="S1032" t="n">
        <v>97.539793331</v>
      </c>
      <c r="T1032" t="n">
        <v>104.846126636</v>
      </c>
      <c r="U1032" t="n">
        <v/>
      </c>
      <c r="V1032" t="n">
        <v>143.46848722</v>
      </c>
      <c r="W1032" t="n">
        <v>73.00608384</v>
      </c>
      <c r="X1032" t="n">
        <v>56.846079252</v>
      </c>
      <c r="Y1032" t="n">
        <v/>
      </c>
      <c r="Z1032" t="n">
        <v>56.931757041</v>
      </c>
      <c r="AA1032" t="n">
        <v>39.35254662</v>
      </c>
      <c r="AB1032" t="n">
        <v>71.100702576</v>
      </c>
      <c r="AC1032" t="n">
        <v>121.189900842</v>
      </c>
      <c r="AD1032" t="n">
        <v>107.383807293</v>
      </c>
      <c r="AE1032" t="n">
        <v>63.693</v>
      </c>
      <c r="AF1032" t="n">
        <v>111.990667444</v>
      </c>
      <c r="AG1032" t="n">
        <v>81.40000000000001</v>
      </c>
      <c r="AH1032" t="n">
        <v>95.27190322200001</v>
      </c>
      <c r="AI1032" t="n">
        <v>97.866813185</v>
      </c>
      <c r="AJ1032" t="n">
        <v>116.718386346</v>
      </c>
      <c r="AK1032" t="n">
        <v/>
      </c>
      <c r="AL1032" t="n">
        <v>91.741081059</v>
      </c>
      <c r="AM1032" t="n">
        <v>60.3</v>
      </c>
      <c r="AN1032" t="n">
        <v>127.860680779</v>
      </c>
      <c r="AO1032" t="n">
        <v>74.064649804</v>
      </c>
      <c r="AP1032" t="n">
        <v>52.204350363</v>
      </c>
      <c r="AQ1032" t="n">
        <v>87.091524111</v>
      </c>
      <c r="AR1032" t="n">
        <v>108.890925756</v>
      </c>
      <c r="AS1032" t="n">
        <v>50.895758687</v>
      </c>
      <c r="AT1032" t="n">
        <v>94.05090563900001</v>
      </c>
      <c r="AU1032" t="n">
        <v/>
      </c>
    </row>
    <row r="1033">
      <c r="A1033" s="105" t="n">
        <v>38322</v>
      </c>
      <c r="B1033" t="n">
        <v>81.92457724</v>
      </c>
      <c r="C1033" t="n">
        <v>83.793017249</v>
      </c>
      <c r="D1033" t="n">
        <v>97.056256131</v>
      </c>
      <c r="E1033" t="n">
        <v>98.622752408</v>
      </c>
      <c r="F1033" t="n">
        <v/>
      </c>
      <c r="G1033" t="n">
        <v/>
      </c>
      <c r="H1033" t="n">
        <v>84.268844656</v>
      </c>
      <c r="I1033" t="n">
        <v>81.91775076099999</v>
      </c>
      <c r="J1033" t="n">
        <v>77.58706882200001</v>
      </c>
      <c r="K1033" t="n">
        <v>81.90682556900001</v>
      </c>
      <c r="L1033" t="n">
        <v>111.3</v>
      </c>
      <c r="M1033" t="n">
        <v>97.491875677</v>
      </c>
      <c r="N1033" t="n">
        <v>124.278103565</v>
      </c>
      <c r="O1033" t="n">
        <v>68.10567547300001</v>
      </c>
      <c r="P1033" t="n">
        <v/>
      </c>
      <c r="Q1033" t="n">
        <v>111.618603101</v>
      </c>
      <c r="R1033" t="n">
        <v>109.809084924</v>
      </c>
      <c r="S1033" t="n">
        <v>97.474719025</v>
      </c>
      <c r="T1033" t="n">
        <v>104.209409268</v>
      </c>
      <c r="U1033" t="n">
        <v/>
      </c>
      <c r="V1033" t="n">
        <v>141.869952544</v>
      </c>
      <c r="W1033" t="n">
        <v>71.50595883</v>
      </c>
      <c r="X1033" t="n">
        <v>57.241947187</v>
      </c>
      <c r="Y1033" t="n">
        <v/>
      </c>
      <c r="Z1033" t="n">
        <v>58.952299567</v>
      </c>
      <c r="AA1033" t="n">
        <v>40.112081785</v>
      </c>
      <c r="AB1033" t="n">
        <v>69.601873536</v>
      </c>
      <c r="AC1033" t="n">
        <v>120.289975835</v>
      </c>
      <c r="AD1033" t="n">
        <v>105.97086246</v>
      </c>
      <c r="AE1033" t="n">
        <v>62.83</v>
      </c>
      <c r="AF1033" t="n">
        <v>110.090825765</v>
      </c>
      <c r="AG1033" t="n">
        <v>81.5</v>
      </c>
      <c r="AH1033" t="n">
        <v>94.803980767</v>
      </c>
      <c r="AI1033" t="n">
        <v>97.76845457899999</v>
      </c>
      <c r="AJ1033" t="n">
        <v>113.110938712</v>
      </c>
      <c r="AK1033" t="n">
        <v/>
      </c>
      <c r="AL1033" t="n">
        <v>91.51248071000001</v>
      </c>
      <c r="AM1033" t="n">
        <v>58</v>
      </c>
      <c r="AN1033" t="n">
        <v>126.373928677</v>
      </c>
      <c r="AO1033" t="n">
        <v>74.546062828</v>
      </c>
      <c r="AP1033" t="n">
        <v>59.604967081</v>
      </c>
      <c r="AQ1033" t="n">
        <v>86.344758631</v>
      </c>
      <c r="AR1033" t="n">
        <v>104.791267394</v>
      </c>
      <c r="AS1033" t="n">
        <v>51.795683693</v>
      </c>
      <c r="AT1033" t="n">
        <v>94.77972031</v>
      </c>
      <c r="AU1033" t="n">
        <v/>
      </c>
    </row>
    <row r="1034">
      <c r="A1034" s="105" t="n">
        <v>38353</v>
      </c>
      <c r="B1034" t="n">
        <v>80.91107732</v>
      </c>
      <c r="C1034" t="n">
        <v>85.392883926</v>
      </c>
      <c r="D1034" t="n">
        <v>97.60307098299999</v>
      </c>
      <c r="E1034" t="n">
        <v>99.89057998</v>
      </c>
      <c r="F1034" t="n">
        <v/>
      </c>
      <c r="G1034" t="n">
        <v/>
      </c>
      <c r="H1034" t="n">
        <v>84.748565945</v>
      </c>
      <c r="I1034" t="n">
        <v>80.904335292</v>
      </c>
      <c r="J1034" t="n">
        <v>77.287118814</v>
      </c>
      <c r="K1034" t="n">
        <v>84.407033919</v>
      </c>
      <c r="L1034" t="n">
        <v>113.7</v>
      </c>
      <c r="M1034" t="n">
        <v>98.291809016</v>
      </c>
      <c r="N1034" t="n">
        <v>124.747103956</v>
      </c>
      <c r="O1034" t="n">
        <v>65.90549212400001</v>
      </c>
      <c r="P1034" t="n">
        <v/>
      </c>
      <c r="Q1034" t="n">
        <v>105.817636273</v>
      </c>
      <c r="R1034" t="n">
        <v>111.599070008</v>
      </c>
      <c r="S1034" t="n">
        <v>98.613842851</v>
      </c>
      <c r="T1034" t="n">
        <v>104.209409268</v>
      </c>
      <c r="U1034" t="n">
        <v/>
      </c>
      <c r="V1034" t="n">
        <v>143.268670385</v>
      </c>
      <c r="W1034" t="n">
        <v>72.806067172</v>
      </c>
      <c r="X1034" t="n">
        <v>57.161533659</v>
      </c>
      <c r="Y1034" t="n">
        <v/>
      </c>
      <c r="Z1034" t="n">
        <v>57.526034255</v>
      </c>
      <c r="AA1034" t="n">
        <v>39.812064147</v>
      </c>
      <c r="AB1034" t="n">
        <v>73.255269321</v>
      </c>
      <c r="AC1034" t="n">
        <v>120.389967503</v>
      </c>
      <c r="AD1034" t="n">
        <v>108.470687933</v>
      </c>
      <c r="AE1034" t="n">
        <v>64.857</v>
      </c>
      <c r="AF1034" t="n">
        <v>112.490625781</v>
      </c>
      <c r="AG1034" t="n">
        <v>81.8</v>
      </c>
      <c r="AH1034" t="n">
        <v>95.985819929</v>
      </c>
      <c r="AI1034" t="n">
        <v>96.39196733599999</v>
      </c>
      <c r="AJ1034" t="n">
        <v>112.761830877</v>
      </c>
      <c r="AK1034" t="n">
        <v/>
      </c>
      <c r="AL1034" t="n">
        <v>92.81076846099999</v>
      </c>
      <c r="AM1034" t="n">
        <v>60.5</v>
      </c>
      <c r="AN1034" t="n">
        <v>125.690461479</v>
      </c>
      <c r="AO1034" t="n">
        <v>73.575564622</v>
      </c>
      <c r="AP1034" t="n">
        <v>52.304358697</v>
      </c>
      <c r="AQ1034" t="n">
        <v>88.007333944</v>
      </c>
      <c r="AR1034" t="n">
        <v>105.391217399</v>
      </c>
      <c r="AS1034" t="n">
        <v>60.194983751</v>
      </c>
      <c r="AT1034" t="n">
        <v>95.121222042</v>
      </c>
      <c r="AU1034" t="n">
        <v/>
      </c>
    </row>
    <row r="1035">
      <c r="A1035" s="105" t="n">
        <v>38384</v>
      </c>
      <c r="B1035" t="n">
        <v>81.75566058</v>
      </c>
      <c r="C1035" t="n">
        <v>82.99308391</v>
      </c>
      <c r="D1035" t="n">
        <v>96.278443768</v>
      </c>
      <c r="E1035" t="n">
        <v>98.882257102</v>
      </c>
      <c r="F1035" t="n">
        <v/>
      </c>
      <c r="G1035" t="n">
        <v/>
      </c>
      <c r="H1035" t="n">
        <v>84.885882235</v>
      </c>
      <c r="I1035" t="n">
        <v>81.748848176</v>
      </c>
      <c r="J1035" t="n">
        <v>77.287118814</v>
      </c>
      <c r="K1035" t="n">
        <v>83.106925577</v>
      </c>
      <c r="L1035" t="n">
        <v>113</v>
      </c>
      <c r="M1035" t="n">
        <v>98.091825681</v>
      </c>
      <c r="N1035" t="n">
        <v>125.310104425</v>
      </c>
      <c r="O1035" t="n">
        <v>70.605883824</v>
      </c>
      <c r="P1035" t="n">
        <v/>
      </c>
      <c r="Q1035" t="n">
        <v>104.817469578</v>
      </c>
      <c r="R1035" t="n">
        <v>110.329080591</v>
      </c>
      <c r="S1035" t="n">
        <v>98.62917433</v>
      </c>
      <c r="T1035" t="n">
        <v>104.103289706</v>
      </c>
      <c r="U1035" t="n">
        <v/>
      </c>
      <c r="V1035" t="n">
        <v>142.869036716</v>
      </c>
      <c r="W1035" t="n">
        <v>72.0060005</v>
      </c>
      <c r="X1035" t="n">
        <v>57.882138568</v>
      </c>
      <c r="Y1035" t="n">
        <v/>
      </c>
      <c r="Z1035" t="n">
        <v>59.308865895</v>
      </c>
      <c r="AA1035" t="n">
        <v>39.06887494</v>
      </c>
      <c r="AB1035" t="n">
        <v>73.067915691</v>
      </c>
      <c r="AC1035" t="n">
        <v>120.88992584</v>
      </c>
      <c r="AD1035" t="n">
        <v>108.470687933</v>
      </c>
      <c r="AE1035" t="n">
        <v>63.39</v>
      </c>
      <c r="AF1035" t="n">
        <v>106.591117407</v>
      </c>
      <c r="AG1035" t="n">
        <v>82.90000000000001</v>
      </c>
      <c r="AH1035" t="n">
        <v>95.721354959</v>
      </c>
      <c r="AI1035" t="n">
        <v>98.091825681</v>
      </c>
      <c r="AJ1035" t="n">
        <v>115.554693561</v>
      </c>
      <c r="AK1035" t="n">
        <v/>
      </c>
      <c r="AL1035" t="n">
        <v>92.704542816</v>
      </c>
      <c r="AM1035" t="n">
        <v>60.4</v>
      </c>
      <c r="AN1035" t="n">
        <v>128.462339881</v>
      </c>
      <c r="AO1035" t="n">
        <v>77.68270467000001</v>
      </c>
      <c r="AP1035" t="n">
        <v>51.804317026</v>
      </c>
      <c r="AQ1035" t="n">
        <v>86.307192266</v>
      </c>
      <c r="AR1035" t="n">
        <v>110.190817432</v>
      </c>
      <c r="AS1035" t="n">
        <v>57.695192067</v>
      </c>
      <c r="AT1035" t="n">
        <v>95.81552957</v>
      </c>
      <c r="AU1035" t="n">
        <v/>
      </c>
    </row>
    <row r="1036">
      <c r="A1036" s="105" t="n">
        <v>38412</v>
      </c>
      <c r="B1036" t="n">
        <v>81.75566058</v>
      </c>
      <c r="C1036" t="n">
        <v>83.29305891200001</v>
      </c>
      <c r="D1036" t="n">
        <v>97.124737353</v>
      </c>
      <c r="E1036" t="n">
        <v>97.85333436800001</v>
      </c>
      <c r="F1036" t="n">
        <v/>
      </c>
      <c r="G1036" t="n">
        <v/>
      </c>
      <c r="H1036" t="n">
        <v>85.038190916</v>
      </c>
      <c r="I1036" t="n">
        <v>81.748848176</v>
      </c>
      <c r="J1036" t="n">
        <v>77.38710215</v>
      </c>
      <c r="K1036" t="n">
        <v>84.207017251</v>
      </c>
      <c r="L1036" t="n">
        <v>117</v>
      </c>
      <c r="M1036" t="n">
        <v>97.99183401400001</v>
      </c>
      <c r="N1036" t="n">
        <v>126.209105174</v>
      </c>
      <c r="O1036" t="n">
        <v>72.706058838</v>
      </c>
      <c r="P1036" t="n">
        <v/>
      </c>
      <c r="Q1036" t="n">
        <v>105.717619603</v>
      </c>
      <c r="R1036" t="n">
        <v>107.939100507</v>
      </c>
      <c r="S1036" t="n">
        <v>98.471581008</v>
      </c>
      <c r="T1036" t="n">
        <v>101.768659356</v>
      </c>
      <c r="U1036" t="n">
        <v/>
      </c>
      <c r="V1036" t="n">
        <v>138.572974773</v>
      </c>
      <c r="W1036" t="n">
        <v>73.706142179</v>
      </c>
      <c r="X1036" t="n">
        <v>58.861606001</v>
      </c>
      <c r="Y1036" t="n">
        <v/>
      </c>
      <c r="Z1036" t="n">
        <v>56.991184763</v>
      </c>
      <c r="AA1036" t="n">
        <v>39.536722368</v>
      </c>
      <c r="AB1036" t="n">
        <v>72.224824356</v>
      </c>
      <c r="AC1036" t="n">
        <v>120.989917507</v>
      </c>
      <c r="AD1036" t="n">
        <v>108.796752125</v>
      </c>
      <c r="AE1036" t="n">
        <v>65.396</v>
      </c>
      <c r="AF1036" t="n">
        <v>108.790934089</v>
      </c>
      <c r="AG1036" t="n">
        <v>83.2</v>
      </c>
      <c r="AH1036" t="n">
        <v>95.843035836</v>
      </c>
      <c r="AI1036" t="n">
        <v>97.59186734399999</v>
      </c>
      <c r="AJ1036" t="n">
        <v>114.04189294</v>
      </c>
      <c r="AK1036" t="n">
        <v/>
      </c>
      <c r="AL1036" t="n">
        <v>92.67043976799999</v>
      </c>
      <c r="AM1036" t="n">
        <v>58.8</v>
      </c>
      <c r="AN1036" t="n">
        <v>125.033808452</v>
      </c>
      <c r="AO1036" t="n">
        <v>74.93361016199999</v>
      </c>
      <c r="AP1036" t="n">
        <v>51.304275356</v>
      </c>
      <c r="AQ1036" t="n">
        <v>88.207350613</v>
      </c>
      <c r="AR1036" t="n">
        <v>109.89084243</v>
      </c>
      <c r="AS1036" t="n">
        <v>57.095242063</v>
      </c>
      <c r="AT1036" t="n">
        <v>95.678690897</v>
      </c>
      <c r="AU1036" t="n">
        <v/>
      </c>
    </row>
    <row r="1037">
      <c r="A1037" s="105" t="n">
        <v>38443</v>
      </c>
      <c r="B1037" t="n">
        <v>83.44482712</v>
      </c>
      <c r="C1037" t="n">
        <v>83.893008916</v>
      </c>
      <c r="D1037" t="n">
        <v>97.169007931</v>
      </c>
      <c r="E1037" t="n">
        <v>99.092268633</v>
      </c>
      <c r="F1037" t="n">
        <v/>
      </c>
      <c r="G1037" t="n">
        <v/>
      </c>
      <c r="H1037" t="n">
        <v>86.700767771</v>
      </c>
      <c r="I1037" t="n">
        <v>83.437873964</v>
      </c>
      <c r="J1037" t="n">
        <v>78.986835527</v>
      </c>
      <c r="K1037" t="n">
        <v>84.807067256</v>
      </c>
      <c r="L1037" t="n">
        <v>119.8</v>
      </c>
      <c r="M1037" t="n">
        <v>99.391717357</v>
      </c>
      <c r="N1037" t="n">
        <v>127.434106195</v>
      </c>
      <c r="O1037" t="n">
        <v>70.705892158</v>
      </c>
      <c r="P1037" t="n">
        <v/>
      </c>
      <c r="Q1037" t="n">
        <v>107.517919653</v>
      </c>
      <c r="R1037" t="n">
        <v>110.719077341</v>
      </c>
      <c r="S1037" t="n">
        <v>99.292142985</v>
      </c>
      <c r="T1037" t="n">
        <v>105.16448532</v>
      </c>
      <c r="U1037" t="n">
        <v/>
      </c>
      <c r="V1037" t="n">
        <v>138.572974773</v>
      </c>
      <c r="W1037" t="n">
        <v>76.506375531</v>
      </c>
      <c r="X1037" t="n">
        <v>56.361872104</v>
      </c>
      <c r="Y1037" t="n">
        <v/>
      </c>
      <c r="Z1037" t="n">
        <v>59.54657678</v>
      </c>
      <c r="AA1037" t="n">
        <v>39.731772285</v>
      </c>
      <c r="AB1037" t="n">
        <v>74.004683841</v>
      </c>
      <c r="AC1037" t="n">
        <v>123.589700858</v>
      </c>
      <c r="AD1037" t="n">
        <v>109.231504382</v>
      </c>
      <c r="AE1037" t="n">
        <v>64.60899999999999</v>
      </c>
      <c r="AF1037" t="n">
        <v>110.390800767</v>
      </c>
      <c r="AG1037" t="n">
        <v>85.40000000000001</v>
      </c>
      <c r="AH1037" t="n">
        <v>96.139747339</v>
      </c>
      <c r="AI1037" t="n">
        <v>99.891675694</v>
      </c>
      <c r="AJ1037" t="n">
        <v>122.536850272</v>
      </c>
      <c r="AK1037" t="n">
        <v/>
      </c>
      <c r="AL1037" t="n">
        <v>93.520358999</v>
      </c>
      <c r="AM1037" t="n">
        <v>60.9</v>
      </c>
      <c r="AN1037" t="n">
        <v>127.660190165</v>
      </c>
      <c r="AO1037" t="n">
        <v>75.891386145</v>
      </c>
      <c r="AP1037" t="n">
        <v>53.104425369</v>
      </c>
      <c r="AQ1037" t="n">
        <v>88.707392283</v>
      </c>
      <c r="AR1037" t="n">
        <v>106.891092409</v>
      </c>
      <c r="AS1037" t="n">
        <v>57.695192067</v>
      </c>
      <c r="AT1037" t="n">
        <v>95.867290285</v>
      </c>
      <c r="AU1037" t="n">
        <v/>
      </c>
    </row>
    <row r="1038">
      <c r="A1038" s="105" t="n">
        <v>38473</v>
      </c>
      <c r="B1038" t="n">
        <v>83.78266043000001</v>
      </c>
      <c r="C1038" t="n">
        <v>81.293225565</v>
      </c>
      <c r="D1038" t="n">
        <v>100.330539335</v>
      </c>
      <c r="E1038" t="n">
        <v>99.93151216299999</v>
      </c>
      <c r="F1038" t="n">
        <v/>
      </c>
      <c r="G1038" t="n">
        <v/>
      </c>
      <c r="H1038" t="n">
        <v>87.13349534300001</v>
      </c>
      <c r="I1038" t="n">
        <v>83.775679123</v>
      </c>
      <c r="J1038" t="n">
        <v>77.987002166</v>
      </c>
      <c r="K1038" t="n">
        <v>83.70697558099999</v>
      </c>
      <c r="L1038" t="n">
        <v>117.6</v>
      </c>
      <c r="M1038" t="n">
        <v>98.091825681</v>
      </c>
      <c r="N1038" t="n">
        <v>126.414105345</v>
      </c>
      <c r="O1038" t="n">
        <v>70.305858822</v>
      </c>
      <c r="P1038" t="n">
        <v/>
      </c>
      <c r="Q1038" t="n">
        <v>100.316719453</v>
      </c>
      <c r="R1038" t="n">
        <v>109.519087341</v>
      </c>
      <c r="S1038" t="n">
        <v>98.807160153</v>
      </c>
      <c r="T1038" t="n">
        <v>104.527767952</v>
      </c>
      <c r="U1038" t="n">
        <v/>
      </c>
      <c r="V1038" t="n">
        <v>141.670135709</v>
      </c>
      <c r="W1038" t="n">
        <v>77.20643386899999</v>
      </c>
      <c r="X1038" t="n">
        <v>56.697106925</v>
      </c>
      <c r="Y1038" t="n">
        <v/>
      </c>
      <c r="Z1038" t="n">
        <v>59.368293616</v>
      </c>
      <c r="AA1038" t="n">
        <v>40.677793814</v>
      </c>
      <c r="AB1038" t="n">
        <v>73.536299766</v>
      </c>
      <c r="AC1038" t="n">
        <v>120.689942505</v>
      </c>
      <c r="AD1038" t="n">
        <v>108.361999869</v>
      </c>
      <c r="AE1038" t="n">
        <v>64.458</v>
      </c>
      <c r="AF1038" t="n">
        <v>111.690692442</v>
      </c>
      <c r="AG1038" t="n">
        <v>86.3</v>
      </c>
      <c r="AH1038" t="n">
        <v>97.79536688899999</v>
      </c>
      <c r="AI1038" t="n">
        <v>98.491792351</v>
      </c>
      <c r="AJ1038" t="n">
        <v>119.627618309</v>
      </c>
      <c r="AK1038" t="n">
        <v/>
      </c>
      <c r="AL1038" t="n">
        <v>93.120548798</v>
      </c>
      <c r="AM1038" t="n">
        <v>60</v>
      </c>
      <c r="AN1038" t="n">
        <v>121.361733152</v>
      </c>
      <c r="AO1038" t="n">
        <v>74.190716033</v>
      </c>
      <c r="AP1038" t="n">
        <v>52.704392033</v>
      </c>
      <c r="AQ1038" t="n">
        <v>90.407533961</v>
      </c>
      <c r="AR1038" t="n">
        <v>107.391050746</v>
      </c>
      <c r="AS1038" t="n">
        <v>58.195150404</v>
      </c>
      <c r="AT1038" t="n">
        <v>95.977951125</v>
      </c>
      <c r="AU1038" t="n">
        <v/>
      </c>
    </row>
    <row r="1039">
      <c r="A1039" s="105" t="n">
        <v>38504</v>
      </c>
      <c r="B1039" t="n">
        <v>85.21845199000001</v>
      </c>
      <c r="C1039" t="n">
        <v>83.09307557699999</v>
      </c>
      <c r="D1039" t="n">
        <v>98.518693548</v>
      </c>
      <c r="E1039" t="n">
        <v>99.271246612</v>
      </c>
      <c r="F1039" t="n">
        <v/>
      </c>
      <c r="G1039" t="n">
        <v/>
      </c>
      <c r="H1039" t="n">
        <v>86.396972885</v>
      </c>
      <c r="I1039" t="n">
        <v>85.211351044</v>
      </c>
      <c r="J1039" t="n">
        <v>79.286785536</v>
      </c>
      <c r="K1039" t="n">
        <v>85.507125594</v>
      </c>
      <c r="L1039" t="n">
        <v>116.8</v>
      </c>
      <c r="M1039" t="n">
        <v>98.99175068700001</v>
      </c>
      <c r="N1039" t="n">
        <v>127.035105863</v>
      </c>
      <c r="O1039" t="n">
        <v>72.606050504</v>
      </c>
      <c r="P1039" t="n">
        <v/>
      </c>
      <c r="Q1039" t="n">
        <v>97.716286048</v>
      </c>
      <c r="R1039" t="n">
        <v>109.449087924</v>
      </c>
      <c r="S1039" t="n">
        <v>99.37360217299999</v>
      </c>
      <c r="T1039" t="n">
        <v>105.90732225</v>
      </c>
      <c r="U1039" t="n">
        <v/>
      </c>
      <c r="V1039" t="n">
        <v>137.973524269</v>
      </c>
      <c r="W1039" t="n">
        <v>75.706308859</v>
      </c>
      <c r="X1039" t="n">
        <v>57.686861607</v>
      </c>
      <c r="Y1039" t="n">
        <v/>
      </c>
      <c r="Z1039" t="n">
        <v>59.96257083</v>
      </c>
      <c r="AA1039" t="n">
        <v>41.484284109</v>
      </c>
      <c r="AB1039" t="n">
        <v>73.067915691</v>
      </c>
      <c r="AC1039" t="n">
        <v>120.689942505</v>
      </c>
      <c r="AD1039" t="n">
        <v>108.796752125</v>
      </c>
      <c r="AE1039" t="n">
        <v>65.379</v>
      </c>
      <c r="AF1039" t="n">
        <v>113.29055912</v>
      </c>
      <c r="AG1039" t="n">
        <v>87.59999999999999</v>
      </c>
      <c r="AH1039" t="n">
        <v>95.97570527000001</v>
      </c>
      <c r="AI1039" t="n">
        <v>100.691609033</v>
      </c>
      <c r="AJ1039" t="n">
        <v>113.925523662</v>
      </c>
      <c r="AK1039" t="n">
        <v/>
      </c>
      <c r="AL1039" t="n">
        <v>93.55395726099999</v>
      </c>
      <c r="AM1039" t="n">
        <v>61.4</v>
      </c>
      <c r="AN1039" t="n">
        <v>126.250157415</v>
      </c>
      <c r="AO1039" t="n">
        <v>76.749778166</v>
      </c>
      <c r="AP1039" t="n">
        <v>52.804400367</v>
      </c>
      <c r="AQ1039" t="n">
        <v>91.407617301</v>
      </c>
      <c r="AR1039" t="n">
        <v>111.190734105</v>
      </c>
      <c r="AS1039" t="n">
        <v>57.995167069</v>
      </c>
      <c r="AT1039" t="n">
        <v>96.37210599799999</v>
      </c>
      <c r="AU1039" t="n">
        <v/>
      </c>
    </row>
    <row r="1040">
      <c r="A1040" s="105" t="n">
        <v>38534</v>
      </c>
      <c r="B1040" t="n">
        <v>85.04953533</v>
      </c>
      <c r="C1040" t="n">
        <v>82.193150571</v>
      </c>
      <c r="D1040" t="n">
        <v>97.90656830899999</v>
      </c>
      <c r="E1040" t="n">
        <v>99.55857449</v>
      </c>
      <c r="F1040" t="n">
        <v/>
      </c>
      <c r="G1040" t="n">
        <v/>
      </c>
      <c r="H1040" t="n">
        <v>87.788777244</v>
      </c>
      <c r="I1040" t="n">
        <v>85.042448459</v>
      </c>
      <c r="J1040" t="n">
        <v>79.386768872</v>
      </c>
      <c r="K1040" t="n">
        <v>86.807233936</v>
      </c>
      <c r="L1040" t="n">
        <v>110.5</v>
      </c>
      <c r="M1040" t="n">
        <v>99.491709024</v>
      </c>
      <c r="N1040" t="n">
        <v>127.184105987</v>
      </c>
      <c r="O1040" t="n">
        <v>73.306108842</v>
      </c>
      <c r="P1040" t="n">
        <v/>
      </c>
      <c r="Q1040" t="n">
        <v>105.517586264</v>
      </c>
      <c r="R1040" t="n">
        <v>109.109090758</v>
      </c>
      <c r="S1040" t="n">
        <v>99.373779314</v>
      </c>
      <c r="T1040" t="n">
        <v>105.16448532</v>
      </c>
      <c r="U1040" t="n">
        <v/>
      </c>
      <c r="V1040" t="n">
        <v>138.67288319</v>
      </c>
      <c r="W1040" t="n">
        <v>76.20635052900001</v>
      </c>
      <c r="X1040" t="n">
        <v>56.588773816</v>
      </c>
      <c r="Y1040" t="n">
        <v/>
      </c>
      <c r="Z1040" t="n">
        <v>57.823172861</v>
      </c>
      <c r="AA1040" t="n">
        <v>41.973533541</v>
      </c>
      <c r="AB1040" t="n">
        <v>73.16159250600001</v>
      </c>
      <c r="AC1040" t="n">
        <v>122.38980085</v>
      </c>
      <c r="AD1040" t="n">
        <v>108.144623741</v>
      </c>
      <c r="AE1040" t="n">
        <v>65.611</v>
      </c>
      <c r="AF1040" t="n">
        <v>122.989750854</v>
      </c>
      <c r="AG1040" t="n">
        <v>88.3</v>
      </c>
      <c r="AH1040" t="n">
        <v>94.361916554</v>
      </c>
      <c r="AI1040" t="n">
        <v>98.99175068700001</v>
      </c>
      <c r="AJ1040" t="n">
        <v>113.925523662</v>
      </c>
      <c r="AK1040" t="n">
        <v/>
      </c>
      <c r="AL1040" t="n">
        <v>93.540701988</v>
      </c>
      <c r="AM1040" t="n">
        <v>61.7</v>
      </c>
      <c r="AN1040" t="n">
        <v>123.124942959</v>
      </c>
      <c r="AO1040" t="n">
        <v>76.547145808</v>
      </c>
      <c r="AP1040" t="n">
        <v>54.104508709</v>
      </c>
      <c r="AQ1040" t="n">
        <v>94.30785898800001</v>
      </c>
      <c r="AR1040" t="n">
        <v>111.890675777</v>
      </c>
      <c r="AS1040" t="n">
        <v>59.295058745</v>
      </c>
      <c r="AT1040" t="n">
        <v>96.082662458</v>
      </c>
      <c r="AU1040" t="n">
        <v/>
      </c>
    </row>
    <row r="1041">
      <c r="A1041" s="105" t="n">
        <v>38565</v>
      </c>
      <c r="B1041" t="n">
        <v>84.45832704999999</v>
      </c>
      <c r="C1041" t="n">
        <v>81.69319223399999</v>
      </c>
      <c r="D1041" t="n">
        <v>97.941381432</v>
      </c>
      <c r="E1041" t="n">
        <v>100.417347755</v>
      </c>
      <c r="F1041" t="n">
        <v/>
      </c>
      <c r="G1041" t="n">
        <v/>
      </c>
      <c r="H1041" t="n">
        <v>88.625470945</v>
      </c>
      <c r="I1041" t="n">
        <v>84.45128944299999</v>
      </c>
      <c r="J1041" t="n">
        <v>80.186635561</v>
      </c>
      <c r="K1041" t="n">
        <v>84.30702558500001</v>
      </c>
      <c r="L1041" t="n">
        <v>116.6</v>
      </c>
      <c r="M1041" t="n">
        <v>98.291809016</v>
      </c>
      <c r="N1041" t="n">
        <v>128.120106767</v>
      </c>
      <c r="O1041" t="n">
        <v>71.50595883</v>
      </c>
      <c r="P1041" t="n">
        <v/>
      </c>
      <c r="Q1041" t="n">
        <v>106.31771962</v>
      </c>
      <c r="R1041" t="n">
        <v>108.479096008</v>
      </c>
      <c r="S1041" t="n">
        <v>99.05616226799999</v>
      </c>
      <c r="T1041" t="n">
        <v>104.315528829</v>
      </c>
      <c r="U1041" t="n">
        <v/>
      </c>
      <c r="V1041" t="n">
        <v>140.371326284</v>
      </c>
      <c r="W1041" t="n">
        <v>75.90632552700001</v>
      </c>
      <c r="X1041" t="n">
        <v>58.069174923</v>
      </c>
      <c r="Y1041" t="n">
        <v/>
      </c>
      <c r="Z1041" t="n">
        <v>59.843715387</v>
      </c>
      <c r="AA1041" t="n">
        <v>43.065727199</v>
      </c>
      <c r="AB1041" t="n">
        <v>73.442622951</v>
      </c>
      <c r="AC1041" t="n">
        <v>121.489875844</v>
      </c>
      <c r="AD1041" t="n">
        <v>108.144623741</v>
      </c>
      <c r="AE1041" t="n">
        <v>65.908</v>
      </c>
      <c r="AF1041" t="n">
        <v>117.190234147</v>
      </c>
      <c r="AG1041" t="n">
        <v>87.2</v>
      </c>
      <c r="AH1041" t="n">
        <v>97.052197795</v>
      </c>
      <c r="AI1041" t="n">
        <v>97.39188401</v>
      </c>
      <c r="AJ1041" t="n">
        <v>117.765709853</v>
      </c>
      <c r="AK1041" t="n">
        <v/>
      </c>
      <c r="AL1041" t="n">
        <v>93.53520605999999</v>
      </c>
      <c r="AM1041" t="n">
        <v>62.3</v>
      </c>
      <c r="AN1041" t="n">
        <v>116.438757777</v>
      </c>
      <c r="AO1041" t="n">
        <v>76.56031202200001</v>
      </c>
      <c r="AP1041" t="n">
        <v>52.804400367</v>
      </c>
      <c r="AQ1041" t="n">
        <v>88.007333944</v>
      </c>
      <c r="AR1041" t="n">
        <v>107.191067411</v>
      </c>
      <c r="AS1041" t="n">
        <v>60.294975419</v>
      </c>
      <c r="AT1041" t="n">
        <v>96.404134181</v>
      </c>
      <c r="AU1041" t="n">
        <v/>
      </c>
    </row>
    <row r="1042">
      <c r="A1042" s="105" t="n">
        <v>38596</v>
      </c>
      <c r="B1042" t="n">
        <v>85.5562853</v>
      </c>
      <c r="C1042" t="n">
        <v>83.893008916</v>
      </c>
      <c r="D1042" t="n">
        <v>97.40087522</v>
      </c>
      <c r="E1042" t="n">
        <v>100.59418549</v>
      </c>
      <c r="F1042" t="n">
        <v/>
      </c>
      <c r="G1042" t="n">
        <v/>
      </c>
      <c r="H1042" t="n">
        <v>88.99522026299999</v>
      </c>
      <c r="I1042" t="n">
        <v>85.549156204</v>
      </c>
      <c r="J1042" t="n">
        <v>80.386602233</v>
      </c>
      <c r="K1042" t="n">
        <v>86.70722560199999</v>
      </c>
      <c r="L1042" t="n">
        <v>119.5</v>
      </c>
      <c r="M1042" t="n">
        <v>99.691692359</v>
      </c>
      <c r="N1042" t="n">
        <v>127.62010635</v>
      </c>
      <c r="O1042" t="n">
        <v>76.606383865</v>
      </c>
      <c r="P1042" t="n">
        <v/>
      </c>
      <c r="Q1042" t="n">
        <v>107.017836306</v>
      </c>
      <c r="R1042" t="n">
        <v>111.239073008</v>
      </c>
      <c r="S1042" t="n">
        <v>98.94295225499999</v>
      </c>
      <c r="T1042" t="n">
        <v>104.633887513</v>
      </c>
      <c r="U1042" t="n">
        <v/>
      </c>
      <c r="V1042" t="n">
        <v>142.968945134</v>
      </c>
      <c r="W1042" t="n">
        <v>77.406450538</v>
      </c>
      <c r="X1042" t="n">
        <v>57.778931687</v>
      </c>
      <c r="Y1042" t="n">
        <v/>
      </c>
      <c r="Z1042" t="n">
        <v>59.071155009</v>
      </c>
      <c r="AA1042" t="n">
        <v>44.07485686</v>
      </c>
      <c r="AB1042" t="n">
        <v>73.91100702599999</v>
      </c>
      <c r="AC1042" t="n">
        <v>122.089825848</v>
      </c>
      <c r="AD1042" t="n">
        <v>109.014128254</v>
      </c>
      <c r="AE1042" t="n">
        <v>65.7</v>
      </c>
      <c r="AF1042" t="n">
        <v>118.99008416</v>
      </c>
      <c r="AG1042" t="n">
        <v>88.5</v>
      </c>
      <c r="AH1042" t="n">
        <v>97.035534001</v>
      </c>
      <c r="AI1042" t="n">
        <v>97.39188401</v>
      </c>
      <c r="AJ1042" t="n">
        <v>120.209464701</v>
      </c>
      <c r="AK1042" t="n">
        <v/>
      </c>
      <c r="AL1042" t="n">
        <v>93.64351558200001</v>
      </c>
      <c r="AM1042" t="n">
        <v>62.9</v>
      </c>
      <c r="AN1042" t="n">
        <v>122.77915454</v>
      </c>
      <c r="AO1042" t="n">
        <v>77.27854292400001</v>
      </c>
      <c r="AP1042" t="n">
        <v>53.004417035</v>
      </c>
      <c r="AQ1042" t="n">
        <v>91.30760896699999</v>
      </c>
      <c r="AR1042" t="n">
        <v>110.990750771</v>
      </c>
      <c r="AS1042" t="n">
        <v>60.99491709</v>
      </c>
      <c r="AT1042" t="n">
        <v>94.543921496</v>
      </c>
      <c r="AU1042" t="n">
        <v/>
      </c>
    </row>
    <row r="1043">
      <c r="A1043" s="105" t="n">
        <v>38626</v>
      </c>
      <c r="B1043" t="n">
        <v>86.99207686</v>
      </c>
      <c r="C1043" t="n">
        <v>82.793100575</v>
      </c>
      <c r="D1043" t="n">
        <v>96.81134217899999</v>
      </c>
      <c r="E1043" t="n">
        <v>100.67738751</v>
      </c>
      <c r="F1043" t="n">
        <v/>
      </c>
      <c r="G1043" t="n">
        <v/>
      </c>
      <c r="H1043" t="n">
        <v>88.515304564</v>
      </c>
      <c r="I1043" t="n">
        <v>86.984828124</v>
      </c>
      <c r="J1043" t="n">
        <v>81.186468922</v>
      </c>
      <c r="K1043" t="n">
        <v>88.40736728100001</v>
      </c>
      <c r="L1043" t="n">
        <v>113.8</v>
      </c>
      <c r="M1043" t="n">
        <v>99.891675694</v>
      </c>
      <c r="N1043" t="n">
        <v>126.997105831</v>
      </c>
      <c r="O1043" t="n">
        <v>75.006250521</v>
      </c>
      <c r="P1043" t="n">
        <v/>
      </c>
      <c r="Q1043" t="n">
        <v>110.718453076</v>
      </c>
      <c r="R1043" t="n">
        <v>107.969100257</v>
      </c>
      <c r="S1043" t="n">
        <v>99.333433398</v>
      </c>
      <c r="T1043" t="n">
        <v>103.891050584</v>
      </c>
      <c r="U1043" t="n">
        <v/>
      </c>
      <c r="V1043" t="n">
        <v>141.370410457</v>
      </c>
      <c r="W1043" t="n">
        <v>78.90657554800001</v>
      </c>
      <c r="X1043" t="n">
        <v>59.006667647</v>
      </c>
      <c r="Y1043" t="n">
        <v/>
      </c>
      <c r="Z1043" t="n">
        <v>60.081426272</v>
      </c>
      <c r="AA1043" t="n">
        <v>45.345834454</v>
      </c>
      <c r="AB1043" t="n">
        <v>74.004683841</v>
      </c>
      <c r="AC1043" t="n">
        <v>122.189817515</v>
      </c>
      <c r="AD1043" t="n">
        <v>108.035935677</v>
      </c>
      <c r="AE1043" t="n">
        <v>67.553</v>
      </c>
      <c r="AF1043" t="n">
        <v>116.69027581</v>
      </c>
      <c r="AG1043" t="n">
        <v>89.7</v>
      </c>
      <c r="AH1043" t="n">
        <v>96.90155805000001</v>
      </c>
      <c r="AI1043" t="n">
        <v>95.49204233</v>
      </c>
      <c r="AJ1043" t="n">
        <v>116.136539953</v>
      </c>
      <c r="AK1043" t="n">
        <v/>
      </c>
      <c r="AL1043" t="n">
        <v>94.043572713</v>
      </c>
      <c r="AM1043" t="n">
        <v>64.59999999999999</v>
      </c>
      <c r="AN1043" t="n">
        <v>121.461056925</v>
      </c>
      <c r="AO1043" t="n">
        <v>77.13113719099999</v>
      </c>
      <c r="AP1043" t="n">
        <v>54.204517043</v>
      </c>
      <c r="AQ1043" t="n">
        <v>93.00775064600001</v>
      </c>
      <c r="AR1043" t="n">
        <v>111.890675777</v>
      </c>
      <c r="AS1043" t="n">
        <v>61.994833764</v>
      </c>
      <c r="AT1043" t="n">
        <v>95.686028623</v>
      </c>
      <c r="AU1043" t="n">
        <v/>
      </c>
    </row>
    <row r="1044">
      <c r="A1044" s="105" t="n">
        <v>38657</v>
      </c>
      <c r="B1044" t="n">
        <v>87.92111846</v>
      </c>
      <c r="C1044" t="n">
        <v>87.792683943</v>
      </c>
      <c r="D1044" t="n">
        <v>97.797295619</v>
      </c>
      <c r="E1044" t="n">
        <v>101.447875673</v>
      </c>
      <c r="F1044" t="n">
        <v/>
      </c>
      <c r="G1044" t="n">
        <v/>
      </c>
      <c r="H1044" t="n">
        <v>89.200021729</v>
      </c>
      <c r="I1044" t="n">
        <v>87.91379231099999</v>
      </c>
      <c r="J1044" t="n">
        <v>82.38626895500001</v>
      </c>
      <c r="K1044" t="n">
        <v>87.40728394</v>
      </c>
      <c r="L1044" t="n">
        <v>112.9</v>
      </c>
      <c r="M1044" t="n">
        <v>101.591534039</v>
      </c>
      <c r="N1044" t="n">
        <v>128.620107183</v>
      </c>
      <c r="O1044" t="n">
        <v>76.006333861</v>
      </c>
      <c r="P1044" t="n">
        <v/>
      </c>
      <c r="Q1044" t="n">
        <v>108.218036339</v>
      </c>
      <c r="R1044" t="n">
        <v>112.309064091</v>
      </c>
      <c r="S1044" t="n">
        <v>100.402665411</v>
      </c>
      <c r="T1044" t="n">
        <v>104.421648391</v>
      </c>
      <c r="U1044" t="n">
        <v/>
      </c>
      <c r="V1044" t="n">
        <v>141.670135709</v>
      </c>
      <c r="W1044" t="n">
        <v>78.70655888</v>
      </c>
      <c r="X1044" t="n">
        <v>58.17199437</v>
      </c>
      <c r="Y1044" t="n">
        <v/>
      </c>
      <c r="Z1044" t="n">
        <v>68.28245181699999</v>
      </c>
      <c r="AA1044" t="n">
        <v>48.716992542</v>
      </c>
      <c r="AB1044" t="n">
        <v>75.690866511</v>
      </c>
      <c r="AC1044" t="n">
        <v>123.489709191</v>
      </c>
      <c r="AD1044" t="n">
        <v>110.209696958</v>
      </c>
      <c r="AE1044" t="n">
        <v>70.325</v>
      </c>
      <c r="AF1044" t="n">
        <v>115.390384135</v>
      </c>
      <c r="AG1044" t="n">
        <v>90.3</v>
      </c>
      <c r="AH1044" t="n">
        <v>98.745943283</v>
      </c>
      <c r="AI1044" t="n">
        <v>99.891675694</v>
      </c>
      <c r="AJ1044" t="n">
        <v>117.416602017</v>
      </c>
      <c r="AK1044" t="n">
        <v/>
      </c>
      <c r="AL1044" t="n">
        <v>95.35044312300001</v>
      </c>
      <c r="AM1044" t="n">
        <v>65.8</v>
      </c>
      <c r="AN1044" t="n">
        <v>125.320865459</v>
      </c>
      <c r="AO1044" t="n">
        <v>78.283296604</v>
      </c>
      <c r="AP1044" t="n">
        <v>54.904575381</v>
      </c>
      <c r="AQ1044" t="n">
        <v>93.60780065</v>
      </c>
      <c r="AR1044" t="n">
        <v>109.690859095</v>
      </c>
      <c r="AS1044" t="n">
        <v>62.194817099</v>
      </c>
      <c r="AT1044" t="n">
        <v>96.743553585</v>
      </c>
      <c r="AU1044" t="n">
        <v/>
      </c>
    </row>
    <row r="1045">
      <c r="A1045" s="105" t="n">
        <v>38687</v>
      </c>
      <c r="B1045" t="n">
        <v>86.99207686</v>
      </c>
      <c r="C1045" t="n">
        <v>90.392467294</v>
      </c>
      <c r="D1045" t="n">
        <v>99.392258513</v>
      </c>
      <c r="E1045" t="n">
        <v>102.127670959</v>
      </c>
      <c r="F1045" t="n">
        <v/>
      </c>
      <c r="G1045" t="n">
        <v/>
      </c>
      <c r="H1045" t="n">
        <v>88.785918567</v>
      </c>
      <c r="I1045" t="n">
        <v>86.984828124</v>
      </c>
      <c r="J1045" t="n">
        <v>82.286285619</v>
      </c>
      <c r="K1045" t="n">
        <v>87.207267272</v>
      </c>
      <c r="L1045" t="n">
        <v>117</v>
      </c>
      <c r="M1045" t="n">
        <v>100.491625698</v>
      </c>
      <c r="N1045" t="n">
        <v>129.633108028</v>
      </c>
      <c r="O1045" t="n">
        <v>77.406450538</v>
      </c>
      <c r="P1045" t="n">
        <v/>
      </c>
      <c r="Q1045" t="n">
        <v>111.018503084</v>
      </c>
      <c r="R1045" t="n">
        <v>110.949075424</v>
      </c>
      <c r="S1045" t="n">
        <v>100.734606944</v>
      </c>
      <c r="T1045" t="n">
        <v>107.817474354</v>
      </c>
      <c r="U1045" t="n">
        <v/>
      </c>
      <c r="V1045" t="n">
        <v>138.972608442</v>
      </c>
      <c r="W1045" t="n">
        <v>78.806567214</v>
      </c>
      <c r="X1045" t="n">
        <v>60.263026817</v>
      </c>
      <c r="Y1045" t="n">
        <v/>
      </c>
      <c r="Z1045" t="n">
        <v>56.099768943</v>
      </c>
      <c r="AA1045" t="n">
        <v>52.267694685</v>
      </c>
      <c r="AB1045" t="n">
        <v>75.409836066</v>
      </c>
      <c r="AC1045" t="n">
        <v>121.689859178</v>
      </c>
      <c r="AD1045" t="n">
        <v>110.644449214</v>
      </c>
      <c r="AE1045" t="n">
        <v>68.529</v>
      </c>
      <c r="AF1045" t="n">
        <v>115.890342471</v>
      </c>
      <c r="AG1045" t="n">
        <v>90.3</v>
      </c>
      <c r="AH1045" t="n">
        <v>99.842262374</v>
      </c>
      <c r="AI1045" t="n">
        <v>100.091659028</v>
      </c>
      <c r="AJ1045" t="n">
        <v>116.602017067</v>
      </c>
      <c r="AK1045" t="n">
        <v/>
      </c>
      <c r="AL1045" t="n">
        <v>95.474060333</v>
      </c>
      <c r="AM1045" t="n">
        <v>67</v>
      </c>
      <c r="AN1045" t="n">
        <v>122.92084186</v>
      </c>
      <c r="AO1045" t="n">
        <v>78.79277575</v>
      </c>
      <c r="AP1045" t="n">
        <v>58.204850404</v>
      </c>
      <c r="AQ1045" t="n">
        <v>95.40795066299999</v>
      </c>
      <c r="AR1045" t="n">
        <v>108.890925756</v>
      </c>
      <c r="AS1045" t="n">
        <v>61.594867094</v>
      </c>
      <c r="AT1045" t="n">
        <v>97.19730269199999</v>
      </c>
      <c r="AU1045" t="n">
        <v/>
      </c>
    </row>
    <row r="1046">
      <c r="A1046" s="105" t="n">
        <v>38718</v>
      </c>
      <c r="B1046" t="n">
        <v>87.66774348</v>
      </c>
      <c r="C1046" t="n">
        <v>86.192817265</v>
      </c>
      <c r="D1046" t="n">
        <v>99.78484748699999</v>
      </c>
      <c r="E1046" t="n">
        <v>101.697481734</v>
      </c>
      <c r="F1046" t="n">
        <v/>
      </c>
      <c r="G1046" t="n">
        <v/>
      </c>
      <c r="H1046" t="n">
        <v>89.627746618</v>
      </c>
      <c r="I1046" t="n">
        <v>87.660438443</v>
      </c>
      <c r="J1046" t="n">
        <v>83.88601899699999</v>
      </c>
      <c r="K1046" t="n">
        <v>87.707308942</v>
      </c>
      <c r="L1046" t="n">
        <v>118.8</v>
      </c>
      <c r="M1046" t="n">
        <v>101.191567369</v>
      </c>
      <c r="N1046" t="n">
        <v>130.515108763</v>
      </c>
      <c r="O1046" t="n">
        <v>76.006333861</v>
      </c>
      <c r="P1046" t="n">
        <v/>
      </c>
      <c r="Q1046" t="n">
        <v>119.619936656</v>
      </c>
      <c r="R1046" t="n">
        <v>110.219081508</v>
      </c>
      <c r="S1046" t="n">
        <v>100.814238433</v>
      </c>
      <c r="T1046" t="n">
        <v>106.225680934</v>
      </c>
      <c r="U1046" t="n">
        <v/>
      </c>
      <c r="V1046" t="n">
        <v>137.673799018</v>
      </c>
      <c r="W1046" t="n">
        <v>79.20660055</v>
      </c>
      <c r="X1046" t="n">
        <v>61.252275692</v>
      </c>
      <c r="Y1046" t="n">
        <v/>
      </c>
      <c r="Z1046" t="n">
        <v>62.993384618</v>
      </c>
      <c r="AA1046" t="n">
        <v>48.141484636</v>
      </c>
      <c r="AB1046" t="n">
        <v>75.22248243600001</v>
      </c>
      <c r="AC1046" t="n">
        <v>122.189817515</v>
      </c>
      <c r="AD1046" t="n">
        <v>110.970513407</v>
      </c>
      <c r="AE1046" t="n">
        <v>71.012</v>
      </c>
      <c r="AF1046" t="n">
        <v>116.790267478</v>
      </c>
      <c r="AG1046" t="n">
        <v>90.09999999999999</v>
      </c>
      <c r="AH1046" t="n">
        <v>99.994478086</v>
      </c>
      <c r="AI1046" t="n">
        <v>99.691692359</v>
      </c>
      <c r="AJ1046" t="n">
        <v>115.903801396</v>
      </c>
      <c r="AK1046" t="n">
        <v/>
      </c>
      <c r="AL1046" t="n">
        <v>95.79266073399999</v>
      </c>
      <c r="AM1046" t="n">
        <v>65.3</v>
      </c>
      <c r="AN1046" t="n">
        <v>119.620581362</v>
      </c>
      <c r="AO1046" t="n">
        <v>78.40000000000001</v>
      </c>
      <c r="AP1046" t="n">
        <v>57.704808734</v>
      </c>
      <c r="AQ1046" t="n">
        <v>93.907825652</v>
      </c>
      <c r="AR1046" t="n">
        <v>112.790600783</v>
      </c>
      <c r="AS1046" t="n">
        <v>62.094825431</v>
      </c>
      <c r="AT1046" t="n">
        <v>97.37796940299999</v>
      </c>
      <c r="AU1046" t="n">
        <v/>
      </c>
    </row>
    <row r="1047">
      <c r="A1047" s="105" t="n">
        <v>38749</v>
      </c>
      <c r="B1047" t="n">
        <v>87.66774348</v>
      </c>
      <c r="C1047" t="n">
        <v>88.092658945</v>
      </c>
      <c r="D1047" t="n">
        <v>100.609341584</v>
      </c>
      <c r="E1047" t="n">
        <v>101.458844428</v>
      </c>
      <c r="F1047" t="n">
        <v/>
      </c>
      <c r="G1047" t="n">
        <v/>
      </c>
      <c r="H1047" t="n">
        <v>88.904484696</v>
      </c>
      <c r="I1047" t="n">
        <v>87.660438443</v>
      </c>
      <c r="J1047" t="n">
        <v>82.486252291</v>
      </c>
      <c r="K1047" t="n">
        <v>88.207350613</v>
      </c>
      <c r="L1047" t="n">
        <v>120.7</v>
      </c>
      <c r="M1047" t="n">
        <v>101.191567369</v>
      </c>
      <c r="N1047" t="n">
        <v>130.290108575</v>
      </c>
      <c r="O1047" t="n">
        <v>77.106425535</v>
      </c>
      <c r="P1047" t="n">
        <v/>
      </c>
      <c r="Q1047" t="n">
        <v>117.319553259</v>
      </c>
      <c r="R1047" t="n">
        <v>109.509087424</v>
      </c>
      <c r="S1047" t="n">
        <v>100.977966574</v>
      </c>
      <c r="T1047" t="n">
        <v>106.756278741</v>
      </c>
      <c r="U1047" t="n">
        <v/>
      </c>
      <c r="V1047" t="n">
        <v>141.770044126</v>
      </c>
      <c r="W1047" t="n">
        <v>79.806650554</v>
      </c>
      <c r="X1047" t="n">
        <v>61.554983269</v>
      </c>
      <c r="Y1047" t="n">
        <v/>
      </c>
      <c r="Z1047" t="n">
        <v>53.960370974</v>
      </c>
      <c r="AA1047" t="n">
        <v>41.925381476</v>
      </c>
      <c r="AB1047" t="n">
        <v>76.62763466</v>
      </c>
      <c r="AC1047" t="n">
        <v>124.489625865</v>
      </c>
      <c r="AD1047" t="n">
        <v>110.753137278</v>
      </c>
      <c r="AE1047" t="n">
        <v>70.383</v>
      </c>
      <c r="AF1047" t="n">
        <v>113.990500792</v>
      </c>
      <c r="AG1047" t="n">
        <v>91.5</v>
      </c>
      <c r="AH1047" t="n">
        <v>99.095563982</v>
      </c>
      <c r="AI1047" t="n">
        <v>101.091575702</v>
      </c>
      <c r="AJ1047" t="n">
        <v>115.438324282</v>
      </c>
      <c r="AK1047" t="n">
        <v/>
      </c>
      <c r="AL1047" t="n">
        <v>95.781140501</v>
      </c>
      <c r="AM1047" t="n">
        <v>66.40000000000001</v>
      </c>
      <c r="AN1047" t="n">
        <v>118.811184607</v>
      </c>
      <c r="AO1047" t="n">
        <v>79.2</v>
      </c>
      <c r="AP1047" t="n">
        <v>56.304692058</v>
      </c>
      <c r="AQ1047" t="n">
        <v>92.907742312</v>
      </c>
      <c r="AR1047" t="n">
        <v>110.790767436</v>
      </c>
      <c r="AS1047" t="n">
        <v>62.494792101</v>
      </c>
      <c r="AT1047" t="n">
        <v>97.413666448</v>
      </c>
      <c r="AU1047" t="n">
        <v/>
      </c>
    </row>
    <row r="1048">
      <c r="A1048" s="105" t="n">
        <v>38777</v>
      </c>
      <c r="B1048" t="n">
        <v>88.17449344000001</v>
      </c>
      <c r="C1048" t="n">
        <v>87.592700608</v>
      </c>
      <c r="D1048" t="n">
        <v>99.930782953</v>
      </c>
      <c r="E1048" t="n">
        <v>101.611336877</v>
      </c>
      <c r="F1048" t="n">
        <v/>
      </c>
      <c r="G1048" t="n">
        <v/>
      </c>
      <c r="H1048" t="n">
        <v>87.942774218</v>
      </c>
      <c r="I1048" t="n">
        <v>88.167146178</v>
      </c>
      <c r="J1048" t="n">
        <v>83.986002333</v>
      </c>
      <c r="K1048" t="n">
        <v>87.40728394</v>
      </c>
      <c r="L1048" t="n">
        <v>118.6</v>
      </c>
      <c r="M1048" t="n">
        <v>101.991500708</v>
      </c>
      <c r="N1048" t="n">
        <v>130.984109153</v>
      </c>
      <c r="O1048" t="n">
        <v>78.306525544</v>
      </c>
      <c r="P1048" t="n">
        <v/>
      </c>
      <c r="Q1048" t="n">
        <v>115.31921987</v>
      </c>
      <c r="R1048" t="n">
        <v>111.489070924</v>
      </c>
      <c r="S1048" t="n">
        <v>101.296254091</v>
      </c>
      <c r="T1048" t="n">
        <v>107.711354793</v>
      </c>
      <c r="U1048" t="n">
        <v/>
      </c>
      <c r="V1048" t="n">
        <v>145.366747148</v>
      </c>
      <c r="W1048" t="n">
        <v>82.806900575</v>
      </c>
      <c r="X1048" t="n">
        <v>62.726172807</v>
      </c>
      <c r="Y1048" t="n">
        <v/>
      </c>
      <c r="Z1048" t="n">
        <v>59.843715387</v>
      </c>
      <c r="AA1048" t="n">
        <v>45.918917832</v>
      </c>
      <c r="AB1048" t="n">
        <v>76.06557377</v>
      </c>
      <c r="AC1048" t="n">
        <v>125.089575869</v>
      </c>
      <c r="AD1048" t="n">
        <v>111.513953727</v>
      </c>
      <c r="AE1048" t="n">
        <v>71.13</v>
      </c>
      <c r="AF1048" t="n">
        <v>114.190484126</v>
      </c>
      <c r="AG1048" t="n">
        <v>91.3</v>
      </c>
      <c r="AH1048" t="n">
        <v>100.575892814</v>
      </c>
      <c r="AI1048" t="n">
        <v>104.091325723</v>
      </c>
      <c r="AJ1048" t="n">
        <v>115.554693561</v>
      </c>
      <c r="AK1048" t="n">
        <v/>
      </c>
      <c r="AL1048" t="n">
        <v>96.368894031</v>
      </c>
      <c r="AM1048" t="n">
        <v>66.90000000000001</v>
      </c>
      <c r="AN1048" t="n">
        <v>123.992558029</v>
      </c>
      <c r="AO1048" t="n">
        <v>80.09999999999999</v>
      </c>
      <c r="AP1048" t="n">
        <v>59.404950413</v>
      </c>
      <c r="AQ1048" t="n">
        <v>91.407617301</v>
      </c>
      <c r="AR1048" t="n">
        <v>111.190734105</v>
      </c>
      <c r="AS1048" t="n">
        <v>64.094658778</v>
      </c>
      <c r="AT1048" t="n">
        <v>97.645498925</v>
      </c>
      <c r="AU1048" t="n">
        <v/>
      </c>
    </row>
    <row r="1049">
      <c r="A1049" s="105" t="n">
        <v>38808</v>
      </c>
      <c r="B1049" t="n">
        <v>88.51232675</v>
      </c>
      <c r="C1049" t="n">
        <v>88.29264228</v>
      </c>
      <c r="D1049" t="n">
        <v>100.542280631</v>
      </c>
      <c r="E1049" t="n">
        <v>100.959364775</v>
      </c>
      <c r="F1049" t="n">
        <v/>
      </c>
      <c r="G1049" t="n">
        <v/>
      </c>
      <c r="H1049" t="n">
        <v>91.591855494</v>
      </c>
      <c r="I1049" t="n">
        <v>88.50495133699999</v>
      </c>
      <c r="J1049" t="n">
        <v>82.88618563599999</v>
      </c>
      <c r="K1049" t="n">
        <v>89.407450621</v>
      </c>
      <c r="L1049" t="n">
        <v>118</v>
      </c>
      <c r="M1049" t="n">
        <v>102.29147571</v>
      </c>
      <c r="N1049" t="n">
        <v>130.151108459</v>
      </c>
      <c r="O1049" t="n">
        <v>79.006583882</v>
      </c>
      <c r="P1049" t="n">
        <v/>
      </c>
      <c r="Q1049" t="n">
        <v>116.919486581</v>
      </c>
      <c r="R1049" t="n">
        <v>110.949075424</v>
      </c>
      <c r="S1049" t="n">
        <v>101.950536594</v>
      </c>
      <c r="T1049" t="n">
        <v>107.605235232</v>
      </c>
      <c r="U1049" t="n">
        <v/>
      </c>
      <c r="V1049" t="n">
        <v>142.769128299</v>
      </c>
      <c r="W1049" t="n">
        <v>82.606883907</v>
      </c>
      <c r="X1049" t="n">
        <v>62.039105341</v>
      </c>
      <c r="Y1049" t="n">
        <v/>
      </c>
      <c r="Z1049" t="n">
        <v>62.101968798</v>
      </c>
      <c r="AA1049" t="n">
        <v>48.684414087</v>
      </c>
      <c r="AB1049" t="n">
        <v>75.97189695599999</v>
      </c>
      <c r="AC1049" t="n">
        <v>124.089659195</v>
      </c>
      <c r="AD1049" t="n">
        <v>113.579026944</v>
      </c>
      <c r="AE1049" t="n">
        <v>70.91800000000001</v>
      </c>
      <c r="AF1049" t="n">
        <v>112.890592451</v>
      </c>
      <c r="AG1049" t="n">
        <v>91.59999999999999</v>
      </c>
      <c r="AH1049" t="n">
        <v>100.744765742</v>
      </c>
      <c r="AI1049" t="n">
        <v>102.791434047</v>
      </c>
      <c r="AJ1049" t="n">
        <v>113.809154383</v>
      </c>
      <c r="AK1049" t="n">
        <v/>
      </c>
      <c r="AL1049" t="n">
        <v>96.781374777</v>
      </c>
      <c r="AM1049" t="n">
        <v>67.90000000000001</v>
      </c>
      <c r="AN1049" t="n">
        <v>116.861642753</v>
      </c>
      <c r="AO1049" t="n">
        <v>80.5</v>
      </c>
      <c r="AP1049" t="n">
        <v>58.904908742</v>
      </c>
      <c r="AQ1049" t="n">
        <v>93.407783982</v>
      </c>
      <c r="AR1049" t="n">
        <v>111.990667444</v>
      </c>
      <c r="AS1049" t="n">
        <v>63.594700442</v>
      </c>
      <c r="AT1049" t="n">
        <v>97.945254945</v>
      </c>
      <c r="AU1049" t="n">
        <v/>
      </c>
    </row>
    <row r="1050">
      <c r="A1050" s="105" t="n">
        <v>38838</v>
      </c>
      <c r="B1050" t="n">
        <v>89.77920165</v>
      </c>
      <c r="C1050" t="n">
        <v>89.592533956</v>
      </c>
      <c r="D1050" t="n">
        <v>101.173893292</v>
      </c>
      <c r="E1050" t="n">
        <v>100.612645102</v>
      </c>
      <c r="F1050" t="n">
        <v/>
      </c>
      <c r="G1050" t="n">
        <v/>
      </c>
      <c r="H1050" t="n">
        <v>90.01387222300001</v>
      </c>
      <c r="I1050" t="n">
        <v>89.771720673</v>
      </c>
      <c r="J1050" t="n">
        <v>86.3856024</v>
      </c>
      <c r="K1050" t="n">
        <v>90.707558963</v>
      </c>
      <c r="L1050" t="n">
        <v>122</v>
      </c>
      <c r="M1050" t="n">
        <v>103.791350721</v>
      </c>
      <c r="N1050" t="n">
        <v>131.786109822</v>
      </c>
      <c r="O1050" t="n">
        <v>80.70672556</v>
      </c>
      <c r="P1050" t="n">
        <v/>
      </c>
      <c r="Q1050" t="n">
        <v>114.519086514</v>
      </c>
      <c r="R1050" t="n">
        <v>112.719060674</v>
      </c>
      <c r="S1050" t="n">
        <v>102.09947254</v>
      </c>
      <c r="T1050" t="n">
        <v>107.923593916</v>
      </c>
      <c r="U1050" t="n">
        <v/>
      </c>
      <c r="V1050" t="n">
        <v>144.767296645</v>
      </c>
      <c r="W1050" t="n">
        <v>83.306942245</v>
      </c>
      <c r="X1050" t="n">
        <v>62.788994692</v>
      </c>
      <c r="Y1050" t="n">
        <v/>
      </c>
      <c r="Z1050" t="n">
        <v>65.964770685</v>
      </c>
      <c r="AA1050" t="n">
        <v>50.937281088</v>
      </c>
      <c r="AB1050" t="n">
        <v>77.75175643999999</v>
      </c>
      <c r="AC1050" t="n">
        <v>126.989417549</v>
      </c>
      <c r="AD1050" t="n">
        <v>111.840017919</v>
      </c>
      <c r="AE1050" t="n">
        <v>71.916</v>
      </c>
      <c r="AF1050" t="n">
        <v>118.090159153</v>
      </c>
      <c r="AG1050" t="n">
        <v>91.09999999999999</v>
      </c>
      <c r="AH1050" t="n">
        <v>101.784486235</v>
      </c>
      <c r="AI1050" t="n">
        <v>99.691692359</v>
      </c>
      <c r="AJ1050" t="n">
        <v>115.438324282</v>
      </c>
      <c r="AK1050" t="n">
        <v/>
      </c>
      <c r="AL1050" t="n">
        <v>97.25190953400001</v>
      </c>
      <c r="AM1050" t="n">
        <v>69.8</v>
      </c>
      <c r="AN1050" t="n">
        <v>124.340601628</v>
      </c>
      <c r="AO1050" t="n">
        <v>81.59999999999999</v>
      </c>
      <c r="AP1050" t="n">
        <v>60.205017085</v>
      </c>
      <c r="AQ1050" t="n">
        <v>97.408117343</v>
      </c>
      <c r="AR1050" t="n">
        <v>114.190484126</v>
      </c>
      <c r="AS1050" t="n">
        <v>64.094658778</v>
      </c>
      <c r="AT1050" t="n">
        <v>97.957054802</v>
      </c>
      <c r="AU1050" t="n">
        <v/>
      </c>
    </row>
    <row r="1051">
      <c r="A1051" s="105" t="n">
        <v>38869</v>
      </c>
      <c r="B1051" t="n">
        <v>90.45486827000001</v>
      </c>
      <c r="C1051" t="n">
        <v>89.69252562299999</v>
      </c>
      <c r="D1051" t="n">
        <v>99.73170297599999</v>
      </c>
      <c r="E1051" t="n">
        <v>100.076781286</v>
      </c>
      <c r="F1051" t="n">
        <v/>
      </c>
      <c r="G1051" t="n">
        <v/>
      </c>
      <c r="H1051" t="n">
        <v>90.999329171</v>
      </c>
      <c r="I1051" t="n">
        <v>90.447330992</v>
      </c>
      <c r="J1051" t="n">
        <v>86.085652391</v>
      </c>
      <c r="K1051" t="n">
        <v>90.207517293</v>
      </c>
      <c r="L1051" t="n">
        <v>121.3</v>
      </c>
      <c r="M1051" t="n">
        <v>103.691359053</v>
      </c>
      <c r="N1051" t="n">
        <v>132.222110185</v>
      </c>
      <c r="O1051" t="n">
        <v>79.606633886</v>
      </c>
      <c r="P1051" t="n">
        <v/>
      </c>
      <c r="Q1051" t="n">
        <v>120.320053342</v>
      </c>
      <c r="R1051" t="n">
        <v>112.509062424</v>
      </c>
      <c r="S1051" t="n">
        <v>102.453867937</v>
      </c>
      <c r="T1051" t="n">
        <v>108.666430845</v>
      </c>
      <c r="U1051" t="n">
        <v/>
      </c>
      <c r="V1051" t="n">
        <v>143.068853551</v>
      </c>
      <c r="W1051" t="n">
        <v>84.807067256</v>
      </c>
      <c r="X1051" t="n">
        <v>62.897123422</v>
      </c>
      <c r="Y1051" t="n">
        <v/>
      </c>
      <c r="Z1051" t="n">
        <v>62.517962847</v>
      </c>
      <c r="AA1051" t="n">
        <v>53.169703525</v>
      </c>
      <c r="AB1051" t="n">
        <v>79.62529274000001</v>
      </c>
      <c r="AC1051" t="n">
        <v>127.389384218</v>
      </c>
      <c r="AD1051" t="n">
        <v>113.361650816</v>
      </c>
      <c r="AE1051" t="n">
        <v>71.249</v>
      </c>
      <c r="AF1051" t="n">
        <v>115.490375802</v>
      </c>
      <c r="AG1051" t="n">
        <v>92.5</v>
      </c>
      <c r="AH1051" t="n">
        <v>101.6047662</v>
      </c>
      <c r="AI1051" t="n">
        <v>102.091492376</v>
      </c>
      <c r="AJ1051" t="n">
        <v>116.252909232</v>
      </c>
      <c r="AK1051" t="n">
        <v/>
      </c>
      <c r="AL1051" t="n">
        <v>97.515556183</v>
      </c>
      <c r="AM1051" t="n">
        <v>70.40000000000001</v>
      </c>
      <c r="AN1051" t="n">
        <v>123.904471763</v>
      </c>
      <c r="AO1051" t="n">
        <v>80.59999999999999</v>
      </c>
      <c r="AP1051" t="n">
        <v>61.805150429</v>
      </c>
      <c r="AQ1051" t="n">
        <v>93.60780065</v>
      </c>
      <c r="AR1051" t="n">
        <v>111.890675777</v>
      </c>
      <c r="AS1051" t="n">
        <v>64.49462544799999</v>
      </c>
      <c r="AT1051" t="n">
        <v>98.272874493</v>
      </c>
      <c r="AU1051" t="n">
        <v/>
      </c>
    </row>
    <row r="1052">
      <c r="A1052" s="105" t="n">
        <v>38899</v>
      </c>
      <c r="B1052" t="n">
        <v>91.89065983</v>
      </c>
      <c r="C1052" t="n">
        <v>88.092658945</v>
      </c>
      <c r="D1052" t="n">
        <v>100.690550184</v>
      </c>
      <c r="E1052" t="n">
        <v>100.116643347</v>
      </c>
      <c r="F1052" t="n">
        <v/>
      </c>
      <c r="G1052" t="n">
        <v/>
      </c>
      <c r="H1052" t="n">
        <v>90.19797812</v>
      </c>
      <c r="I1052" t="n">
        <v>91.883002913</v>
      </c>
      <c r="J1052" t="n">
        <v>85.985669055</v>
      </c>
      <c r="K1052" t="n">
        <v>91.807650638</v>
      </c>
      <c r="L1052" t="n">
        <v>118.6</v>
      </c>
      <c r="M1052" t="n">
        <v>103.491375719</v>
      </c>
      <c r="N1052" t="n">
        <v>131.917109931</v>
      </c>
      <c r="O1052" t="n">
        <v>80.106675556</v>
      </c>
      <c r="P1052" t="n">
        <v/>
      </c>
      <c r="Q1052" t="n">
        <v>119.119853309</v>
      </c>
      <c r="R1052" t="n">
        <v>111.009074924</v>
      </c>
      <c r="S1052" t="n">
        <v>102.507280862</v>
      </c>
      <c r="T1052" t="n">
        <v>107.923593916</v>
      </c>
      <c r="U1052" t="n">
        <v/>
      </c>
      <c r="V1052" t="n">
        <v>138.872700025</v>
      </c>
      <c r="W1052" t="n">
        <v>85.507125594</v>
      </c>
      <c r="X1052" t="n">
        <v>64.99782542600001</v>
      </c>
      <c r="Y1052" t="n">
        <v/>
      </c>
      <c r="Z1052" t="n">
        <v>61.864257912</v>
      </c>
      <c r="AA1052" t="n">
        <v>55.2066462</v>
      </c>
      <c r="AB1052" t="n">
        <v>78.31381733000001</v>
      </c>
      <c r="AC1052" t="n">
        <v>125.489542538</v>
      </c>
      <c r="AD1052" t="n">
        <v>113.796403072</v>
      </c>
      <c r="AE1052" t="n">
        <v>67.51300000000001</v>
      </c>
      <c r="AF1052" t="n">
        <v>118.490125823</v>
      </c>
      <c r="AG1052" t="n">
        <v>92.2</v>
      </c>
      <c r="AH1052" t="n">
        <v>101.222141824</v>
      </c>
      <c r="AI1052" t="n">
        <v>99.491709024</v>
      </c>
      <c r="AJ1052" t="n">
        <v>114.274631497</v>
      </c>
      <c r="AK1052" t="n">
        <v/>
      </c>
      <c r="AL1052" t="n">
        <v>97.202143886</v>
      </c>
      <c r="AM1052" t="n">
        <v>71</v>
      </c>
      <c r="AN1052" t="n">
        <v>125.250085849</v>
      </c>
      <c r="AO1052" t="n">
        <v>81.3</v>
      </c>
      <c r="AP1052" t="n">
        <v>63.105258772</v>
      </c>
      <c r="AQ1052" t="n">
        <v>98.908242354</v>
      </c>
      <c r="AR1052" t="n">
        <v>109.49087576</v>
      </c>
      <c r="AS1052" t="n">
        <v>64.394633781</v>
      </c>
      <c r="AT1052" t="n">
        <v>98.20227367</v>
      </c>
      <c r="AU1052" t="n">
        <v/>
      </c>
    </row>
    <row r="1053">
      <c r="A1053" s="105" t="n">
        <v>38930</v>
      </c>
      <c r="B1053" t="n">
        <v>91.8062015</v>
      </c>
      <c r="C1053" t="n">
        <v>87.492708941</v>
      </c>
      <c r="D1053" t="n">
        <v>100.465663135</v>
      </c>
      <c r="E1053" t="n">
        <v>99.405011918</v>
      </c>
      <c r="F1053" t="n">
        <v/>
      </c>
      <c r="G1053" t="n">
        <v/>
      </c>
      <c r="H1053" t="n">
        <v>89.76150853199999</v>
      </c>
      <c r="I1053" t="n">
        <v>91.798551621</v>
      </c>
      <c r="J1053" t="n">
        <v>85.68571904700001</v>
      </c>
      <c r="K1053" t="n">
        <v>92.40770064199999</v>
      </c>
      <c r="L1053" t="n">
        <v>119.6</v>
      </c>
      <c r="M1053" t="n">
        <v>103.791350721</v>
      </c>
      <c r="N1053" t="n">
        <v>131.607109673</v>
      </c>
      <c r="O1053" t="n">
        <v>81.90682556900001</v>
      </c>
      <c r="P1053" t="n">
        <v/>
      </c>
      <c r="Q1053" t="n">
        <v>115.919319887</v>
      </c>
      <c r="R1053" t="n">
        <v>110.229081424</v>
      </c>
      <c r="S1053" t="n">
        <v>102.918778709</v>
      </c>
      <c r="T1053" t="n">
        <v>108.98478953</v>
      </c>
      <c r="U1053" t="n">
        <v/>
      </c>
      <c r="V1053" t="n">
        <v>142.36949463</v>
      </c>
      <c r="W1053" t="n">
        <v>82.006833903</v>
      </c>
      <c r="X1053" t="n">
        <v>63.912743514</v>
      </c>
      <c r="Y1053" t="n">
        <v/>
      </c>
      <c r="Z1053" t="n">
        <v>61.685974748</v>
      </c>
      <c r="AA1053" t="n">
        <v>58.298788258</v>
      </c>
      <c r="AB1053" t="n">
        <v>80.56206089</v>
      </c>
      <c r="AC1053" t="n">
        <v>127.189400883</v>
      </c>
      <c r="AD1053" t="n">
        <v>114.122467264</v>
      </c>
      <c r="AE1053" t="n">
        <v>72.53700000000001</v>
      </c>
      <c r="AF1053" t="n">
        <v>116.69027581</v>
      </c>
      <c r="AG1053" t="n">
        <v>93.90000000000001</v>
      </c>
      <c r="AH1053" t="n">
        <v>102.051124174</v>
      </c>
      <c r="AI1053" t="n">
        <v>99.09174235499999</v>
      </c>
      <c r="AJ1053" t="n">
        <v>113.809154383</v>
      </c>
      <c r="AK1053" t="n">
        <v/>
      </c>
      <c r="AL1053" t="n">
        <v>97.785540056</v>
      </c>
      <c r="AM1053" t="n">
        <v>70.59999999999999</v>
      </c>
      <c r="AN1053" t="n">
        <v>125.207639903</v>
      </c>
      <c r="AO1053" t="n">
        <v>82.40000000000001</v>
      </c>
      <c r="AP1053" t="n">
        <v>64.605383782</v>
      </c>
      <c r="AQ1053" t="n">
        <v>96.20801733499999</v>
      </c>
      <c r="AR1053" t="n">
        <v>111.79068411</v>
      </c>
      <c r="AS1053" t="n">
        <v>64.194650446</v>
      </c>
      <c r="AT1053" t="n">
        <v>98.62131731700001</v>
      </c>
      <c r="AU1053" t="n">
        <v/>
      </c>
    </row>
    <row r="1054">
      <c r="A1054" s="105" t="n">
        <v>38961</v>
      </c>
      <c r="B1054" t="n">
        <v>92.05957647</v>
      </c>
      <c r="C1054" t="n">
        <v>89.69252562299999</v>
      </c>
      <c r="D1054" t="n">
        <v>99.75451536999999</v>
      </c>
      <c r="E1054" t="n">
        <v>97.774412837</v>
      </c>
      <c r="F1054" t="n">
        <v/>
      </c>
      <c r="G1054" t="n">
        <v/>
      </c>
      <c r="H1054" t="n">
        <v>89.83920528500001</v>
      </c>
      <c r="I1054" t="n">
        <v>92.05190547799999</v>
      </c>
      <c r="J1054" t="n">
        <v>87.585402433</v>
      </c>
      <c r="K1054" t="n">
        <v>92.307692308</v>
      </c>
      <c r="L1054" t="n">
        <v>115</v>
      </c>
      <c r="M1054" t="n">
        <v>103.891342388</v>
      </c>
      <c r="N1054" t="n">
        <v>132.56411047</v>
      </c>
      <c r="O1054" t="n">
        <v>80.006667222</v>
      </c>
      <c r="P1054" t="n">
        <v/>
      </c>
      <c r="Q1054" t="n">
        <v>116.119353226</v>
      </c>
      <c r="R1054" t="n">
        <v>111.939067174</v>
      </c>
      <c r="S1054" t="n">
        <v>102.805323912</v>
      </c>
      <c r="T1054" t="n">
        <v>109.621506898</v>
      </c>
      <c r="U1054" t="n">
        <v/>
      </c>
      <c r="V1054" t="n">
        <v>139.372242111</v>
      </c>
      <c r="W1054" t="n">
        <v>85.207100592</v>
      </c>
      <c r="X1054" t="n">
        <v>65.53378959299999</v>
      </c>
      <c r="Y1054" t="n">
        <v/>
      </c>
      <c r="Z1054" t="n">
        <v>62.042541076</v>
      </c>
      <c r="AA1054" t="n">
        <v>53.310687586</v>
      </c>
      <c r="AB1054" t="n">
        <v>80.93676815000001</v>
      </c>
      <c r="AC1054" t="n">
        <v>126.889425881</v>
      </c>
      <c r="AD1054" t="n">
        <v>114.0137792</v>
      </c>
      <c r="AE1054" t="n">
        <v>73.15300000000001</v>
      </c>
      <c r="AF1054" t="n">
        <v>120.88992584</v>
      </c>
      <c r="AG1054" t="n">
        <v>94.2</v>
      </c>
      <c r="AH1054" t="n">
        <v>101.897671607</v>
      </c>
      <c r="AI1054" t="n">
        <v>97.091909008</v>
      </c>
      <c r="AJ1054" t="n">
        <v>112.994569434</v>
      </c>
      <c r="AK1054" t="n">
        <v/>
      </c>
      <c r="AL1054" t="n">
        <v>97.816062815</v>
      </c>
      <c r="AM1054" t="n">
        <v>71.7</v>
      </c>
      <c r="AN1054" t="n">
        <v>124.34997105</v>
      </c>
      <c r="AO1054" t="n">
        <v>82.59999999999999</v>
      </c>
      <c r="AP1054" t="n">
        <v>64.105342112</v>
      </c>
      <c r="AQ1054" t="n">
        <v>97.508125677</v>
      </c>
      <c r="AR1054" t="n">
        <v>113.890509124</v>
      </c>
      <c r="AS1054" t="n">
        <v>64.194650446</v>
      </c>
      <c r="AT1054" t="n">
        <v>98.41913322000001</v>
      </c>
      <c r="AU1054" t="n">
        <v/>
      </c>
    </row>
    <row r="1055">
      <c r="A1055" s="105" t="n">
        <v>38991</v>
      </c>
      <c r="B1055" t="n">
        <v>92.98861805999999</v>
      </c>
      <c r="C1055" t="n">
        <v>91.592367303</v>
      </c>
      <c r="D1055" t="n">
        <v>100.199191911</v>
      </c>
      <c r="E1055" t="n">
        <v>97.581255735</v>
      </c>
      <c r="F1055" t="n">
        <v/>
      </c>
      <c r="G1055" t="n">
        <v/>
      </c>
      <c r="H1055" t="n">
        <v>91.70406377499999</v>
      </c>
      <c r="I1055" t="n">
        <v>92.980869654</v>
      </c>
      <c r="J1055" t="n">
        <v>87.185469088</v>
      </c>
      <c r="K1055" t="n">
        <v>92.10767564</v>
      </c>
      <c r="L1055" t="n">
        <v>121</v>
      </c>
      <c r="M1055" t="n">
        <v>103.591367386</v>
      </c>
      <c r="N1055" t="n">
        <v>132.34811029</v>
      </c>
      <c r="O1055" t="n">
        <v>81.406783899</v>
      </c>
      <c r="P1055" t="n">
        <v/>
      </c>
      <c r="Q1055" t="n">
        <v>115.31921987</v>
      </c>
      <c r="R1055" t="n">
        <v>111.009074924</v>
      </c>
      <c r="S1055" t="n">
        <v>102.717172963</v>
      </c>
      <c r="T1055" t="n">
        <v>108.98478953</v>
      </c>
      <c r="U1055" t="n">
        <v/>
      </c>
      <c r="V1055" t="n">
        <v>142.069769378</v>
      </c>
      <c r="W1055" t="n">
        <v>87.00725060400001</v>
      </c>
      <c r="X1055" t="n">
        <v>64.42336368300001</v>
      </c>
      <c r="Y1055" t="n">
        <v/>
      </c>
      <c r="Z1055" t="n">
        <v>59.903143108</v>
      </c>
      <c r="AA1055" t="n">
        <v>48.924912026</v>
      </c>
      <c r="AB1055" t="n">
        <v>81.8735363</v>
      </c>
      <c r="AC1055" t="n">
        <v>127.089409216</v>
      </c>
      <c r="AD1055" t="n">
        <v>114.448531457</v>
      </c>
      <c r="AE1055" t="n">
        <v>76.32299999999999</v>
      </c>
      <c r="AF1055" t="n">
        <v>117.690192484</v>
      </c>
      <c r="AG1055" t="n">
        <v>93.5</v>
      </c>
      <c r="AH1055" t="n">
        <v>101.15987958</v>
      </c>
      <c r="AI1055" t="n">
        <v>97.091909008</v>
      </c>
      <c r="AJ1055" t="n">
        <v>110.89992242</v>
      </c>
      <c r="AK1055" t="n">
        <v/>
      </c>
      <c r="AL1055" t="n">
        <v>97.993039022</v>
      </c>
      <c r="AM1055" t="n">
        <v>72.09999999999999</v>
      </c>
      <c r="AN1055" t="n">
        <v>123.989383955</v>
      </c>
      <c r="AO1055" t="n">
        <v>83.2</v>
      </c>
      <c r="AP1055" t="n">
        <v>64.105342112</v>
      </c>
      <c r="AQ1055" t="n">
        <v>98.80823402</v>
      </c>
      <c r="AR1055" t="n">
        <v>114.990417465</v>
      </c>
      <c r="AS1055" t="n">
        <v>64.59461711500001</v>
      </c>
      <c r="AT1055" t="n">
        <v>98.317000007</v>
      </c>
      <c r="AU1055" t="n">
        <v/>
      </c>
    </row>
    <row r="1056">
      <c r="A1056" s="105" t="n">
        <v>39022</v>
      </c>
      <c r="B1056" t="n">
        <v>93.57982634</v>
      </c>
      <c r="C1056" t="n">
        <v>90.89242563099999</v>
      </c>
      <c r="D1056" t="n">
        <v>101.581312524</v>
      </c>
      <c r="E1056" t="n">
        <v>97.503671858</v>
      </c>
      <c r="F1056" t="n">
        <v/>
      </c>
      <c r="G1056" t="n">
        <v/>
      </c>
      <c r="H1056" t="n">
        <v>91.081981719</v>
      </c>
      <c r="I1056" t="n">
        <v>93.572028671</v>
      </c>
      <c r="J1056" t="n">
        <v>88.985169138</v>
      </c>
      <c r="K1056" t="n">
        <v>93.707808984</v>
      </c>
      <c r="L1056" t="n">
        <v>120</v>
      </c>
      <c r="M1056" t="n">
        <v>104.59128406</v>
      </c>
      <c r="N1056" t="n">
        <v>134.057111714</v>
      </c>
      <c r="O1056" t="n">
        <v>82.606883907</v>
      </c>
      <c r="P1056" t="n">
        <v/>
      </c>
      <c r="Q1056" t="n">
        <v>116.319386564</v>
      </c>
      <c r="R1056" t="n">
        <v>110.369080258</v>
      </c>
      <c r="S1056" t="n">
        <v>103.109288198</v>
      </c>
      <c r="T1056" t="n">
        <v>109.303148214</v>
      </c>
      <c r="U1056" t="n">
        <v/>
      </c>
      <c r="V1056" t="n">
        <v>137.673799018</v>
      </c>
      <c r="W1056" t="n">
        <v>87.50729227399999</v>
      </c>
      <c r="X1056" t="n">
        <v>70.065362593</v>
      </c>
      <c r="Y1056" t="n">
        <v/>
      </c>
      <c r="Z1056" t="n">
        <v>59.843715387</v>
      </c>
      <c r="AA1056" t="n">
        <v>49.062413149</v>
      </c>
      <c r="AB1056" t="n">
        <v>84.402810304</v>
      </c>
      <c r="AC1056" t="n">
        <v>127.289392551</v>
      </c>
      <c r="AD1056" t="n">
        <v>115.535412097</v>
      </c>
      <c r="AE1056" t="n">
        <v>75.343</v>
      </c>
      <c r="AF1056" t="n">
        <v>120.789934172</v>
      </c>
      <c r="AG1056" t="n">
        <v>92.59999999999999</v>
      </c>
      <c r="AH1056" t="n">
        <v>101.164102311</v>
      </c>
      <c r="AI1056" t="n">
        <v>100.891592367</v>
      </c>
      <c r="AJ1056" t="n">
        <v>110.667183863</v>
      </c>
      <c r="AK1056" t="n">
        <v/>
      </c>
      <c r="AL1056" t="n">
        <v>98.298831951</v>
      </c>
      <c r="AM1056" t="n">
        <v>71.59999999999999</v>
      </c>
      <c r="AN1056" t="n">
        <v>125.986947709</v>
      </c>
      <c r="AO1056" t="n">
        <v>83.7</v>
      </c>
      <c r="AP1056" t="n">
        <v>65.10542545200001</v>
      </c>
      <c r="AQ1056" t="n">
        <v>100.8084007</v>
      </c>
      <c r="AR1056" t="n">
        <v>115.390384135</v>
      </c>
      <c r="AS1056" t="n">
        <v>64.29464211299999</v>
      </c>
      <c r="AT1056" t="n">
        <v>98.263454439</v>
      </c>
      <c r="AU1056" t="n">
        <v/>
      </c>
    </row>
    <row r="1057">
      <c r="A1057" s="105" t="n">
        <v>39052</v>
      </c>
      <c r="B1057" t="n">
        <v>94.08657633</v>
      </c>
      <c r="C1057" t="n">
        <v>94.99208399299999</v>
      </c>
      <c r="D1057" t="n">
        <v>102.332492077</v>
      </c>
      <c r="E1057" t="n">
        <v>98.504771408</v>
      </c>
      <c r="F1057" t="n">
        <v/>
      </c>
      <c r="G1057" t="n">
        <v/>
      </c>
      <c r="H1057" t="n">
        <v>93.06948660400001</v>
      </c>
      <c r="I1057" t="n">
        <v>94.078736435</v>
      </c>
      <c r="J1057" t="n">
        <v>90.084985836</v>
      </c>
      <c r="K1057" t="n">
        <v>94.60788399</v>
      </c>
      <c r="L1057" t="n">
        <v>122.1</v>
      </c>
      <c r="M1057" t="n">
        <v>106.09115907</v>
      </c>
      <c r="N1057" t="n">
        <v>135.679113066</v>
      </c>
      <c r="O1057" t="n">
        <v>84.30702558500001</v>
      </c>
      <c r="P1057" t="n">
        <v/>
      </c>
      <c r="Q1057" t="n">
        <v>113.818969828</v>
      </c>
      <c r="R1057" t="n">
        <v>112.219064841</v>
      </c>
      <c r="S1057" t="n">
        <v>103.94974108</v>
      </c>
      <c r="T1057" t="n">
        <v>108.772550407</v>
      </c>
      <c r="U1057" t="n">
        <v/>
      </c>
      <c r="V1057" t="n">
        <v>142.169677795</v>
      </c>
      <c r="W1057" t="n">
        <v>90.407533961</v>
      </c>
      <c r="X1057" t="n">
        <v>68.846886232</v>
      </c>
      <c r="Y1057" t="n">
        <v/>
      </c>
      <c r="Z1057" t="n">
        <v>63.706517274</v>
      </c>
      <c r="AA1057" t="n">
        <v>49.145572033</v>
      </c>
      <c r="AB1057" t="n">
        <v>82.99765807999999</v>
      </c>
      <c r="AC1057" t="n">
        <v>129.389217565</v>
      </c>
      <c r="AD1057" t="n">
        <v>115.644100161</v>
      </c>
      <c r="AE1057" t="n">
        <v>72.636</v>
      </c>
      <c r="AF1057" t="n">
        <v>118.190150821</v>
      </c>
      <c r="AG1057" t="n">
        <v>96</v>
      </c>
      <c r="AH1057" t="n">
        <v>100.729786268</v>
      </c>
      <c r="AI1057" t="n">
        <v>101.591534039</v>
      </c>
      <c r="AJ1057" t="n">
        <v>114.623739333</v>
      </c>
      <c r="AK1057" t="n">
        <v/>
      </c>
      <c r="AL1057" t="n">
        <v>99.128047779</v>
      </c>
      <c r="AM1057" t="n">
        <v>75</v>
      </c>
      <c r="AN1057" t="n">
        <v>130.041862718</v>
      </c>
      <c r="AO1057" t="n">
        <v>84.3</v>
      </c>
      <c r="AP1057" t="n">
        <v>65.90549212400001</v>
      </c>
      <c r="AQ1057" t="n">
        <v>103.708642387</v>
      </c>
      <c r="AR1057" t="n">
        <v>118.790100825</v>
      </c>
      <c r="AS1057" t="n">
        <v>66.69444213</v>
      </c>
      <c r="AT1057" t="n">
        <v>99.269218686</v>
      </c>
      <c r="AU1057" t="n">
        <v/>
      </c>
    </row>
    <row r="1058">
      <c r="A1058" s="105" t="n">
        <v>39083</v>
      </c>
      <c r="B1058" t="n">
        <v>94.25549298999999</v>
      </c>
      <c r="C1058" t="n">
        <v>93.992167319</v>
      </c>
      <c r="D1058" t="n">
        <v>102.04026883</v>
      </c>
      <c r="E1058" t="n">
        <v>98.077525021</v>
      </c>
      <c r="F1058" t="n">
        <v/>
      </c>
      <c r="G1058" t="n">
        <v/>
      </c>
      <c r="H1058" t="n">
        <v>91.951891903</v>
      </c>
      <c r="I1058" t="n">
        <v>94.24763901999999</v>
      </c>
      <c r="J1058" t="n">
        <v>93.98433594399999</v>
      </c>
      <c r="K1058" t="n">
        <v>95.10792566000001</v>
      </c>
      <c r="L1058" t="n">
        <v>116.5</v>
      </c>
      <c r="M1058" t="n">
        <v>105.591200733</v>
      </c>
      <c r="N1058" t="n">
        <v>134.786112322</v>
      </c>
      <c r="O1058" t="n">
        <v>80.106675556</v>
      </c>
      <c r="P1058" t="n">
        <v/>
      </c>
      <c r="Q1058" t="n">
        <v>119.819969995</v>
      </c>
      <c r="R1058" t="n">
        <v>110.969075258</v>
      </c>
      <c r="S1058" t="n">
        <v>103.49119407</v>
      </c>
      <c r="T1058" t="n">
        <v>108.878669968</v>
      </c>
      <c r="U1058" t="n">
        <v/>
      </c>
      <c r="V1058" t="n">
        <v>149.762717509</v>
      </c>
      <c r="W1058" t="n">
        <v>88.10734227899999</v>
      </c>
      <c r="X1058" t="n">
        <v>69.80910673</v>
      </c>
      <c r="Y1058" t="n">
        <v/>
      </c>
      <c r="Z1058" t="n">
        <v>63.52823411</v>
      </c>
      <c r="AA1058" t="n">
        <v>52.028275397</v>
      </c>
      <c r="AB1058" t="n">
        <v>82.43559719</v>
      </c>
      <c r="AC1058" t="n">
        <v>128.08932589</v>
      </c>
      <c r="AD1058" t="n">
        <v>114.448531457</v>
      </c>
      <c r="AE1058" t="n">
        <v>73.378</v>
      </c>
      <c r="AF1058" t="n">
        <v>120.88992584</v>
      </c>
      <c r="AG1058" t="n">
        <v>93.8</v>
      </c>
      <c r="AH1058" t="n">
        <v>101.066896507</v>
      </c>
      <c r="AI1058" t="n">
        <v>101.291559037</v>
      </c>
      <c r="AJ1058" t="n">
        <v>112.878200155</v>
      </c>
      <c r="AK1058" t="n">
        <v/>
      </c>
      <c r="AL1058" t="n">
        <v>98.941579491</v>
      </c>
      <c r="AM1058" t="n">
        <v>74.40000000000001</v>
      </c>
      <c r="AN1058" t="n">
        <v>126.053553354</v>
      </c>
      <c r="AO1058" t="n">
        <v>85.90000000000001</v>
      </c>
      <c r="AP1058" t="n">
        <v>68.905742145</v>
      </c>
      <c r="AQ1058" t="n">
        <v>102.408534045</v>
      </c>
      <c r="AR1058" t="n">
        <v>116.590284143</v>
      </c>
      <c r="AS1058" t="n">
        <v>69.394217149</v>
      </c>
      <c r="AT1058" t="n">
        <v>98.883393123</v>
      </c>
      <c r="AU1058" t="n">
        <v/>
      </c>
    </row>
    <row r="1059">
      <c r="A1059" s="105" t="n">
        <v>39114</v>
      </c>
      <c r="B1059" t="n">
        <v>95.6068262</v>
      </c>
      <c r="C1059" t="n">
        <v>93.79218398499999</v>
      </c>
      <c r="D1059" t="n">
        <v>103.366459442</v>
      </c>
      <c r="E1059" t="n">
        <v>99.131328102</v>
      </c>
      <c r="F1059" t="n">
        <v/>
      </c>
      <c r="G1059" t="n">
        <v/>
      </c>
      <c r="H1059" t="n">
        <v>93.005756521</v>
      </c>
      <c r="I1059" t="n">
        <v>95.598859628</v>
      </c>
      <c r="J1059" t="n">
        <v>93.5844026</v>
      </c>
      <c r="K1059" t="n">
        <v>95.507958997</v>
      </c>
      <c r="L1059" t="n">
        <v>118.6</v>
      </c>
      <c r="M1059" t="n">
        <v>106.291142405</v>
      </c>
      <c r="N1059" t="n">
        <v>134.053111711</v>
      </c>
      <c r="O1059" t="n">
        <v>82.506875573</v>
      </c>
      <c r="P1059" t="n">
        <v/>
      </c>
      <c r="Q1059" t="n">
        <v>121.120186698</v>
      </c>
      <c r="R1059" t="n">
        <v>111.989066758</v>
      </c>
      <c r="S1059" t="n">
        <v>104.214735362</v>
      </c>
      <c r="T1059" t="n">
        <v>108.2419526</v>
      </c>
      <c r="U1059" t="n">
        <v/>
      </c>
      <c r="V1059" t="n">
        <v>148.363999667</v>
      </c>
      <c r="W1059" t="n">
        <v>88.507375615</v>
      </c>
      <c r="X1059" t="n">
        <v>70.207223524</v>
      </c>
      <c r="Y1059" t="n">
        <v/>
      </c>
      <c r="Z1059" t="n">
        <v>64.89507170100001</v>
      </c>
      <c r="AA1059" t="n">
        <v>53.790159777</v>
      </c>
      <c r="AB1059" t="n">
        <v>82.903981265</v>
      </c>
      <c r="AC1059" t="n">
        <v>128.889259228</v>
      </c>
      <c r="AD1059" t="n">
        <v>115.100659841</v>
      </c>
      <c r="AE1059" t="n">
        <v>74.208</v>
      </c>
      <c r="AF1059" t="n">
        <v>120.289975835</v>
      </c>
      <c r="AG1059" t="n">
        <v>93.7</v>
      </c>
      <c r="AH1059" t="n">
        <v>101.606880721</v>
      </c>
      <c r="AI1059" t="n">
        <v>102.591450712</v>
      </c>
      <c r="AJ1059" t="n">
        <v>112.296353763</v>
      </c>
      <c r="AK1059" t="n">
        <v/>
      </c>
      <c r="AL1059" t="n">
        <v>99.48169615099999</v>
      </c>
      <c r="AM1059" t="n">
        <v>74.3</v>
      </c>
      <c r="AN1059" t="n">
        <v>122.144479129</v>
      </c>
      <c r="AO1059" t="n">
        <v>85.3</v>
      </c>
      <c r="AP1059" t="n">
        <v>67.705642137</v>
      </c>
      <c r="AQ1059" t="n">
        <v>101.208434036</v>
      </c>
      <c r="AR1059" t="n">
        <v>118.090159153</v>
      </c>
      <c r="AS1059" t="n">
        <v>67.794350471</v>
      </c>
      <c r="AT1059" t="n">
        <v>99.84453606300001</v>
      </c>
      <c r="AU1059" t="n">
        <v/>
      </c>
    </row>
    <row r="1060">
      <c r="A1060" s="105" t="n">
        <v>39142</v>
      </c>
      <c r="B1060" t="n">
        <v>96.02911781</v>
      </c>
      <c r="C1060" t="n">
        <v>94.192150654</v>
      </c>
      <c r="D1060" t="n">
        <v>104.663143676</v>
      </c>
      <c r="E1060" t="n">
        <v>99.314854102</v>
      </c>
      <c r="F1060" t="n">
        <v/>
      </c>
      <c r="G1060" t="n">
        <v/>
      </c>
      <c r="H1060" t="n">
        <v>93.342014453</v>
      </c>
      <c r="I1060" t="n">
        <v>96.02111605</v>
      </c>
      <c r="J1060" t="n">
        <v>94.584235961</v>
      </c>
      <c r="K1060" t="n">
        <v>96.008000667</v>
      </c>
      <c r="L1060" t="n">
        <v>114.6</v>
      </c>
      <c r="M1060" t="n">
        <v>106.791100742</v>
      </c>
      <c r="N1060" t="n">
        <v>135.692113077</v>
      </c>
      <c r="O1060" t="n">
        <v>83.50695891300001</v>
      </c>
      <c r="P1060" t="n">
        <v/>
      </c>
      <c r="Q1060" t="n">
        <v>122.320386731</v>
      </c>
      <c r="R1060" t="n">
        <v>112.839059675</v>
      </c>
      <c r="S1060" t="n">
        <v>104.451541177</v>
      </c>
      <c r="T1060" t="n">
        <v>107.817474354</v>
      </c>
      <c r="U1060" t="n">
        <v/>
      </c>
      <c r="V1060" t="n">
        <v>141.770044126</v>
      </c>
      <c r="W1060" t="n">
        <v>88.207350613</v>
      </c>
      <c r="X1060" t="n">
        <v>71.70661068699999</v>
      </c>
      <c r="Y1060" t="n">
        <v/>
      </c>
      <c r="Z1060" t="n">
        <v>64.716788537</v>
      </c>
      <c r="AA1060" t="n">
        <v>53.36666837</v>
      </c>
      <c r="AB1060" t="n">
        <v>84.683840749</v>
      </c>
      <c r="AC1060" t="n">
        <v>129.789184235</v>
      </c>
      <c r="AD1060" t="n">
        <v>115.100659841</v>
      </c>
      <c r="AE1060" t="n">
        <v>73.705</v>
      </c>
      <c r="AF1060" t="n">
        <v>119.090075827</v>
      </c>
      <c r="AG1060" t="n">
        <v>96.3</v>
      </c>
      <c r="AH1060" t="n">
        <v>103.006116374</v>
      </c>
      <c r="AI1060" t="n">
        <v>102.69144238</v>
      </c>
      <c r="AJ1060" t="n">
        <v>111.132660978</v>
      </c>
      <c r="AK1060" t="n">
        <v/>
      </c>
      <c r="AL1060" t="n">
        <v>99.814252126</v>
      </c>
      <c r="AM1060" t="n">
        <v>75.8</v>
      </c>
      <c r="AN1060" t="n">
        <v>124.014866243</v>
      </c>
      <c r="AO1060" t="n">
        <v>86.40000000000001</v>
      </c>
      <c r="AP1060" t="n">
        <v>70.405867156</v>
      </c>
      <c r="AQ1060" t="n">
        <v>100.708392366</v>
      </c>
      <c r="AR1060" t="n">
        <v>119.090075827</v>
      </c>
      <c r="AS1060" t="n">
        <v>68.894258812</v>
      </c>
      <c r="AT1060" t="n">
        <v>100.036705156</v>
      </c>
      <c r="AU1060" t="n">
        <v/>
      </c>
    </row>
    <row r="1061">
      <c r="A1061" s="105" t="n">
        <v>39173</v>
      </c>
      <c r="B1061" t="n">
        <v>95.10007621</v>
      </c>
      <c r="C1061" t="n">
        <v>93.79218398499999</v>
      </c>
      <c r="D1061" t="n">
        <v>105.721123508</v>
      </c>
      <c r="E1061" t="n">
        <v>98.874766245</v>
      </c>
      <c r="F1061" t="n">
        <v/>
      </c>
      <c r="G1061" t="n">
        <v/>
      </c>
      <c r="H1061" t="n">
        <v>96.037206056</v>
      </c>
      <c r="I1061" t="n">
        <v>95.092151864</v>
      </c>
      <c r="J1061" t="n">
        <v>93.284452591</v>
      </c>
      <c r="K1061" t="n">
        <v>95.10792566000001</v>
      </c>
      <c r="L1061" t="n">
        <v>113.9</v>
      </c>
      <c r="M1061" t="n">
        <v>105.391217399</v>
      </c>
      <c r="N1061" t="n">
        <v>133.173110978</v>
      </c>
      <c r="O1061" t="n">
        <v>86.307192266</v>
      </c>
      <c r="P1061" t="n">
        <v/>
      </c>
      <c r="Q1061" t="n">
        <v>119.019836639</v>
      </c>
      <c r="R1061" t="n">
        <v>110.969075258</v>
      </c>
      <c r="S1061" t="n">
        <v>104.256296344</v>
      </c>
      <c r="T1061" t="n">
        <v>106.756278741</v>
      </c>
      <c r="U1061" t="n">
        <v/>
      </c>
      <c r="V1061" t="n">
        <v>142.769128299</v>
      </c>
      <c r="W1061" t="n">
        <v>89.607467289</v>
      </c>
      <c r="X1061" t="n">
        <v>72.58375959999999</v>
      </c>
      <c r="Y1061" t="n">
        <v/>
      </c>
      <c r="Z1061" t="n">
        <v>64.122511323</v>
      </c>
      <c r="AA1061" t="n">
        <v>52.14326119</v>
      </c>
      <c r="AB1061" t="n">
        <v>83.27868852500001</v>
      </c>
      <c r="AC1061" t="n">
        <v>127.389384218</v>
      </c>
      <c r="AD1061" t="n">
        <v>114.774595649</v>
      </c>
      <c r="AE1061" t="n">
        <v>75.34399999999999</v>
      </c>
      <c r="AF1061" t="n">
        <v>115.790350804</v>
      </c>
      <c r="AG1061" t="n">
        <v>91.40000000000001</v>
      </c>
      <c r="AH1061" t="n">
        <v>102.550516975</v>
      </c>
      <c r="AI1061" t="n">
        <v>101.091575702</v>
      </c>
      <c r="AJ1061" t="n">
        <v>117.99844841</v>
      </c>
      <c r="AK1061" t="n">
        <v/>
      </c>
      <c r="AL1061" t="n">
        <v>99.71172444699999</v>
      </c>
      <c r="AM1061" t="n">
        <v>74.7</v>
      </c>
      <c r="AN1061" t="n">
        <v>119.723073708</v>
      </c>
      <c r="AO1061" t="n">
        <v>85.90000000000001</v>
      </c>
      <c r="AP1061" t="n">
        <v>68.805733811</v>
      </c>
      <c r="AQ1061" t="n">
        <v>102.808567381</v>
      </c>
      <c r="AR1061" t="n">
        <v>117.590200817</v>
      </c>
      <c r="AS1061" t="n">
        <v>69.294225481</v>
      </c>
      <c r="AT1061" t="n">
        <v>100.72288169</v>
      </c>
      <c r="AU1061" t="n">
        <v/>
      </c>
    </row>
    <row r="1062">
      <c r="A1062" s="105" t="n">
        <v>39203</v>
      </c>
      <c r="B1062" t="n">
        <v>96.11357619</v>
      </c>
      <c r="C1062" t="n">
        <v>96.19198400099999</v>
      </c>
      <c r="D1062" t="n">
        <v>105.985051459</v>
      </c>
      <c r="E1062" t="n">
        <v>99.09521147</v>
      </c>
      <c r="F1062" t="n">
        <v/>
      </c>
      <c r="G1062" t="n">
        <v/>
      </c>
      <c r="H1062" t="n">
        <v>94.43556452</v>
      </c>
      <c r="I1062" t="n">
        <v>96.105567393</v>
      </c>
      <c r="J1062" t="n">
        <v>93.78436927200001</v>
      </c>
      <c r="K1062" t="n">
        <v>96.808067339</v>
      </c>
      <c r="L1062" t="n">
        <v>112.7</v>
      </c>
      <c r="M1062" t="n">
        <v>107.291059078</v>
      </c>
      <c r="N1062" t="n">
        <v>136.290113575</v>
      </c>
      <c r="O1062" t="n">
        <v>86.807233936</v>
      </c>
      <c r="P1062" t="n">
        <v/>
      </c>
      <c r="Q1062" t="n">
        <v>119.019836639</v>
      </c>
      <c r="R1062" t="n">
        <v>113.639053008</v>
      </c>
      <c r="S1062" t="n">
        <v>105.157786068</v>
      </c>
      <c r="T1062" t="n">
        <v>108.454191723</v>
      </c>
      <c r="U1062" t="n">
        <v/>
      </c>
      <c r="V1062" t="n">
        <v>146.76546499</v>
      </c>
      <c r="W1062" t="n">
        <v>88.307358947</v>
      </c>
      <c r="X1062" t="n">
        <v>74.702069145</v>
      </c>
      <c r="Y1062" t="n">
        <v/>
      </c>
      <c r="Z1062" t="n">
        <v>61.091697535</v>
      </c>
      <c r="AA1062" t="n">
        <v>51.360789441</v>
      </c>
      <c r="AB1062" t="n">
        <v>85.245901639</v>
      </c>
      <c r="AC1062" t="n">
        <v>130.089159237</v>
      </c>
      <c r="AD1062" t="n">
        <v>116.078852417</v>
      </c>
      <c r="AE1062" t="n">
        <v>75.95</v>
      </c>
      <c r="AF1062" t="n">
        <v>115.690359137</v>
      </c>
      <c r="AG1062" t="n">
        <v>94.3</v>
      </c>
      <c r="AH1062" t="n">
        <v>102.368249002</v>
      </c>
      <c r="AI1062" t="n">
        <v>101.691525706</v>
      </c>
      <c r="AJ1062" t="n">
        <v>111.598138092</v>
      </c>
      <c r="AK1062" t="n">
        <v/>
      </c>
      <c r="AL1062" t="n">
        <v>100.444837454</v>
      </c>
      <c r="AM1062" t="n">
        <v>75.59999999999999</v>
      </c>
      <c r="AN1062" t="n">
        <v>123.22559152</v>
      </c>
      <c r="AO1062" t="n">
        <v>86.8</v>
      </c>
      <c r="AP1062" t="n">
        <v>72.706058838</v>
      </c>
      <c r="AQ1062" t="n">
        <v>101.408450704</v>
      </c>
      <c r="AR1062" t="n">
        <v>117.790184151</v>
      </c>
      <c r="AS1062" t="n">
        <v>70.394133822</v>
      </c>
      <c r="AT1062" t="n">
        <v>100.792689245</v>
      </c>
      <c r="AU1062" t="n">
        <v/>
      </c>
    </row>
    <row r="1063">
      <c r="A1063" s="105" t="n">
        <v>39234</v>
      </c>
      <c r="B1063" t="n">
        <v>95.18453459</v>
      </c>
      <c r="C1063" t="n">
        <v>96.39196733599999</v>
      </c>
      <c r="D1063" t="n">
        <v>106.652236922</v>
      </c>
      <c r="E1063" t="n">
        <v>99.368895286</v>
      </c>
      <c r="F1063" t="n">
        <v/>
      </c>
      <c r="G1063" t="n">
        <v/>
      </c>
      <c r="H1063" t="n">
        <v>94.977603604</v>
      </c>
      <c r="I1063" t="n">
        <v>95.176603206</v>
      </c>
      <c r="J1063" t="n">
        <v>93.78436927200001</v>
      </c>
      <c r="K1063" t="n">
        <v>96.708059005</v>
      </c>
      <c r="L1063" t="n">
        <v>115.4</v>
      </c>
      <c r="M1063" t="n">
        <v>107.391050746</v>
      </c>
      <c r="N1063" t="n">
        <v>136.143113453</v>
      </c>
      <c r="O1063" t="n">
        <v>87.207267272</v>
      </c>
      <c r="P1063" t="n">
        <v/>
      </c>
      <c r="Q1063" t="n">
        <v>124.020670112</v>
      </c>
      <c r="R1063" t="n">
        <v>113.209056591</v>
      </c>
      <c r="S1063" t="n">
        <v>104.977838803</v>
      </c>
      <c r="T1063" t="n">
        <v>106.437920057</v>
      </c>
      <c r="U1063" t="n">
        <v/>
      </c>
      <c r="V1063" t="n">
        <v>145.067021897</v>
      </c>
      <c r="W1063" t="n">
        <v>90.407533961</v>
      </c>
      <c r="X1063" t="n">
        <v>75.157010865</v>
      </c>
      <c r="Y1063" t="n">
        <v/>
      </c>
      <c r="Z1063" t="n">
        <v>60.972842092</v>
      </c>
      <c r="AA1063" t="n">
        <v>50.637623862</v>
      </c>
      <c r="AB1063" t="n">
        <v>82.903981265</v>
      </c>
      <c r="AC1063" t="n">
        <v>129.289225898</v>
      </c>
      <c r="AD1063" t="n">
        <v>116.078852417</v>
      </c>
      <c r="AE1063" t="n">
        <v>75.73399999999999</v>
      </c>
      <c r="AF1063" t="n">
        <v>119.490042496</v>
      </c>
      <c r="AG1063" t="n">
        <v>92.7</v>
      </c>
      <c r="AH1063" t="n">
        <v>102.593634847</v>
      </c>
      <c r="AI1063" t="n">
        <v>103.891342388</v>
      </c>
      <c r="AJ1063" t="n">
        <v>107.292474787</v>
      </c>
      <c r="AK1063" t="n">
        <v/>
      </c>
      <c r="AL1063" t="n">
        <v>100.289517892</v>
      </c>
      <c r="AM1063" t="n">
        <v>76</v>
      </c>
      <c r="AN1063" t="n">
        <v>122.218608412</v>
      </c>
      <c r="AO1063" t="n">
        <v>87.2</v>
      </c>
      <c r="AP1063" t="n">
        <v>71.30594216199999</v>
      </c>
      <c r="AQ1063" t="n">
        <v>104.508709059</v>
      </c>
      <c r="AR1063" t="n">
        <v>117.590200817</v>
      </c>
      <c r="AS1063" t="n">
        <v>68.894258812</v>
      </c>
      <c r="AT1063" t="n">
        <v>100.818470444</v>
      </c>
      <c r="AU1063" t="n">
        <v/>
      </c>
    </row>
    <row r="1064">
      <c r="A1064" s="105" t="n">
        <v>39264</v>
      </c>
      <c r="B1064" t="n">
        <v>96.02911781</v>
      </c>
      <c r="C1064" t="n">
        <v>95.09207566000001</v>
      </c>
      <c r="D1064" t="n">
        <v>106.27070183</v>
      </c>
      <c r="E1064" t="n">
        <v>98.32365318399999</v>
      </c>
      <c r="F1064" t="n">
        <v/>
      </c>
      <c r="G1064" t="n">
        <v/>
      </c>
      <c r="H1064" t="n">
        <v>96.39220782699999</v>
      </c>
      <c r="I1064" t="n">
        <v>96.02111605</v>
      </c>
      <c r="J1064" t="n">
        <v>95.084152641</v>
      </c>
      <c r="K1064" t="n">
        <v>97.408117343</v>
      </c>
      <c r="L1064" t="n">
        <v>114</v>
      </c>
      <c r="M1064" t="n">
        <v>107.59103408</v>
      </c>
      <c r="N1064" t="n">
        <v>133.722111435</v>
      </c>
      <c r="O1064" t="n">
        <v>86.107175598</v>
      </c>
      <c r="P1064" t="n">
        <v/>
      </c>
      <c r="Q1064" t="n">
        <v>122.52042007</v>
      </c>
      <c r="R1064" t="n">
        <v>113.359055341</v>
      </c>
      <c r="S1064" t="n">
        <v>104.858115055</v>
      </c>
      <c r="T1064" t="n">
        <v>105.058365759</v>
      </c>
      <c r="U1064" t="n">
        <v/>
      </c>
      <c r="V1064" t="n">
        <v>145.366747148</v>
      </c>
      <c r="W1064" t="n">
        <v>92.907742312</v>
      </c>
      <c r="X1064" t="n">
        <v>75.267152352</v>
      </c>
      <c r="Y1064" t="n">
        <v/>
      </c>
      <c r="Z1064" t="n">
        <v>67.569319161</v>
      </c>
      <c r="AA1064" t="n">
        <v>49.782900118</v>
      </c>
      <c r="AB1064" t="n">
        <v>85.152224824</v>
      </c>
      <c r="AC1064" t="n">
        <v>128.489292559</v>
      </c>
      <c r="AD1064" t="n">
        <v>116.187540482</v>
      </c>
      <c r="AE1064" t="n">
        <v>76.349</v>
      </c>
      <c r="AF1064" t="n">
        <v>115.990334139</v>
      </c>
      <c r="AG1064" t="n">
        <v>92.7</v>
      </c>
      <c r="AH1064" t="n">
        <v>103.137635563</v>
      </c>
      <c r="AI1064" t="n">
        <v>104.19131739</v>
      </c>
      <c r="AJ1064" t="n">
        <v>114.158262219</v>
      </c>
      <c r="AK1064" t="n">
        <v/>
      </c>
      <c r="AL1064" t="n">
        <v>100.406259667</v>
      </c>
      <c r="AM1064" t="n">
        <v>76.8</v>
      </c>
      <c r="AN1064" t="n">
        <v>118.182618845</v>
      </c>
      <c r="AO1064" t="n">
        <v>88.09999999999999</v>
      </c>
      <c r="AP1064" t="n">
        <v>72.206017168</v>
      </c>
      <c r="AQ1064" t="n">
        <v>106.108842404</v>
      </c>
      <c r="AR1064" t="n">
        <v>115.790350804</v>
      </c>
      <c r="AS1064" t="n">
        <v>68.59428380999999</v>
      </c>
      <c r="AT1064" t="n">
        <v>100.708007921</v>
      </c>
      <c r="AU1064" t="n">
        <v/>
      </c>
    </row>
    <row r="1065">
      <c r="A1065" s="105" t="n">
        <v>39295</v>
      </c>
      <c r="B1065" t="n">
        <v>96.62032618000001</v>
      </c>
      <c r="C1065" t="n">
        <v>96.39196733599999</v>
      </c>
      <c r="D1065" t="n">
        <v>107.728801369</v>
      </c>
      <c r="E1065" t="n">
        <v>98.938171</v>
      </c>
      <c r="F1065" t="n">
        <v/>
      </c>
      <c r="G1065" t="n">
        <v/>
      </c>
      <c r="H1065" t="n">
        <v>93.80588237800001</v>
      </c>
      <c r="I1065" t="n">
        <v>96.612275157</v>
      </c>
      <c r="J1065" t="n">
        <v>93.5844026</v>
      </c>
      <c r="K1065" t="n">
        <v>97.708142345</v>
      </c>
      <c r="L1065" t="n">
        <v>115.7</v>
      </c>
      <c r="M1065" t="n">
        <v>108.290975752</v>
      </c>
      <c r="N1065" t="n">
        <v>133.862111552</v>
      </c>
      <c r="O1065" t="n">
        <v>86.607217268</v>
      </c>
      <c r="P1065" t="n">
        <v/>
      </c>
      <c r="Q1065" t="n">
        <v>120.620103351</v>
      </c>
      <c r="R1065" t="n">
        <v>114.049049591</v>
      </c>
      <c r="S1065" t="n">
        <v>105.921917491</v>
      </c>
      <c r="T1065" t="n">
        <v>106.544039618</v>
      </c>
      <c r="U1065" t="n">
        <v/>
      </c>
      <c r="V1065" t="n">
        <v>142.869036716</v>
      </c>
      <c r="W1065" t="n">
        <v>92.60771731</v>
      </c>
      <c r="X1065" t="n">
        <v>75.490854403</v>
      </c>
      <c r="Y1065" t="n">
        <v/>
      </c>
      <c r="Z1065" t="n">
        <v>63.290523224</v>
      </c>
      <c r="AA1065" t="n">
        <v>49.742824412</v>
      </c>
      <c r="AB1065" t="n">
        <v>84.402810304</v>
      </c>
      <c r="AC1065" t="n">
        <v>133.288892592</v>
      </c>
      <c r="AD1065" t="n">
        <v>119.122118211</v>
      </c>
      <c r="AE1065" t="n">
        <v>79.03100000000001</v>
      </c>
      <c r="AF1065" t="n">
        <v>113.390550787</v>
      </c>
      <c r="AG1065" t="n">
        <v>94.5</v>
      </c>
      <c r="AH1065" t="n">
        <v>101.995331277</v>
      </c>
      <c r="AI1065" t="n">
        <v>104.391300725</v>
      </c>
      <c r="AJ1065" t="n">
        <v>113.576415826</v>
      </c>
      <c r="AK1065" t="n">
        <v/>
      </c>
      <c r="AL1065" t="n">
        <v>101.162716521</v>
      </c>
      <c r="AM1065" t="n">
        <v>77</v>
      </c>
      <c r="AN1065" t="n">
        <v>116.739249773</v>
      </c>
      <c r="AO1065" t="n">
        <v>87.59999999999999</v>
      </c>
      <c r="AP1065" t="n">
        <v>70.705892158</v>
      </c>
      <c r="AQ1065" t="n">
        <v>105.808817401</v>
      </c>
      <c r="AR1065" t="n">
        <v>117.590200817</v>
      </c>
      <c r="AS1065" t="n">
        <v>69.694192151</v>
      </c>
      <c r="AT1065" t="n">
        <v>100.918620488</v>
      </c>
      <c r="AU1065" t="n">
        <v/>
      </c>
    </row>
    <row r="1066">
      <c r="A1066" s="105" t="n">
        <v>39326</v>
      </c>
      <c r="B1066" t="n">
        <v>95.6068262</v>
      </c>
      <c r="C1066" t="n">
        <v>96.99191734</v>
      </c>
      <c r="D1066" t="n">
        <v>107.058929505</v>
      </c>
      <c r="E1066" t="n">
        <v>98.408192857</v>
      </c>
      <c r="F1066" t="n">
        <v/>
      </c>
      <c r="G1066" t="n">
        <v/>
      </c>
      <c r="H1066" t="n">
        <v>95.169400197</v>
      </c>
      <c r="I1066" t="n">
        <v>95.598859628</v>
      </c>
      <c r="J1066" t="n">
        <v>93.884352608</v>
      </c>
      <c r="K1066" t="n">
        <v>98.708225685</v>
      </c>
      <c r="L1066" t="n">
        <v>113.1</v>
      </c>
      <c r="M1066" t="n">
        <v>107.891009083</v>
      </c>
      <c r="N1066" t="n">
        <v>134.360111967</v>
      </c>
      <c r="O1066" t="n">
        <v>86.807233936</v>
      </c>
      <c r="P1066" t="n">
        <v/>
      </c>
      <c r="Q1066" t="n">
        <v>121.820303384</v>
      </c>
      <c r="R1066" t="n">
        <v>111.409071591</v>
      </c>
      <c r="S1066" t="n">
        <v>105.456605672</v>
      </c>
      <c r="T1066" t="n">
        <v>105.270604882</v>
      </c>
      <c r="U1066" t="n">
        <v/>
      </c>
      <c r="V1066" t="n">
        <v>143.368578803</v>
      </c>
      <c r="W1066" t="n">
        <v>92.70772564400001</v>
      </c>
      <c r="X1066" t="n">
        <v>74.422500957</v>
      </c>
      <c r="Y1066" t="n">
        <v/>
      </c>
      <c r="Z1066" t="n">
        <v>62.63681829</v>
      </c>
      <c r="AA1066" t="n">
        <v>49.308806639</v>
      </c>
      <c r="AB1066" t="n">
        <v>86.651053864</v>
      </c>
      <c r="AC1066" t="n">
        <v>129.889175902</v>
      </c>
      <c r="AD1066" t="n">
        <v>117.383109186</v>
      </c>
      <c r="AE1066" t="n">
        <v>77.74299999999999</v>
      </c>
      <c r="AF1066" t="n">
        <v>112.290642446</v>
      </c>
      <c r="AG1066" t="n">
        <v>92.8</v>
      </c>
      <c r="AH1066" t="n">
        <v>103.095789897</v>
      </c>
      <c r="AI1066" t="n">
        <v>106.191150737</v>
      </c>
      <c r="AJ1066" t="n">
        <v>115.089216447</v>
      </c>
      <c r="AK1066" t="n">
        <v/>
      </c>
      <c r="AL1066" t="n">
        <v>100.930299491</v>
      </c>
      <c r="AM1066" t="n">
        <v>77.40000000000001</v>
      </c>
      <c r="AN1066" t="n">
        <v>117.895398838</v>
      </c>
      <c r="AO1066" t="n">
        <v>87.2</v>
      </c>
      <c r="AP1066" t="n">
        <v>73.80615051300001</v>
      </c>
      <c r="AQ1066" t="n">
        <v>103.808650721</v>
      </c>
      <c r="AR1066" t="n">
        <v>115.1904008</v>
      </c>
      <c r="AS1066" t="n">
        <v>70.194150487</v>
      </c>
      <c r="AT1066" t="n">
        <v>101.169293071</v>
      </c>
      <c r="AU1066" t="n">
        <v/>
      </c>
    </row>
    <row r="1067">
      <c r="A1067" s="105" t="n">
        <v>39356</v>
      </c>
      <c r="B1067" t="n">
        <v>96.70478446</v>
      </c>
      <c r="C1067" t="n">
        <v>100.491625698</v>
      </c>
      <c r="D1067" t="n">
        <v>109.524583795</v>
      </c>
      <c r="E1067" t="n">
        <v>97.71609116400001</v>
      </c>
      <c r="F1067" t="n">
        <v/>
      </c>
      <c r="G1067" t="n">
        <v/>
      </c>
      <c r="H1067" t="n">
        <v>93.757095037</v>
      </c>
      <c r="I1067" t="n">
        <v>96.696726399</v>
      </c>
      <c r="J1067" t="n">
        <v>95.084152641</v>
      </c>
      <c r="K1067" t="n">
        <v>98.80823402</v>
      </c>
      <c r="L1067" t="n">
        <v>118.8</v>
      </c>
      <c r="M1067" t="n">
        <v>108.690942421</v>
      </c>
      <c r="N1067" t="n">
        <v>134.630112192</v>
      </c>
      <c r="O1067" t="n">
        <v>86.70722560199999</v>
      </c>
      <c r="P1067" t="n">
        <v/>
      </c>
      <c r="Q1067" t="n">
        <v>120.820136689</v>
      </c>
      <c r="R1067" t="n">
        <v>113.939050508</v>
      </c>
      <c r="S1067" t="n">
        <v>105.581501192</v>
      </c>
      <c r="T1067" t="n">
        <v>105.058365759</v>
      </c>
      <c r="U1067" t="n">
        <v/>
      </c>
      <c r="V1067" t="n">
        <v>142.469403047</v>
      </c>
      <c r="W1067" t="n">
        <v>92.60771731</v>
      </c>
      <c r="X1067" t="n">
        <v>76.697698309</v>
      </c>
      <c r="Y1067" t="n">
        <v/>
      </c>
      <c r="Z1067" t="n">
        <v>67.98531321</v>
      </c>
      <c r="AA1067" t="n">
        <v>49.229786986</v>
      </c>
      <c r="AB1067" t="n">
        <v>86.182669789</v>
      </c>
      <c r="AC1067" t="n">
        <v>128.489292559</v>
      </c>
      <c r="AD1067" t="n">
        <v>118.904742083</v>
      </c>
      <c r="AE1067" t="n">
        <v>81.285</v>
      </c>
      <c r="AF1067" t="n">
        <v>114.690442463</v>
      </c>
      <c r="AG1067" t="n">
        <v>92.5</v>
      </c>
      <c r="AH1067" t="n">
        <v>102.682858666</v>
      </c>
      <c r="AI1067" t="n">
        <v>106.791100742</v>
      </c>
      <c r="AJ1067" t="n">
        <v>114.391000776</v>
      </c>
      <c r="AK1067" t="n">
        <v/>
      </c>
      <c r="AL1067" t="n">
        <v>101.34647627</v>
      </c>
      <c r="AM1067" t="n">
        <v>78.40000000000001</v>
      </c>
      <c r="AN1067" t="n">
        <v>124.481652553</v>
      </c>
      <c r="AO1067" t="n">
        <v>87.2</v>
      </c>
      <c r="AP1067" t="n">
        <v>73.706142179</v>
      </c>
      <c r="AQ1067" t="n">
        <v>106.308859072</v>
      </c>
      <c r="AR1067" t="n">
        <v>116.69027581</v>
      </c>
      <c r="AS1067" t="n">
        <v>69.694192151</v>
      </c>
      <c r="AT1067" t="n">
        <v>100.87280928</v>
      </c>
      <c r="AU1067" t="n">
        <v/>
      </c>
    </row>
    <row r="1068">
      <c r="A1068" s="105" t="n">
        <v>39387</v>
      </c>
      <c r="B1068" t="n">
        <v>94.08657633</v>
      </c>
      <c r="C1068" t="n">
        <v>97.59186734399999</v>
      </c>
      <c r="D1068" t="n">
        <v>108.529690362</v>
      </c>
      <c r="E1068" t="n">
        <v>97.381410368</v>
      </c>
      <c r="F1068" t="n">
        <v/>
      </c>
      <c r="G1068" t="n">
        <v/>
      </c>
      <c r="H1068" t="n">
        <v>95.014604138</v>
      </c>
      <c r="I1068" t="n">
        <v>94.078736435</v>
      </c>
      <c r="J1068" t="n">
        <v>95.684052658</v>
      </c>
      <c r="K1068" t="n">
        <v>98.60821735099999</v>
      </c>
      <c r="L1068" t="n">
        <v>117.4</v>
      </c>
      <c r="M1068" t="n">
        <v>107.99100075</v>
      </c>
      <c r="N1068" t="n">
        <v>133.630111358</v>
      </c>
      <c r="O1068" t="n">
        <v>85.707142262</v>
      </c>
      <c r="P1068" t="n">
        <v/>
      </c>
      <c r="Q1068" t="n">
        <v>128.321386898</v>
      </c>
      <c r="R1068" t="n">
        <v>111.939067174</v>
      </c>
      <c r="S1068" t="n">
        <v>105.42020471</v>
      </c>
      <c r="T1068" t="n">
        <v>105.058365759</v>
      </c>
      <c r="U1068" t="n">
        <v/>
      </c>
      <c r="V1068" t="n">
        <v>143.768212472</v>
      </c>
      <c r="W1068" t="n">
        <v>92.40770064199999</v>
      </c>
      <c r="X1068" t="n">
        <v>77.303135345</v>
      </c>
      <c r="Y1068" t="n">
        <v/>
      </c>
      <c r="Z1068" t="n">
        <v>67.272180554</v>
      </c>
      <c r="AA1068" t="n">
        <v>49.122828128</v>
      </c>
      <c r="AB1068" t="n">
        <v>87.40046838400001</v>
      </c>
      <c r="AC1068" t="n">
        <v>127.089409216</v>
      </c>
      <c r="AD1068" t="n">
        <v>117.709173378</v>
      </c>
      <c r="AE1068" t="n">
        <v>81.255</v>
      </c>
      <c r="AF1068" t="n">
        <v>116.590284143</v>
      </c>
      <c r="AG1068" t="n">
        <v>95.7</v>
      </c>
      <c r="AH1068" t="n">
        <v>101.523940198</v>
      </c>
      <c r="AI1068" t="n">
        <v>109.390884093</v>
      </c>
      <c r="AJ1068" t="n">
        <v>112.179984484</v>
      </c>
      <c r="AK1068" t="n">
        <v/>
      </c>
      <c r="AL1068" t="n">
        <v>101.201668249</v>
      </c>
      <c r="AM1068" t="n">
        <v>77.8</v>
      </c>
      <c r="AN1068" t="n">
        <v>120.578784977</v>
      </c>
      <c r="AO1068" t="n">
        <v>89</v>
      </c>
      <c r="AP1068" t="n">
        <v>78.70655888</v>
      </c>
      <c r="AQ1068" t="n">
        <v>104.408700725</v>
      </c>
      <c r="AR1068" t="n">
        <v>119.990000833</v>
      </c>
      <c r="AS1068" t="n">
        <v>69.89417548500001</v>
      </c>
      <c r="AT1068" t="n">
        <v>101.457447552</v>
      </c>
      <c r="AU1068" t="n">
        <v/>
      </c>
    </row>
    <row r="1069">
      <c r="A1069" s="105" t="n">
        <v>39417</v>
      </c>
      <c r="B1069" t="n">
        <v>97.29599274</v>
      </c>
      <c r="C1069" t="n">
        <v>100.091659028</v>
      </c>
      <c r="D1069" t="n">
        <v>108.929083419</v>
      </c>
      <c r="E1069" t="n">
        <v>95.617848572</v>
      </c>
      <c r="F1069" t="n">
        <v/>
      </c>
      <c r="G1069" t="n">
        <v/>
      </c>
      <c r="H1069" t="n">
        <v>95.680312667</v>
      </c>
      <c r="I1069" t="n">
        <v>97.28788541599999</v>
      </c>
      <c r="J1069" t="n">
        <v>97.1838027</v>
      </c>
      <c r="K1069" t="n">
        <v>99.608300692</v>
      </c>
      <c r="L1069" t="n">
        <v>114.5</v>
      </c>
      <c r="M1069" t="n">
        <v>108.490959087</v>
      </c>
      <c r="N1069" t="n">
        <v>133.378111148</v>
      </c>
      <c r="O1069" t="n">
        <v>84.407033919</v>
      </c>
      <c r="P1069" t="n">
        <v/>
      </c>
      <c r="Q1069" t="n">
        <v>121.720286714</v>
      </c>
      <c r="R1069" t="n">
        <v>112.119065674</v>
      </c>
      <c r="S1069" t="n">
        <v>105.633021827</v>
      </c>
      <c r="T1069" t="n">
        <v>105.270604882</v>
      </c>
      <c r="U1069" t="n">
        <v/>
      </c>
      <c r="V1069" t="n">
        <v>143.268670385</v>
      </c>
      <c r="W1069" t="n">
        <v>97.608134011</v>
      </c>
      <c r="X1069" t="n">
        <v>78.402405179</v>
      </c>
      <c r="Y1069" t="n">
        <v/>
      </c>
      <c r="Z1069" t="n">
        <v>67.509891439</v>
      </c>
      <c r="AA1069" t="n">
        <v>48.633131624</v>
      </c>
      <c r="AB1069" t="n">
        <v>87.587822014</v>
      </c>
      <c r="AC1069" t="n">
        <v>127.989334222</v>
      </c>
      <c r="AD1069" t="n">
        <v>118.361301763</v>
      </c>
      <c r="AE1069" t="n">
        <v>80.91500000000001</v>
      </c>
      <c r="AF1069" t="n">
        <v>115.290392467</v>
      </c>
      <c r="AG1069" t="n">
        <v>95.2</v>
      </c>
      <c r="AH1069" t="n">
        <v>103.274251614</v>
      </c>
      <c r="AI1069" t="n">
        <v>108.890925756</v>
      </c>
      <c r="AJ1069" t="n">
        <v>110.318076028</v>
      </c>
      <c r="AK1069" t="n">
        <v/>
      </c>
      <c r="AL1069" t="n">
        <v>101.55764617</v>
      </c>
      <c r="AM1069" t="n">
        <v>79.8</v>
      </c>
      <c r="AN1069" t="n">
        <v>119.207245506</v>
      </c>
      <c r="AO1069" t="n">
        <v>89</v>
      </c>
      <c r="AP1069" t="n">
        <v>75.006250521</v>
      </c>
      <c r="AQ1069" t="n">
        <v>104.108675723</v>
      </c>
      <c r="AR1069" t="n">
        <v>119.790017499</v>
      </c>
      <c r="AS1069" t="n">
        <v>71.794017165</v>
      </c>
      <c r="AT1069" t="n">
        <v>101.446440963</v>
      </c>
      <c r="AU1069" t="n">
        <v/>
      </c>
    </row>
    <row r="1070">
      <c r="A1070" s="105" t="n">
        <v>39448</v>
      </c>
      <c r="B1070" t="n">
        <v>98.64732595</v>
      </c>
      <c r="C1070" t="n">
        <v>102.591450712</v>
      </c>
      <c r="D1070" t="n">
        <v>110.649305295</v>
      </c>
      <c r="E1070" t="n">
        <v>95.380013858</v>
      </c>
      <c r="F1070" t="n">
        <v/>
      </c>
      <c r="G1070" t="n">
        <v/>
      </c>
      <c r="H1070" t="n">
        <v>95.823842568</v>
      </c>
      <c r="I1070" t="n">
        <v>98.639106024</v>
      </c>
      <c r="J1070" t="n">
        <v>97.1838027</v>
      </c>
      <c r="K1070" t="n">
        <v>101.108425702</v>
      </c>
      <c r="L1070" t="n">
        <v>117.4</v>
      </c>
      <c r="M1070" t="n">
        <v>109.49087576</v>
      </c>
      <c r="N1070" t="n">
        <v>133.790111492</v>
      </c>
      <c r="O1070" t="n">
        <v>84.507042254</v>
      </c>
      <c r="P1070" t="n">
        <v/>
      </c>
      <c r="Q1070" t="n">
        <v>128.221370228</v>
      </c>
      <c r="R1070" t="n">
        <v>113.139057175</v>
      </c>
      <c r="S1070" t="n">
        <v>106.129871269</v>
      </c>
      <c r="T1070" t="n">
        <v>105.588963566</v>
      </c>
      <c r="U1070" t="n">
        <v/>
      </c>
      <c r="V1070" t="n">
        <v>147.764549163</v>
      </c>
      <c r="W1070" t="n">
        <v>94.507875656</v>
      </c>
      <c r="X1070" t="n">
        <v>79.281043887</v>
      </c>
      <c r="Y1070" t="n">
        <v/>
      </c>
      <c r="Z1070" t="n">
        <v>63.409378667</v>
      </c>
      <c r="AA1070" t="n">
        <v>54.088783443</v>
      </c>
      <c r="AB1070" t="n">
        <v>89.836065574</v>
      </c>
      <c r="AC1070" t="n">
        <v>130.689109241</v>
      </c>
      <c r="AD1070" t="n">
        <v>119.165301756</v>
      </c>
      <c r="AE1070" t="n">
        <v>82.456</v>
      </c>
      <c r="AF1070" t="n">
        <v>115.1904008</v>
      </c>
      <c r="AG1070" t="n">
        <v>96.2</v>
      </c>
      <c r="AH1070" t="n">
        <v>103.202026182</v>
      </c>
      <c r="AI1070" t="n">
        <v>104.791267394</v>
      </c>
      <c r="AJ1070" t="n">
        <v>112.412723041</v>
      </c>
      <c r="AK1070" t="n">
        <v/>
      </c>
      <c r="AL1070" t="n">
        <v>102.131346254</v>
      </c>
      <c r="AM1070" t="n">
        <v>82.40000000000001</v>
      </c>
      <c r="AN1070" t="n">
        <v>123.175904734</v>
      </c>
      <c r="AO1070" t="n">
        <v>91.90000000000001</v>
      </c>
      <c r="AP1070" t="n">
        <v>89.307442287</v>
      </c>
      <c r="AQ1070" t="n">
        <v>107.608967414</v>
      </c>
      <c r="AR1070" t="n">
        <v>120.48995917</v>
      </c>
      <c r="AS1070" t="n">
        <v>70.794100492</v>
      </c>
      <c r="AT1070" t="n">
        <v>101.308809023</v>
      </c>
      <c r="AU1070" t="n">
        <v/>
      </c>
    </row>
    <row r="1071">
      <c r="A1071" s="105" t="n">
        <v>39479</v>
      </c>
      <c r="B1071" t="n">
        <v>99.91420087</v>
      </c>
      <c r="C1071" t="n">
        <v>101.491542371</v>
      </c>
      <c r="D1071" t="n">
        <v>110.328038082</v>
      </c>
      <c r="E1071" t="n">
        <v>95.532238776</v>
      </c>
      <c r="F1071" t="n">
        <v/>
      </c>
      <c r="G1071" t="n">
        <v/>
      </c>
      <c r="H1071" t="n">
        <v>95.321314845</v>
      </c>
      <c r="I1071" t="n">
        <v>99.90587538</v>
      </c>
      <c r="J1071" t="n">
        <v>98.383602733</v>
      </c>
      <c r="K1071" t="n">
        <v>100.8084007</v>
      </c>
      <c r="L1071" t="n">
        <v>114.2</v>
      </c>
      <c r="M1071" t="n">
        <v>109.290892426</v>
      </c>
      <c r="N1071" t="n">
        <v>133.684111403</v>
      </c>
      <c r="O1071" t="n">
        <v>84.60705058800001</v>
      </c>
      <c r="P1071" t="n">
        <v/>
      </c>
      <c r="Q1071" t="n">
        <v>125.120853476</v>
      </c>
      <c r="R1071" t="n">
        <v>114.149048758</v>
      </c>
      <c r="S1071" t="n">
        <v>105.993334192</v>
      </c>
      <c r="T1071" t="n">
        <v>106.119561372</v>
      </c>
      <c r="U1071" t="n">
        <v/>
      </c>
      <c r="V1071" t="n">
        <v>139.172425277</v>
      </c>
      <c r="W1071" t="n">
        <v>97.208100675</v>
      </c>
      <c r="X1071" t="n">
        <v>79.27101250299999</v>
      </c>
      <c r="Y1071" t="n">
        <v/>
      </c>
      <c r="Z1071" t="n">
        <v>63.647089552</v>
      </c>
      <c r="AA1071" t="n">
        <v>58.731502779</v>
      </c>
      <c r="AB1071" t="n">
        <v>89.74238875899999</v>
      </c>
      <c r="AC1071" t="n">
        <v>129.689192567</v>
      </c>
      <c r="AD1071" t="n">
        <v>119.473222433</v>
      </c>
      <c r="AE1071" t="n">
        <v>82.30800000000001</v>
      </c>
      <c r="AF1071" t="n">
        <v>117.09024248</v>
      </c>
      <c r="AG1071" t="n">
        <v>97.2</v>
      </c>
      <c r="AH1071" t="n">
        <v>103.735892698</v>
      </c>
      <c r="AI1071" t="n">
        <v>106.591117407</v>
      </c>
      <c r="AJ1071" t="n">
        <v>110.550814585</v>
      </c>
      <c r="AK1071" t="n">
        <v/>
      </c>
      <c r="AL1071" t="n">
        <v>102.093048518</v>
      </c>
      <c r="AM1071" t="n">
        <v>82.09999999999999</v>
      </c>
      <c r="AN1071" t="n">
        <v>123.087053075</v>
      </c>
      <c r="AO1071" t="n">
        <v>89.90000000000001</v>
      </c>
      <c r="AP1071" t="n">
        <v>90.207517293</v>
      </c>
      <c r="AQ1071" t="n">
        <v>109.109092424</v>
      </c>
      <c r="AR1071" t="n">
        <v>120.289975835</v>
      </c>
      <c r="AS1071" t="n">
        <v>72.193983835</v>
      </c>
      <c r="AT1071" t="n">
        <v>100.910886128</v>
      </c>
      <c r="AU1071" t="n">
        <v/>
      </c>
    </row>
    <row r="1072">
      <c r="A1072" s="105" t="n">
        <v>39508</v>
      </c>
      <c r="B1072" t="n">
        <v>99.99865925</v>
      </c>
      <c r="C1072" t="n">
        <v>101.491542371</v>
      </c>
      <c r="D1072" t="n">
        <v>110.774311049</v>
      </c>
      <c r="E1072" t="n">
        <v>94.66757983799999</v>
      </c>
      <c r="F1072" t="n">
        <v/>
      </c>
      <c r="G1072" t="n">
        <v/>
      </c>
      <c r="H1072" t="n">
        <v>97.438834633</v>
      </c>
      <c r="I1072" t="n">
        <v>99.990326723</v>
      </c>
      <c r="J1072" t="n">
        <v>94.684219297</v>
      </c>
      <c r="K1072" t="n">
        <v>100.108342362</v>
      </c>
      <c r="L1072" t="n">
        <v>116.2</v>
      </c>
      <c r="M1072" t="n">
        <v>108.790934089</v>
      </c>
      <c r="N1072" t="n">
        <v>131.230109358</v>
      </c>
      <c r="O1072" t="n">
        <v>82.90690890899999</v>
      </c>
      <c r="P1072" t="n">
        <v/>
      </c>
      <c r="Q1072" t="n">
        <v>123.420570095</v>
      </c>
      <c r="R1072" t="n">
        <v>112.879059341</v>
      </c>
      <c r="S1072" t="n">
        <v>105.337712852</v>
      </c>
      <c r="T1072" t="n">
        <v>104.421648391</v>
      </c>
      <c r="U1072" t="n">
        <v/>
      </c>
      <c r="V1072" t="n">
        <v>136.774623262</v>
      </c>
      <c r="W1072" t="n">
        <v>94.30785898800001</v>
      </c>
      <c r="X1072" t="n">
        <v>80.15997298800001</v>
      </c>
      <c r="Y1072" t="n">
        <v/>
      </c>
      <c r="Z1072" t="n">
        <v>63.231095503</v>
      </c>
      <c r="AA1072" t="n">
        <v>63.432100953</v>
      </c>
      <c r="AB1072" t="n">
        <v>93.208430913</v>
      </c>
      <c r="AC1072" t="n">
        <v>130.389134239</v>
      </c>
      <c r="AD1072" t="n">
        <v>118.241539727</v>
      </c>
      <c r="AE1072" t="n">
        <v>83.099</v>
      </c>
      <c r="AF1072" t="n">
        <v>117.190234147</v>
      </c>
      <c r="AG1072" t="n">
        <v>95.5</v>
      </c>
      <c r="AH1072" t="n">
        <v>103.005609124</v>
      </c>
      <c r="AI1072" t="n">
        <v>107.391050746</v>
      </c>
      <c r="AJ1072" t="n">
        <v>112.645461598</v>
      </c>
      <c r="AK1072" t="n">
        <v/>
      </c>
      <c r="AL1072" t="n">
        <v>101.502905088</v>
      </c>
      <c r="AM1072" t="n">
        <v>79.7</v>
      </c>
      <c r="AN1072" t="n">
        <v>114.648286898</v>
      </c>
      <c r="AO1072" t="n">
        <v>89.90000000000001</v>
      </c>
      <c r="AP1072" t="n">
        <v>86.807233936</v>
      </c>
      <c r="AQ1072" t="n">
        <v>108.00900075</v>
      </c>
      <c r="AR1072" t="n">
        <v>118.99008416</v>
      </c>
      <c r="AS1072" t="n">
        <v>72.193983835</v>
      </c>
      <c r="AT1072" t="n">
        <v>100.545288891</v>
      </c>
      <c r="AU1072" t="n">
        <v/>
      </c>
    </row>
    <row r="1073">
      <c r="A1073" s="105" t="n">
        <v>39539</v>
      </c>
      <c r="B1073" t="n">
        <v>99.32299260000001</v>
      </c>
      <c r="C1073" t="n">
        <v>102.591450712</v>
      </c>
      <c r="D1073" t="n">
        <v>110.743285312</v>
      </c>
      <c r="E1073" t="n">
        <v>95.672157287</v>
      </c>
      <c r="F1073" t="n">
        <v/>
      </c>
      <c r="G1073" t="n">
        <v/>
      </c>
      <c r="H1073" t="n">
        <v>95.273678758</v>
      </c>
      <c r="I1073" t="n">
        <v>99.314716374</v>
      </c>
      <c r="J1073" t="n">
        <v>96.683886019</v>
      </c>
      <c r="K1073" t="n">
        <v>100.30835903</v>
      </c>
      <c r="L1073" t="n">
        <v>115</v>
      </c>
      <c r="M1073" t="n">
        <v>110.090825765</v>
      </c>
      <c r="N1073" t="n">
        <v>132.045110038</v>
      </c>
      <c r="O1073" t="n">
        <v>86.007167264</v>
      </c>
      <c r="P1073" t="n">
        <v/>
      </c>
      <c r="Q1073" t="n">
        <v>127.521253542</v>
      </c>
      <c r="R1073" t="n">
        <v>115.249039591</v>
      </c>
      <c r="S1073" t="n">
        <v>105.388452364</v>
      </c>
      <c r="T1073" t="n">
        <v>106.862398302</v>
      </c>
      <c r="U1073" t="n">
        <v/>
      </c>
      <c r="V1073" t="n">
        <v>144.367662976</v>
      </c>
      <c r="W1073" t="n">
        <v>95.307942329</v>
      </c>
      <c r="X1073" t="n">
        <v>79.951998459</v>
      </c>
      <c r="Y1073" t="n">
        <v/>
      </c>
      <c r="Z1073" t="n">
        <v>60.85398665</v>
      </c>
      <c r="AA1073" t="n">
        <v>66.300900986</v>
      </c>
      <c r="AB1073" t="n">
        <v>92.740046838</v>
      </c>
      <c r="AC1073" t="n">
        <v>131.689025915</v>
      </c>
      <c r="AD1073" t="n">
        <v>117.7283386</v>
      </c>
      <c r="AE1073" t="n">
        <v>83.661</v>
      </c>
      <c r="AF1073" t="n">
        <v>120.089992501</v>
      </c>
      <c r="AG1073" t="n">
        <v>94.09999999999999</v>
      </c>
      <c r="AH1073" t="n">
        <v>102.361845065</v>
      </c>
      <c r="AI1073" t="n">
        <v>113.190567453</v>
      </c>
      <c r="AJ1073" t="n">
        <v>114.274631497</v>
      </c>
      <c r="AK1073" t="n">
        <v/>
      </c>
      <c r="AL1073" t="n">
        <v>101.715117262</v>
      </c>
      <c r="AM1073" t="n">
        <v>81.59999999999999</v>
      </c>
      <c r="AN1073" t="n">
        <v>121.382246081</v>
      </c>
      <c r="AO1073" t="n">
        <v>90.2</v>
      </c>
      <c r="AP1073" t="n">
        <v>86.607217268</v>
      </c>
      <c r="AQ1073" t="n">
        <v>108.50904242</v>
      </c>
      <c r="AR1073" t="n">
        <v>118.490125823</v>
      </c>
      <c r="AS1073" t="n">
        <v>71.294058828</v>
      </c>
      <c r="AT1073" t="n">
        <v>99.876167612</v>
      </c>
      <c r="AU1073" t="n">
        <v/>
      </c>
    </row>
    <row r="1074">
      <c r="A1074" s="105" t="n">
        <v>39569</v>
      </c>
      <c r="B1074" t="n">
        <v>99.23853431000001</v>
      </c>
      <c r="C1074" t="n">
        <v>100.191650696</v>
      </c>
      <c r="D1074" t="n">
        <v>111.429550833</v>
      </c>
      <c r="E1074" t="n">
        <v>95.395798164</v>
      </c>
      <c r="F1074" t="n">
        <v/>
      </c>
      <c r="G1074" t="n">
        <v/>
      </c>
      <c r="H1074" t="n">
        <v>94.345550305</v>
      </c>
      <c r="I1074" t="n">
        <v>99.230265121</v>
      </c>
      <c r="J1074" t="n">
        <v>95.484085986</v>
      </c>
      <c r="K1074" t="n">
        <v>98.308192349</v>
      </c>
      <c r="L1074" t="n">
        <v>114.6</v>
      </c>
      <c r="M1074" t="n">
        <v>106.791100742</v>
      </c>
      <c r="N1074" t="n">
        <v>128.660107217</v>
      </c>
      <c r="O1074" t="n">
        <v>83.50695891300001</v>
      </c>
      <c r="P1074" t="n">
        <v/>
      </c>
      <c r="Q1074" t="n">
        <v>126.721120187</v>
      </c>
      <c r="R1074" t="n">
        <v>109.859084508</v>
      </c>
      <c r="S1074" t="n">
        <v>104.330627089</v>
      </c>
      <c r="T1074" t="n">
        <v>105.90732225</v>
      </c>
      <c r="U1074" t="n">
        <v/>
      </c>
      <c r="V1074" t="n">
        <v>136.674714845</v>
      </c>
      <c r="W1074" t="n">
        <v>93.307775648</v>
      </c>
      <c r="X1074" t="n">
        <v>80.186292333</v>
      </c>
      <c r="Y1074" t="n">
        <v/>
      </c>
      <c r="Z1074" t="n">
        <v>64.479077651</v>
      </c>
      <c r="AA1074" t="n">
        <v>66.36685660000001</v>
      </c>
      <c r="AB1074" t="n">
        <v>88.99297423900001</v>
      </c>
      <c r="AC1074" t="n">
        <v>127.089409216</v>
      </c>
      <c r="AD1074" t="n">
        <v>118.344179953</v>
      </c>
      <c r="AE1074" t="n">
        <v>82.884</v>
      </c>
      <c r="AF1074" t="n">
        <v>114.190484126</v>
      </c>
      <c r="AG1074" t="n">
        <v>93</v>
      </c>
      <c r="AH1074" t="n">
        <v>102.634220454</v>
      </c>
      <c r="AI1074" t="n">
        <v>103.791350721</v>
      </c>
      <c r="AJ1074" t="n">
        <v>114.972847168</v>
      </c>
      <c r="AK1074" t="n">
        <v/>
      </c>
      <c r="AL1074" t="n">
        <v>100.561253496</v>
      </c>
      <c r="AM1074" t="n">
        <v>78.2</v>
      </c>
      <c r="AN1074" t="n">
        <v>114.631952634</v>
      </c>
      <c r="AO1074" t="n">
        <v>91.3</v>
      </c>
      <c r="AP1074" t="n">
        <v>86.90724227</v>
      </c>
      <c r="AQ1074" t="n">
        <v>107.408950746</v>
      </c>
      <c r="AR1074" t="n">
        <v>117.490209149</v>
      </c>
      <c r="AS1074" t="n">
        <v>71.09407549399999</v>
      </c>
      <c r="AT1074" t="n">
        <v>99.29718137099999</v>
      </c>
      <c r="AU1074" t="n">
        <v/>
      </c>
    </row>
    <row r="1075">
      <c r="A1075" s="105" t="n">
        <v>39600</v>
      </c>
      <c r="B1075" t="n">
        <v>97.21153445</v>
      </c>
      <c r="C1075" t="n">
        <v>100.191650696</v>
      </c>
      <c r="D1075" t="n">
        <v>113.127488786</v>
      </c>
      <c r="E1075" t="n">
        <v>96.07987394</v>
      </c>
      <c r="F1075" t="n">
        <v/>
      </c>
      <c r="G1075" t="n">
        <v/>
      </c>
      <c r="H1075" t="n">
        <v>95.345550841</v>
      </c>
      <c r="I1075" t="n">
        <v>97.203434164</v>
      </c>
      <c r="J1075" t="n">
        <v>94.484252625</v>
      </c>
      <c r="K1075" t="n">
        <v>99.408284024</v>
      </c>
      <c r="L1075" t="n">
        <v>113.1</v>
      </c>
      <c r="M1075" t="n">
        <v>106.991084076</v>
      </c>
      <c r="N1075" t="n">
        <v>124.614103845</v>
      </c>
      <c r="O1075" t="n">
        <v>84.90707559000001</v>
      </c>
      <c r="P1075" t="n">
        <v/>
      </c>
      <c r="Q1075" t="n">
        <v>123.320553426</v>
      </c>
      <c r="R1075" t="n">
        <v>109.529087258</v>
      </c>
      <c r="S1075" t="n">
        <v>103.958472262</v>
      </c>
      <c r="T1075" t="n">
        <v>105.801202688</v>
      </c>
      <c r="U1075" t="n">
        <v/>
      </c>
      <c r="V1075" t="n">
        <v>143.768212472</v>
      </c>
      <c r="W1075" t="n">
        <v>91.90765897199999</v>
      </c>
      <c r="X1075" t="n">
        <v>81.27293071699999</v>
      </c>
      <c r="Y1075" t="n">
        <v/>
      </c>
      <c r="Z1075" t="n">
        <v>62.101968798</v>
      </c>
      <c r="AA1075" t="n">
        <v>66.75435498100001</v>
      </c>
      <c r="AB1075" t="n">
        <v>92.646370023</v>
      </c>
      <c r="AC1075" t="n">
        <v>128.489292559</v>
      </c>
      <c r="AD1075" t="n">
        <v>115.162332963</v>
      </c>
      <c r="AE1075" t="n">
        <v>82.354</v>
      </c>
      <c r="AF1075" t="n">
        <v>111.690692442</v>
      </c>
      <c r="AG1075" t="n">
        <v>91.40000000000001</v>
      </c>
      <c r="AH1075" t="n">
        <v>103.017618225</v>
      </c>
      <c r="AI1075" t="n">
        <v>105.291225731</v>
      </c>
      <c r="AJ1075" t="n">
        <v>114.507370054</v>
      </c>
      <c r="AK1075" t="n">
        <v/>
      </c>
      <c r="AL1075" t="n">
        <v>100.217492313</v>
      </c>
      <c r="AM1075" t="n">
        <v>78.8</v>
      </c>
      <c r="AN1075" t="n">
        <v>115.266803343</v>
      </c>
      <c r="AO1075" t="n">
        <v>89.59999999999999</v>
      </c>
      <c r="AP1075" t="n">
        <v>84.707058922</v>
      </c>
      <c r="AQ1075" t="n">
        <v>111.709309109</v>
      </c>
      <c r="AR1075" t="n">
        <v>116.190317474</v>
      </c>
      <c r="AS1075" t="n">
        <v>71.39405049600001</v>
      </c>
      <c r="AT1075" t="n">
        <v>99.073281572</v>
      </c>
      <c r="AU1075" t="n">
        <v/>
      </c>
    </row>
    <row r="1076">
      <c r="A1076" s="105" t="n">
        <v>39630</v>
      </c>
      <c r="B1076" t="n">
        <v>96.19803447</v>
      </c>
      <c r="C1076" t="n">
        <v>103.191400717</v>
      </c>
      <c r="D1076" t="n">
        <v>113.496120342</v>
      </c>
      <c r="E1076" t="n">
        <v>97.60185559200001</v>
      </c>
      <c r="F1076" t="n">
        <v/>
      </c>
      <c r="G1076" t="n">
        <v/>
      </c>
      <c r="H1076" t="n">
        <v>95.495510395</v>
      </c>
      <c r="I1076" t="n">
        <v>96.190018635</v>
      </c>
      <c r="J1076" t="n">
        <v>91.78470255000001</v>
      </c>
      <c r="K1076" t="n">
        <v>97.708142345</v>
      </c>
      <c r="L1076" t="n">
        <v>112.8</v>
      </c>
      <c r="M1076" t="n">
        <v>105.991167403</v>
      </c>
      <c r="N1076" t="n">
        <v>126.460105383</v>
      </c>
      <c r="O1076" t="n">
        <v>84.807067256</v>
      </c>
      <c r="P1076" t="n">
        <v/>
      </c>
      <c r="Q1076" t="n">
        <v>126.521086848</v>
      </c>
      <c r="R1076" t="n">
        <v>110.349080424</v>
      </c>
      <c r="S1076" t="n">
        <v>103.447732861</v>
      </c>
      <c r="T1076" t="n">
        <v>106.119561372</v>
      </c>
      <c r="U1076" t="n">
        <v/>
      </c>
      <c r="V1076" t="n">
        <v>140.17150945</v>
      </c>
      <c r="W1076" t="n">
        <v>91.407617301</v>
      </c>
      <c r="X1076" t="n">
        <v>79.20730382399999</v>
      </c>
      <c r="Y1076" t="n">
        <v/>
      </c>
      <c r="Z1076" t="n">
        <v>61.388836142</v>
      </c>
      <c r="AA1076" t="n">
        <v>68.657053104</v>
      </c>
      <c r="AB1076" t="n">
        <v>92.084309133</v>
      </c>
      <c r="AC1076" t="n">
        <v>124.389634197</v>
      </c>
      <c r="AD1076" t="n">
        <v>115.162332963</v>
      </c>
      <c r="AE1076" t="n">
        <v>81.607</v>
      </c>
      <c r="AF1076" t="n">
        <v>116.990250812</v>
      </c>
      <c r="AG1076" t="n">
        <v>90.3</v>
      </c>
      <c r="AH1076" t="n">
        <v>102.394615734</v>
      </c>
      <c r="AI1076" t="n">
        <v>105.291225731</v>
      </c>
      <c r="AJ1076" t="n">
        <v>115.554693561</v>
      </c>
      <c r="AK1076" t="n">
        <v/>
      </c>
      <c r="AL1076" t="n">
        <v>99.73261411999999</v>
      </c>
      <c r="AM1076" t="n">
        <v>78.5</v>
      </c>
      <c r="AN1076" t="n">
        <v>114.754942709</v>
      </c>
      <c r="AO1076" t="n">
        <v>89</v>
      </c>
      <c r="AP1076" t="n">
        <v>84.60705058800001</v>
      </c>
      <c r="AQ1076" t="n">
        <v>105.208767397</v>
      </c>
      <c r="AR1076" t="n">
        <v>115.590367469</v>
      </c>
      <c r="AS1076" t="n">
        <v>69.89417548500001</v>
      </c>
      <c r="AT1076" t="n">
        <v>98.657014362</v>
      </c>
      <c r="AU1076" t="n">
        <v/>
      </c>
    </row>
    <row r="1077">
      <c r="A1077" s="105" t="n">
        <v>39661</v>
      </c>
      <c r="B1077" t="n">
        <v>98.64732595</v>
      </c>
      <c r="C1077" t="n">
        <v>100.491625698</v>
      </c>
      <c r="D1077" t="n">
        <v>112.299449521</v>
      </c>
      <c r="E1077" t="n">
        <v>96.46137259299999</v>
      </c>
      <c r="F1077" t="n">
        <v/>
      </c>
      <c r="G1077" t="n">
        <v/>
      </c>
      <c r="H1077" t="n">
        <v>93.368484477</v>
      </c>
      <c r="I1077" t="n">
        <v>98.639106024</v>
      </c>
      <c r="J1077" t="n">
        <v>89.785035827</v>
      </c>
      <c r="K1077" t="n">
        <v>99.70830902599999</v>
      </c>
      <c r="L1077" t="n">
        <v>112.5</v>
      </c>
      <c r="M1077" t="n">
        <v>105.591200733</v>
      </c>
      <c r="N1077" t="n">
        <v>123.128102607</v>
      </c>
      <c r="O1077" t="n">
        <v>82.90690890899999</v>
      </c>
      <c r="P1077" t="n">
        <v/>
      </c>
      <c r="Q1077" t="n">
        <v>122.120353392</v>
      </c>
      <c r="R1077" t="n">
        <v>108.859092841</v>
      </c>
      <c r="S1077" t="n">
        <v>102.02179462</v>
      </c>
      <c r="T1077" t="n">
        <v>106.437920057</v>
      </c>
      <c r="U1077" t="n">
        <v/>
      </c>
      <c r="V1077" t="n">
        <v>136.374989593</v>
      </c>
      <c r="W1077" t="n">
        <v>92.007667306</v>
      </c>
      <c r="X1077" t="n">
        <v>80.130964918</v>
      </c>
      <c r="Y1077" t="n">
        <v/>
      </c>
      <c r="Z1077" t="n">
        <v>65.429921193</v>
      </c>
      <c r="AA1077" t="n">
        <v>71.78942137600001</v>
      </c>
      <c r="AB1077" t="n">
        <v>92.927400468</v>
      </c>
      <c r="AC1077" t="n">
        <v>121.189900842</v>
      </c>
      <c r="AD1077" t="n">
        <v>110.95408372</v>
      </c>
      <c r="AE1077" t="n">
        <v>82.06699999999999</v>
      </c>
      <c r="AF1077" t="n">
        <v>115.590367469</v>
      </c>
      <c r="AG1077" t="n">
        <v>87.3</v>
      </c>
      <c r="AH1077" t="n">
        <v>102.198611686</v>
      </c>
      <c r="AI1077" t="n">
        <v>103.791350721</v>
      </c>
      <c r="AJ1077" t="n">
        <v>107.757951901</v>
      </c>
      <c r="AK1077" t="n">
        <v/>
      </c>
      <c r="AL1077" t="n">
        <v>98.48479731800001</v>
      </c>
      <c r="AM1077" t="n">
        <v>77.2</v>
      </c>
      <c r="AN1077" t="n">
        <v>111.967863034</v>
      </c>
      <c r="AO1077" t="n">
        <v>89.5</v>
      </c>
      <c r="AP1077" t="n">
        <v>81.406783899</v>
      </c>
      <c r="AQ1077" t="n">
        <v>108.409034086</v>
      </c>
      <c r="AR1077" t="n">
        <v>116.490292476</v>
      </c>
      <c r="AS1077" t="n">
        <v>68.994250479</v>
      </c>
      <c r="AT1077" t="n">
        <v>97.11252220900001</v>
      </c>
      <c r="AU1077" t="n">
        <v/>
      </c>
    </row>
    <row r="1078">
      <c r="A1078" s="105" t="n">
        <v>39692</v>
      </c>
      <c r="B1078" t="n">
        <v>98.14057605000001</v>
      </c>
      <c r="C1078" t="n">
        <v>100.7916007</v>
      </c>
      <c r="D1078" t="n">
        <v>113.745933675</v>
      </c>
      <c r="E1078" t="n">
        <v>95.505753246</v>
      </c>
      <c r="F1078" t="n">
        <v/>
      </c>
      <c r="G1078" t="n">
        <v/>
      </c>
      <c r="H1078" t="n">
        <v>94.39068867899999</v>
      </c>
      <c r="I1078" t="n">
        <v>98.13239835</v>
      </c>
      <c r="J1078" t="n">
        <v>90.48491918000001</v>
      </c>
      <c r="K1078" t="n">
        <v>97.408117343</v>
      </c>
      <c r="L1078" t="n">
        <v>111.1</v>
      </c>
      <c r="M1078" t="n">
        <v>104.791267394</v>
      </c>
      <c r="N1078" t="n">
        <v>122.53210211</v>
      </c>
      <c r="O1078" t="n">
        <v>83.906992249</v>
      </c>
      <c r="P1078" t="n">
        <v/>
      </c>
      <c r="Q1078" t="n">
        <v>125.320886814</v>
      </c>
      <c r="R1078" t="n">
        <v>108.379096841</v>
      </c>
      <c r="S1078" t="n">
        <v>99.855190808</v>
      </c>
      <c r="T1078" t="n">
        <v>106.119561372</v>
      </c>
      <c r="U1078" t="n">
        <v/>
      </c>
      <c r="V1078" t="n">
        <v>136.574806427</v>
      </c>
      <c r="W1078" t="n">
        <v>89.107425619</v>
      </c>
      <c r="X1078" t="n">
        <v>82.15518143600001</v>
      </c>
      <c r="Y1078" t="n">
        <v/>
      </c>
      <c r="Z1078" t="n">
        <v>63.52823411</v>
      </c>
      <c r="AA1078" t="n">
        <v>74.64579602800001</v>
      </c>
      <c r="AB1078" t="n">
        <v>87.11943793899999</v>
      </c>
      <c r="AC1078" t="n">
        <v>120.389967503</v>
      </c>
      <c r="AD1078" t="n">
        <v>112.391046876</v>
      </c>
      <c r="AE1078" t="n">
        <v>80.334</v>
      </c>
      <c r="AF1078" t="n">
        <v>115.690359137</v>
      </c>
      <c r="AG1078" t="n">
        <v>88.8</v>
      </c>
      <c r="AH1078" t="n">
        <v>100.751352356</v>
      </c>
      <c r="AI1078" t="n">
        <v>106.691109074</v>
      </c>
      <c r="AJ1078" t="n">
        <v>111.249030256</v>
      </c>
      <c r="AK1078" t="n">
        <v/>
      </c>
      <c r="AL1078" t="n">
        <v>96.862493954</v>
      </c>
      <c r="AM1078" t="n">
        <v>77.8</v>
      </c>
      <c r="AN1078" t="n">
        <v>111.845522054</v>
      </c>
      <c r="AO1078" t="n">
        <v>88.09999999999999</v>
      </c>
      <c r="AP1078" t="n">
        <v>80.306692224</v>
      </c>
      <c r="AQ1078" t="n">
        <v>107.50895908</v>
      </c>
      <c r="AR1078" t="n">
        <v>112.890592451</v>
      </c>
      <c r="AS1078" t="n">
        <v>68.794267144</v>
      </c>
      <c r="AT1078" t="n">
        <v>92.87032503</v>
      </c>
      <c r="AU1078" t="n">
        <v/>
      </c>
    </row>
    <row r="1079">
      <c r="A1079" s="105" t="n">
        <v>39722</v>
      </c>
      <c r="B1079" t="n">
        <v>94.33995127999999</v>
      </c>
      <c r="C1079" t="n">
        <v>98.791767353</v>
      </c>
      <c r="D1079" t="n">
        <v>110.269895102</v>
      </c>
      <c r="E1079" t="n">
        <v>95.127732491</v>
      </c>
      <c r="F1079" t="n">
        <v/>
      </c>
      <c r="G1079" t="n">
        <v/>
      </c>
      <c r="H1079" t="n">
        <v>92.53420446299999</v>
      </c>
      <c r="I1079" t="n">
        <v>94.332090272</v>
      </c>
      <c r="J1079" t="n">
        <v>88.085319113</v>
      </c>
      <c r="K1079" t="n">
        <v>95.307942329</v>
      </c>
      <c r="L1079" t="n">
        <v>110.3</v>
      </c>
      <c r="M1079" t="n">
        <v>102.191484043</v>
      </c>
      <c r="N1079" t="n">
        <v>115.220096017</v>
      </c>
      <c r="O1079" t="n">
        <v>75.40628385700001</v>
      </c>
      <c r="P1079" t="n">
        <v/>
      </c>
      <c r="Q1079" t="n">
        <v>123.920653442</v>
      </c>
      <c r="R1079" t="n">
        <v>106.379113507</v>
      </c>
      <c r="S1079" t="n">
        <v>99.22159261100001</v>
      </c>
      <c r="T1079" t="n">
        <v>104.952246197</v>
      </c>
      <c r="U1079" t="n">
        <v/>
      </c>
      <c r="V1079" t="n">
        <v>135.176088585</v>
      </c>
      <c r="W1079" t="n">
        <v>87.50729227399999</v>
      </c>
      <c r="X1079" t="n">
        <v>79.676747902</v>
      </c>
      <c r="Y1079" t="n">
        <v/>
      </c>
      <c r="Z1079" t="n">
        <v>61.269980699</v>
      </c>
      <c r="AA1079" t="n">
        <v>77.90244323899999</v>
      </c>
      <c r="AB1079" t="n">
        <v>89.74238875899999</v>
      </c>
      <c r="AC1079" t="n">
        <v>117.890175819</v>
      </c>
      <c r="AD1079" t="n">
        <v>109.927681465</v>
      </c>
      <c r="AE1079" t="n">
        <v>80.22499999999999</v>
      </c>
      <c r="AF1079" t="n">
        <v>102.591450712</v>
      </c>
      <c r="AG1079" t="n">
        <v>87.2</v>
      </c>
      <c r="AH1079" t="n">
        <v>100.769488245</v>
      </c>
      <c r="AI1079" t="n">
        <v>106.891092409</v>
      </c>
      <c r="AJ1079" t="n">
        <v>114.04189294</v>
      </c>
      <c r="AK1079" t="n">
        <v/>
      </c>
      <c r="AL1079" t="n">
        <v>95.91077090500001</v>
      </c>
      <c r="AM1079" t="n">
        <v>76.7</v>
      </c>
      <c r="AN1079" t="n">
        <v>111.400229465</v>
      </c>
      <c r="AO1079" t="n">
        <v>85.5</v>
      </c>
      <c r="AP1079" t="n">
        <v>77.606467206</v>
      </c>
      <c r="AQ1079" t="n">
        <v>107.308942412</v>
      </c>
      <c r="AR1079" t="n">
        <v>110.190817432</v>
      </c>
      <c r="AS1079" t="n">
        <v>65.394550454</v>
      </c>
      <c r="AT1079" t="n">
        <v>93.78853235699999</v>
      </c>
      <c r="AU1079" t="n">
        <v/>
      </c>
    </row>
    <row r="1080">
      <c r="A1080" s="105" t="n">
        <v>39753</v>
      </c>
      <c r="B1080" t="n">
        <v>91.72174318</v>
      </c>
      <c r="C1080" t="n">
        <v>93.79218398499999</v>
      </c>
      <c r="D1080" t="n">
        <v>103.884615673</v>
      </c>
      <c r="E1080" t="n">
        <v>93.352666879</v>
      </c>
      <c r="F1080" t="n">
        <v/>
      </c>
      <c r="G1080" t="n">
        <v/>
      </c>
      <c r="H1080" t="n">
        <v>90.773451786</v>
      </c>
      <c r="I1080" t="n">
        <v>91.71410033799999</v>
      </c>
      <c r="J1080" t="n">
        <v>84.985835694</v>
      </c>
      <c r="K1080" t="n">
        <v>91.107592299</v>
      </c>
      <c r="L1080" t="n">
        <v>108</v>
      </c>
      <c r="M1080" t="n">
        <v>98.491792351</v>
      </c>
      <c r="N1080" t="n">
        <v>112.456093713</v>
      </c>
      <c r="O1080" t="n">
        <v>71.805983832</v>
      </c>
      <c r="P1080" t="n">
        <v/>
      </c>
      <c r="Q1080" t="n">
        <v>119.419903317</v>
      </c>
      <c r="R1080" t="n">
        <v>101.05915784</v>
      </c>
      <c r="S1080" t="n">
        <v>96.07157769</v>
      </c>
      <c r="T1080" t="n">
        <v>101.662539795</v>
      </c>
      <c r="U1080" t="n">
        <v/>
      </c>
      <c r="V1080" t="n">
        <v>130.480392973</v>
      </c>
      <c r="W1080" t="n">
        <v>84.60705058800001</v>
      </c>
      <c r="X1080" t="n">
        <v>78.96045080499999</v>
      </c>
      <c r="Y1080" t="n">
        <v/>
      </c>
      <c r="Z1080" t="n">
        <v>67.569319161</v>
      </c>
      <c r="AA1080" t="n">
        <v>77.231407705</v>
      </c>
      <c r="AB1080" t="n">
        <v>88.618266979</v>
      </c>
      <c r="AC1080" t="n">
        <v>113.890509124</v>
      </c>
      <c r="AD1080" t="n">
        <v>102.845505909</v>
      </c>
      <c r="AE1080" t="n">
        <v>71.625</v>
      </c>
      <c r="AF1080" t="n">
        <v>95.392050662</v>
      </c>
      <c r="AG1080" t="n">
        <v>83.40000000000001</v>
      </c>
      <c r="AH1080" t="n">
        <v>99.332569562</v>
      </c>
      <c r="AI1080" t="n">
        <v>101.591534039</v>
      </c>
      <c r="AJ1080" t="n">
        <v>113.227307991</v>
      </c>
      <c r="AK1080" t="n">
        <v/>
      </c>
      <c r="AL1080" t="n">
        <v>92.67362955999999</v>
      </c>
      <c r="AM1080" t="n">
        <v>72.59999999999999</v>
      </c>
      <c r="AN1080" t="n">
        <v>108.411239373</v>
      </c>
      <c r="AO1080" t="n">
        <v>79.40000000000001</v>
      </c>
      <c r="AP1080" t="n">
        <v>75.806317193</v>
      </c>
      <c r="AQ1080" t="n">
        <v>94.407867322</v>
      </c>
      <c r="AR1080" t="n">
        <v>106.09115907</v>
      </c>
      <c r="AS1080" t="n">
        <v>62.89475877</v>
      </c>
      <c r="AT1080" t="n">
        <v>92.559959054</v>
      </c>
      <c r="AU1080" t="n">
        <v/>
      </c>
    </row>
    <row r="1081">
      <c r="A1081" s="105" t="n">
        <v>39783</v>
      </c>
      <c r="B1081" t="n">
        <v>92.98861805999999</v>
      </c>
      <c r="C1081" t="n">
        <v>93.192233981</v>
      </c>
      <c r="D1081" t="n">
        <v>92.22136074300001</v>
      </c>
      <c r="E1081" t="n">
        <v>90.390835471</v>
      </c>
      <c r="F1081" t="n">
        <v/>
      </c>
      <c r="G1081" t="n">
        <v/>
      </c>
      <c r="H1081" t="n">
        <v>90.293818425</v>
      </c>
      <c r="I1081" t="n">
        <v>92.980869654</v>
      </c>
      <c r="J1081" t="n">
        <v>82.68621896400001</v>
      </c>
      <c r="K1081" t="n">
        <v>87.707308942</v>
      </c>
      <c r="L1081" t="n">
        <v>108</v>
      </c>
      <c r="M1081" t="n">
        <v>94.892092326</v>
      </c>
      <c r="N1081" t="n">
        <v>106.600088833</v>
      </c>
      <c r="O1081" t="n">
        <v>67.605633803</v>
      </c>
      <c r="P1081" t="n">
        <v/>
      </c>
      <c r="Q1081" t="n">
        <v>104.017336223</v>
      </c>
      <c r="R1081" t="n">
        <v>99.659169507</v>
      </c>
      <c r="S1081" t="n">
        <v>92.493895325</v>
      </c>
      <c r="T1081" t="n">
        <v>101.662539795</v>
      </c>
      <c r="U1081" t="n">
        <v/>
      </c>
      <c r="V1081" t="n">
        <v>129.181583548</v>
      </c>
      <c r="W1081" t="n">
        <v>75.40628385700001</v>
      </c>
      <c r="X1081" t="n">
        <v>76.89180979299999</v>
      </c>
      <c r="Y1081" t="n">
        <v/>
      </c>
      <c r="Z1081" t="n">
        <v>60.378564879</v>
      </c>
      <c r="AA1081" t="n">
        <v>75.752588972</v>
      </c>
      <c r="AB1081" t="n">
        <v>89.367681499</v>
      </c>
      <c r="AC1081" t="n">
        <v>109.190900758</v>
      </c>
      <c r="AD1081" t="n">
        <v>94.531647646</v>
      </c>
      <c r="AE1081" t="n">
        <v>63.915</v>
      </c>
      <c r="AF1081" t="n">
        <v>86.192817265</v>
      </c>
      <c r="AG1081" t="n">
        <v>82.59999999999999</v>
      </c>
      <c r="AH1081" t="n">
        <v>98.20205826999999</v>
      </c>
      <c r="AI1081" t="n">
        <v>97.59186734399999</v>
      </c>
      <c r="AJ1081" t="n">
        <v>113.692785105</v>
      </c>
      <c r="AK1081" t="n">
        <v/>
      </c>
      <c r="AL1081" t="n">
        <v>89.186963074</v>
      </c>
      <c r="AM1081" t="n">
        <v>72.3</v>
      </c>
      <c r="AN1081" t="n">
        <v>104.77436118</v>
      </c>
      <c r="AO1081" t="n">
        <v>76.3</v>
      </c>
      <c r="AP1081" t="n">
        <v>73.20610050800001</v>
      </c>
      <c r="AQ1081" t="n">
        <v>85.307108926</v>
      </c>
      <c r="AR1081" t="n">
        <v>98.591784018</v>
      </c>
      <c r="AS1081" t="n">
        <v>61.094908758</v>
      </c>
      <c r="AT1081" t="n">
        <v>89.95486802800001</v>
      </c>
      <c r="AU1081" t="n">
        <v/>
      </c>
    </row>
    <row r="1082">
      <c r="A1082" s="105" t="n">
        <v>39814</v>
      </c>
      <c r="B1082" t="n">
        <v>90.53932659</v>
      </c>
      <c r="C1082" t="n">
        <v>88.092658945</v>
      </c>
      <c r="D1082" t="n">
        <v>94.190239918</v>
      </c>
      <c r="E1082" t="n">
        <v>88.645733288</v>
      </c>
      <c r="F1082" t="n">
        <v/>
      </c>
      <c r="G1082" t="n">
        <v/>
      </c>
      <c r="H1082" t="n">
        <v>87.613802961</v>
      </c>
      <c r="I1082" t="n">
        <v>90.531782275</v>
      </c>
      <c r="J1082" t="n">
        <v>78.286952175</v>
      </c>
      <c r="K1082" t="n">
        <v>80.70672556</v>
      </c>
      <c r="L1082" t="n">
        <v>104.7</v>
      </c>
      <c r="M1082" t="n">
        <v>90.992417299</v>
      </c>
      <c r="N1082" t="n">
        <v>105.610088008</v>
      </c>
      <c r="O1082" t="n">
        <v>66.005500458</v>
      </c>
      <c r="P1082" t="n">
        <v/>
      </c>
      <c r="Q1082" t="n">
        <v>99.816636106</v>
      </c>
      <c r="R1082" t="n">
        <v>95.999200007</v>
      </c>
      <c r="S1082" t="n">
        <v>88.470196171</v>
      </c>
      <c r="T1082" t="n">
        <v>98.266713831</v>
      </c>
      <c r="U1082" t="n">
        <v/>
      </c>
      <c r="V1082" t="n">
        <v>123.686620598</v>
      </c>
      <c r="W1082" t="n">
        <v>74.30619218299999</v>
      </c>
      <c r="X1082" t="n">
        <v>75.375234053</v>
      </c>
      <c r="Y1082" t="n">
        <v/>
      </c>
      <c r="Z1082" t="n">
        <v>62.815101454</v>
      </c>
      <c r="AA1082" t="n">
        <v>70.57420292499999</v>
      </c>
      <c r="AB1082" t="n">
        <v>86.08899297400001</v>
      </c>
      <c r="AC1082" t="n">
        <v>104.991250729</v>
      </c>
      <c r="AD1082" t="n">
        <v>86.936270963</v>
      </c>
      <c r="AE1082" t="n">
        <v>65.203</v>
      </c>
      <c r="AF1082" t="n">
        <v>90.092492292</v>
      </c>
      <c r="AG1082" t="n">
        <v>75.09999999999999</v>
      </c>
      <c r="AH1082" t="n">
        <v>95.415792326</v>
      </c>
      <c r="AI1082" t="n">
        <v>100.491625698</v>
      </c>
      <c r="AJ1082" t="n">
        <v>111.481768813</v>
      </c>
      <c r="AK1082" t="n">
        <v/>
      </c>
      <c r="AL1082" t="n">
        <v>85.958056476</v>
      </c>
      <c r="AM1082" t="n">
        <v>71.3</v>
      </c>
      <c r="AN1082" t="n">
        <v>100.77724409</v>
      </c>
      <c r="AO1082" t="n">
        <v>76.09999999999999</v>
      </c>
      <c r="AP1082" t="n">
        <v>68.205683807</v>
      </c>
      <c r="AQ1082" t="n">
        <v>91.107592299</v>
      </c>
      <c r="AR1082" t="n">
        <v>95.292058995</v>
      </c>
      <c r="AS1082" t="n">
        <v>56.995250396</v>
      </c>
      <c r="AT1082" t="n">
        <v>87.723802707</v>
      </c>
      <c r="AU1082" t="n">
        <v/>
      </c>
    </row>
    <row r="1083">
      <c r="A1083" s="105" t="n">
        <v>39845</v>
      </c>
      <c r="B1083" t="n">
        <v>88.17449344000001</v>
      </c>
      <c r="C1083" t="n">
        <v>87.592700608</v>
      </c>
      <c r="D1083" t="n">
        <v>96.47692921399999</v>
      </c>
      <c r="E1083" t="n">
        <v>87.56704986</v>
      </c>
      <c r="F1083" t="n">
        <v/>
      </c>
      <c r="G1083" t="n">
        <v/>
      </c>
      <c r="H1083" t="n">
        <v>86.726880018</v>
      </c>
      <c r="I1083" t="n">
        <v>88.167146178</v>
      </c>
      <c r="J1083" t="n">
        <v>78.58690218300001</v>
      </c>
      <c r="K1083" t="n">
        <v>78.20651721</v>
      </c>
      <c r="L1083" t="n">
        <v>101.8</v>
      </c>
      <c r="M1083" t="n">
        <v>88.992583951</v>
      </c>
      <c r="N1083" t="n">
        <v>105.31208776</v>
      </c>
      <c r="O1083" t="n">
        <v>65.505458788</v>
      </c>
      <c r="P1083" t="n">
        <v/>
      </c>
      <c r="Q1083" t="n">
        <v>104.117352892</v>
      </c>
      <c r="R1083" t="n">
        <v>94.659211173</v>
      </c>
      <c r="S1083" t="n">
        <v>86.17433027200001</v>
      </c>
      <c r="T1083" t="n">
        <v>98.797311638</v>
      </c>
      <c r="U1083" t="n">
        <v/>
      </c>
      <c r="V1083" t="n">
        <v>129.181583548</v>
      </c>
      <c r="W1083" t="n">
        <v>71.705975498</v>
      </c>
      <c r="X1083" t="n">
        <v>76.243254927</v>
      </c>
      <c r="Y1083" t="n">
        <v/>
      </c>
      <c r="Z1083" t="n">
        <v>61.983113355</v>
      </c>
      <c r="AA1083" t="n">
        <v>61.896357305</v>
      </c>
      <c r="AB1083" t="n">
        <v>85.80796252899999</v>
      </c>
      <c r="AC1083" t="n">
        <v>101.191567369</v>
      </c>
      <c r="AD1083" t="n">
        <v>79.64881495500001</v>
      </c>
      <c r="AE1083" t="n">
        <v>70.605</v>
      </c>
      <c r="AF1083" t="n">
        <v>87.19273393899999</v>
      </c>
      <c r="AG1083" t="n">
        <v>74.90000000000001</v>
      </c>
      <c r="AH1083" t="n">
        <v>95.869237465</v>
      </c>
      <c r="AI1083" t="n">
        <v>96.691942338</v>
      </c>
      <c r="AJ1083" t="n">
        <v>114.507370054</v>
      </c>
      <c r="AK1083" t="n">
        <v/>
      </c>
      <c r="AL1083" t="n">
        <v>84.83696736100001</v>
      </c>
      <c r="AM1083" t="n">
        <v>72.7</v>
      </c>
      <c r="AN1083" t="n">
        <v>100.710498246</v>
      </c>
      <c r="AO1083" t="n">
        <v>76.90000000000001</v>
      </c>
      <c r="AP1083" t="n">
        <v>71.105925494</v>
      </c>
      <c r="AQ1083" t="n">
        <v>87.00725060400001</v>
      </c>
      <c r="AR1083" t="n">
        <v>97.891842346</v>
      </c>
      <c r="AS1083" t="n">
        <v>58.195150404</v>
      </c>
      <c r="AT1083" t="n">
        <v>87.195982231</v>
      </c>
      <c r="AU1083" t="n">
        <v/>
      </c>
    </row>
    <row r="1084">
      <c r="A1084" s="105" t="n">
        <v>39873</v>
      </c>
      <c r="B1084" t="n">
        <v>89.35691002</v>
      </c>
      <c r="C1084" t="n">
        <v>85.79285059599999</v>
      </c>
      <c r="D1084" t="n">
        <v>96.83152321999999</v>
      </c>
      <c r="E1084" t="n">
        <v>85.791716717</v>
      </c>
      <c r="F1084" t="n">
        <v/>
      </c>
      <c r="G1084" t="n">
        <v/>
      </c>
      <c r="H1084" t="n">
        <v>86.23976063800001</v>
      </c>
      <c r="I1084" t="n">
        <v>89.349464231</v>
      </c>
      <c r="J1084" t="n">
        <v>79.986668889</v>
      </c>
      <c r="K1084" t="n">
        <v>78.506542212</v>
      </c>
      <c r="L1084" t="n">
        <v>98.3</v>
      </c>
      <c r="M1084" t="n">
        <v>87.792683943</v>
      </c>
      <c r="N1084" t="n">
        <v>102.567085473</v>
      </c>
      <c r="O1084" t="n">
        <v>61.405117093</v>
      </c>
      <c r="P1084" t="n">
        <v/>
      </c>
      <c r="Q1084" t="n">
        <v>102.217036173</v>
      </c>
      <c r="R1084" t="n">
        <v>92.909225756</v>
      </c>
      <c r="S1084" t="n">
        <v>85.294707927</v>
      </c>
      <c r="T1084" t="n">
        <v>98.372833392</v>
      </c>
      <c r="U1084" t="n">
        <v/>
      </c>
      <c r="V1084" t="n">
        <v>125.08533844</v>
      </c>
      <c r="W1084" t="n">
        <v>75.10625885499999</v>
      </c>
      <c r="X1084" t="n">
        <v>75.690122296</v>
      </c>
      <c r="Y1084" t="n">
        <v/>
      </c>
      <c r="Z1084" t="n">
        <v>63.52823411</v>
      </c>
      <c r="AA1084" t="n">
        <v>63.9711584</v>
      </c>
      <c r="AB1084" t="n">
        <v>81.40515222499999</v>
      </c>
      <c r="AC1084" t="n">
        <v>97.191900675</v>
      </c>
      <c r="AD1084" t="n">
        <v>80.367296533</v>
      </c>
      <c r="AE1084" t="n">
        <v>73.459</v>
      </c>
      <c r="AF1084" t="n">
        <v>82.393133906</v>
      </c>
      <c r="AG1084" t="n">
        <v>72.3</v>
      </c>
      <c r="AH1084" t="n">
        <v>94.95345737300001</v>
      </c>
      <c r="AI1084" t="n">
        <v>94.792100658</v>
      </c>
      <c r="AJ1084" t="n">
        <v>110.89992242</v>
      </c>
      <c r="AK1084" t="n">
        <v/>
      </c>
      <c r="AL1084" t="n">
        <v>84.18544676</v>
      </c>
      <c r="AM1084" t="n">
        <v>74.5</v>
      </c>
      <c r="AN1084" t="n">
        <v>101.318766577</v>
      </c>
      <c r="AO1084" t="n">
        <v>76.7</v>
      </c>
      <c r="AP1084" t="n">
        <v>70.005833819</v>
      </c>
      <c r="AQ1084" t="n">
        <v>86.007167264</v>
      </c>
      <c r="AR1084" t="n">
        <v>93.79218398499999</v>
      </c>
      <c r="AS1084" t="n">
        <v>57.5952004</v>
      </c>
      <c r="AT1084" t="n">
        <v>85.821943469</v>
      </c>
      <c r="AU1084" t="n">
        <v/>
      </c>
    </row>
    <row r="1085">
      <c r="A1085" s="105" t="n">
        <v>39904</v>
      </c>
      <c r="B1085" t="n">
        <v>87.16099351</v>
      </c>
      <c r="C1085" t="n">
        <v>85.69285892800001</v>
      </c>
      <c r="D1085" t="n">
        <v>98.130618609</v>
      </c>
      <c r="E1085" t="n">
        <v>84.17716947300001</v>
      </c>
      <c r="F1085" t="n">
        <v/>
      </c>
      <c r="G1085" t="n">
        <v/>
      </c>
      <c r="H1085" t="n">
        <v>85.85227075500001</v>
      </c>
      <c r="I1085" t="n">
        <v>87.15373069899999</v>
      </c>
      <c r="J1085" t="n">
        <v>78.386935511</v>
      </c>
      <c r="K1085" t="n">
        <v>76.20635052900001</v>
      </c>
      <c r="L1085" t="n">
        <v>96.5</v>
      </c>
      <c r="M1085" t="n">
        <v>86.592783935</v>
      </c>
      <c r="N1085" t="n">
        <v>103.443086203</v>
      </c>
      <c r="O1085" t="n">
        <v>58.804900408</v>
      </c>
      <c r="P1085" t="n">
        <v/>
      </c>
      <c r="Q1085" t="n">
        <v>99.11651942</v>
      </c>
      <c r="R1085" t="n">
        <v>92.879226006</v>
      </c>
      <c r="S1085" t="n">
        <v>85.280181782</v>
      </c>
      <c r="T1085" t="n">
        <v>99.221789883</v>
      </c>
      <c r="U1085" t="n">
        <v/>
      </c>
      <c r="V1085" t="n">
        <v>123.486803763</v>
      </c>
      <c r="W1085" t="n">
        <v>71.805983832</v>
      </c>
      <c r="X1085" t="n">
        <v>78.059144649</v>
      </c>
      <c r="Y1085" t="n">
        <v/>
      </c>
      <c r="Z1085" t="n">
        <v>62.933956896</v>
      </c>
      <c r="AA1085" t="n">
        <v>65.096035133</v>
      </c>
      <c r="AB1085" t="n">
        <v>82.341920375</v>
      </c>
      <c r="AC1085" t="n">
        <v>97.69185901199999</v>
      </c>
      <c r="AD1085" t="n">
        <v>83.85706419900001</v>
      </c>
      <c r="AE1085" t="n">
        <v>76.137</v>
      </c>
      <c r="AF1085" t="n">
        <v>88.49262561499999</v>
      </c>
      <c r="AG1085" t="n">
        <v>74.3</v>
      </c>
      <c r="AH1085" t="n">
        <v>95.012823337</v>
      </c>
      <c r="AI1085" t="n">
        <v>91.392383968</v>
      </c>
      <c r="AJ1085" t="n">
        <v>109.736229635</v>
      </c>
      <c r="AK1085" t="n">
        <v/>
      </c>
      <c r="AL1085" t="n">
        <v>84.20137846999999</v>
      </c>
      <c r="AM1085" t="n">
        <v>73.3</v>
      </c>
      <c r="AN1085" t="n">
        <v>102.582418947</v>
      </c>
      <c r="AO1085" t="n">
        <v>76.90000000000001</v>
      </c>
      <c r="AP1085" t="n">
        <v>68.405700475</v>
      </c>
      <c r="AQ1085" t="n">
        <v>81.206767231</v>
      </c>
      <c r="AR1085" t="n">
        <v>93.59220065</v>
      </c>
      <c r="AS1085" t="n">
        <v>58.495125406</v>
      </c>
      <c r="AT1085" t="n">
        <v>85.137254312</v>
      </c>
      <c r="AU1085" t="n">
        <v/>
      </c>
    </row>
    <row r="1086">
      <c r="A1086" s="105" t="n">
        <v>39934</v>
      </c>
      <c r="B1086" t="n">
        <v>85.30291032</v>
      </c>
      <c r="C1086" t="n">
        <v>95.692025665</v>
      </c>
      <c r="D1086" t="n">
        <v>99.463371088</v>
      </c>
      <c r="E1086" t="n">
        <v>83.430759065</v>
      </c>
      <c r="F1086" t="n">
        <v/>
      </c>
      <c r="G1086" t="n">
        <v/>
      </c>
      <c r="H1086" t="n">
        <v>86.36731683399999</v>
      </c>
      <c r="I1086" t="n">
        <v>85.29580233599999</v>
      </c>
      <c r="J1086" t="n">
        <v>78.286952175</v>
      </c>
      <c r="K1086" t="n">
        <v>79.70664222000001</v>
      </c>
      <c r="L1086" t="n">
        <v>94.5</v>
      </c>
      <c r="M1086" t="n">
        <v>88.692608949</v>
      </c>
      <c r="N1086" t="n">
        <v>102.776085647</v>
      </c>
      <c r="O1086" t="n">
        <v>59.10492541</v>
      </c>
      <c r="P1086" t="n">
        <v/>
      </c>
      <c r="Q1086" t="n">
        <v>97.31621937</v>
      </c>
      <c r="R1086" t="n">
        <v>93.99921667300001</v>
      </c>
      <c r="S1086" t="n">
        <v>86.017897503</v>
      </c>
      <c r="T1086" t="n">
        <v>97.31163777899999</v>
      </c>
      <c r="U1086" t="n">
        <v/>
      </c>
      <c r="V1086" t="n">
        <v>124.286071101</v>
      </c>
      <c r="W1086" t="n">
        <v>72.40603383600001</v>
      </c>
      <c r="X1086" t="n">
        <v>78.975252555</v>
      </c>
      <c r="Y1086" t="n">
        <v/>
      </c>
      <c r="Z1086" t="n">
        <v>60.556848043</v>
      </c>
      <c r="AA1086" t="n">
        <v>66.518260872</v>
      </c>
      <c r="AB1086" t="n">
        <v>81.96721311500001</v>
      </c>
      <c r="AC1086" t="n">
        <v>99.391717357</v>
      </c>
      <c r="AD1086" t="n">
        <v>86.936270963</v>
      </c>
      <c r="AE1086" t="n">
        <v>77.313</v>
      </c>
      <c r="AF1086" t="n">
        <v>89.492542288</v>
      </c>
      <c r="AG1086" t="n">
        <v>73</v>
      </c>
      <c r="AH1086" t="n">
        <v>94.501937527</v>
      </c>
      <c r="AI1086" t="n">
        <v>96.091992334</v>
      </c>
      <c r="AJ1086" t="n">
        <v>105.314197052</v>
      </c>
      <c r="AK1086" t="n">
        <v/>
      </c>
      <c r="AL1086" t="n">
        <v>84.85764998400001</v>
      </c>
      <c r="AM1086" t="n">
        <v>73.90000000000001</v>
      </c>
      <c r="AN1086" t="n">
        <v>100.151825101</v>
      </c>
      <c r="AO1086" t="n">
        <v>77.09999999999999</v>
      </c>
      <c r="AP1086" t="n">
        <v>68.805733811</v>
      </c>
      <c r="AQ1086" t="n">
        <v>84.30702558500001</v>
      </c>
      <c r="AR1086" t="n">
        <v>90.992417299</v>
      </c>
      <c r="AS1086" t="n">
        <v>60.394967086</v>
      </c>
      <c r="AT1086" t="n">
        <v>84.283797458</v>
      </c>
      <c r="AU1086" t="n">
        <v/>
      </c>
    </row>
    <row r="1087">
      <c r="A1087" s="105" t="n">
        <v>39965</v>
      </c>
      <c r="B1087" t="n">
        <v>86.65424355</v>
      </c>
      <c r="C1087" t="n">
        <v>86.892758937</v>
      </c>
      <c r="D1087" t="n">
        <v>100.683558934</v>
      </c>
      <c r="E1087" t="n">
        <v>83.068790146</v>
      </c>
      <c r="F1087" t="n">
        <v/>
      </c>
      <c r="G1087" t="n">
        <v/>
      </c>
      <c r="H1087" t="n">
        <v>88.284945006</v>
      </c>
      <c r="I1087" t="n">
        <v>86.64702296500001</v>
      </c>
      <c r="J1087" t="n">
        <v>80.686552241</v>
      </c>
      <c r="K1087" t="n">
        <v>80.306692224</v>
      </c>
      <c r="L1087" t="n">
        <v>97.3</v>
      </c>
      <c r="M1087" t="n">
        <v>89.192567286</v>
      </c>
      <c r="N1087" t="n">
        <v>103.751086459</v>
      </c>
      <c r="O1087" t="n">
        <v>60.205017085</v>
      </c>
      <c r="P1087" t="n">
        <v/>
      </c>
      <c r="Q1087" t="n">
        <v>100.016669445</v>
      </c>
      <c r="R1087" t="n">
        <v>95.19920667300001</v>
      </c>
      <c r="S1087" t="n">
        <v>86.313321503</v>
      </c>
      <c r="T1087" t="n">
        <v>98.372833392</v>
      </c>
      <c r="U1087" t="n">
        <v/>
      </c>
      <c r="V1087" t="n">
        <v>123.286986929</v>
      </c>
      <c r="W1087" t="n">
        <v>74.106175515</v>
      </c>
      <c r="X1087" t="n">
        <v>79.588470818</v>
      </c>
      <c r="Y1087" t="n">
        <v/>
      </c>
      <c r="Z1087" t="n">
        <v>61.507691584</v>
      </c>
      <c r="AA1087" t="n">
        <v>68.643021717</v>
      </c>
      <c r="AB1087" t="n">
        <v>84.121779859</v>
      </c>
      <c r="AC1087" t="n">
        <v>98.691775685</v>
      </c>
      <c r="AD1087" t="n">
        <v>88.373234119</v>
      </c>
      <c r="AE1087" t="n">
        <v>80.232</v>
      </c>
      <c r="AF1087" t="n">
        <v>91.392383968</v>
      </c>
      <c r="AG1087" t="n">
        <v>74</v>
      </c>
      <c r="AH1087" t="n">
        <v>94.604367199</v>
      </c>
      <c r="AI1087" t="n">
        <v>97.091909008</v>
      </c>
      <c r="AJ1087" t="n">
        <v>106.710628394</v>
      </c>
      <c r="AK1087" t="n">
        <v/>
      </c>
      <c r="AL1087" t="n">
        <v>85.458660854</v>
      </c>
      <c r="AM1087" t="n">
        <v>75</v>
      </c>
      <c r="AN1087" t="n">
        <v>100.354065416</v>
      </c>
      <c r="AO1087" t="n">
        <v>77.59999999999999</v>
      </c>
      <c r="AP1087" t="n">
        <v>69.705808817</v>
      </c>
      <c r="AQ1087" t="n">
        <v>84.807067256</v>
      </c>
      <c r="AR1087" t="n">
        <v>93.392217315</v>
      </c>
      <c r="AS1087" t="n">
        <v>62.094825431</v>
      </c>
      <c r="AT1087" t="n">
        <v>84.014681401</v>
      </c>
      <c r="AU1087" t="n">
        <v/>
      </c>
    </row>
    <row r="1088">
      <c r="A1088" s="105" t="n">
        <v>39995</v>
      </c>
      <c r="B1088" t="n">
        <v>86.8231602</v>
      </c>
      <c r="C1088" t="n">
        <v>86.3928006</v>
      </c>
      <c r="D1088" t="n">
        <v>101.963210941</v>
      </c>
      <c r="E1088" t="n">
        <v>83.160553146</v>
      </c>
      <c r="F1088" t="n">
        <v/>
      </c>
      <c r="G1088" t="n">
        <v/>
      </c>
      <c r="H1088" t="n">
        <v>84.38969306</v>
      </c>
      <c r="I1088" t="n">
        <v>86.81592553999999</v>
      </c>
      <c r="J1088" t="n">
        <v>78.78686885499999</v>
      </c>
      <c r="K1088" t="n">
        <v>79.506625552</v>
      </c>
      <c r="L1088" t="n">
        <v>96.40000000000001</v>
      </c>
      <c r="M1088" t="n">
        <v>89.392550621</v>
      </c>
      <c r="N1088" t="n">
        <v>104.746087288</v>
      </c>
      <c r="O1088" t="n">
        <v>61.105092091</v>
      </c>
      <c r="P1088" t="n">
        <v/>
      </c>
      <c r="Q1088" t="n">
        <v>101.116852809</v>
      </c>
      <c r="R1088" t="n">
        <v>94.84920959</v>
      </c>
      <c r="S1088" t="n">
        <v>86.941487724</v>
      </c>
      <c r="T1088" t="n">
        <v>98.58507251499999</v>
      </c>
      <c r="U1088" t="n">
        <v/>
      </c>
      <c r="V1088" t="n">
        <v>124.485887936</v>
      </c>
      <c r="W1088" t="n">
        <v>74.106175515</v>
      </c>
      <c r="X1088" t="n">
        <v>80.455794363</v>
      </c>
      <c r="Y1088" t="n">
        <v/>
      </c>
      <c r="Z1088" t="n">
        <v>60.913414371</v>
      </c>
      <c r="AA1088" t="n">
        <v>72.107162077</v>
      </c>
      <c r="AB1088" t="n">
        <v>79.62529274000001</v>
      </c>
      <c r="AC1088" t="n">
        <v>100.891592367</v>
      </c>
      <c r="AD1088" t="n">
        <v>89.399636374</v>
      </c>
      <c r="AE1088" t="n">
        <v>82.077</v>
      </c>
      <c r="AF1088" t="n">
        <v>92.592283976</v>
      </c>
      <c r="AG1088" t="n">
        <v>72.3</v>
      </c>
      <c r="AH1088" t="n">
        <v>95.86392692699999</v>
      </c>
      <c r="AI1088" t="n">
        <v>99.19173402200001</v>
      </c>
      <c r="AJ1088" t="n">
        <v>107.408844065</v>
      </c>
      <c r="AK1088" t="n">
        <v/>
      </c>
      <c r="AL1088" t="n">
        <v>86.114911667</v>
      </c>
      <c r="AM1088" t="n">
        <v>74.90000000000001</v>
      </c>
      <c r="AN1088" t="n">
        <v>104.365510287</v>
      </c>
      <c r="AO1088" t="n">
        <v>78.59999999999999</v>
      </c>
      <c r="AP1088" t="n">
        <v>70.905908826</v>
      </c>
      <c r="AQ1088" t="n">
        <v>84.00700058300001</v>
      </c>
      <c r="AR1088" t="n">
        <v>92.792267311</v>
      </c>
      <c r="AS1088" t="n">
        <v>63.194733772</v>
      </c>
      <c r="AT1088" t="n">
        <v>84.987822515</v>
      </c>
      <c r="AU1088" t="n">
        <v/>
      </c>
    </row>
    <row r="1089">
      <c r="A1089" s="105" t="n">
        <v>40026</v>
      </c>
      <c r="B1089" t="n">
        <v>86.31641024</v>
      </c>
      <c r="C1089" t="n">
        <v>90.692442296</v>
      </c>
      <c r="D1089" t="n">
        <v>103.655643973</v>
      </c>
      <c r="E1089" t="n">
        <v>82.91201720799999</v>
      </c>
      <c r="F1089" t="n">
        <v/>
      </c>
      <c r="G1089" t="n">
        <v/>
      </c>
      <c r="H1089" t="n">
        <v>89.132225207</v>
      </c>
      <c r="I1089" t="n">
        <v>86.309217805</v>
      </c>
      <c r="J1089" t="n">
        <v>81.38643559400001</v>
      </c>
      <c r="K1089" t="n">
        <v>80.50670889200001</v>
      </c>
      <c r="L1089" t="n">
        <v>97</v>
      </c>
      <c r="M1089" t="n">
        <v>89.392550621</v>
      </c>
      <c r="N1089" t="n">
        <v>105.199087666</v>
      </c>
      <c r="O1089" t="n">
        <v>62.005167097</v>
      </c>
      <c r="P1089" t="n">
        <v/>
      </c>
      <c r="Q1089" t="n">
        <v>101.616936156</v>
      </c>
      <c r="R1089" t="n">
        <v>96.40919658999999</v>
      </c>
      <c r="S1089" t="n">
        <v>87.51301066800001</v>
      </c>
      <c r="T1089" t="n">
        <v>96.03820304200001</v>
      </c>
      <c r="U1089" t="n">
        <v/>
      </c>
      <c r="V1089" t="n">
        <v>118.891016568</v>
      </c>
      <c r="W1089" t="n">
        <v>73.606133844</v>
      </c>
      <c r="X1089" t="n">
        <v>84.522788811</v>
      </c>
      <c r="Y1089" t="n">
        <v/>
      </c>
      <c r="Z1089" t="n">
        <v>54.376365024</v>
      </c>
      <c r="AA1089" t="n">
        <v>76.86979166899999</v>
      </c>
      <c r="AB1089" t="n">
        <v>85.714285714</v>
      </c>
      <c r="AC1089" t="n">
        <v>98.591784018</v>
      </c>
      <c r="AD1089" t="n">
        <v>90.733959305</v>
      </c>
      <c r="AE1089" t="n">
        <v>83.13500000000001</v>
      </c>
      <c r="AF1089" t="n">
        <v>95.09207566000001</v>
      </c>
      <c r="AG1089" t="n">
        <v>73.59999999999999</v>
      </c>
      <c r="AH1089" t="n">
        <v>94.913969193</v>
      </c>
      <c r="AI1089" t="n">
        <v>98.291809016</v>
      </c>
      <c r="AJ1089" t="n">
        <v>107.641582622</v>
      </c>
      <c r="AK1089" t="n">
        <v/>
      </c>
      <c r="AL1089" t="n">
        <v>86.58912252099999</v>
      </c>
      <c r="AM1089" t="n">
        <v>75.5</v>
      </c>
      <c r="AN1089" t="n">
        <v>102.086077583</v>
      </c>
      <c r="AO1089" t="n">
        <v>78.2</v>
      </c>
      <c r="AP1089" t="n">
        <v>75.706308859</v>
      </c>
      <c r="AQ1089" t="n">
        <v>87.40728394</v>
      </c>
      <c r="AR1089" t="n">
        <v>94.092158987</v>
      </c>
      <c r="AS1089" t="n">
        <v>62.394800433</v>
      </c>
      <c r="AT1089" t="n">
        <v>85.90424499</v>
      </c>
      <c r="AU1089" t="n">
        <v/>
      </c>
    </row>
    <row r="1090">
      <c r="A1090" s="105" t="n">
        <v>40057</v>
      </c>
      <c r="B1090" t="n">
        <v>88.09003511</v>
      </c>
      <c r="C1090" t="n">
        <v>89.092575619</v>
      </c>
      <c r="D1090" t="n">
        <v>105.209419045</v>
      </c>
      <c r="E1090" t="n">
        <v>84.33474500299999</v>
      </c>
      <c r="F1090" t="n">
        <v/>
      </c>
      <c r="G1090" t="n">
        <v/>
      </c>
      <c r="H1090" t="n">
        <v>89.606939317</v>
      </c>
      <c r="I1090" t="n">
        <v>88.082694885</v>
      </c>
      <c r="J1090" t="n">
        <v>81.48641893</v>
      </c>
      <c r="K1090" t="n">
        <v>84.107008917</v>
      </c>
      <c r="L1090" t="n">
        <v>93.7</v>
      </c>
      <c r="M1090" t="n">
        <v>91.592367303</v>
      </c>
      <c r="N1090" t="n">
        <v>106.257088548</v>
      </c>
      <c r="O1090" t="n">
        <v>60.505042087</v>
      </c>
      <c r="P1090" t="n">
        <v/>
      </c>
      <c r="Q1090" t="n">
        <v>99.916652775</v>
      </c>
      <c r="R1090" t="n">
        <v>96.88919258999999</v>
      </c>
      <c r="S1090" t="n">
        <v>89.275617244</v>
      </c>
      <c r="T1090" t="n">
        <v>97.736116024</v>
      </c>
      <c r="U1090" t="n">
        <v/>
      </c>
      <c r="V1090" t="n">
        <v>123.286986929</v>
      </c>
      <c r="W1090" t="n">
        <v>75.60630052499999</v>
      </c>
      <c r="X1090" t="n">
        <v>83.588318151</v>
      </c>
      <c r="Y1090" t="n">
        <v/>
      </c>
      <c r="Z1090" t="n">
        <v>59.54657678</v>
      </c>
      <c r="AA1090" t="n">
        <v>76.005396529</v>
      </c>
      <c r="AB1090" t="n">
        <v>86.276346604</v>
      </c>
      <c r="AC1090" t="n">
        <v>101.591534039</v>
      </c>
      <c r="AD1090" t="n">
        <v>93.50524539200001</v>
      </c>
      <c r="AE1090" t="n">
        <v>85.501</v>
      </c>
      <c r="AF1090" t="n">
        <v>105.391217399</v>
      </c>
      <c r="AG1090" t="n">
        <v>72.8</v>
      </c>
      <c r="AH1090" t="n">
        <v>95.214373442</v>
      </c>
      <c r="AI1090" t="n">
        <v>97.69185901199999</v>
      </c>
      <c r="AJ1090" t="n">
        <v>110.201706749</v>
      </c>
      <c r="AK1090" t="n">
        <v/>
      </c>
      <c r="AL1090" t="n">
        <v>88.103097402</v>
      </c>
      <c r="AM1090" t="n">
        <v>76.5</v>
      </c>
      <c r="AN1090" t="n">
        <v>105.509789952</v>
      </c>
      <c r="AO1090" t="n">
        <v>78.90000000000001</v>
      </c>
      <c r="AP1090" t="n">
        <v>74.706225519</v>
      </c>
      <c r="AQ1090" t="n">
        <v>89.607467289</v>
      </c>
      <c r="AR1090" t="n">
        <v>95.692025665</v>
      </c>
      <c r="AS1090" t="n">
        <v>63.094742105</v>
      </c>
      <c r="AT1090" t="n">
        <v>86.626316886</v>
      </c>
      <c r="AU1090" t="n">
        <v/>
      </c>
    </row>
    <row r="1091">
      <c r="A1091" s="105" t="n">
        <v>40087</v>
      </c>
      <c r="B1091" t="n">
        <v>88.59678507</v>
      </c>
      <c r="C1091" t="n">
        <v>89.79251729000001</v>
      </c>
      <c r="D1091" t="n">
        <v>107.274854541</v>
      </c>
      <c r="E1091" t="n">
        <v>84.338490432</v>
      </c>
      <c r="F1091" t="n">
        <v/>
      </c>
      <c r="G1091" t="n">
        <v/>
      </c>
      <c r="H1091" t="n">
        <v>90.161604509</v>
      </c>
      <c r="I1091" t="n">
        <v>88.58940262</v>
      </c>
      <c r="J1091" t="n">
        <v>82.38626895500001</v>
      </c>
      <c r="K1091" t="n">
        <v>82.306858905</v>
      </c>
      <c r="L1091" t="n">
        <v>93.59999999999999</v>
      </c>
      <c r="M1091" t="n">
        <v>91.19240063300001</v>
      </c>
      <c r="N1091" t="n">
        <v>105.986088322</v>
      </c>
      <c r="O1091" t="n">
        <v>61.205100425</v>
      </c>
      <c r="P1091" t="n">
        <v/>
      </c>
      <c r="Q1091" t="n">
        <v>101.216869478</v>
      </c>
      <c r="R1091" t="n">
        <v>96.249197923</v>
      </c>
      <c r="S1091" t="n">
        <v>89.634953954</v>
      </c>
      <c r="T1091" t="n">
        <v>97.736116024</v>
      </c>
      <c r="U1091" t="n">
        <v/>
      </c>
      <c r="V1091" t="n">
        <v>120.689368079</v>
      </c>
      <c r="W1091" t="n">
        <v>77.406450538</v>
      </c>
      <c r="X1091" t="n">
        <v>81.635926396</v>
      </c>
      <c r="Y1091" t="n">
        <v/>
      </c>
      <c r="Z1091" t="n">
        <v>59.665432223</v>
      </c>
      <c r="AA1091" t="n">
        <v>75.880603341</v>
      </c>
      <c r="AB1091" t="n">
        <v>88.43091334899999</v>
      </c>
      <c r="AC1091" t="n">
        <v>103.291392384</v>
      </c>
      <c r="AD1091" t="n">
        <v>96.07125102800001</v>
      </c>
      <c r="AE1091" t="n">
        <v>84.503</v>
      </c>
      <c r="AF1091" t="n">
        <v>97.79185067900001</v>
      </c>
      <c r="AG1091" t="n">
        <v>74.09999999999999</v>
      </c>
      <c r="AH1091" t="n">
        <v>96.10171237900001</v>
      </c>
      <c r="AI1091" t="n">
        <v>99.691692359</v>
      </c>
      <c r="AJ1091" t="n">
        <v>107.874321179</v>
      </c>
      <c r="AK1091" t="n">
        <v/>
      </c>
      <c r="AL1091" t="n">
        <v>88.43531536899999</v>
      </c>
      <c r="AM1091" t="n">
        <v>77.40000000000001</v>
      </c>
      <c r="AN1091" t="n">
        <v>105.890176082</v>
      </c>
      <c r="AO1091" t="n">
        <v>79.5</v>
      </c>
      <c r="AP1091" t="n">
        <v>73.406117176</v>
      </c>
      <c r="AQ1091" t="n">
        <v>86.807233936</v>
      </c>
      <c r="AR1091" t="n">
        <v>94.692108991</v>
      </c>
      <c r="AS1091" t="n">
        <v>64.29464211299999</v>
      </c>
      <c r="AT1091" t="n">
        <v>86.81204067900001</v>
      </c>
      <c r="AU1091" t="n">
        <v/>
      </c>
    </row>
    <row r="1092">
      <c r="A1092" s="105" t="n">
        <v>40118</v>
      </c>
      <c r="B1092" t="n">
        <v>89.10353503</v>
      </c>
      <c r="C1092" t="n">
        <v>91.492375635</v>
      </c>
      <c r="D1092" t="n">
        <v>108.770916018</v>
      </c>
      <c r="E1092" t="n">
        <v>85.646447595</v>
      </c>
      <c r="F1092" t="n">
        <v/>
      </c>
      <c r="G1092" t="n">
        <v/>
      </c>
      <c r="H1092" t="n">
        <v>88.230124011</v>
      </c>
      <c r="I1092" t="n">
        <v>89.096110354</v>
      </c>
      <c r="J1092" t="n">
        <v>81.08648558599999</v>
      </c>
      <c r="K1092" t="n">
        <v>83.306942245</v>
      </c>
      <c r="L1092" t="n">
        <v>95.2</v>
      </c>
      <c r="M1092" t="n">
        <v>91.492375635</v>
      </c>
      <c r="N1092" t="n">
        <v>105.548087957</v>
      </c>
      <c r="O1092" t="n">
        <v>63.105258772</v>
      </c>
      <c r="P1092" t="n">
        <v/>
      </c>
      <c r="Q1092" t="n">
        <v>101.016836139</v>
      </c>
      <c r="R1092" t="n">
        <v>97.18919009</v>
      </c>
      <c r="S1092" t="n">
        <v>90.43630919899999</v>
      </c>
      <c r="T1092" t="n">
        <v>97.629996463</v>
      </c>
      <c r="U1092" t="n">
        <v/>
      </c>
      <c r="V1092" t="n">
        <v>122.987261677</v>
      </c>
      <c r="W1092" t="n">
        <v>76.40636719699999</v>
      </c>
      <c r="X1092" t="n">
        <v>84.06257370199999</v>
      </c>
      <c r="Y1092" t="n">
        <v/>
      </c>
      <c r="Z1092" t="n">
        <v>56.812901599</v>
      </c>
      <c r="AA1092" t="n">
        <v>77.70114209</v>
      </c>
      <c r="AB1092" t="n">
        <v>87.962529274</v>
      </c>
      <c r="AC1092" t="n">
        <v>103.491375719</v>
      </c>
      <c r="AD1092" t="n">
        <v>98.021415312</v>
      </c>
      <c r="AE1092" t="n">
        <v>85.121</v>
      </c>
      <c r="AF1092" t="n">
        <v>97.291892342</v>
      </c>
      <c r="AG1092" t="n">
        <v>77.40000000000001</v>
      </c>
      <c r="AH1092" t="n">
        <v>97.700484598</v>
      </c>
      <c r="AI1092" t="n">
        <v>99.29172569000001</v>
      </c>
      <c r="AJ1092" t="n">
        <v>107.874321179</v>
      </c>
      <c r="AK1092" t="n">
        <v/>
      </c>
      <c r="AL1092" t="n">
        <v>89.173621563</v>
      </c>
      <c r="AM1092" t="n">
        <v>77.8</v>
      </c>
      <c r="AN1092" t="n">
        <v>102.85683666</v>
      </c>
      <c r="AO1092" t="n">
        <v>81</v>
      </c>
      <c r="AP1092" t="n">
        <v>75.706308859</v>
      </c>
      <c r="AQ1092" t="n">
        <v>89.907492291</v>
      </c>
      <c r="AR1092" t="n">
        <v>93.79218398499999</v>
      </c>
      <c r="AS1092" t="n">
        <v>66.994417132</v>
      </c>
      <c r="AT1092" t="n">
        <v>87.174564004</v>
      </c>
      <c r="AU1092" t="n">
        <v/>
      </c>
    </row>
    <row r="1093">
      <c r="A1093" s="105" t="n">
        <v>40148</v>
      </c>
      <c r="B1093" t="n">
        <v>89.44136835</v>
      </c>
      <c r="C1093" t="n">
        <v>90.392467294</v>
      </c>
      <c r="D1093" t="n">
        <v>109.150634485</v>
      </c>
      <c r="E1093" t="n">
        <v>85.14616535</v>
      </c>
      <c r="F1093" t="n">
        <v/>
      </c>
      <c r="G1093" t="n">
        <v/>
      </c>
      <c r="H1093" t="n">
        <v>87.587827475</v>
      </c>
      <c r="I1093" t="n">
        <v>89.433915524</v>
      </c>
      <c r="J1093" t="n">
        <v>82.68621896400001</v>
      </c>
      <c r="K1093" t="n">
        <v>83.306942245</v>
      </c>
      <c r="L1093" t="n">
        <v>89.8</v>
      </c>
      <c r="M1093" t="n">
        <v>91.492375635</v>
      </c>
      <c r="N1093" t="n">
        <v>104.962087468</v>
      </c>
      <c r="O1093" t="n">
        <v>63.105258772</v>
      </c>
      <c r="P1093" t="n">
        <v/>
      </c>
      <c r="Q1093" t="n">
        <v>102.917152859</v>
      </c>
      <c r="R1093" t="n">
        <v>96.899192507</v>
      </c>
      <c r="S1093" t="n">
        <v>90.576841874</v>
      </c>
      <c r="T1093" t="n">
        <v>97.41775733999999</v>
      </c>
      <c r="U1093" t="n">
        <v/>
      </c>
      <c r="V1093" t="n">
        <v>119.990009158</v>
      </c>
      <c r="W1093" t="n">
        <v>76.20635052900001</v>
      </c>
      <c r="X1093" t="n">
        <v>84.27238994699999</v>
      </c>
      <c r="Y1093" t="n">
        <v/>
      </c>
      <c r="Z1093" t="n">
        <v>57.882600583</v>
      </c>
      <c r="AA1093" t="n">
        <v>78.442483181</v>
      </c>
      <c r="AB1093" t="n">
        <v>85.152224824</v>
      </c>
      <c r="AC1093" t="n">
        <v>101.991500708</v>
      </c>
      <c r="AD1093" t="n">
        <v>98.842537116</v>
      </c>
      <c r="AE1093" t="n">
        <v>86.11199999999999</v>
      </c>
      <c r="AF1093" t="n">
        <v>97.891842346</v>
      </c>
      <c r="AG1093" t="n">
        <v>76.8</v>
      </c>
      <c r="AH1093" t="n">
        <v>97.335472603</v>
      </c>
      <c r="AI1093" t="n">
        <v>100.491625698</v>
      </c>
      <c r="AJ1093" t="n">
        <v>107.05973623</v>
      </c>
      <c r="AK1093" t="n">
        <v/>
      </c>
      <c r="AL1093" t="n">
        <v>89.167755462</v>
      </c>
      <c r="AM1093" t="n">
        <v>76.3</v>
      </c>
      <c r="AN1093" t="n">
        <v>105.547557037</v>
      </c>
      <c r="AO1093" t="n">
        <v>81.2</v>
      </c>
      <c r="AP1093" t="n">
        <v>80.306692224</v>
      </c>
      <c r="AQ1093" t="n">
        <v>87.707308942</v>
      </c>
      <c r="AR1093" t="n">
        <v>94.792100658</v>
      </c>
      <c r="AS1093" t="n">
        <v>64.194650446</v>
      </c>
      <c r="AT1093" t="n">
        <v>87.489292952</v>
      </c>
      <c r="AU1093" t="n">
        <v/>
      </c>
    </row>
    <row r="1094">
      <c r="A1094" s="105" t="n">
        <v>40179</v>
      </c>
      <c r="B1094" t="n">
        <v>87.97977476</v>
      </c>
      <c r="C1094" t="n">
        <v>93.59220065</v>
      </c>
      <c r="D1094" t="n">
        <v>110.86528538</v>
      </c>
      <c r="E1094" t="n">
        <v>86.08466273800001</v>
      </c>
      <c r="F1094" t="n">
        <v/>
      </c>
      <c r="G1094" t="n">
        <v/>
      </c>
      <c r="H1094" t="n">
        <v>87.135667274</v>
      </c>
      <c r="I1094" t="n">
        <v>87.972443723</v>
      </c>
      <c r="J1094" t="n">
        <v>81.986335611</v>
      </c>
      <c r="K1094" t="n">
        <v>84.107008917</v>
      </c>
      <c r="L1094" t="n">
        <v>95.3</v>
      </c>
      <c r="M1094" t="n">
        <v>93.092242313</v>
      </c>
      <c r="N1094" t="n">
        <v>104.046086705</v>
      </c>
      <c r="O1094" t="n">
        <v>67.80565047100001</v>
      </c>
      <c r="P1094" t="n">
        <v/>
      </c>
      <c r="Q1094" t="n">
        <v>102.417069512</v>
      </c>
      <c r="R1094" t="n">
        <v>97.919184007</v>
      </c>
      <c r="S1094" t="n">
        <v>91.810983573</v>
      </c>
      <c r="T1094" t="n">
        <v>96.568800849</v>
      </c>
      <c r="U1094" t="n">
        <v/>
      </c>
      <c r="V1094" t="n">
        <v>115.993672467</v>
      </c>
      <c r="W1094" t="n">
        <v>78.70655888</v>
      </c>
      <c r="X1094" t="n">
        <v>85.803337622</v>
      </c>
      <c r="Y1094" t="n">
        <v/>
      </c>
      <c r="Z1094" t="n">
        <v>63.291751553</v>
      </c>
      <c r="AA1094" t="n">
        <v>80.405377472</v>
      </c>
      <c r="AB1094" t="n">
        <v>90.398126464</v>
      </c>
      <c r="AC1094" t="n">
        <v>105.591200733</v>
      </c>
      <c r="AD1094" t="n">
        <v>101.100622076</v>
      </c>
      <c r="AE1094" t="n">
        <v>87.024</v>
      </c>
      <c r="AF1094" t="n">
        <v>99.891675694</v>
      </c>
      <c r="AG1094" t="n">
        <v>79.90000000000001</v>
      </c>
      <c r="AH1094" t="n">
        <v>97.95094646</v>
      </c>
      <c r="AI1094" t="n">
        <v>104.59128406</v>
      </c>
      <c r="AJ1094" t="n">
        <v>107.176105508</v>
      </c>
      <c r="AK1094" t="n">
        <v/>
      </c>
      <c r="AL1094" t="n">
        <v>90.24165087900001</v>
      </c>
      <c r="AM1094" t="n">
        <v>79.40000000000001</v>
      </c>
      <c r="AN1094" t="n">
        <v>103.169282856</v>
      </c>
      <c r="AO1094" t="n">
        <v>82.59999999999999</v>
      </c>
      <c r="AP1094" t="n">
        <v>79.006583882</v>
      </c>
      <c r="AQ1094" t="n">
        <v>84.407033919</v>
      </c>
      <c r="AR1094" t="n">
        <v>97.291892342</v>
      </c>
      <c r="AS1094" t="n">
        <v>63.594700442</v>
      </c>
      <c r="AT1094" t="n">
        <v>88.442999008</v>
      </c>
      <c r="AU1094" t="n">
        <v/>
      </c>
    </row>
    <row r="1095">
      <c r="A1095" s="105" t="n">
        <v>40210</v>
      </c>
      <c r="B1095" t="n">
        <v>89.17490232</v>
      </c>
      <c r="C1095" t="n">
        <v>95.09207566000001</v>
      </c>
      <c r="D1095" t="n">
        <v>110.683292679</v>
      </c>
      <c r="E1095" t="n">
        <v>87.21765488</v>
      </c>
      <c r="F1095" t="n">
        <v/>
      </c>
      <c r="G1095" t="n">
        <v/>
      </c>
      <c r="H1095" t="n">
        <v>88.692744793</v>
      </c>
      <c r="I1095" t="n">
        <v>89.167471697</v>
      </c>
      <c r="J1095" t="n">
        <v>81.88635227499999</v>
      </c>
      <c r="K1095" t="n">
        <v>83.306942245</v>
      </c>
      <c r="L1095" t="n">
        <v>96.40000000000001</v>
      </c>
      <c r="M1095" t="n">
        <v>92.592283976</v>
      </c>
      <c r="N1095" t="n">
        <v>104.060086717</v>
      </c>
      <c r="O1095" t="n">
        <v>68.405700475</v>
      </c>
      <c r="P1095" t="n">
        <v/>
      </c>
      <c r="Q1095" t="n">
        <v>101.916986164</v>
      </c>
      <c r="R1095" t="n">
        <v>97.289189257</v>
      </c>
      <c r="S1095" t="n">
        <v>91.98918351499999</v>
      </c>
      <c r="T1095" t="n">
        <v>98.47895295399999</v>
      </c>
      <c r="U1095" t="n">
        <v/>
      </c>
      <c r="V1095" t="n">
        <v>115.993672467</v>
      </c>
      <c r="W1095" t="n">
        <v>77.506458872</v>
      </c>
      <c r="X1095" t="n">
        <v>86.705397957</v>
      </c>
      <c r="Y1095" t="n">
        <v/>
      </c>
      <c r="Z1095" t="n">
        <v>63.606949519</v>
      </c>
      <c r="AA1095" t="n">
        <v>78.943641962</v>
      </c>
      <c r="AB1095" t="n">
        <v>90.117096019</v>
      </c>
      <c r="AC1095" t="n">
        <v>104.59128406</v>
      </c>
      <c r="AD1095" t="n">
        <v>101.408542752</v>
      </c>
      <c r="AE1095" t="n">
        <v>88.74299999999999</v>
      </c>
      <c r="AF1095" t="n">
        <v>97.491875677</v>
      </c>
      <c r="AG1095" t="n">
        <v>79</v>
      </c>
      <c r="AH1095" t="n">
        <v>98.16974086899999</v>
      </c>
      <c r="AI1095" t="n">
        <v>103.191400717</v>
      </c>
      <c r="AJ1095" t="n">
        <v>106.826997673</v>
      </c>
      <c r="AK1095" t="n">
        <v/>
      </c>
      <c r="AL1095" t="n">
        <v>90.53022285999999</v>
      </c>
      <c r="AM1095" t="n">
        <v>79.59999999999999</v>
      </c>
      <c r="AN1095" t="n">
        <v>102.865733986</v>
      </c>
      <c r="AO1095" t="n">
        <v>82.59999999999999</v>
      </c>
      <c r="AP1095" t="n">
        <v>75.90632552700001</v>
      </c>
      <c r="AQ1095" t="n">
        <v>88.207350613</v>
      </c>
      <c r="AR1095" t="n">
        <v>96.091992334</v>
      </c>
      <c r="AS1095" t="n">
        <v>65.094575452</v>
      </c>
      <c r="AT1095" t="n">
        <v>88.755645628</v>
      </c>
      <c r="AU1095" t="n">
        <v/>
      </c>
    </row>
    <row r="1096">
      <c r="A1096" s="105" t="n">
        <v>40238</v>
      </c>
      <c r="B1096" t="n">
        <v>89.63456677000001</v>
      </c>
      <c r="C1096" t="n">
        <v>94.892092326</v>
      </c>
      <c r="D1096" t="n">
        <v>113.073144202</v>
      </c>
      <c r="E1096" t="n">
        <v>88.335397778</v>
      </c>
      <c r="F1096" t="n">
        <v/>
      </c>
      <c r="G1096" t="n">
        <v/>
      </c>
      <c r="H1096" t="n">
        <v>82.160315174</v>
      </c>
      <c r="I1096" t="n">
        <v>89.62709784499999</v>
      </c>
      <c r="J1096" t="n">
        <v>84.785869022</v>
      </c>
      <c r="K1096" t="n">
        <v>86.107175598</v>
      </c>
      <c r="L1096" t="n">
        <v>98.2</v>
      </c>
      <c r="M1096" t="n">
        <v>94.292142321</v>
      </c>
      <c r="N1096" t="n">
        <v>106.336088613</v>
      </c>
      <c r="O1096" t="n">
        <v>69.805817151</v>
      </c>
      <c r="P1096" t="n">
        <v/>
      </c>
      <c r="Q1096" t="n">
        <v>103.117186198</v>
      </c>
      <c r="R1096" t="n">
        <v>99.209173257</v>
      </c>
      <c r="S1096" t="n">
        <v>92.995510928</v>
      </c>
      <c r="T1096" t="n">
        <v>99.64626812900001</v>
      </c>
      <c r="U1096" t="n">
        <v/>
      </c>
      <c r="V1096" t="n">
        <v>117.792023978</v>
      </c>
      <c r="W1096" t="n">
        <v>77.906492208</v>
      </c>
      <c r="X1096" t="n">
        <v>86.64749612999999</v>
      </c>
      <c r="Y1096" t="n">
        <v/>
      </c>
      <c r="Z1096" t="n">
        <v>65.56117690799999</v>
      </c>
      <c r="AA1096" t="n">
        <v>81.315882285</v>
      </c>
      <c r="AB1096" t="n">
        <v>91.990632319</v>
      </c>
      <c r="AC1096" t="n">
        <v>105.091242396</v>
      </c>
      <c r="AD1096" t="n">
        <v>101.716463429</v>
      </c>
      <c r="AE1096" t="n">
        <v>90.072</v>
      </c>
      <c r="AF1096" t="n">
        <v>100.7916007</v>
      </c>
      <c r="AG1096" t="n">
        <v>79.7</v>
      </c>
      <c r="AH1096" t="n">
        <v>98.983976125</v>
      </c>
      <c r="AI1096" t="n">
        <v>104.891259062</v>
      </c>
      <c r="AJ1096" t="n">
        <v>105.663304888</v>
      </c>
      <c r="AK1096" t="n">
        <v/>
      </c>
      <c r="AL1096" t="n">
        <v>91.562130775</v>
      </c>
      <c r="AM1096" t="n">
        <v>82</v>
      </c>
      <c r="AN1096" t="n">
        <v>105.165533221</v>
      </c>
      <c r="AO1096" t="n">
        <v>83.5</v>
      </c>
      <c r="AP1096" t="n">
        <v>79.906658888</v>
      </c>
      <c r="AQ1096" t="n">
        <v>91.807650638</v>
      </c>
      <c r="AR1096" t="n">
        <v>98.791767353</v>
      </c>
      <c r="AS1096" t="n">
        <v>66.29447546</v>
      </c>
      <c r="AT1096" t="n">
        <v>89.38629342500001</v>
      </c>
      <c r="AU1096" t="n">
        <v/>
      </c>
    </row>
    <row r="1097">
      <c r="A1097" s="105" t="n">
        <v>40269</v>
      </c>
      <c r="B1097" t="n">
        <v>89.54263388</v>
      </c>
      <c r="C1097" t="n">
        <v>94.292142321</v>
      </c>
      <c r="D1097" t="n">
        <v>113.519835544</v>
      </c>
      <c r="E1097" t="n">
        <v>88.16203794099999</v>
      </c>
      <c r="F1097" t="n">
        <v/>
      </c>
      <c r="G1097" t="n">
        <v/>
      </c>
      <c r="H1097" t="n">
        <v>89.965859357</v>
      </c>
      <c r="I1097" t="n">
        <v>89.535172616</v>
      </c>
      <c r="J1097" t="n">
        <v>85.785702383</v>
      </c>
      <c r="K1097" t="n">
        <v>87.707308942</v>
      </c>
      <c r="L1097" t="n">
        <v>100</v>
      </c>
      <c r="M1097" t="n">
        <v>94.692108991</v>
      </c>
      <c r="N1097" t="n">
        <v>106.705088921</v>
      </c>
      <c r="O1097" t="n">
        <v>70.705892158</v>
      </c>
      <c r="P1097" t="n">
        <v/>
      </c>
      <c r="Q1097" t="n">
        <v>102.317052842</v>
      </c>
      <c r="R1097" t="n">
        <v>98.80917659000001</v>
      </c>
      <c r="S1097" t="n">
        <v>93.51620307100001</v>
      </c>
      <c r="T1097" t="n">
        <v>98.266713831</v>
      </c>
      <c r="U1097" t="n">
        <v/>
      </c>
      <c r="V1097" t="n">
        <v>114.295229373</v>
      </c>
      <c r="W1097" t="n">
        <v>79.306608884</v>
      </c>
      <c r="X1097" t="n">
        <v>88.029764508</v>
      </c>
      <c r="Y1097" t="n">
        <v/>
      </c>
      <c r="Z1097" t="n">
        <v>61.085365792</v>
      </c>
      <c r="AA1097" t="n">
        <v>83.649449468</v>
      </c>
      <c r="AB1097" t="n">
        <v>94.800936768</v>
      </c>
      <c r="AC1097" t="n">
        <v>106.09115907</v>
      </c>
      <c r="AD1097" t="n">
        <v>102.948146134</v>
      </c>
      <c r="AE1097" t="n">
        <v>91.47799999999999</v>
      </c>
      <c r="AF1097" t="n">
        <v>102.191484043</v>
      </c>
      <c r="AG1097" t="n">
        <v>82</v>
      </c>
      <c r="AH1097" t="n">
        <v>99.789577408</v>
      </c>
      <c r="AI1097" t="n">
        <v>104.891259062</v>
      </c>
      <c r="AJ1097" t="n">
        <v>104.848719938</v>
      </c>
      <c r="AK1097" t="n">
        <v/>
      </c>
      <c r="AL1097" t="n">
        <v>92.10701353100001</v>
      </c>
      <c r="AM1097" t="n">
        <v>80.59999999999999</v>
      </c>
      <c r="AN1097" t="n">
        <v>102.972062999</v>
      </c>
      <c r="AO1097" t="n">
        <v>82.59999999999999</v>
      </c>
      <c r="AP1097" t="n">
        <v>80.906742229</v>
      </c>
      <c r="AQ1097" t="n">
        <v>89.907492291</v>
      </c>
      <c r="AR1097" t="n">
        <v>100.39163403</v>
      </c>
      <c r="AS1097" t="n">
        <v>66.994417132</v>
      </c>
      <c r="AT1097" t="n">
        <v>89.712623913</v>
      </c>
      <c r="AU1097" t="n">
        <v/>
      </c>
    </row>
    <row r="1098">
      <c r="A1098" s="105" t="n">
        <v>40299</v>
      </c>
      <c r="B1098" t="n">
        <v>91.74902321</v>
      </c>
      <c r="C1098" t="n">
        <v>96.59195067100001</v>
      </c>
      <c r="D1098" t="n">
        <v>113.29601645</v>
      </c>
      <c r="E1098" t="n">
        <v>90.34722798200001</v>
      </c>
      <c r="F1098" t="n">
        <v/>
      </c>
      <c r="G1098" t="n">
        <v/>
      </c>
      <c r="H1098" t="n">
        <v>88.002089794</v>
      </c>
      <c r="I1098" t="n">
        <v>91.741378095</v>
      </c>
      <c r="J1098" t="n">
        <v>84.785869022</v>
      </c>
      <c r="K1098" t="n">
        <v>90.407533961</v>
      </c>
      <c r="L1098" t="n">
        <v>99.8</v>
      </c>
      <c r="M1098" t="n">
        <v>96.49195900300001</v>
      </c>
      <c r="N1098" t="n">
        <v>106.226088522</v>
      </c>
      <c r="O1098" t="n">
        <v>72.0060005</v>
      </c>
      <c r="P1098" t="n">
        <v/>
      </c>
      <c r="Q1098" t="n">
        <v>105.917652942</v>
      </c>
      <c r="R1098" t="n">
        <v>99.58917009</v>
      </c>
      <c r="S1098" t="n">
        <v>94.60366195500001</v>
      </c>
      <c r="T1098" t="n">
        <v>98.266713831</v>
      </c>
      <c r="U1098" t="n">
        <v/>
      </c>
      <c r="V1098" t="n">
        <v>116.193489301</v>
      </c>
      <c r="W1098" t="n">
        <v>83.50695891300001</v>
      </c>
      <c r="X1098" t="n">
        <v>85.583396601</v>
      </c>
      <c r="Y1098" t="n">
        <v/>
      </c>
      <c r="Z1098" t="n">
        <v>62.093999283</v>
      </c>
      <c r="AA1098" t="n">
        <v>82.260679806</v>
      </c>
      <c r="AB1098" t="n">
        <v>95.644028103</v>
      </c>
      <c r="AC1098" t="n">
        <v>106.49112574</v>
      </c>
      <c r="AD1098" t="n">
        <v>102.537585232</v>
      </c>
      <c r="AE1098" t="n">
        <v>92.809</v>
      </c>
      <c r="AF1098" t="n">
        <v>102.091492376</v>
      </c>
      <c r="AG1098" t="n">
        <v>82.09999999999999</v>
      </c>
      <c r="AH1098" t="n">
        <v>99.70414524900001</v>
      </c>
      <c r="AI1098" t="n">
        <v>109.790850762</v>
      </c>
      <c r="AJ1098" t="n">
        <v>104.848719938</v>
      </c>
      <c r="AK1098" t="n">
        <v/>
      </c>
      <c r="AL1098" t="n">
        <v>93.22139506000001</v>
      </c>
      <c r="AM1098" t="n">
        <v>83.7</v>
      </c>
      <c r="AN1098" t="n">
        <v>103.622861776</v>
      </c>
      <c r="AO1098" t="n">
        <v>82.8</v>
      </c>
      <c r="AP1098" t="n">
        <v>80.406700558</v>
      </c>
      <c r="AQ1098" t="n">
        <v>93.707808984</v>
      </c>
      <c r="AR1098" t="n">
        <v>102.69144238</v>
      </c>
      <c r="AS1098" t="n">
        <v>68.894258812</v>
      </c>
      <c r="AT1098" t="n">
        <v>90.94129637499999</v>
      </c>
      <c r="AU1098" t="n">
        <v/>
      </c>
    </row>
    <row r="1099">
      <c r="A1099" s="105" t="n">
        <v>40330</v>
      </c>
      <c r="B1099" t="n">
        <v>93.21994943999999</v>
      </c>
      <c r="C1099" t="n">
        <v>97.491875677</v>
      </c>
      <c r="D1099" t="n">
        <v>112.767731164</v>
      </c>
      <c r="E1099" t="n">
        <v>90.928304471</v>
      </c>
      <c r="F1099" t="n">
        <v/>
      </c>
      <c r="G1099" t="n">
        <v/>
      </c>
      <c r="H1099" t="n">
        <v>90.76628376399999</v>
      </c>
      <c r="I1099" t="n">
        <v>93.212181758</v>
      </c>
      <c r="J1099" t="n">
        <v>86.68555240800001</v>
      </c>
      <c r="K1099" t="n">
        <v>90.107508959</v>
      </c>
      <c r="L1099" t="n">
        <v>99.5</v>
      </c>
      <c r="M1099" t="n">
        <v>96.59195067100001</v>
      </c>
      <c r="N1099" t="n">
        <v>106.315088596</v>
      </c>
      <c r="O1099" t="n">
        <v>74.206183849</v>
      </c>
      <c r="P1099" t="n">
        <v/>
      </c>
      <c r="Q1099" t="n">
        <v>114.519086514</v>
      </c>
      <c r="R1099" t="n">
        <v>99.19917334</v>
      </c>
      <c r="S1099" t="n">
        <v>94.64964251000001</v>
      </c>
      <c r="T1099" t="n">
        <v>96.67492041</v>
      </c>
      <c r="U1099" t="n">
        <v/>
      </c>
      <c r="V1099" t="n">
        <v>116.093580884</v>
      </c>
      <c r="W1099" t="n">
        <v>83.406950579</v>
      </c>
      <c r="X1099" t="n">
        <v>85.473830863</v>
      </c>
      <c r="Y1099" t="n">
        <v/>
      </c>
      <c r="Z1099" t="n">
        <v>64.111266265</v>
      </c>
      <c r="AA1099" t="n">
        <v>82.466433905</v>
      </c>
      <c r="AB1099" t="n">
        <v>96.018735363</v>
      </c>
      <c r="AC1099" t="n">
        <v>109.090909091</v>
      </c>
      <c r="AD1099" t="n">
        <v>101.921743879</v>
      </c>
      <c r="AE1099" t="n">
        <v>92.925</v>
      </c>
      <c r="AF1099" t="n">
        <v>105.991167403</v>
      </c>
      <c r="AG1099" t="n">
        <v>83.09999999999999</v>
      </c>
      <c r="AH1099" t="n">
        <v>99.73921442300001</v>
      </c>
      <c r="AI1099" t="n">
        <v>103.391384051</v>
      </c>
      <c r="AJ1099" t="n">
        <v>102.055857254</v>
      </c>
      <c r="AK1099" t="n">
        <v/>
      </c>
      <c r="AL1099" t="n">
        <v>93.370194252</v>
      </c>
      <c r="AM1099" t="n">
        <v>85.59999999999999</v>
      </c>
      <c r="AN1099" t="n">
        <v>104.052776894</v>
      </c>
      <c r="AO1099" t="n">
        <v>82.8</v>
      </c>
      <c r="AP1099" t="n">
        <v>79.506625552</v>
      </c>
      <c r="AQ1099" t="n">
        <v>93.60780065</v>
      </c>
      <c r="AR1099" t="n">
        <v>104.791267394</v>
      </c>
      <c r="AS1099" t="n">
        <v>69.294225481</v>
      </c>
      <c r="AT1099" t="n">
        <v>91.155082011</v>
      </c>
      <c r="AU1099" t="n">
        <v/>
      </c>
    </row>
    <row r="1100">
      <c r="A1100" s="105" t="n">
        <v>40360</v>
      </c>
      <c r="B1100" t="n">
        <v>92.20868766</v>
      </c>
      <c r="C1100" t="n">
        <v>97.891842346</v>
      </c>
      <c r="D1100" t="n">
        <v>112.054788794</v>
      </c>
      <c r="E1100" t="n">
        <v>90.9582679</v>
      </c>
      <c r="F1100" t="n">
        <v/>
      </c>
      <c r="G1100" t="n">
        <v/>
      </c>
      <c r="H1100" t="n">
        <v>91.45643745300001</v>
      </c>
      <c r="I1100" t="n">
        <v>92.201004243</v>
      </c>
      <c r="J1100" t="n">
        <v>87.085485752</v>
      </c>
      <c r="K1100" t="n">
        <v>89.507458955</v>
      </c>
      <c r="L1100" t="n">
        <v>99.59999999999999</v>
      </c>
      <c r="M1100" t="n">
        <v>96.091992334</v>
      </c>
      <c r="N1100" t="n">
        <v>105.122087602</v>
      </c>
      <c r="O1100" t="n">
        <v>77.80648387399999</v>
      </c>
      <c r="P1100" t="n">
        <v/>
      </c>
      <c r="Q1100" t="n">
        <v>103.817302884</v>
      </c>
      <c r="R1100" t="n">
        <v>99.91916734</v>
      </c>
      <c r="S1100" t="n">
        <v>94.87687930200001</v>
      </c>
      <c r="T1100" t="n">
        <v>95.613724797</v>
      </c>
      <c r="U1100" t="n">
        <v/>
      </c>
      <c r="V1100" t="n">
        <v>109.099991674</v>
      </c>
      <c r="W1100" t="n">
        <v>82.90690890899999</v>
      </c>
      <c r="X1100" t="n">
        <v>88.688855502</v>
      </c>
      <c r="Y1100" t="n">
        <v/>
      </c>
      <c r="Z1100" t="n">
        <v>63.41783074</v>
      </c>
      <c r="AA1100" t="n">
        <v>79.296380175</v>
      </c>
      <c r="AB1100" t="n">
        <v>96.955503513</v>
      </c>
      <c r="AC1100" t="n">
        <v>108.790934089</v>
      </c>
      <c r="AD1100" t="n">
        <v>103.153426585</v>
      </c>
      <c r="AE1100" t="n">
        <v>93.45399999999999</v>
      </c>
      <c r="AF1100" t="n">
        <v>96.791934005</v>
      </c>
      <c r="AG1100" t="n">
        <v>86.59999999999999</v>
      </c>
      <c r="AH1100" t="n">
        <v>100.088996771</v>
      </c>
      <c r="AI1100" t="n">
        <v>101.891509041</v>
      </c>
      <c r="AJ1100" t="n">
        <v>100.543056633</v>
      </c>
      <c r="AK1100" t="n">
        <v/>
      </c>
      <c r="AL1100" t="n">
        <v>93.415934393</v>
      </c>
      <c r="AM1100" t="n">
        <v>84.8</v>
      </c>
      <c r="AN1100" t="n">
        <v>102.730099016</v>
      </c>
      <c r="AO1100" t="n">
        <v>83</v>
      </c>
      <c r="AP1100" t="n">
        <v>81.10675889700001</v>
      </c>
      <c r="AQ1100" t="n">
        <v>91.707642304</v>
      </c>
      <c r="AR1100" t="n">
        <v>104.991250729</v>
      </c>
      <c r="AS1100" t="n">
        <v>69.79418381799999</v>
      </c>
      <c r="AT1100" t="n">
        <v>91.497178694</v>
      </c>
      <c r="AU1100" t="n">
        <v/>
      </c>
    </row>
    <row r="1101">
      <c r="A1101" s="105" t="n">
        <v>40391</v>
      </c>
      <c r="B1101" t="n">
        <v>93.58768099</v>
      </c>
      <c r="C1101" t="n">
        <v>95.992000667</v>
      </c>
      <c r="D1101" t="n">
        <v>111.720221692</v>
      </c>
      <c r="E1101" t="n">
        <v>90.982345655</v>
      </c>
      <c r="F1101" t="n">
        <v/>
      </c>
      <c r="G1101" t="n">
        <v/>
      </c>
      <c r="H1101" t="n">
        <v>93.005885658</v>
      </c>
      <c r="I1101" t="n">
        <v>93.579882666</v>
      </c>
      <c r="J1101" t="n">
        <v>89.085152475</v>
      </c>
      <c r="K1101" t="n">
        <v>91.00758396499999</v>
      </c>
      <c r="L1101" t="n">
        <v>93.5</v>
      </c>
      <c r="M1101" t="n">
        <v>96.99191734</v>
      </c>
      <c r="N1101" t="n">
        <v>104.226086855</v>
      </c>
      <c r="O1101" t="n">
        <v>77.106425535</v>
      </c>
      <c r="P1101" t="n">
        <v/>
      </c>
      <c r="Q1101" t="n">
        <v>107.317886314</v>
      </c>
      <c r="R1101" t="n">
        <v>98.76917692400001</v>
      </c>
      <c r="S1101" t="n">
        <v>95.527503798</v>
      </c>
      <c r="T1101" t="n">
        <v>96.03820304200001</v>
      </c>
      <c r="U1101" t="n">
        <v/>
      </c>
      <c r="V1101" t="n">
        <v>116.792939805</v>
      </c>
      <c r="W1101" t="n">
        <v>85.10709225799999</v>
      </c>
      <c r="X1101" t="n">
        <v>88.033060388</v>
      </c>
      <c r="Y1101" t="n">
        <v/>
      </c>
      <c r="Z1101" t="n">
        <v>58.878980031</v>
      </c>
      <c r="AA1101" t="n">
        <v>77.015397033</v>
      </c>
      <c r="AB1101" t="n">
        <v>90.960187354</v>
      </c>
      <c r="AC1101" t="n">
        <v>112.490625781</v>
      </c>
      <c r="AD1101" t="n">
        <v>103.666627712</v>
      </c>
      <c r="AE1101" t="n">
        <v>93.155</v>
      </c>
      <c r="AF1101" t="n">
        <v>98.591784018</v>
      </c>
      <c r="AG1101" t="n">
        <v>87.7</v>
      </c>
      <c r="AH1101" t="n">
        <v>101.44499476</v>
      </c>
      <c r="AI1101" t="n">
        <v>104.19131739</v>
      </c>
      <c r="AJ1101" t="n">
        <v>93.677269201</v>
      </c>
      <c r="AK1101" t="n">
        <v/>
      </c>
      <c r="AL1101" t="n">
        <v>93.91536103599999</v>
      </c>
      <c r="AM1101" t="n">
        <v>83.90000000000001</v>
      </c>
      <c r="AN1101" t="n">
        <v>103.216317364</v>
      </c>
      <c r="AO1101" t="n">
        <v>83.3</v>
      </c>
      <c r="AP1101" t="n">
        <v>81.506792233</v>
      </c>
      <c r="AQ1101" t="n">
        <v>96.20801733499999</v>
      </c>
      <c r="AR1101" t="n">
        <v>103.291392384</v>
      </c>
      <c r="AS1101" t="n">
        <v>71.494042163</v>
      </c>
      <c r="AT1101" t="n">
        <v>91.835606513</v>
      </c>
      <c r="AU1101" t="n">
        <v/>
      </c>
    </row>
    <row r="1102">
      <c r="A1102" s="105" t="n">
        <v>40422</v>
      </c>
      <c r="B1102" t="n">
        <v>93.77154677</v>
      </c>
      <c r="C1102" t="n">
        <v>97.59186734399999</v>
      </c>
      <c r="D1102" t="n">
        <v>112.005299551</v>
      </c>
      <c r="E1102" t="n">
        <v>90.54653828799999</v>
      </c>
      <c r="F1102" t="n">
        <v/>
      </c>
      <c r="G1102" t="n">
        <v/>
      </c>
      <c r="H1102" t="n">
        <v>90.189497543</v>
      </c>
      <c r="I1102" t="n">
        <v>93.76373312600001</v>
      </c>
      <c r="J1102" t="n">
        <v>90.784869188</v>
      </c>
      <c r="K1102" t="n">
        <v>92.40770064199999</v>
      </c>
      <c r="L1102" t="n">
        <v>102.4</v>
      </c>
      <c r="M1102" t="n">
        <v>97.191900675</v>
      </c>
      <c r="N1102" t="n">
        <v>104.862087385</v>
      </c>
      <c r="O1102" t="n">
        <v>79.906658888</v>
      </c>
      <c r="P1102" t="n">
        <v/>
      </c>
      <c r="Q1102" t="n">
        <v>108.318053009</v>
      </c>
      <c r="R1102" t="n">
        <v>100.06916609</v>
      </c>
      <c r="S1102" t="n">
        <v>95.790181921</v>
      </c>
      <c r="T1102" t="n">
        <v>95.825963919</v>
      </c>
      <c r="U1102" t="n">
        <v/>
      </c>
      <c r="V1102" t="n">
        <v>108.000999084</v>
      </c>
      <c r="W1102" t="n">
        <v>84.207017251</v>
      </c>
      <c r="X1102" t="n">
        <v>88.79896704399999</v>
      </c>
      <c r="Y1102" t="n">
        <v/>
      </c>
      <c r="Z1102" t="n">
        <v>64.489503824</v>
      </c>
      <c r="AA1102" t="n">
        <v>76.49810951000001</v>
      </c>
      <c r="AB1102" t="n">
        <v>88.14988290399999</v>
      </c>
      <c r="AC1102" t="n">
        <v>107.99100075</v>
      </c>
      <c r="AD1102" t="n">
        <v>105.000950643</v>
      </c>
      <c r="AE1102" t="n">
        <v>93.468</v>
      </c>
      <c r="AF1102" t="n">
        <v>100.991584035</v>
      </c>
      <c r="AG1102" t="n">
        <v>87.5</v>
      </c>
      <c r="AH1102" t="n">
        <v>101.011857805</v>
      </c>
      <c r="AI1102" t="n">
        <v>102.991417382</v>
      </c>
      <c r="AJ1102" t="n">
        <v>97.517455392</v>
      </c>
      <c r="AK1102" t="n">
        <v/>
      </c>
      <c r="AL1102" t="n">
        <v>94.200779435</v>
      </c>
      <c r="AM1102" t="n">
        <v>85.40000000000001</v>
      </c>
      <c r="AN1102" t="n">
        <v>103.430124082</v>
      </c>
      <c r="AO1102" t="n">
        <v>84</v>
      </c>
      <c r="AP1102" t="n">
        <v>81.706808901</v>
      </c>
      <c r="AQ1102" t="n">
        <v>95.307942329</v>
      </c>
      <c r="AR1102" t="n">
        <v>104.091325723</v>
      </c>
      <c r="AS1102" t="n">
        <v>71.594033831</v>
      </c>
      <c r="AT1102" t="n">
        <v>92.08528751199999</v>
      </c>
      <c r="AU1102" t="n">
        <v/>
      </c>
    </row>
    <row r="1103">
      <c r="A1103" s="105" t="n">
        <v>40452</v>
      </c>
      <c r="B1103" t="n">
        <v>94.23121122000001</v>
      </c>
      <c r="C1103" t="n">
        <v>100.39163403</v>
      </c>
      <c r="D1103" t="n">
        <v>111.747504082</v>
      </c>
      <c r="E1103" t="n">
        <v>91.310070655</v>
      </c>
      <c r="F1103" t="n">
        <v>94.09999999999999</v>
      </c>
      <c r="G1103" t="n">
        <v/>
      </c>
      <c r="H1103" t="n">
        <v>90.13384049299999</v>
      </c>
      <c r="I1103" t="n">
        <v>94.223359273</v>
      </c>
      <c r="J1103" t="n">
        <v>90.784869188</v>
      </c>
      <c r="K1103" t="n">
        <v>94.407867322</v>
      </c>
      <c r="L1103" t="n">
        <v>100.7</v>
      </c>
      <c r="M1103" t="n">
        <v>97.891842346</v>
      </c>
      <c r="N1103" t="n">
        <v>105.497087914</v>
      </c>
      <c r="O1103" t="n">
        <v>83.806983915</v>
      </c>
      <c r="P1103" t="n">
        <v/>
      </c>
      <c r="Q1103" t="n">
        <v>108.918153026</v>
      </c>
      <c r="R1103" t="n">
        <v>99.88916759</v>
      </c>
      <c r="S1103" t="n">
        <v>95.606716498</v>
      </c>
      <c r="T1103" t="n">
        <v>96.887159533</v>
      </c>
      <c r="U1103" t="n">
        <v/>
      </c>
      <c r="V1103" t="n">
        <v>115.793855632</v>
      </c>
      <c r="W1103" t="n">
        <v>85.10709225799999</v>
      </c>
      <c r="X1103" t="n">
        <v>91.138984463</v>
      </c>
      <c r="Y1103" t="n">
        <v/>
      </c>
      <c r="Z1103" t="n">
        <v>59.761534335</v>
      </c>
      <c r="AA1103" t="n">
        <v>76.90987077299999</v>
      </c>
      <c r="AB1103" t="n">
        <v>89.367681499</v>
      </c>
      <c r="AC1103" t="n">
        <v>108.390967419</v>
      </c>
      <c r="AD1103" t="n">
        <v>102.024384105</v>
      </c>
      <c r="AE1103" t="n">
        <v>93.56999999999999</v>
      </c>
      <c r="AF1103" t="n">
        <v>102.091492376</v>
      </c>
      <c r="AG1103" t="n">
        <v>90.09999999999999</v>
      </c>
      <c r="AH1103" t="n">
        <v>100.746733159</v>
      </c>
      <c r="AI1103" t="n">
        <v>105.691192401</v>
      </c>
      <c r="AJ1103" t="n">
        <v>104.965089216</v>
      </c>
      <c r="AK1103" t="n">
        <v/>
      </c>
      <c r="AL1103" t="n">
        <v>94.267104637</v>
      </c>
      <c r="AM1103" t="n">
        <v>85.5</v>
      </c>
      <c r="AN1103" t="n">
        <v>101.91117514</v>
      </c>
      <c r="AO1103" t="n">
        <v>85.7</v>
      </c>
      <c r="AP1103" t="n">
        <v>82.606883907</v>
      </c>
      <c r="AQ1103" t="n">
        <v>94.407867322</v>
      </c>
      <c r="AR1103" t="n">
        <v>104.091325723</v>
      </c>
      <c r="AS1103" t="n">
        <v>72.293975502</v>
      </c>
      <c r="AT1103" t="n">
        <v>91.834416612</v>
      </c>
      <c r="AU1103" t="n">
        <v/>
      </c>
    </row>
    <row r="1104">
      <c r="A1104" s="105" t="n">
        <v>40483</v>
      </c>
      <c r="B1104" t="n">
        <v>94.32314409999999</v>
      </c>
      <c r="C1104" t="n">
        <v>101.491542371</v>
      </c>
      <c r="D1104" t="n">
        <v>112.421834933</v>
      </c>
      <c r="E1104" t="n">
        <v>91.33816136900001</v>
      </c>
      <c r="F1104" t="n">
        <v>94.09999999999999</v>
      </c>
      <c r="G1104" t="n">
        <v/>
      </c>
      <c r="H1104" t="n">
        <v>91.05803980500001</v>
      </c>
      <c r="I1104" t="n">
        <v>94.31528449299999</v>
      </c>
      <c r="J1104" t="n">
        <v>90.284952508</v>
      </c>
      <c r="K1104" t="n">
        <v>93.907825652</v>
      </c>
      <c r="L1104" t="n">
        <v>99.40000000000001</v>
      </c>
      <c r="M1104" t="n">
        <v>98.89175901999999</v>
      </c>
      <c r="N1104" t="n">
        <v>108.017090014</v>
      </c>
      <c r="O1104" t="n">
        <v>84.107008917</v>
      </c>
      <c r="P1104" t="n">
        <v/>
      </c>
      <c r="Q1104" t="n">
        <v>108.918153026</v>
      </c>
      <c r="R1104" t="n">
        <v>101.20915659</v>
      </c>
      <c r="S1104" t="n">
        <v>95.82931683</v>
      </c>
      <c r="T1104" t="n">
        <v>94.76476830599999</v>
      </c>
      <c r="U1104" t="n">
        <v/>
      </c>
      <c r="V1104" t="n">
        <v>114.195320956</v>
      </c>
      <c r="W1104" t="n">
        <v>87.00725060400001</v>
      </c>
      <c r="X1104" t="n">
        <v>89.536689365</v>
      </c>
      <c r="Y1104" t="n">
        <v/>
      </c>
      <c r="Z1104" t="n">
        <v>65.750295687</v>
      </c>
      <c r="AA1104" t="n">
        <v>81.416952501</v>
      </c>
      <c r="AB1104" t="n">
        <v>88.99297423900001</v>
      </c>
      <c r="AC1104" t="n">
        <v>108.990917424</v>
      </c>
      <c r="AD1104" t="n">
        <v>103.769267938</v>
      </c>
      <c r="AE1104" t="n">
        <v>94.14100000000001</v>
      </c>
      <c r="AF1104" t="n">
        <v>104.19131739</v>
      </c>
      <c r="AG1104" t="n">
        <v>88</v>
      </c>
      <c r="AH1104" t="n">
        <v>100.790920476</v>
      </c>
      <c r="AI1104" t="n">
        <v>106.891092409</v>
      </c>
      <c r="AJ1104" t="n">
        <v>102.521334368</v>
      </c>
      <c r="AK1104" t="n">
        <v/>
      </c>
      <c r="AL1104" t="n">
        <v>94.708549464</v>
      </c>
      <c r="AM1104" t="n">
        <v>85.40000000000001</v>
      </c>
      <c r="AN1104" t="n">
        <v>104.191965134</v>
      </c>
      <c r="AO1104" t="n">
        <v>86.09999999999999</v>
      </c>
      <c r="AP1104" t="n">
        <v>83.20693391099999</v>
      </c>
      <c r="AQ1104" t="n">
        <v>96.008000667</v>
      </c>
      <c r="AR1104" t="n">
        <v>107.091075744</v>
      </c>
      <c r="AS1104" t="n">
        <v>74.593783851</v>
      </c>
      <c r="AT1104" t="n">
        <v>91.897283075</v>
      </c>
      <c r="AU1104" t="n">
        <v/>
      </c>
    </row>
    <row r="1105">
      <c r="A1105" s="105" t="n">
        <v>40513</v>
      </c>
      <c r="B1105" t="n">
        <v>93.95541255000001</v>
      </c>
      <c r="C1105" t="n">
        <v>98.791767353</v>
      </c>
      <c r="D1105" t="n">
        <v>112.978503594</v>
      </c>
      <c r="E1105" t="n">
        <v>93.066409124</v>
      </c>
      <c r="F1105" t="n">
        <v>94.90000000000001</v>
      </c>
      <c r="G1105" t="n">
        <v/>
      </c>
      <c r="H1105" t="n">
        <v>91.283628111</v>
      </c>
      <c r="I1105" t="n">
        <v>93.947583585</v>
      </c>
      <c r="J1105" t="n">
        <v>89.085152475</v>
      </c>
      <c r="K1105" t="n">
        <v>95.40795066299999</v>
      </c>
      <c r="L1105" t="n">
        <v>99.09999999999999</v>
      </c>
      <c r="M1105" t="n">
        <v>99.591700692</v>
      </c>
      <c r="N1105" t="n">
        <v>105.379087816</v>
      </c>
      <c r="O1105" t="n">
        <v>84.807067256</v>
      </c>
      <c r="P1105" t="n">
        <v/>
      </c>
      <c r="Q1105" t="n">
        <v>110.118353059</v>
      </c>
      <c r="R1105" t="n">
        <v>102.52914559</v>
      </c>
      <c r="S1105" t="n">
        <v>96.643675773</v>
      </c>
      <c r="T1105" t="n">
        <v>93.172974885</v>
      </c>
      <c r="U1105" t="n">
        <v/>
      </c>
      <c r="V1105" t="n">
        <v>114.295229373</v>
      </c>
      <c r="W1105" t="n">
        <v>81.306775565</v>
      </c>
      <c r="X1105" t="n">
        <v>91.17019205</v>
      </c>
      <c r="Y1105" t="n">
        <v/>
      </c>
      <c r="Z1105" t="n">
        <v>65.18293934899999</v>
      </c>
      <c r="AA1105" t="n">
        <v>85.02856034200001</v>
      </c>
      <c r="AB1105" t="n">
        <v>90.02341920400001</v>
      </c>
      <c r="AC1105" t="n">
        <v>109.89084243</v>
      </c>
      <c r="AD1105" t="n">
        <v>104.077188614</v>
      </c>
      <c r="AE1105" t="n">
        <v>95.598</v>
      </c>
      <c r="AF1105" t="n">
        <v>99.991667361</v>
      </c>
      <c r="AG1105" t="n">
        <v>89.8</v>
      </c>
      <c r="AH1105" t="n">
        <v>101.519213246</v>
      </c>
      <c r="AI1105" t="n">
        <v>107.291059078</v>
      </c>
      <c r="AJ1105" t="n">
        <v>103.568657874</v>
      </c>
      <c r="AK1105" t="n">
        <v/>
      </c>
      <c r="AL1105" t="n">
        <v>95.247413725</v>
      </c>
      <c r="AM1105" t="n">
        <v>83.3</v>
      </c>
      <c r="AN1105" t="n">
        <v>106.402722711</v>
      </c>
      <c r="AO1105" t="n">
        <v>86.09999999999999</v>
      </c>
      <c r="AP1105" t="n">
        <v>82.206850571</v>
      </c>
      <c r="AQ1105" t="n">
        <v>100.908409034</v>
      </c>
      <c r="AR1105" t="n">
        <v>105.991167403</v>
      </c>
      <c r="AS1105" t="n">
        <v>75.79368386</v>
      </c>
      <c r="AT1105" t="n">
        <v>92.786635291</v>
      </c>
      <c r="AU1105" t="n">
        <v/>
      </c>
    </row>
    <row r="1106">
      <c r="A1106" s="105" t="n">
        <v>40544</v>
      </c>
      <c r="B1106" t="n">
        <v>95.42633877</v>
      </c>
      <c r="C1106" t="n">
        <v>100.7916007</v>
      </c>
      <c r="D1106" t="n">
        <v>113.380417905</v>
      </c>
      <c r="E1106" t="n">
        <v>92.851582042</v>
      </c>
      <c r="F1106" t="n">
        <v>96.2</v>
      </c>
      <c r="G1106" t="n">
        <v/>
      </c>
      <c r="H1106" t="n">
        <v>94.379647836</v>
      </c>
      <c r="I1106" t="n">
        <v>95.41838723799999</v>
      </c>
      <c r="J1106" t="n">
        <v>92.184635894</v>
      </c>
      <c r="K1106" t="n">
        <v>95.207933994</v>
      </c>
      <c r="L1106" t="n">
        <v>100.3</v>
      </c>
      <c r="M1106" t="n">
        <v>99.09174235499999</v>
      </c>
      <c r="N1106" t="n">
        <v>105.853088211</v>
      </c>
      <c r="O1106" t="n">
        <v>88.90740895099999</v>
      </c>
      <c r="P1106" t="n">
        <v/>
      </c>
      <c r="Q1106" t="n">
        <v>111.71861977</v>
      </c>
      <c r="R1106" t="n">
        <v>103.709135757</v>
      </c>
      <c r="S1106" t="n">
        <v>96.550086213</v>
      </c>
      <c r="T1106" t="n">
        <v>93.066855324</v>
      </c>
      <c r="U1106" t="n">
        <v/>
      </c>
      <c r="V1106" t="n">
        <v>111.697610524</v>
      </c>
      <c r="W1106" t="n">
        <v>87.707308942</v>
      </c>
      <c r="X1106" t="n">
        <v>92.239473805</v>
      </c>
      <c r="Y1106" t="n">
        <v/>
      </c>
      <c r="Z1106" t="n">
        <v>62.598316028</v>
      </c>
      <c r="AA1106" t="n">
        <v>85.852824854</v>
      </c>
      <c r="AB1106" t="n">
        <v>93.676814988</v>
      </c>
      <c r="AC1106" t="n">
        <v>107.791017415</v>
      </c>
      <c r="AD1106" t="n">
        <v>104.795670192</v>
      </c>
      <c r="AE1106" t="n">
        <v>97.916</v>
      </c>
      <c r="AF1106" t="n">
        <v>104.791267394</v>
      </c>
      <c r="AG1106" t="n">
        <v>87.5</v>
      </c>
      <c r="AH1106" t="n">
        <v>101.757739661</v>
      </c>
      <c r="AI1106" t="n">
        <v>105.791184068</v>
      </c>
      <c r="AJ1106" t="n">
        <v>99.96121024</v>
      </c>
      <c r="AK1106" t="n">
        <v/>
      </c>
      <c r="AL1106" t="n">
        <v>95.623705786</v>
      </c>
      <c r="AM1106" t="n">
        <v>85.90000000000001</v>
      </c>
      <c r="AN1106" t="n">
        <v>102.885008625</v>
      </c>
      <c r="AO1106" t="n">
        <v>87.3</v>
      </c>
      <c r="AP1106" t="n">
        <v>86.607217268</v>
      </c>
      <c r="AQ1106" t="n">
        <v>94.10784232</v>
      </c>
      <c r="AR1106" t="n">
        <v>106.291142405</v>
      </c>
      <c r="AS1106" t="n">
        <v>78.99341721499999</v>
      </c>
      <c r="AT1106" t="n">
        <v>92.593474613</v>
      </c>
      <c r="AU1106" t="n">
        <v/>
      </c>
    </row>
    <row r="1107">
      <c r="A1107" s="105" t="n">
        <v>40575</v>
      </c>
      <c r="B1107" t="n">
        <v>95.79407033</v>
      </c>
      <c r="C1107" t="n">
        <v>102.69144238</v>
      </c>
      <c r="D1107" t="n">
        <v>114.660510305</v>
      </c>
      <c r="E1107" t="n">
        <v>92.475701532</v>
      </c>
      <c r="F1107" t="n">
        <v>98.2</v>
      </c>
      <c r="G1107" t="n">
        <v/>
      </c>
      <c r="H1107" t="n">
        <v>89.76228663000001</v>
      </c>
      <c r="I1107" t="n">
        <v>95.78608815600001</v>
      </c>
      <c r="J1107" t="n">
        <v>90.98483586099999</v>
      </c>
      <c r="K1107" t="n">
        <v>96.308025669</v>
      </c>
      <c r="L1107" t="n">
        <v>97.90000000000001</v>
      </c>
      <c r="M1107" t="n">
        <v>100.091659028</v>
      </c>
      <c r="N1107" t="n">
        <v>106.270088558</v>
      </c>
      <c r="O1107" t="n">
        <v>88.707392283</v>
      </c>
      <c r="P1107" t="n">
        <v/>
      </c>
      <c r="Q1107" t="n">
        <v>109.218203034</v>
      </c>
      <c r="R1107" t="n">
        <v>104.069132757</v>
      </c>
      <c r="S1107" t="n">
        <v>96.681226264</v>
      </c>
      <c r="T1107" t="n">
        <v>91.581181464</v>
      </c>
      <c r="U1107" t="n">
        <v/>
      </c>
      <c r="V1107" t="n">
        <v>111.09816002</v>
      </c>
      <c r="W1107" t="n">
        <v>88.807400617</v>
      </c>
      <c r="X1107" t="n">
        <v>92.42697620200001</v>
      </c>
      <c r="Y1107" t="n">
        <v/>
      </c>
      <c r="Z1107" t="n">
        <v>63.039593181</v>
      </c>
      <c r="AA1107" t="n">
        <v>85.62895781</v>
      </c>
      <c r="AB1107" t="n">
        <v>91.05386416899999</v>
      </c>
      <c r="AC1107" t="n">
        <v>110.590784101</v>
      </c>
      <c r="AD1107" t="n">
        <v>105.206231094</v>
      </c>
      <c r="AE1107" t="n">
        <v>95.605</v>
      </c>
      <c r="AF1107" t="n">
        <v>107.691025748</v>
      </c>
      <c r="AG1107" t="n">
        <v>89.09999999999999</v>
      </c>
      <c r="AH1107" t="n">
        <v>101.921559668</v>
      </c>
      <c r="AI1107" t="n">
        <v>106.791100742</v>
      </c>
      <c r="AJ1107" t="n">
        <v>100.193948798</v>
      </c>
      <c r="AK1107" t="n">
        <v/>
      </c>
      <c r="AL1107" t="n">
        <v>95.57993390199999</v>
      </c>
      <c r="AM1107" t="n">
        <v>88</v>
      </c>
      <c r="AN1107" t="n">
        <v>104.18523429</v>
      </c>
      <c r="AO1107" t="n">
        <v>87</v>
      </c>
      <c r="AP1107" t="n">
        <v>85.607133928</v>
      </c>
      <c r="AQ1107" t="n">
        <v>91.90765897199999</v>
      </c>
      <c r="AR1107" t="n">
        <v>107.791017415</v>
      </c>
      <c r="AS1107" t="n">
        <v>77.79351720699999</v>
      </c>
      <c r="AT1107" t="n">
        <v>92.22242366099999</v>
      </c>
      <c r="AU1107" t="n">
        <v/>
      </c>
    </row>
    <row r="1108">
      <c r="A1108" s="105" t="n">
        <v>40603</v>
      </c>
      <c r="B1108" t="n">
        <v>96.25373476999999</v>
      </c>
      <c r="C1108" t="n">
        <v>105.391217399</v>
      </c>
      <c r="D1108" t="n">
        <v>115.163164677</v>
      </c>
      <c r="E1108" t="n">
        <v>93.528166961</v>
      </c>
      <c r="F1108" t="n">
        <v>94.5</v>
      </c>
      <c r="G1108" t="n">
        <v/>
      </c>
      <c r="H1108" t="n">
        <v>92.809408491</v>
      </c>
      <c r="I1108" t="n">
        <v>96.245714294</v>
      </c>
      <c r="J1108" t="n">
        <v>90.584902516</v>
      </c>
      <c r="K1108" t="n">
        <v>96.908075673</v>
      </c>
      <c r="L1108" t="n">
        <v>100.3</v>
      </c>
      <c r="M1108" t="n">
        <v>100.191650696</v>
      </c>
      <c r="N1108" t="n">
        <v>105.419087849</v>
      </c>
      <c r="O1108" t="n">
        <v>90.407533961</v>
      </c>
      <c r="P1108" t="n">
        <v/>
      </c>
      <c r="Q1108" t="n">
        <v>108.318053009</v>
      </c>
      <c r="R1108" t="n">
        <v>102.759143674</v>
      </c>
      <c r="S1108" t="n">
        <v>94.2722598</v>
      </c>
      <c r="T1108" t="n">
        <v>91.368942342</v>
      </c>
      <c r="U1108" t="n">
        <v/>
      </c>
      <c r="V1108" t="n">
        <v>110.898343185</v>
      </c>
      <c r="W1108" t="n">
        <v>85.90715892999999</v>
      </c>
      <c r="X1108" t="n">
        <v>94.704831109</v>
      </c>
      <c r="Y1108" t="n">
        <v/>
      </c>
      <c r="Z1108" t="n">
        <v>62.472236842</v>
      </c>
      <c r="AA1108" t="n">
        <v>84.78339834099999</v>
      </c>
      <c r="AB1108" t="n">
        <v>92.83372365300001</v>
      </c>
      <c r="AC1108" t="n">
        <v>110.790767436</v>
      </c>
      <c r="AD1108" t="n">
        <v>88.57851457</v>
      </c>
      <c r="AE1108" t="n">
        <v>97.79600000000001</v>
      </c>
      <c r="AF1108" t="n">
        <v>106.591117407</v>
      </c>
      <c r="AG1108" t="n">
        <v>90.2</v>
      </c>
      <c r="AH1108" t="n">
        <v>102.567367602</v>
      </c>
      <c r="AI1108" t="n">
        <v>106.191150737</v>
      </c>
      <c r="AJ1108" t="n">
        <v>99.262994569</v>
      </c>
      <c r="AK1108" t="n">
        <v/>
      </c>
      <c r="AL1108" t="n">
        <v>94.090942118</v>
      </c>
      <c r="AM1108" t="n">
        <v>87.2</v>
      </c>
      <c r="AN1108" t="n">
        <v>108.115444538</v>
      </c>
      <c r="AO1108" t="n">
        <v>86.7</v>
      </c>
      <c r="AP1108" t="n">
        <v>83.70697558099999</v>
      </c>
      <c r="AQ1108" t="n">
        <v>97.208100675</v>
      </c>
      <c r="AR1108" t="n">
        <v>106.291142405</v>
      </c>
      <c r="AS1108" t="n">
        <v>77.493542205</v>
      </c>
      <c r="AT1108" t="n">
        <v>93.187136305</v>
      </c>
      <c r="AU1108" t="n">
        <v/>
      </c>
    </row>
    <row r="1109">
      <c r="A1109" s="105" t="n">
        <v>40634</v>
      </c>
      <c r="B1109" t="n">
        <v>96.34566766</v>
      </c>
      <c r="C1109" t="n">
        <v>102.791434047</v>
      </c>
      <c r="D1109" t="n">
        <v>112.276174713</v>
      </c>
      <c r="E1109" t="n">
        <v>93.89147353200001</v>
      </c>
      <c r="F1109" t="n">
        <v>95.3</v>
      </c>
      <c r="G1109" t="n">
        <v/>
      </c>
      <c r="H1109" t="n">
        <v>92.535170757</v>
      </c>
      <c r="I1109" t="n">
        <v>96.33763952300001</v>
      </c>
      <c r="J1109" t="n">
        <v>90.98483586099999</v>
      </c>
      <c r="K1109" t="n">
        <v>97.508125677</v>
      </c>
      <c r="L1109" t="n">
        <v>100.8</v>
      </c>
      <c r="M1109" t="n">
        <v>99.791684026</v>
      </c>
      <c r="N1109" t="n">
        <v>104.911087426</v>
      </c>
      <c r="O1109" t="n">
        <v>90.50754229499999</v>
      </c>
      <c r="P1109" t="n">
        <v/>
      </c>
      <c r="Q1109" t="n">
        <v>109.318219703</v>
      </c>
      <c r="R1109" t="n">
        <v>101.019158174</v>
      </c>
      <c r="S1109" t="n">
        <v>94.45626900800001</v>
      </c>
      <c r="T1109" t="n">
        <v>90.519985851</v>
      </c>
      <c r="U1109" t="n">
        <v/>
      </c>
      <c r="V1109" t="n">
        <v>107.301640163</v>
      </c>
      <c r="W1109" t="n">
        <v>86.20718393200001</v>
      </c>
      <c r="X1109" t="n">
        <v>92.845655075</v>
      </c>
      <c r="Y1109" t="n">
        <v/>
      </c>
      <c r="Z1109" t="n">
        <v>63.41783074</v>
      </c>
      <c r="AA1109" t="n">
        <v>85.595485865</v>
      </c>
      <c r="AB1109" t="n">
        <v>93.208430913</v>
      </c>
      <c r="AC1109" t="n">
        <v>111.890675777</v>
      </c>
      <c r="AD1109" t="n">
        <v>90.22075817699999</v>
      </c>
      <c r="AE1109" t="n">
        <v>96.587</v>
      </c>
      <c r="AF1109" t="n">
        <v>105.491209066</v>
      </c>
      <c r="AG1109" t="n">
        <v>92.09999999999999</v>
      </c>
      <c r="AH1109" t="n">
        <v>102.575348612</v>
      </c>
      <c r="AI1109" t="n">
        <v>102.791434047</v>
      </c>
      <c r="AJ1109" t="n">
        <v>96.12102405</v>
      </c>
      <c r="AK1109" t="n">
        <v/>
      </c>
      <c r="AL1109" t="n">
        <v>94.038864344</v>
      </c>
      <c r="AM1109" t="n">
        <v>88.09999999999999</v>
      </c>
      <c r="AN1109" t="n">
        <v>105.191416905</v>
      </c>
      <c r="AO1109" t="n">
        <v>87.7</v>
      </c>
      <c r="AP1109" t="n">
        <v>85.10709225799999</v>
      </c>
      <c r="AQ1109" t="n">
        <v>91.707642304</v>
      </c>
      <c r="AR1109" t="n">
        <v>105.791184068</v>
      </c>
      <c r="AS1109" t="n">
        <v>77.393550537</v>
      </c>
      <c r="AT1109" t="n">
        <v>92.864375522</v>
      </c>
      <c r="AU1109" t="n">
        <v/>
      </c>
    </row>
    <row r="1110">
      <c r="A1110" s="105" t="n">
        <v>40664</v>
      </c>
      <c r="B1110" t="n">
        <v>96.98919789</v>
      </c>
      <c r="C1110" t="n">
        <v>102.29147571</v>
      </c>
      <c r="D1110" t="n">
        <v>115.601477528</v>
      </c>
      <c r="E1110" t="n">
        <v>92.24723038899999</v>
      </c>
      <c r="F1110" t="n">
        <v>98</v>
      </c>
      <c r="G1110" t="n">
        <v/>
      </c>
      <c r="H1110" t="n">
        <v>92.28753834</v>
      </c>
      <c r="I1110" t="n">
        <v>96.98111613</v>
      </c>
      <c r="J1110" t="n">
        <v>92.884519247</v>
      </c>
      <c r="K1110" t="n">
        <v>98.708225685</v>
      </c>
      <c r="L1110" t="n">
        <v>105.7</v>
      </c>
      <c r="M1110" t="n">
        <v>100.39163403</v>
      </c>
      <c r="N1110" t="n">
        <v>104.055086713</v>
      </c>
      <c r="O1110" t="n">
        <v>90.50754229499999</v>
      </c>
      <c r="P1110" t="n">
        <v/>
      </c>
      <c r="Q1110" t="n">
        <v>110.218369728</v>
      </c>
      <c r="R1110" t="n">
        <v>104.319130674</v>
      </c>
      <c r="S1110" t="n">
        <v>95.72157224</v>
      </c>
      <c r="T1110" t="n">
        <v>91.793420587</v>
      </c>
      <c r="U1110" t="n">
        <v/>
      </c>
      <c r="V1110" t="n">
        <v>108.400632753</v>
      </c>
      <c r="W1110" t="n">
        <v>84.707058922</v>
      </c>
      <c r="X1110" t="n">
        <v>90.504117022</v>
      </c>
      <c r="Y1110" t="n">
        <v/>
      </c>
      <c r="Z1110" t="n">
        <v>63.41783074</v>
      </c>
      <c r="AA1110" t="n">
        <v>89.990011458</v>
      </c>
      <c r="AB1110" t="n">
        <v>92.740046838</v>
      </c>
      <c r="AC1110" t="n">
        <v>109.690859095</v>
      </c>
      <c r="AD1110" t="n">
        <v>96.173891254</v>
      </c>
      <c r="AE1110" t="n">
        <v>97.822</v>
      </c>
      <c r="AF1110" t="n">
        <v>105.591200733</v>
      </c>
      <c r="AG1110" t="n">
        <v>92</v>
      </c>
      <c r="AH1110" t="n">
        <v>103.412272424</v>
      </c>
      <c r="AI1110" t="n">
        <v>104.19131739</v>
      </c>
      <c r="AJ1110" t="n">
        <v>91.81536074500001</v>
      </c>
      <c r="AK1110" t="n">
        <v/>
      </c>
      <c r="AL1110" t="n">
        <v>95.04988350399999</v>
      </c>
      <c r="AM1110" t="n">
        <v>88.2</v>
      </c>
      <c r="AN1110" t="n">
        <v>103.518261748</v>
      </c>
      <c r="AO1110" t="n">
        <v>87.7</v>
      </c>
      <c r="AP1110" t="n">
        <v>83.606967247</v>
      </c>
      <c r="AQ1110" t="n">
        <v>97.108092341</v>
      </c>
      <c r="AR1110" t="n">
        <v>107.091075744</v>
      </c>
      <c r="AS1110" t="n">
        <v>78.193483876</v>
      </c>
      <c r="AT1110" t="n">
        <v>92.998536917</v>
      </c>
      <c r="AU1110" t="n">
        <v/>
      </c>
    </row>
    <row r="1111">
      <c r="A1111" s="105" t="n">
        <v>40695</v>
      </c>
      <c r="B1111" t="n">
        <v>96.897265</v>
      </c>
      <c r="C1111" t="n">
        <v>100.291642363</v>
      </c>
      <c r="D1111" t="n">
        <v>113.375188229</v>
      </c>
      <c r="E1111" t="n">
        <v>92.821083552</v>
      </c>
      <c r="F1111" t="n">
        <v>95.2</v>
      </c>
      <c r="G1111" t="n">
        <v/>
      </c>
      <c r="H1111" t="n">
        <v>91.68282739599999</v>
      </c>
      <c r="I1111" t="n">
        <v>96.88919090100001</v>
      </c>
      <c r="J1111" t="n">
        <v>92.184635894</v>
      </c>
      <c r="K1111" t="n">
        <v>97.108092341</v>
      </c>
      <c r="L1111" t="n">
        <v>102.1</v>
      </c>
      <c r="M1111" t="n">
        <v>98.99175068700001</v>
      </c>
      <c r="N1111" t="n">
        <v>104.455087046</v>
      </c>
      <c r="O1111" t="n">
        <v>91.90765897199999</v>
      </c>
      <c r="P1111" t="n">
        <v/>
      </c>
      <c r="Q1111" t="n">
        <v>107.217869645</v>
      </c>
      <c r="R1111" t="n">
        <v>101.519154007</v>
      </c>
      <c r="S1111" t="n">
        <v>96.18402312000001</v>
      </c>
      <c r="T1111" t="n">
        <v>92.21789883300001</v>
      </c>
      <c r="U1111" t="n">
        <v/>
      </c>
      <c r="V1111" t="n">
        <v>103.904753976</v>
      </c>
      <c r="W1111" t="n">
        <v>84.90707559000001</v>
      </c>
      <c r="X1111" t="n">
        <v>93.74711023</v>
      </c>
      <c r="Y1111" t="n">
        <v/>
      </c>
      <c r="Z1111" t="n">
        <v>62.157038876</v>
      </c>
      <c r="AA1111" t="n">
        <v>96.350996534</v>
      </c>
      <c r="AB1111" t="n">
        <v>91.428571429</v>
      </c>
      <c r="AC1111" t="n">
        <v>108.890925756</v>
      </c>
      <c r="AD1111" t="n">
        <v>100.074219821</v>
      </c>
      <c r="AE1111" t="n">
        <v>98.413</v>
      </c>
      <c r="AF1111" t="n">
        <v>102.191484043</v>
      </c>
      <c r="AG1111" t="n">
        <v>93.40000000000001</v>
      </c>
      <c r="AH1111" t="n">
        <v>103.028382017</v>
      </c>
      <c r="AI1111" t="n">
        <v>103.391384051</v>
      </c>
      <c r="AJ1111" t="n">
        <v>97.284716835</v>
      </c>
      <c r="AK1111" t="n">
        <v/>
      </c>
      <c r="AL1111" t="n">
        <v>95.325117666</v>
      </c>
      <c r="AM1111" t="n">
        <v>87.7</v>
      </c>
      <c r="AN1111" t="n">
        <v>100.825742485</v>
      </c>
      <c r="AO1111" t="n">
        <v>88.2</v>
      </c>
      <c r="AP1111" t="n">
        <v>87.207267272</v>
      </c>
      <c r="AQ1111" t="n">
        <v>95.907992333</v>
      </c>
      <c r="AR1111" t="n">
        <v>103.491375719</v>
      </c>
      <c r="AS1111" t="n">
        <v>79.693358887</v>
      </c>
      <c r="AT1111" t="n">
        <v>93.246433064</v>
      </c>
      <c r="AU1111" t="n">
        <v/>
      </c>
    </row>
    <row r="1112">
      <c r="A1112" s="105" t="n">
        <v>40725</v>
      </c>
      <c r="B1112" t="n">
        <v>96.069869</v>
      </c>
      <c r="C1112" t="n">
        <v>101.191567369</v>
      </c>
      <c r="D1112" t="n">
        <v>113.335728953</v>
      </c>
      <c r="E1112" t="n">
        <v>94.466396817</v>
      </c>
      <c r="F1112" t="n">
        <v>97.3</v>
      </c>
      <c r="G1112" t="n">
        <v/>
      </c>
      <c r="H1112" t="n">
        <v>87.018526956</v>
      </c>
      <c r="I1112" t="n">
        <v>96.061863845</v>
      </c>
      <c r="J1112" t="n">
        <v>90.784869188</v>
      </c>
      <c r="K1112" t="n">
        <v>100.108342362</v>
      </c>
      <c r="L1112" t="n">
        <v>97.09999999999999</v>
      </c>
      <c r="M1112" t="n">
        <v>99.991667361</v>
      </c>
      <c r="N1112" t="n">
        <v>104.669087224</v>
      </c>
      <c r="O1112" t="n">
        <v>94.407867322</v>
      </c>
      <c r="P1112" t="n">
        <v/>
      </c>
      <c r="Q1112" t="n">
        <v>104.617436239</v>
      </c>
      <c r="R1112" t="n">
        <v>102.609144924</v>
      </c>
      <c r="S1112" t="n">
        <v>97.082802359</v>
      </c>
      <c r="T1112" t="n">
        <v>91.899540149</v>
      </c>
      <c r="U1112" t="n">
        <v/>
      </c>
      <c r="V1112" t="n">
        <v>110.598617934</v>
      </c>
      <c r="W1112" t="n">
        <v>86.107175598</v>
      </c>
      <c r="X1112" t="n">
        <v>92.089444521</v>
      </c>
      <c r="Y1112" t="n">
        <v/>
      </c>
      <c r="Z1112" t="n">
        <v>58.437702878</v>
      </c>
      <c r="AA1112" t="n">
        <v>94.36375154</v>
      </c>
      <c r="AB1112" t="n">
        <v>93.021077283</v>
      </c>
      <c r="AC1112" t="n">
        <v>108.490959087</v>
      </c>
      <c r="AD1112" t="n">
        <v>100.99798185</v>
      </c>
      <c r="AE1112" t="n">
        <v>98.47799999999999</v>
      </c>
      <c r="AF1112" t="n">
        <v>101.391550704</v>
      </c>
      <c r="AG1112" t="n">
        <v>93.09999999999999</v>
      </c>
      <c r="AH1112" t="n">
        <v>103.369802092</v>
      </c>
      <c r="AI1112" t="n">
        <v>105.991167403</v>
      </c>
      <c r="AJ1112" t="n">
        <v>96.819239721</v>
      </c>
      <c r="AK1112" t="n">
        <v/>
      </c>
      <c r="AL1112" t="n">
        <v>95.970974137</v>
      </c>
      <c r="AM1112" t="n">
        <v>88.2</v>
      </c>
      <c r="AN1112" t="n">
        <v>100.866739444</v>
      </c>
      <c r="AO1112" t="n">
        <v>88.5</v>
      </c>
      <c r="AP1112" t="n">
        <v>86.20718393200001</v>
      </c>
      <c r="AQ1112" t="n">
        <v>90.00750062500001</v>
      </c>
      <c r="AR1112" t="n">
        <v>105.991167403</v>
      </c>
      <c r="AS1112" t="n">
        <v>81.193233897</v>
      </c>
      <c r="AT1112" t="n">
        <v>93.719220595</v>
      </c>
      <c r="AU1112" t="n">
        <v/>
      </c>
    </row>
    <row r="1113">
      <c r="A1113" s="105" t="n">
        <v>40756</v>
      </c>
      <c r="B1113" t="n">
        <v>96.71339922</v>
      </c>
      <c r="C1113" t="n">
        <v>104.791267394</v>
      </c>
      <c r="D1113" t="n">
        <v>112.245985724</v>
      </c>
      <c r="E1113" t="n">
        <v>95.46535612300001</v>
      </c>
      <c r="F1113" t="n">
        <v>95.5</v>
      </c>
      <c r="G1113" t="n">
        <v/>
      </c>
      <c r="H1113" t="n">
        <v>91.979902657</v>
      </c>
      <c r="I1113" t="n">
        <v>96.70534044199999</v>
      </c>
      <c r="J1113" t="n">
        <v>91.48475254100001</v>
      </c>
      <c r="K1113" t="n">
        <v>99.30827569</v>
      </c>
      <c r="L1113" t="n">
        <v>99</v>
      </c>
      <c r="M1113" t="n">
        <v>100.091659028</v>
      </c>
      <c r="N1113" t="n">
        <v>104.587087156</v>
      </c>
      <c r="O1113" t="n">
        <v>94.30785898800001</v>
      </c>
      <c r="P1113" t="n">
        <v/>
      </c>
      <c r="Q1113" t="n">
        <v>107.117852975</v>
      </c>
      <c r="R1113" t="n">
        <v>101.759152007</v>
      </c>
      <c r="S1113" t="n">
        <v>97.466182331</v>
      </c>
      <c r="T1113" t="n">
        <v>91.368942342</v>
      </c>
      <c r="U1113" t="n">
        <v/>
      </c>
      <c r="V1113" t="n">
        <v>105.603197069</v>
      </c>
      <c r="W1113" t="n">
        <v>85.807150596</v>
      </c>
      <c r="X1113" t="n">
        <v>90.649553036</v>
      </c>
      <c r="Y1113" t="n">
        <v/>
      </c>
      <c r="Z1113" t="n">
        <v>63.985187078</v>
      </c>
      <c r="AA1113" t="n">
        <v>93.485661349</v>
      </c>
      <c r="AB1113" t="n">
        <v>88.71194379400001</v>
      </c>
      <c r="AC1113" t="n">
        <v>107.791017415</v>
      </c>
      <c r="AD1113" t="n">
        <v>102.537585232</v>
      </c>
      <c r="AE1113" t="n">
        <v>98.11</v>
      </c>
      <c r="AF1113" t="n">
        <v>104.791267394</v>
      </c>
      <c r="AG1113" t="n">
        <v>92.59999999999999</v>
      </c>
      <c r="AH1113" t="n">
        <v>103.533981894</v>
      </c>
      <c r="AI1113" t="n">
        <v>106.291142405</v>
      </c>
      <c r="AJ1113" t="n">
        <v>100.077579519</v>
      </c>
      <c r="AK1113" t="n">
        <v/>
      </c>
      <c r="AL1113" t="n">
        <v>96.50560129900001</v>
      </c>
      <c r="AM1113" t="n">
        <v>90.40000000000001</v>
      </c>
      <c r="AN1113" t="n">
        <v>103.5599681</v>
      </c>
      <c r="AO1113" t="n">
        <v>88</v>
      </c>
      <c r="AP1113" t="n">
        <v>84.60705058800001</v>
      </c>
      <c r="AQ1113" t="n">
        <v>94.60788399</v>
      </c>
      <c r="AR1113" t="n">
        <v>103.491375719</v>
      </c>
      <c r="AS1113" t="n">
        <v>83.593033914</v>
      </c>
      <c r="AT1113" t="n">
        <v>94.325772886</v>
      </c>
      <c r="AU1113" t="n">
        <v/>
      </c>
    </row>
    <row r="1114">
      <c r="A1114" s="105" t="n">
        <v>40787</v>
      </c>
      <c r="B1114" t="n">
        <v>96.71339922</v>
      </c>
      <c r="C1114" t="n">
        <v>101.991500708</v>
      </c>
      <c r="D1114" t="n">
        <v>110.505979161</v>
      </c>
      <c r="E1114" t="n">
        <v>96.10769712299999</v>
      </c>
      <c r="F1114" t="n">
        <v>97.8</v>
      </c>
      <c r="G1114" t="n">
        <v/>
      </c>
      <c r="H1114" t="n">
        <v>93.877111406</v>
      </c>
      <c r="I1114" t="n">
        <v>96.70534044199999</v>
      </c>
      <c r="J1114" t="n">
        <v>91.284785869</v>
      </c>
      <c r="K1114" t="n">
        <v>97.80815067899999</v>
      </c>
      <c r="L1114" t="n">
        <v>98.7</v>
      </c>
      <c r="M1114" t="n">
        <v>99.09174235499999</v>
      </c>
      <c r="N1114" t="n">
        <v>103.157085964</v>
      </c>
      <c r="O1114" t="n">
        <v>89.807483957</v>
      </c>
      <c r="P1114" t="n">
        <v/>
      </c>
      <c r="Q1114" t="n">
        <v>107.217869645</v>
      </c>
      <c r="R1114" t="n">
        <v>101.02915809</v>
      </c>
      <c r="S1114" t="n">
        <v>97.097681585</v>
      </c>
      <c r="T1114" t="n">
        <v>91.26282277999999</v>
      </c>
      <c r="U1114" t="n">
        <v/>
      </c>
      <c r="V1114" t="n">
        <v>111.297976855</v>
      </c>
      <c r="W1114" t="n">
        <v>86.807233936</v>
      </c>
      <c r="X1114" t="n">
        <v>91.04016898</v>
      </c>
      <c r="Y1114" t="n">
        <v/>
      </c>
      <c r="Z1114" t="n">
        <v>65.68725609400001</v>
      </c>
      <c r="AA1114" t="n">
        <v>91.755065831</v>
      </c>
      <c r="AB1114" t="n">
        <v>91.428571429</v>
      </c>
      <c r="AC1114" t="n">
        <v>107.291059078</v>
      </c>
      <c r="AD1114" t="n">
        <v>101.921743879</v>
      </c>
      <c r="AE1114" t="n">
        <v>98.602</v>
      </c>
      <c r="AF1114" t="n">
        <v>99.09174235499999</v>
      </c>
      <c r="AG1114" t="n">
        <v>95.2</v>
      </c>
      <c r="AH1114" t="n">
        <v>104.158153016</v>
      </c>
      <c r="AI1114" t="n">
        <v>104.19131739</v>
      </c>
      <c r="AJ1114" t="n">
        <v>101.939487975</v>
      </c>
      <c r="AK1114" t="n">
        <v/>
      </c>
      <c r="AL1114" t="n">
        <v>96.22505256399999</v>
      </c>
      <c r="AM1114" t="n">
        <v>91.2</v>
      </c>
      <c r="AN1114" t="n">
        <v>101.277027725</v>
      </c>
      <c r="AO1114" t="n">
        <v>88.09999999999999</v>
      </c>
      <c r="AP1114" t="n">
        <v>84.207017251</v>
      </c>
      <c r="AQ1114" t="n">
        <v>97.80815067899999</v>
      </c>
      <c r="AR1114" t="n">
        <v>105.291225731</v>
      </c>
      <c r="AS1114" t="n">
        <v>79.19340055000001</v>
      </c>
      <c r="AT1114" t="n">
        <v>94.273119745</v>
      </c>
      <c r="AU1114" t="n">
        <v/>
      </c>
    </row>
    <row r="1115">
      <c r="A1115" s="105" t="n">
        <v>40817</v>
      </c>
      <c r="B1115" t="n">
        <v>96.71339922</v>
      </c>
      <c r="C1115" t="n">
        <v>99.791684026</v>
      </c>
      <c r="D1115" t="n">
        <v>109.443243077</v>
      </c>
      <c r="E1115" t="n">
        <v>95.470974266</v>
      </c>
      <c r="F1115" t="n">
        <v>96.8</v>
      </c>
      <c r="G1115" t="n">
        <v/>
      </c>
      <c r="H1115" t="n">
        <v>93.670638813</v>
      </c>
      <c r="I1115" t="n">
        <v>96.70534044199999</v>
      </c>
      <c r="J1115" t="n">
        <v>91.884685886</v>
      </c>
      <c r="K1115" t="n">
        <v>98.908242354</v>
      </c>
      <c r="L1115" t="n">
        <v>98.7</v>
      </c>
      <c r="M1115" t="n">
        <v>98.791767353</v>
      </c>
      <c r="N1115" t="n">
        <v>101.65208471</v>
      </c>
      <c r="O1115" t="n">
        <v>90.00750062500001</v>
      </c>
      <c r="P1115" t="n">
        <v/>
      </c>
      <c r="Q1115" t="n">
        <v>106.917819637</v>
      </c>
      <c r="R1115" t="n">
        <v>101.229156424</v>
      </c>
      <c r="S1115" t="n">
        <v>97.699284488</v>
      </c>
      <c r="T1115" t="n">
        <v>90.944464096</v>
      </c>
      <c r="U1115" t="n">
        <v/>
      </c>
      <c r="V1115" t="n">
        <v>102.306219299</v>
      </c>
      <c r="W1115" t="n">
        <v>87.40728394</v>
      </c>
      <c r="X1115" t="n">
        <v>86.542741558</v>
      </c>
      <c r="Y1115" t="n">
        <v/>
      </c>
      <c r="Z1115" t="n">
        <v>64.61558300999999</v>
      </c>
      <c r="AA1115" t="n">
        <v>91.468855222</v>
      </c>
      <c r="AB1115" t="n">
        <v>90.960187354</v>
      </c>
      <c r="AC1115" t="n">
        <v>105.991167403</v>
      </c>
      <c r="AD1115" t="n">
        <v>103.563987487</v>
      </c>
      <c r="AE1115" t="n">
        <v>99.559</v>
      </c>
      <c r="AF1115" t="n">
        <v>96.891925673</v>
      </c>
      <c r="AG1115" t="n">
        <v>94.3</v>
      </c>
      <c r="AH1115" t="n">
        <v>104.777356366</v>
      </c>
      <c r="AI1115" t="n">
        <v>102.29147571</v>
      </c>
      <c r="AJ1115" t="n">
        <v>98.44840962000001</v>
      </c>
      <c r="AK1115" t="n">
        <v/>
      </c>
      <c r="AL1115" t="n">
        <v>96.663253184</v>
      </c>
      <c r="AM1115" t="n">
        <v>90.8</v>
      </c>
      <c r="AN1115" t="n">
        <v>99.065296026</v>
      </c>
      <c r="AO1115" t="n">
        <v>88.8</v>
      </c>
      <c r="AP1115" t="n">
        <v>87.107258938</v>
      </c>
      <c r="AQ1115" t="n">
        <v>91.60763396900001</v>
      </c>
      <c r="AR1115" t="n">
        <v>105.291225731</v>
      </c>
      <c r="AS1115" t="n">
        <v>83.693025581</v>
      </c>
      <c r="AT1115" t="n">
        <v>94.92350007500001</v>
      </c>
      <c r="AU1115" t="n">
        <v/>
      </c>
    </row>
    <row r="1116">
      <c r="A1116" s="105" t="n">
        <v>40848</v>
      </c>
      <c r="B1116" t="n">
        <v>97.81659388999999</v>
      </c>
      <c r="C1116" t="n">
        <v>99.791684026</v>
      </c>
      <c r="D1116" t="n">
        <v>109.91360558</v>
      </c>
      <c r="E1116" t="n">
        <v>95.225648695</v>
      </c>
      <c r="F1116" t="n">
        <v>97.3</v>
      </c>
      <c r="G1116" t="n">
        <v/>
      </c>
      <c r="H1116" t="n">
        <v>93.63691149900001</v>
      </c>
      <c r="I1116" t="n">
        <v>97.80844318600001</v>
      </c>
      <c r="J1116" t="n">
        <v>94.484252625</v>
      </c>
      <c r="K1116" t="n">
        <v>98.208184015</v>
      </c>
      <c r="L1116" t="n">
        <v>98.90000000000001</v>
      </c>
      <c r="M1116" t="n">
        <v>99.09174235499999</v>
      </c>
      <c r="N1116" t="n">
        <v>101.114084262</v>
      </c>
      <c r="O1116" t="n">
        <v>91.407617301</v>
      </c>
      <c r="P1116" t="n">
        <v/>
      </c>
      <c r="Q1116" t="n">
        <v>109.618269712</v>
      </c>
      <c r="R1116" t="n">
        <v>103.269139424</v>
      </c>
      <c r="S1116" t="n">
        <v>97.35227664999999</v>
      </c>
      <c r="T1116" t="n">
        <v>90.519985851</v>
      </c>
      <c r="U1116" t="n">
        <v/>
      </c>
      <c r="V1116" t="n">
        <v>105.503288652</v>
      </c>
      <c r="W1116" t="n">
        <v>90.307525627</v>
      </c>
      <c r="X1116" t="n">
        <v>95.13274918</v>
      </c>
      <c r="Y1116" t="n">
        <v/>
      </c>
      <c r="Z1116" t="n">
        <v>62.03095969</v>
      </c>
      <c r="AA1116" t="n">
        <v>91.328986379</v>
      </c>
      <c r="AB1116" t="n">
        <v>89.180327869</v>
      </c>
      <c r="AC1116" t="n">
        <v>106.791100742</v>
      </c>
      <c r="AD1116" t="n">
        <v>101.511182978</v>
      </c>
      <c r="AE1116" t="n">
        <v>97.72</v>
      </c>
      <c r="AF1116" t="n">
        <v>103.191400717</v>
      </c>
      <c r="AG1116" t="n">
        <v>95.2</v>
      </c>
      <c r="AH1116" t="n">
        <v>104.919201137</v>
      </c>
      <c r="AI1116" t="n">
        <v>102.591450712</v>
      </c>
      <c r="AJ1116" t="n">
        <v>101.241272304</v>
      </c>
      <c r="AK1116" t="n">
        <v/>
      </c>
      <c r="AL1116" t="n">
        <v>96.40875807099999</v>
      </c>
      <c r="AM1116" t="n">
        <v>92.09999999999999</v>
      </c>
      <c r="AN1116" t="n">
        <v>99.159020985</v>
      </c>
      <c r="AO1116" t="n">
        <v>89.09999999999999</v>
      </c>
      <c r="AP1116" t="n">
        <v>86.107175598</v>
      </c>
      <c r="AQ1116" t="n">
        <v>97.30810900900001</v>
      </c>
      <c r="AR1116" t="n">
        <v>101.891509041</v>
      </c>
      <c r="AS1116" t="n">
        <v>82.89309224199999</v>
      </c>
      <c r="AT1116" t="n">
        <v>94.939762063</v>
      </c>
      <c r="AU1116" t="n">
        <v/>
      </c>
    </row>
    <row r="1117">
      <c r="A1117" s="105" t="n">
        <v>40878</v>
      </c>
      <c r="B1117" t="n">
        <v>98.09239255</v>
      </c>
      <c r="C1117" t="n">
        <v>99.591700692</v>
      </c>
      <c r="D1117" t="n">
        <v>112.782583442</v>
      </c>
      <c r="E1117" t="n">
        <v>96.138730674</v>
      </c>
      <c r="F1117" t="n">
        <v>97.59999999999999</v>
      </c>
      <c r="G1117" t="n">
        <v/>
      </c>
      <c r="H1117" t="n">
        <v>96.607317237</v>
      </c>
      <c r="I1117" t="n">
        <v>98.084218865</v>
      </c>
      <c r="J1117" t="n">
        <v>93.284452591</v>
      </c>
      <c r="K1117" t="n">
        <v>96.808067339</v>
      </c>
      <c r="L1117" t="n">
        <v>97.59999999999999</v>
      </c>
      <c r="M1117" t="n">
        <v>98.491792351</v>
      </c>
      <c r="N1117" t="n">
        <v>102.296085247</v>
      </c>
      <c r="O1117" t="n">
        <v>89.807483957</v>
      </c>
      <c r="P1117" t="n">
        <v/>
      </c>
      <c r="Q1117" t="n">
        <v>111.318553092</v>
      </c>
      <c r="R1117" t="n">
        <v>101.229156424</v>
      </c>
      <c r="S1117" t="n">
        <v>97.784185339</v>
      </c>
      <c r="T1117" t="n">
        <v>91.05058365799999</v>
      </c>
      <c r="U1117" t="n">
        <v/>
      </c>
      <c r="V1117" t="n">
        <v>99.908417284</v>
      </c>
      <c r="W1117" t="n">
        <v>86.70722560199999</v>
      </c>
      <c r="X1117" t="n">
        <v>93.924166769</v>
      </c>
      <c r="Y1117" t="n">
        <v/>
      </c>
      <c r="Z1117" t="n">
        <v>62.093999283</v>
      </c>
      <c r="AA1117" t="n">
        <v>90.473201432</v>
      </c>
      <c r="AB1117" t="n">
        <v>90.210772834</v>
      </c>
      <c r="AC1117" t="n">
        <v>107.691025748</v>
      </c>
      <c r="AD1117" t="n">
        <v>103.563987487</v>
      </c>
      <c r="AE1117" t="n">
        <v>95.88800000000001</v>
      </c>
      <c r="AF1117" t="n">
        <v>94.99208399299999</v>
      </c>
      <c r="AG1117" t="n">
        <v>92.5</v>
      </c>
      <c r="AH1117" t="n">
        <v>105.441634461</v>
      </c>
      <c r="AI1117" t="n">
        <v>102.491459045</v>
      </c>
      <c r="AJ1117" t="n">
        <v>98.215671063</v>
      </c>
      <c r="AK1117" t="n">
        <v/>
      </c>
      <c r="AL1117" t="n">
        <v>96.647848008</v>
      </c>
      <c r="AM1117" t="n">
        <v>94.09999999999999</v>
      </c>
      <c r="AN1117" t="n">
        <v>97.62126974900001</v>
      </c>
      <c r="AO1117" t="n">
        <v>89.7</v>
      </c>
      <c r="AP1117" t="n">
        <v>88.307358947</v>
      </c>
      <c r="AQ1117" t="n">
        <v>95.10792566000001</v>
      </c>
      <c r="AR1117" t="n">
        <v>101.491542371</v>
      </c>
      <c r="AS1117" t="n">
        <v>82.89309224199999</v>
      </c>
      <c r="AT1117" t="n">
        <v>95.405013551</v>
      </c>
      <c r="AU1117" t="n">
        <v/>
      </c>
    </row>
    <row r="1118">
      <c r="A1118" s="105" t="n">
        <v>40909</v>
      </c>
      <c r="B1118" t="n">
        <v>96.897265</v>
      </c>
      <c r="C1118" t="n">
        <v>100.591617365</v>
      </c>
      <c r="D1118" t="n">
        <v>107.999104019</v>
      </c>
      <c r="E1118" t="n">
        <v>96.14969942899999</v>
      </c>
      <c r="F1118" t="n">
        <v>98.09999999999999</v>
      </c>
      <c r="G1118" t="n">
        <v/>
      </c>
      <c r="H1118" t="n">
        <v>94.66256333699999</v>
      </c>
      <c r="I1118" t="n">
        <v>96.88919090100001</v>
      </c>
      <c r="J1118" t="n">
        <v>92.184635894</v>
      </c>
      <c r="K1118" t="n">
        <v>97.30810900900001</v>
      </c>
      <c r="L1118" t="n">
        <v>98.09999999999999</v>
      </c>
      <c r="M1118" t="n">
        <v>97.69185901199999</v>
      </c>
      <c r="N1118" t="n">
        <v>100.69208391</v>
      </c>
      <c r="O1118" t="n">
        <v>91.207600633</v>
      </c>
      <c r="P1118" t="n">
        <v/>
      </c>
      <c r="Q1118" t="n">
        <v>106.417736289</v>
      </c>
      <c r="R1118" t="n">
        <v>100.829159757</v>
      </c>
      <c r="S1118" t="n">
        <v>97.858339992</v>
      </c>
      <c r="T1118" t="n">
        <v>90.413866289</v>
      </c>
      <c r="U1118" t="n">
        <v/>
      </c>
      <c r="V1118" t="n">
        <v>103.904753976</v>
      </c>
      <c r="W1118" t="n">
        <v>86.107175598</v>
      </c>
      <c r="X1118" t="n">
        <v>92.952301014</v>
      </c>
      <c r="Y1118" t="n">
        <v/>
      </c>
      <c r="Z1118" t="n">
        <v>62.409197249</v>
      </c>
      <c r="AA1118" t="n">
        <v>94.24214014499999</v>
      </c>
      <c r="AB1118" t="n">
        <v>92.646370023</v>
      </c>
      <c r="AC1118" t="n">
        <v>103.591367386</v>
      </c>
      <c r="AD1118" t="n">
        <v>103.871908163</v>
      </c>
      <c r="AE1118" t="n">
        <v>97.93300000000001</v>
      </c>
      <c r="AF1118" t="n">
        <v>99.29172569000001</v>
      </c>
      <c r="AG1118" t="n">
        <v>96.40000000000001</v>
      </c>
      <c r="AH1118" t="n">
        <v>105.467852243</v>
      </c>
      <c r="AI1118" t="n">
        <v>102.891425715</v>
      </c>
      <c r="AJ1118" t="n">
        <v>102.986811482</v>
      </c>
      <c r="AK1118" t="n">
        <v/>
      </c>
      <c r="AL1118" t="n">
        <v>96.748405214</v>
      </c>
      <c r="AM1118" t="n">
        <v>91</v>
      </c>
      <c r="AN1118" t="n">
        <v>97.042640961</v>
      </c>
      <c r="AO1118" t="n">
        <v>90.09999999999999</v>
      </c>
      <c r="AP1118" t="n">
        <v>88.007333944</v>
      </c>
      <c r="AQ1118" t="n">
        <v>94.507875656</v>
      </c>
      <c r="AR1118" t="n">
        <v>107.59103408</v>
      </c>
      <c r="AS1118" t="n">
        <v>81.99316723600001</v>
      </c>
      <c r="AT1118" t="n">
        <v>95.990445091</v>
      </c>
      <c r="AU1118" t="n">
        <v/>
      </c>
    </row>
    <row r="1119">
      <c r="A1119" s="105" t="n">
        <v>40940</v>
      </c>
      <c r="B1119" t="n">
        <v>95.79407033</v>
      </c>
      <c r="C1119" t="n">
        <v>102.491459045</v>
      </c>
      <c r="D1119" t="n">
        <v>108.861560053</v>
      </c>
      <c r="E1119" t="n">
        <v>94.06108793999999</v>
      </c>
      <c r="F1119" t="n">
        <v>97.59999999999999</v>
      </c>
      <c r="G1119" t="n">
        <v/>
      </c>
      <c r="H1119" t="n">
        <v>93.56013676400001</v>
      </c>
      <c r="I1119" t="n">
        <v>95.78608815600001</v>
      </c>
      <c r="J1119" t="n">
        <v>93.284452591</v>
      </c>
      <c r="K1119" t="n">
        <v>97.208100675</v>
      </c>
      <c r="L1119" t="n">
        <v>100.5</v>
      </c>
      <c r="M1119" t="n">
        <v>98.391800683</v>
      </c>
      <c r="N1119" t="n">
        <v>99.467082889</v>
      </c>
      <c r="O1119" t="n">
        <v>90.407533961</v>
      </c>
      <c r="P1119" t="n">
        <v/>
      </c>
      <c r="Q1119" t="n">
        <v>106.517752959</v>
      </c>
      <c r="R1119" t="n">
        <v>101.829151424</v>
      </c>
      <c r="S1119" t="n">
        <v>97.893221066</v>
      </c>
      <c r="T1119" t="n">
        <v>90.519985851</v>
      </c>
      <c r="U1119" t="n">
        <v/>
      </c>
      <c r="V1119" t="n">
        <v>102.306219299</v>
      </c>
      <c r="W1119" t="n">
        <v>86.607217268</v>
      </c>
      <c r="X1119" t="n">
        <v>93.06203981100001</v>
      </c>
      <c r="Y1119" t="n">
        <v/>
      </c>
      <c r="Z1119" t="n">
        <v>62.346157656</v>
      </c>
      <c r="AA1119" t="n">
        <v>98.195393063</v>
      </c>
      <c r="AB1119" t="n">
        <v>88.524590164</v>
      </c>
      <c r="AC1119" t="n">
        <v>103.891342388</v>
      </c>
      <c r="AD1119" t="n">
        <v>103.666627712</v>
      </c>
      <c r="AE1119" t="n">
        <v>101.075</v>
      </c>
      <c r="AF1119" t="n">
        <v>96.091992334</v>
      </c>
      <c r="AG1119" t="n">
        <v>97.59999999999999</v>
      </c>
      <c r="AH1119" t="n">
        <v>105.731929104</v>
      </c>
      <c r="AI1119" t="n">
        <v>106.891092409</v>
      </c>
      <c r="AJ1119" t="n">
        <v>103.452288596</v>
      </c>
      <c r="AK1119" t="n">
        <v/>
      </c>
      <c r="AL1119" t="n">
        <v>96.826359315</v>
      </c>
      <c r="AM1119" t="n">
        <v>88.8</v>
      </c>
      <c r="AN1119" t="n">
        <v>97.237890654</v>
      </c>
      <c r="AO1119" t="n">
        <v>90.8</v>
      </c>
      <c r="AP1119" t="n">
        <v>88.607383949</v>
      </c>
      <c r="AQ1119" t="n">
        <v>94.907908992</v>
      </c>
      <c r="AR1119" t="n">
        <v>101.691525706</v>
      </c>
      <c r="AS1119" t="n">
        <v>80.893258895</v>
      </c>
      <c r="AT1119" t="n">
        <v>96.28613561500001</v>
      </c>
      <c r="AU1119" t="n">
        <v/>
      </c>
    </row>
    <row r="1120">
      <c r="A1120" s="105" t="n">
        <v>40969</v>
      </c>
      <c r="B1120" t="n">
        <v>97.63272811</v>
      </c>
      <c r="C1120" t="n">
        <v>103.091409049</v>
      </c>
      <c r="D1120" t="n">
        <v>108.252088186</v>
      </c>
      <c r="E1120" t="n">
        <v>94.225886797</v>
      </c>
      <c r="F1120" t="n">
        <v>96.8</v>
      </c>
      <c r="G1120" t="n">
        <v/>
      </c>
      <c r="H1120" t="n">
        <v>95.39019782299999</v>
      </c>
      <c r="I1120" t="n">
        <v>97.62459272700001</v>
      </c>
      <c r="J1120" t="n">
        <v>92.384602566</v>
      </c>
      <c r="K1120" t="n">
        <v>98.408200683</v>
      </c>
      <c r="L1120" t="n">
        <v>98.40000000000001</v>
      </c>
      <c r="M1120" t="n">
        <v>98.191817349</v>
      </c>
      <c r="N1120" t="n">
        <v>97.91508159599999</v>
      </c>
      <c r="O1120" t="n">
        <v>89.507458955</v>
      </c>
      <c r="P1120" t="n">
        <v/>
      </c>
      <c r="Q1120" t="n">
        <v>107.017836306</v>
      </c>
      <c r="R1120" t="n">
        <v>100.54916209</v>
      </c>
      <c r="S1120" t="n">
        <v>97.794627663</v>
      </c>
      <c r="T1120" t="n">
        <v>91.05058365799999</v>
      </c>
      <c r="U1120" t="n">
        <v/>
      </c>
      <c r="V1120" t="n">
        <v>101.90658563</v>
      </c>
      <c r="W1120" t="n">
        <v>86.107175598</v>
      </c>
      <c r="X1120" t="n">
        <v>92.267273214</v>
      </c>
      <c r="Y1120" t="n">
        <v/>
      </c>
      <c r="Z1120" t="n">
        <v>63.102632774</v>
      </c>
      <c r="AA1120" t="n">
        <v>99.93846533599999</v>
      </c>
      <c r="AB1120" t="n">
        <v>93.957845433</v>
      </c>
      <c r="AC1120" t="n">
        <v>104.291309058</v>
      </c>
      <c r="AD1120" t="n">
        <v>103.461347261</v>
      </c>
      <c r="AE1120" t="n">
        <v>98.566</v>
      </c>
      <c r="AF1120" t="n">
        <v>98.89175901999999</v>
      </c>
      <c r="AG1120" t="n">
        <v>98.2</v>
      </c>
      <c r="AH1120" t="n">
        <v>105.892569549</v>
      </c>
      <c r="AI1120" t="n">
        <v>103.791350721</v>
      </c>
      <c r="AJ1120" t="n">
        <v>102.055857254</v>
      </c>
      <c r="AK1120" t="n">
        <v/>
      </c>
      <c r="AL1120" t="n">
        <v>96.69693435400001</v>
      </c>
      <c r="AM1120" t="n">
        <v>90.09999999999999</v>
      </c>
      <c r="AN1120" t="n">
        <v>97.510168255</v>
      </c>
      <c r="AO1120" t="n">
        <v>90.09999999999999</v>
      </c>
      <c r="AP1120" t="n">
        <v>89.20743395300001</v>
      </c>
      <c r="AQ1120" t="n">
        <v>93.80781731800001</v>
      </c>
      <c r="AR1120" t="n">
        <v>102.491459045</v>
      </c>
      <c r="AS1120" t="n">
        <v>82.693108908</v>
      </c>
      <c r="AT1120" t="n">
        <v>95.784393814</v>
      </c>
      <c r="AU1120" t="n">
        <v/>
      </c>
    </row>
    <row r="1121">
      <c r="A1121" s="105" t="n">
        <v>41000</v>
      </c>
      <c r="B1121" t="n">
        <v>97.90852678</v>
      </c>
      <c r="C1121" t="n">
        <v>99.19173402200001</v>
      </c>
      <c r="D1121" t="n">
        <v>108.314205719</v>
      </c>
      <c r="E1121" t="n">
        <v>95.07208612300001</v>
      </c>
      <c r="F1121" t="n">
        <v>99.59999999999999</v>
      </c>
      <c r="G1121" t="n">
        <v/>
      </c>
      <c r="H1121" t="n">
        <v>96.66385508499999</v>
      </c>
      <c r="I1121" t="n">
        <v>97.90036841600001</v>
      </c>
      <c r="J1121" t="n">
        <v>92.28461923</v>
      </c>
      <c r="K1121" t="n">
        <v>96.608050671</v>
      </c>
      <c r="L1121" t="n">
        <v>97</v>
      </c>
      <c r="M1121" t="n">
        <v>97.39188401</v>
      </c>
      <c r="N1121" t="n">
        <v>97.125080938</v>
      </c>
      <c r="O1121" t="n">
        <v>90.707558963</v>
      </c>
      <c r="P1121" t="n">
        <v/>
      </c>
      <c r="Q1121" t="n">
        <v>107.817969662</v>
      </c>
      <c r="R1121" t="n">
        <v>100.96915859</v>
      </c>
      <c r="S1121" t="n">
        <v>97.794362241</v>
      </c>
      <c r="T1121" t="n">
        <v>91.475061903</v>
      </c>
      <c r="U1121" t="n">
        <v/>
      </c>
      <c r="V1121" t="n">
        <v>102.805761385</v>
      </c>
      <c r="W1121" t="n">
        <v>84.207017251</v>
      </c>
      <c r="X1121" t="n">
        <v>90.605337193</v>
      </c>
      <c r="Y1121" t="n">
        <v/>
      </c>
      <c r="Z1121" t="n">
        <v>61.085365792</v>
      </c>
      <c r="AA1121" t="n">
        <v>104.27169029</v>
      </c>
      <c r="AB1121" t="n">
        <v>97.330210773</v>
      </c>
      <c r="AC1121" t="n">
        <v>102.791434047</v>
      </c>
      <c r="AD1121" t="n">
        <v>102.948146134</v>
      </c>
      <c r="AE1121" t="n">
        <v>99.95999999999999</v>
      </c>
      <c r="AF1121" t="n">
        <v>97.491875677</v>
      </c>
      <c r="AG1121" t="n">
        <v>96.40000000000001</v>
      </c>
      <c r="AH1121" t="n">
        <v>106.470885133</v>
      </c>
      <c r="AI1121" t="n">
        <v>106.791100742</v>
      </c>
      <c r="AJ1121" t="n">
        <v>103.10318076</v>
      </c>
      <c r="AK1121" t="n">
        <v/>
      </c>
      <c r="AL1121" t="n">
        <v>96.875109115</v>
      </c>
      <c r="AM1121" t="n">
        <v>90.40000000000001</v>
      </c>
      <c r="AN1121" t="n">
        <v>92.759628123</v>
      </c>
      <c r="AO1121" t="n">
        <v>90.2</v>
      </c>
      <c r="AP1121" t="n">
        <v>90.107508959</v>
      </c>
      <c r="AQ1121" t="n">
        <v>93.60780065</v>
      </c>
      <c r="AR1121" t="n">
        <v>102.69144238</v>
      </c>
      <c r="AS1121" t="n">
        <v>83.693025581</v>
      </c>
      <c r="AT1121" t="n">
        <v>96.481775254</v>
      </c>
      <c r="AU1121" t="n">
        <v/>
      </c>
    </row>
    <row r="1122">
      <c r="A1122" s="105" t="n">
        <v>41030</v>
      </c>
      <c r="B1122" t="n">
        <v>99.379453</v>
      </c>
      <c r="C1122" t="n">
        <v>100.591617365</v>
      </c>
      <c r="D1122" t="n">
        <v>108.854139419</v>
      </c>
      <c r="E1122" t="n">
        <v>95.01804494</v>
      </c>
      <c r="F1122" t="n">
        <v>97.40000000000001</v>
      </c>
      <c r="G1122" t="n">
        <v/>
      </c>
      <c r="H1122" t="n">
        <v>96.108869433</v>
      </c>
      <c r="I1122" t="n">
        <v>99.371172069</v>
      </c>
      <c r="J1122" t="n">
        <v>92.48458590200001</v>
      </c>
      <c r="K1122" t="n">
        <v>98.508209017</v>
      </c>
      <c r="L1122" t="n">
        <v>100</v>
      </c>
      <c r="M1122" t="n">
        <v>98.191817349</v>
      </c>
      <c r="N1122" t="n">
        <v>97.618081348</v>
      </c>
      <c r="O1122" t="n">
        <v>91.30760896699999</v>
      </c>
      <c r="P1122" t="n">
        <v/>
      </c>
      <c r="Q1122" t="n">
        <v>107.017836306</v>
      </c>
      <c r="R1122" t="n">
        <v>99.629169757</v>
      </c>
      <c r="S1122" t="n">
        <v>97.895450282</v>
      </c>
      <c r="T1122" t="n">
        <v>92.00565971</v>
      </c>
      <c r="U1122" t="n">
        <v/>
      </c>
      <c r="V1122" t="n">
        <v>105.303471818</v>
      </c>
      <c r="W1122" t="n">
        <v>87.107258938</v>
      </c>
      <c r="X1122" t="n">
        <v>92.74928451300001</v>
      </c>
      <c r="Y1122" t="n">
        <v/>
      </c>
      <c r="Z1122" t="n">
        <v>63.733028706</v>
      </c>
      <c r="AA1122" t="n">
        <v>97.548970325</v>
      </c>
      <c r="AB1122" t="n">
        <v>96.393442623</v>
      </c>
      <c r="AC1122" t="n">
        <v>104.291309058</v>
      </c>
      <c r="AD1122" t="n">
        <v>101.100622076</v>
      </c>
      <c r="AE1122" t="n">
        <v>101.181</v>
      </c>
      <c r="AF1122" t="n">
        <v>96.99191734</v>
      </c>
      <c r="AG1122" t="n">
        <v>97.2</v>
      </c>
      <c r="AH1122" t="n">
        <v>106.575585079</v>
      </c>
      <c r="AI1122" t="n">
        <v>105.391217399</v>
      </c>
      <c r="AJ1122" t="n">
        <v>103.91776571</v>
      </c>
      <c r="AK1122" t="n">
        <v/>
      </c>
      <c r="AL1122" t="n">
        <v>97.141806715</v>
      </c>
      <c r="AM1122" t="n">
        <v>91.90000000000001</v>
      </c>
      <c r="AN1122" t="n">
        <v>96.506164512</v>
      </c>
      <c r="AO1122" t="n">
        <v>90.8</v>
      </c>
      <c r="AP1122" t="n">
        <v>89.70747562299999</v>
      </c>
      <c r="AQ1122" t="n">
        <v>93.407783982</v>
      </c>
      <c r="AR1122" t="n">
        <v>106.791100742</v>
      </c>
      <c r="AS1122" t="n">
        <v>83.993000583</v>
      </c>
      <c r="AT1122" t="n">
        <v>96.684058509</v>
      </c>
      <c r="AU1122" t="n">
        <v/>
      </c>
    </row>
    <row r="1123">
      <c r="A1123" s="105" t="n">
        <v>41061</v>
      </c>
      <c r="B1123" t="n">
        <v>98.73592278</v>
      </c>
      <c r="C1123" t="n">
        <v>99.791684026</v>
      </c>
      <c r="D1123" t="n">
        <v>109.095420124</v>
      </c>
      <c r="E1123" t="n">
        <v>94.47174742999999</v>
      </c>
      <c r="F1123" t="n">
        <v>99.09999999999999</v>
      </c>
      <c r="G1123" t="n">
        <v/>
      </c>
      <c r="H1123" t="n">
        <v>95.207699964</v>
      </c>
      <c r="I1123" t="n">
        <v>98.72769547199999</v>
      </c>
      <c r="J1123" t="n">
        <v>92.28461923</v>
      </c>
      <c r="K1123" t="n">
        <v>97.30810900900001</v>
      </c>
      <c r="L1123" t="n">
        <v>98.5</v>
      </c>
      <c r="M1123" t="n">
        <v>97.39188401</v>
      </c>
      <c r="N1123" t="n">
        <v>97.69208141</v>
      </c>
      <c r="O1123" t="n">
        <v>92.007667306</v>
      </c>
      <c r="P1123" t="n">
        <v/>
      </c>
      <c r="Q1123" t="n">
        <v>108.318053009</v>
      </c>
      <c r="R1123" t="n">
        <v>98.76917692400001</v>
      </c>
      <c r="S1123" t="n">
        <v>97.318649304</v>
      </c>
      <c r="T1123" t="n">
        <v>90.732224973</v>
      </c>
      <c r="U1123" t="n">
        <v/>
      </c>
      <c r="V1123" t="n">
        <v>103.704937141</v>
      </c>
      <c r="W1123" t="n">
        <v>84.60705058800001</v>
      </c>
      <c r="X1123" t="n">
        <v>91.551379048</v>
      </c>
      <c r="Y1123" t="n">
        <v/>
      </c>
      <c r="Z1123" t="n">
        <v>62.661355621</v>
      </c>
      <c r="AA1123" t="n">
        <v>93.30494420300001</v>
      </c>
      <c r="AB1123" t="n">
        <v>94.238875878</v>
      </c>
      <c r="AC1123" t="n">
        <v>102.191484043</v>
      </c>
      <c r="AD1123" t="n">
        <v>100.382140498</v>
      </c>
      <c r="AE1123" t="n">
        <v>99.188</v>
      </c>
      <c r="AF1123" t="n">
        <v>102.191484043</v>
      </c>
      <c r="AG1123" t="n">
        <v>98.2</v>
      </c>
      <c r="AH1123" t="n">
        <v>107.19918536</v>
      </c>
      <c r="AI1123" t="n">
        <v>105.391217399</v>
      </c>
      <c r="AJ1123" t="n">
        <v>103.452288596</v>
      </c>
      <c r="AK1123" t="n">
        <v/>
      </c>
      <c r="AL1123" t="n">
        <v>96.59415112799999</v>
      </c>
      <c r="AM1123" t="n">
        <v>90.7</v>
      </c>
      <c r="AN1123" t="n">
        <v>96.437127957</v>
      </c>
      <c r="AO1123" t="n">
        <v>90.90000000000001</v>
      </c>
      <c r="AP1123" t="n">
        <v>87.207267272</v>
      </c>
      <c r="AQ1123" t="n">
        <v>93.407783982</v>
      </c>
      <c r="AR1123" t="n">
        <v>104.391300725</v>
      </c>
      <c r="AS1123" t="n">
        <v>83.393050579</v>
      </c>
      <c r="AT1123" t="n">
        <v>96.66987885</v>
      </c>
      <c r="AU1123" t="n">
        <v/>
      </c>
    </row>
    <row r="1124">
      <c r="A1124" s="105" t="n">
        <v>41091</v>
      </c>
      <c r="B1124" t="n">
        <v>99.379453</v>
      </c>
      <c r="C1124" t="n">
        <v>99.791684026</v>
      </c>
      <c r="D1124" t="n">
        <v>110.558209855</v>
      </c>
      <c r="E1124" t="n">
        <v>94.114861593</v>
      </c>
      <c r="F1124" t="n">
        <v>97.7</v>
      </c>
      <c r="G1124" t="n">
        <v/>
      </c>
      <c r="H1124" t="n">
        <v>92.73856467</v>
      </c>
      <c r="I1124" t="n">
        <v>99.371172069</v>
      </c>
      <c r="J1124" t="n">
        <v>92.384602566</v>
      </c>
      <c r="K1124" t="n">
        <v>98.408200683</v>
      </c>
      <c r="L1124" t="n">
        <v>101.6</v>
      </c>
      <c r="M1124" t="n">
        <v>97.69185901199999</v>
      </c>
      <c r="N1124" t="n">
        <v>96.96108080099999</v>
      </c>
      <c r="O1124" t="n">
        <v>90.207517293</v>
      </c>
      <c r="P1124" t="n">
        <v/>
      </c>
      <c r="Q1124" t="n">
        <v>107.417902984</v>
      </c>
      <c r="R1124" t="n">
        <v>99.549170424</v>
      </c>
      <c r="S1124" t="n">
        <v>97.767182533</v>
      </c>
      <c r="T1124" t="n">
        <v>93.80969225299999</v>
      </c>
      <c r="U1124" t="n">
        <v/>
      </c>
      <c r="V1124" t="n">
        <v>106.102739156</v>
      </c>
      <c r="W1124" t="n">
        <v>84.90707559000001</v>
      </c>
      <c r="X1124" t="n">
        <v>90.965094444</v>
      </c>
      <c r="Y1124" t="n">
        <v/>
      </c>
      <c r="Z1124" t="n">
        <v>61.778801317</v>
      </c>
      <c r="AA1124" t="n">
        <v>91.75529026300001</v>
      </c>
      <c r="AB1124" t="n">
        <v>97.51756440299999</v>
      </c>
      <c r="AC1124" t="n">
        <v>103.291392384</v>
      </c>
      <c r="AD1124" t="n">
        <v>99.86893937000001</v>
      </c>
      <c r="AE1124" t="n">
        <v>98.511</v>
      </c>
      <c r="AF1124" t="n">
        <v>100.291642363</v>
      </c>
      <c r="AG1124" t="n">
        <v>97.2</v>
      </c>
      <c r="AH1124" t="n">
        <v>106.823937301</v>
      </c>
      <c r="AI1124" t="n">
        <v>101.691525706</v>
      </c>
      <c r="AJ1124" t="n">
        <v>99.96121024</v>
      </c>
      <c r="AK1124" t="n">
        <v/>
      </c>
      <c r="AL1124" t="n">
        <v>96.760799171</v>
      </c>
      <c r="AM1124" t="n">
        <v>90.7</v>
      </c>
      <c r="AN1124" t="n">
        <v>97.800604175</v>
      </c>
      <c r="AO1124" t="n">
        <v>91.3</v>
      </c>
      <c r="AP1124" t="n">
        <v>91.207600633</v>
      </c>
      <c r="AQ1124" t="n">
        <v>93.10775898</v>
      </c>
      <c r="AR1124" t="n">
        <v>103.991334055</v>
      </c>
      <c r="AS1124" t="n">
        <v>84.192983918</v>
      </c>
      <c r="AT1124" t="n">
        <v>96.901017217</v>
      </c>
      <c r="AU1124" t="n">
        <v/>
      </c>
    </row>
    <row r="1125">
      <c r="A1125" s="105" t="n">
        <v>41122</v>
      </c>
      <c r="B1125" t="n">
        <v>100.6665134</v>
      </c>
      <c r="C1125" t="n">
        <v>100.991584035</v>
      </c>
      <c r="D1125" t="n">
        <v>112.735109</v>
      </c>
      <c r="E1125" t="n">
        <v>93.168338287</v>
      </c>
      <c r="F1125" t="n">
        <v>99.3</v>
      </c>
      <c r="G1125" t="n">
        <v/>
      </c>
      <c r="H1125" t="n">
        <v>97.137623222</v>
      </c>
      <c r="I1125" t="n">
        <v>100.658125223</v>
      </c>
      <c r="J1125" t="n">
        <v>89.68505249099999</v>
      </c>
      <c r="K1125" t="n">
        <v>98.408200683</v>
      </c>
      <c r="L1125" t="n">
        <v>99.2</v>
      </c>
      <c r="M1125" t="n">
        <v>98.391800683</v>
      </c>
      <c r="N1125" t="n">
        <v>98.879082399</v>
      </c>
      <c r="O1125" t="n">
        <v>94.00783398599999</v>
      </c>
      <c r="P1125" t="n">
        <v/>
      </c>
      <c r="Q1125" t="n">
        <v>105.317552925</v>
      </c>
      <c r="R1125" t="n">
        <v>101.68915259</v>
      </c>
      <c r="S1125" t="n">
        <v>97.318790127</v>
      </c>
      <c r="T1125" t="n">
        <v>92.960735762</v>
      </c>
      <c r="U1125" t="n">
        <v/>
      </c>
      <c r="V1125" t="n">
        <v>106.202647573</v>
      </c>
      <c r="W1125" t="n">
        <v>87.707308942</v>
      </c>
      <c r="X1125" t="n">
        <v>91.21331084099999</v>
      </c>
      <c r="Y1125" t="n">
        <v/>
      </c>
      <c r="Z1125" t="n">
        <v>64.99382056899999</v>
      </c>
      <c r="AA1125" t="n">
        <v>91.204108104</v>
      </c>
      <c r="AB1125" t="n">
        <v>98.82903981299999</v>
      </c>
      <c r="AC1125" t="n">
        <v>102.591450712</v>
      </c>
      <c r="AD1125" t="n">
        <v>98.637256665</v>
      </c>
      <c r="AE1125" t="n">
        <v>96.809</v>
      </c>
      <c r="AF1125" t="n">
        <v>97.291892342</v>
      </c>
      <c r="AG1125" t="n">
        <v>100.3</v>
      </c>
      <c r="AH1125" t="n">
        <v>105.992023832</v>
      </c>
      <c r="AI1125" t="n">
        <v>103.291392384</v>
      </c>
      <c r="AJ1125" t="n">
        <v>101.241272304</v>
      </c>
      <c r="AK1125" t="n">
        <v/>
      </c>
      <c r="AL1125" t="n">
        <v>96.50579529300001</v>
      </c>
      <c r="AM1125" t="n">
        <v>90.59999999999999</v>
      </c>
      <c r="AN1125" t="n">
        <v>99.973732216</v>
      </c>
      <c r="AO1125" t="n">
        <v>92.09999999999999</v>
      </c>
      <c r="AP1125" t="n">
        <v>87.00725060400001</v>
      </c>
      <c r="AQ1125" t="n">
        <v>97.608134011</v>
      </c>
      <c r="AR1125" t="n">
        <v>107.99100075</v>
      </c>
      <c r="AS1125" t="n">
        <v>82.99308391</v>
      </c>
      <c r="AT1125" t="n">
        <v>96.49407090299999</v>
      </c>
      <c r="AU1125" t="n">
        <v/>
      </c>
    </row>
    <row r="1126">
      <c r="A1126" s="105" t="n">
        <v>41153</v>
      </c>
      <c r="B1126" t="n">
        <v>99.01172144</v>
      </c>
      <c r="C1126" t="n">
        <v>101.091575702</v>
      </c>
      <c r="D1126" t="n">
        <v>110.831331025</v>
      </c>
      <c r="E1126" t="n">
        <v>92.85505994</v>
      </c>
      <c r="F1126" t="n">
        <v>98.5</v>
      </c>
      <c r="G1126" t="n">
        <v/>
      </c>
      <c r="H1126" t="n">
        <v>96.551180042</v>
      </c>
      <c r="I1126" t="n">
        <v>99.003471151</v>
      </c>
      <c r="J1126" t="n">
        <v>90.184969172</v>
      </c>
      <c r="K1126" t="n">
        <v>97.108092341</v>
      </c>
      <c r="L1126" t="n">
        <v>100.2</v>
      </c>
      <c r="M1126" t="n">
        <v>96.49195900300001</v>
      </c>
      <c r="N1126" t="n">
        <v>95.758079798</v>
      </c>
      <c r="O1126" t="n">
        <v>94.80790065799999</v>
      </c>
      <c r="P1126" t="n">
        <v/>
      </c>
      <c r="Q1126" t="n">
        <v>105.517586264</v>
      </c>
      <c r="R1126" t="n">
        <v>99.45917117400001</v>
      </c>
      <c r="S1126" t="n">
        <v>96.472996462</v>
      </c>
      <c r="T1126" t="n">
        <v>90.732224973</v>
      </c>
      <c r="U1126" t="n">
        <v/>
      </c>
      <c r="V1126" t="n">
        <v>103.704937141</v>
      </c>
      <c r="W1126" t="n">
        <v>87.00725060400001</v>
      </c>
      <c r="X1126" t="n">
        <v>89.84103297</v>
      </c>
      <c r="Y1126" t="n">
        <v/>
      </c>
      <c r="Z1126" t="n">
        <v>56.546515083</v>
      </c>
      <c r="AA1126" t="n">
        <v>93.771965278</v>
      </c>
      <c r="AB1126" t="n">
        <v>97.79859484799999</v>
      </c>
      <c r="AC1126" t="n">
        <v>102.391467378</v>
      </c>
      <c r="AD1126" t="n">
        <v>96.48181193000001</v>
      </c>
      <c r="AE1126" t="n">
        <v>98.068</v>
      </c>
      <c r="AF1126" t="n">
        <v>99.791684026</v>
      </c>
      <c r="AG1126" t="n">
        <v>97.5</v>
      </c>
      <c r="AH1126" t="n">
        <v>107.276085322</v>
      </c>
      <c r="AI1126" t="n">
        <v>102.491459045</v>
      </c>
      <c r="AJ1126" t="n">
        <v>95.539177657</v>
      </c>
      <c r="AK1126" t="n">
        <v/>
      </c>
      <c r="AL1126" t="n">
        <v>95.836817043</v>
      </c>
      <c r="AM1126" t="n">
        <v>91</v>
      </c>
      <c r="AN1126" t="n">
        <v>96.130299374</v>
      </c>
      <c r="AO1126" t="n">
        <v>91.5</v>
      </c>
      <c r="AP1126" t="n">
        <v>88.207350613</v>
      </c>
      <c r="AQ1126" t="n">
        <v>91.207600633</v>
      </c>
      <c r="AR1126" t="n">
        <v>100.891592367</v>
      </c>
      <c r="AS1126" t="n">
        <v>84.89292559</v>
      </c>
      <c r="AT1126" t="n">
        <v>96.42218102</v>
      </c>
      <c r="AU1126" t="n">
        <v/>
      </c>
    </row>
    <row r="1127">
      <c r="A1127" s="105" t="n">
        <v>41183</v>
      </c>
      <c r="B1127" t="n">
        <v>100.3907148</v>
      </c>
      <c r="C1127" t="n">
        <v>96.791934005</v>
      </c>
      <c r="D1127" t="n">
        <v>112.331058779</v>
      </c>
      <c r="E1127" t="n">
        <v>92.831784777</v>
      </c>
      <c r="F1127" t="n">
        <v>98.7</v>
      </c>
      <c r="G1127" t="n">
        <v/>
      </c>
      <c r="H1127" t="n">
        <v>96.814719909</v>
      </c>
      <c r="I1127" t="n">
        <v>100.382349604</v>
      </c>
      <c r="J1127" t="n">
        <v>88.785202466</v>
      </c>
      <c r="K1127" t="n">
        <v>95.807983999</v>
      </c>
      <c r="L1127" t="n">
        <v>99.59999999999999</v>
      </c>
      <c r="M1127" t="n">
        <v>95.792017332</v>
      </c>
      <c r="N1127" t="n">
        <v>96.237080198</v>
      </c>
      <c r="O1127" t="n">
        <v>90.00750062500001</v>
      </c>
      <c r="P1127" t="n">
        <v/>
      </c>
      <c r="Q1127" t="n">
        <v>104.617436239</v>
      </c>
      <c r="R1127" t="n">
        <v>97.99918334</v>
      </c>
      <c r="S1127" t="n">
        <v>96.31129769099999</v>
      </c>
      <c r="T1127" t="n">
        <v>90.838344535</v>
      </c>
      <c r="U1127" t="n">
        <v/>
      </c>
      <c r="V1127" t="n">
        <v>105.503288652</v>
      </c>
      <c r="W1127" t="n">
        <v>84.707058922</v>
      </c>
      <c r="X1127" t="n">
        <v>92.141838773</v>
      </c>
      <c r="Y1127" t="n">
        <v/>
      </c>
      <c r="Z1127" t="n">
        <v>61.526642944</v>
      </c>
      <c r="AA1127" t="n">
        <v>97.52485104</v>
      </c>
      <c r="AB1127" t="n">
        <v>97.423887588</v>
      </c>
      <c r="AC1127" t="n">
        <v>100.491625698</v>
      </c>
      <c r="AD1127" t="n">
        <v>96.789732607</v>
      </c>
      <c r="AE1127" t="n">
        <v>99.91200000000001</v>
      </c>
      <c r="AF1127" t="n">
        <v>98.091825681</v>
      </c>
      <c r="AG1127" t="n">
        <v>97.09999999999999</v>
      </c>
      <c r="AH1127" t="n">
        <v>105.547158947</v>
      </c>
      <c r="AI1127" t="n">
        <v>102.391467378</v>
      </c>
      <c r="AJ1127" t="n">
        <v>100.543056633</v>
      </c>
      <c r="AK1127" t="n">
        <v/>
      </c>
      <c r="AL1127" t="n">
        <v>95.790923195</v>
      </c>
      <c r="AM1127" t="n">
        <v>90.7</v>
      </c>
      <c r="AN1127" t="n">
        <v>94.773439131</v>
      </c>
      <c r="AO1127" t="n">
        <v>90.7</v>
      </c>
      <c r="AP1127" t="n">
        <v>87.707308942</v>
      </c>
      <c r="AQ1127" t="n">
        <v>96.408034003</v>
      </c>
      <c r="AR1127" t="n">
        <v>102.491459045</v>
      </c>
      <c r="AS1127" t="n">
        <v>84.992917257</v>
      </c>
      <c r="AT1127" t="n">
        <v>96.73998388</v>
      </c>
      <c r="AU1127" t="n">
        <v/>
      </c>
    </row>
    <row r="1128">
      <c r="A1128" s="105" t="n">
        <v>41214</v>
      </c>
      <c r="B1128" t="n">
        <v>98.64398989</v>
      </c>
      <c r="C1128" t="n">
        <v>96.291975669</v>
      </c>
      <c r="D1128" t="n">
        <v>110.801142036</v>
      </c>
      <c r="E1128" t="n">
        <v>93.780180797</v>
      </c>
      <c r="F1128" t="n">
        <v>99.7</v>
      </c>
      <c r="G1128" t="n">
        <v/>
      </c>
      <c r="H1128" t="n">
        <v>97.239924828</v>
      </c>
      <c r="I1128" t="n">
        <v>98.63577024200001</v>
      </c>
      <c r="J1128" t="n">
        <v>88.085319113</v>
      </c>
      <c r="K1128" t="n">
        <v>95.10792566000001</v>
      </c>
      <c r="L1128" t="n">
        <v>101.8</v>
      </c>
      <c r="M1128" t="n">
        <v>95.09207566000001</v>
      </c>
      <c r="N1128" t="n">
        <v>93.967078306</v>
      </c>
      <c r="O1128" t="n">
        <v>93.20776731399999</v>
      </c>
      <c r="P1128" t="n">
        <v/>
      </c>
      <c r="Q1128" t="n">
        <v>103.717286214</v>
      </c>
      <c r="R1128" t="n">
        <v>97.89918417299999</v>
      </c>
      <c r="S1128" t="n">
        <v>96.26420664</v>
      </c>
      <c r="T1128" t="n">
        <v>91.15670321899999</v>
      </c>
      <c r="U1128" t="n">
        <v/>
      </c>
      <c r="V1128" t="n">
        <v>102.206310882</v>
      </c>
      <c r="W1128" t="n">
        <v>84.107008917</v>
      </c>
      <c r="X1128" t="n">
        <v>91.129276422</v>
      </c>
      <c r="Y1128" t="n">
        <v/>
      </c>
      <c r="Z1128" t="n">
        <v>60.139771894</v>
      </c>
      <c r="AA1128" t="n">
        <v>89.14941612299999</v>
      </c>
      <c r="AB1128" t="n">
        <v>95.925058548</v>
      </c>
      <c r="AC1128" t="n">
        <v>99.09174235499999</v>
      </c>
      <c r="AD1128" t="n">
        <v>96.07125102800001</v>
      </c>
      <c r="AE1128" t="n">
        <v>100.634</v>
      </c>
      <c r="AF1128" t="n">
        <v>90.592450629</v>
      </c>
      <c r="AG1128" t="n">
        <v>98.2</v>
      </c>
      <c r="AH1128" t="n">
        <v>107.168031589</v>
      </c>
      <c r="AI1128" t="n">
        <v>103.691359053</v>
      </c>
      <c r="AJ1128" t="n">
        <v>98.09930178400001</v>
      </c>
      <c r="AK1128" t="n">
        <v/>
      </c>
      <c r="AL1128" t="n">
        <v>95.682236262</v>
      </c>
      <c r="AM1128" t="n">
        <v>89.40000000000001</v>
      </c>
      <c r="AN1128" t="n">
        <v>94.796097733</v>
      </c>
      <c r="AO1128" t="n">
        <v>91.2</v>
      </c>
      <c r="AP1128" t="n">
        <v>85.10709225799999</v>
      </c>
      <c r="AQ1128" t="n">
        <v>92.60771731</v>
      </c>
      <c r="AR1128" t="n">
        <v>101.591534039</v>
      </c>
      <c r="AS1128" t="n">
        <v>83.793017249</v>
      </c>
      <c r="AT1128" t="n">
        <v>97.134535387</v>
      </c>
      <c r="AU1128" t="n">
        <v/>
      </c>
    </row>
    <row r="1129">
      <c r="A1129" s="105" t="n">
        <v>41244</v>
      </c>
      <c r="B1129" t="n">
        <v>98.46012411</v>
      </c>
      <c r="C1129" t="n">
        <v>97.99183401400001</v>
      </c>
      <c r="D1129" t="n">
        <v>111.578591074</v>
      </c>
      <c r="E1129" t="n">
        <v>93.372731675</v>
      </c>
      <c r="F1129" t="n">
        <v>98.5</v>
      </c>
      <c r="G1129" t="n">
        <v/>
      </c>
      <c r="H1129" t="n">
        <v>96.42716689700001</v>
      </c>
      <c r="I1129" t="n">
        <v>98.45191978299999</v>
      </c>
      <c r="J1129" t="n">
        <v>89.18513581099999</v>
      </c>
      <c r="K1129" t="n">
        <v>95.907992333</v>
      </c>
      <c r="L1129" t="n">
        <v>99.8</v>
      </c>
      <c r="M1129" t="n">
        <v>95.592033997</v>
      </c>
      <c r="N1129" t="n">
        <v>94.359078633</v>
      </c>
      <c r="O1129" t="n">
        <v>96.608050671</v>
      </c>
      <c r="P1129" t="n">
        <v/>
      </c>
      <c r="Q1129" t="n">
        <v>104.4174029</v>
      </c>
      <c r="R1129" t="n">
        <v>98.859176174</v>
      </c>
      <c r="S1129" t="n">
        <v>96.846421967</v>
      </c>
      <c r="T1129" t="n">
        <v>92.21789883300001</v>
      </c>
      <c r="U1129" t="n">
        <v/>
      </c>
      <c r="V1129" t="n">
        <v>100.707684622</v>
      </c>
      <c r="W1129" t="n">
        <v>85.707142262</v>
      </c>
      <c r="X1129" t="n">
        <v>91.372575563</v>
      </c>
      <c r="Y1129" t="n">
        <v/>
      </c>
      <c r="Z1129" t="n">
        <v>61.463603351</v>
      </c>
      <c r="AA1129" t="n">
        <v>80.456293372</v>
      </c>
      <c r="AB1129" t="n">
        <v>91.428571429</v>
      </c>
      <c r="AC1129" t="n">
        <v>99.891675694</v>
      </c>
      <c r="AD1129" t="n">
        <v>97.40557395899999</v>
      </c>
      <c r="AE1129" t="n">
        <v>100.685</v>
      </c>
      <c r="AF1129" t="n">
        <v>93.89217565200001</v>
      </c>
      <c r="AG1129" t="n">
        <v>101.4</v>
      </c>
      <c r="AH1129" t="n">
        <v>105.848857583</v>
      </c>
      <c r="AI1129" t="n">
        <v>102.591450712</v>
      </c>
      <c r="AJ1129" t="n">
        <v>99.262994569</v>
      </c>
      <c r="AK1129" t="n">
        <v/>
      </c>
      <c r="AL1129" t="n">
        <v>96.02945385</v>
      </c>
      <c r="AM1129" t="n">
        <v>89.09999999999999</v>
      </c>
      <c r="AN1129" t="n">
        <v>93.97554101</v>
      </c>
      <c r="AO1129" t="n">
        <v>91.59999999999999</v>
      </c>
      <c r="AP1129" t="n">
        <v>87.00725060400001</v>
      </c>
      <c r="AQ1129" t="n">
        <v>88.007333944</v>
      </c>
      <c r="AR1129" t="n">
        <v>102.391467378</v>
      </c>
      <c r="AS1129" t="n">
        <v>84.992917257</v>
      </c>
      <c r="AT1129" t="n">
        <v>97.379655097</v>
      </c>
      <c r="AU1129" t="n">
        <v/>
      </c>
    </row>
    <row r="1130">
      <c r="A1130" s="105" t="n">
        <v>41275</v>
      </c>
      <c r="B1130" t="n">
        <v>97.63272811</v>
      </c>
      <c r="C1130" t="n">
        <v>96.39196733599999</v>
      </c>
      <c r="D1130" t="n">
        <v>112.574442364</v>
      </c>
      <c r="E1130" t="n">
        <v>94.095599389</v>
      </c>
      <c r="F1130" t="n">
        <v>97.8</v>
      </c>
      <c r="G1130" t="n">
        <v/>
      </c>
      <c r="H1130" t="n">
        <v>100.513283659</v>
      </c>
      <c r="I1130" t="n">
        <v>97.62459272700001</v>
      </c>
      <c r="J1130" t="n">
        <v>87.385435761</v>
      </c>
      <c r="K1130" t="n">
        <v>94.707892324</v>
      </c>
      <c r="L1130" t="n">
        <v>101.2</v>
      </c>
      <c r="M1130" t="n">
        <v>95.19206732799999</v>
      </c>
      <c r="N1130" t="n">
        <v>95.13807928200001</v>
      </c>
      <c r="O1130" t="n">
        <v>96.908075673</v>
      </c>
      <c r="P1130" t="n">
        <v/>
      </c>
      <c r="Q1130" t="n">
        <v>104.4174029</v>
      </c>
      <c r="R1130" t="n">
        <v>98.649177924</v>
      </c>
      <c r="S1130" t="n">
        <v>96.29454828900001</v>
      </c>
      <c r="T1130" t="n">
        <v>90.838344535</v>
      </c>
      <c r="U1130" t="n">
        <v/>
      </c>
      <c r="V1130" t="n">
        <v>100.707684622</v>
      </c>
      <c r="W1130" t="n">
        <v>85.007083924</v>
      </c>
      <c r="X1130" t="n">
        <v>91.366183815</v>
      </c>
      <c r="Y1130" t="n">
        <v/>
      </c>
      <c r="Z1130" t="n">
        <v>59.635455149</v>
      </c>
      <c r="AA1130" t="n">
        <v>90.147097468</v>
      </c>
      <c r="AB1130" t="n">
        <v>93.302107728</v>
      </c>
      <c r="AC1130" t="n">
        <v>99.891675694</v>
      </c>
      <c r="AD1130" t="n">
        <v>95.392050662</v>
      </c>
      <c r="AE1130" t="n">
        <v>100.815</v>
      </c>
      <c r="AF1130" t="n">
        <v>92.892258978</v>
      </c>
      <c r="AG1130" t="n">
        <v>99.5</v>
      </c>
      <c r="AH1130" t="n">
        <v>105.333029457</v>
      </c>
      <c r="AI1130" t="n">
        <v>104.291309058</v>
      </c>
      <c r="AJ1130" t="n">
        <v>95.30643910000001</v>
      </c>
      <c r="AK1130" t="n">
        <v/>
      </c>
      <c r="AL1130" t="n">
        <v>95.664993868</v>
      </c>
      <c r="AM1130" t="n">
        <v>89.2</v>
      </c>
      <c r="AN1130" t="n">
        <v>96.073619427</v>
      </c>
      <c r="AO1130" t="n">
        <v>89.59999999999999</v>
      </c>
      <c r="AP1130" t="n">
        <v>87.00725060400001</v>
      </c>
      <c r="AQ1130" t="n">
        <v>94.207850654</v>
      </c>
      <c r="AR1130" t="n">
        <v>99.791684026</v>
      </c>
      <c r="AS1130" t="n">
        <v>85.392883926</v>
      </c>
      <c r="AT1130" t="n">
        <v>97.37261484699999</v>
      </c>
      <c r="AU1130" t="n">
        <v/>
      </c>
    </row>
    <row r="1131">
      <c r="A1131" s="105" t="n">
        <v>41306</v>
      </c>
      <c r="B1131" t="n">
        <v>97.35692944</v>
      </c>
      <c r="C1131" t="n">
        <v>96.39196733599999</v>
      </c>
      <c r="D1131" t="n">
        <v>109.537454302</v>
      </c>
      <c r="E1131" t="n">
        <v>95.097501532</v>
      </c>
      <c r="F1131" t="n">
        <v>100.6</v>
      </c>
      <c r="G1131" t="n">
        <v/>
      </c>
      <c r="H1131" t="n">
        <v>99.15049012199999</v>
      </c>
      <c r="I1131" t="n">
        <v>97.348817039</v>
      </c>
      <c r="J1131" t="n">
        <v>88.68521912999999</v>
      </c>
      <c r="K1131" t="n">
        <v>95.507958997</v>
      </c>
      <c r="L1131" t="n">
        <v>98.7</v>
      </c>
      <c r="M1131" t="n">
        <v>95.292058995</v>
      </c>
      <c r="N1131" t="n">
        <v>94.607078839</v>
      </c>
      <c r="O1131" t="n">
        <v>94.707892324</v>
      </c>
      <c r="P1131" t="n">
        <v/>
      </c>
      <c r="Q1131" t="n">
        <v>103.817302884</v>
      </c>
      <c r="R1131" t="n">
        <v>99.61916984</v>
      </c>
      <c r="S1131" t="n">
        <v>97.01923284199999</v>
      </c>
      <c r="T1131" t="n">
        <v>91.581181464</v>
      </c>
      <c r="U1131" t="n">
        <v/>
      </c>
      <c r="V1131" t="n">
        <v>99.209058363</v>
      </c>
      <c r="W1131" t="n">
        <v>84.507042254</v>
      </c>
      <c r="X1131" t="n">
        <v>91.151141314</v>
      </c>
      <c r="Y1131" t="n">
        <v/>
      </c>
      <c r="Z1131" t="n">
        <v>59.320257183</v>
      </c>
      <c r="AA1131" t="n">
        <v>101.726184807</v>
      </c>
      <c r="AB1131" t="n">
        <v>95.45667447300001</v>
      </c>
      <c r="AC1131" t="n">
        <v>99.29172569000001</v>
      </c>
      <c r="AD1131" t="n">
        <v>96.99191734</v>
      </c>
      <c r="AE1131" t="n">
        <v>99.717</v>
      </c>
      <c r="AF1131" t="n">
        <v>93.192233981</v>
      </c>
      <c r="AG1131" t="n">
        <v>97</v>
      </c>
      <c r="AH1131" t="n">
        <v>105.879786745</v>
      </c>
      <c r="AI1131" t="n">
        <v>105.291225731</v>
      </c>
      <c r="AJ1131" t="n">
        <v>93.21179208700001</v>
      </c>
      <c r="AK1131" t="n">
        <v/>
      </c>
      <c r="AL1131" t="n">
        <v>96.17658039600001</v>
      </c>
      <c r="AM1131" t="n">
        <v>90.09999999999999</v>
      </c>
      <c r="AN1131" t="n">
        <v>95.309575084</v>
      </c>
      <c r="AO1131" t="n">
        <v>90.2</v>
      </c>
      <c r="AP1131" t="n">
        <v>87.00725060400001</v>
      </c>
      <c r="AQ1131" t="n">
        <v>94.10784232</v>
      </c>
      <c r="AR1131" t="n">
        <v>99.591700692</v>
      </c>
      <c r="AS1131" t="n">
        <v>87.292725606</v>
      </c>
      <c r="AT1131" t="n">
        <v>97.853037579</v>
      </c>
      <c r="AU1131" t="n">
        <v/>
      </c>
    </row>
    <row r="1132">
      <c r="A1132" s="105" t="n">
        <v>41334</v>
      </c>
      <c r="B1132" t="n">
        <v>96.897265</v>
      </c>
      <c r="C1132" t="n">
        <v>98.99175068700001</v>
      </c>
      <c r="D1132" t="n">
        <v>111.6174338</v>
      </c>
      <c r="E1132" t="n">
        <v>95.68820912299999</v>
      </c>
      <c r="F1132" t="n">
        <v>100.3</v>
      </c>
      <c r="G1132" t="n">
        <v/>
      </c>
      <c r="H1132" t="n">
        <v>99.945570718</v>
      </c>
      <c r="I1132" t="n">
        <v>96.88919090100001</v>
      </c>
      <c r="J1132" t="n">
        <v>87.88535244099999</v>
      </c>
      <c r="K1132" t="n">
        <v>96.808067339</v>
      </c>
      <c r="L1132" t="n">
        <v>98.3</v>
      </c>
      <c r="M1132" t="n">
        <v>96.39196733599999</v>
      </c>
      <c r="N1132" t="n">
        <v>95.390079492</v>
      </c>
      <c r="O1132" t="n">
        <v>97.80815067899999</v>
      </c>
      <c r="P1132" t="n">
        <v/>
      </c>
      <c r="Q1132" t="n">
        <v>105.417569595</v>
      </c>
      <c r="R1132" t="n">
        <v>99.85916784</v>
      </c>
      <c r="S1132" t="n">
        <v>97.640936087</v>
      </c>
      <c r="T1132" t="n">
        <v>92.960735762</v>
      </c>
      <c r="U1132" t="n">
        <v/>
      </c>
      <c r="V1132" t="n">
        <v>101.407043543</v>
      </c>
      <c r="W1132" t="n">
        <v>84.90707559000001</v>
      </c>
      <c r="X1132" t="n">
        <v>92.902530176</v>
      </c>
      <c r="Y1132" t="n">
        <v/>
      </c>
      <c r="Z1132" t="n">
        <v>60.45496986</v>
      </c>
      <c r="AA1132" t="n">
        <v>93.602910704</v>
      </c>
      <c r="AB1132" t="n">
        <v>93.58313817299999</v>
      </c>
      <c r="AC1132" t="n">
        <v>98.791767353</v>
      </c>
      <c r="AD1132" t="n">
        <v>97.891842346</v>
      </c>
      <c r="AE1132" t="n">
        <v>98.379</v>
      </c>
      <c r="AF1132" t="n">
        <v>89.79251729000001</v>
      </c>
      <c r="AG1132" t="n">
        <v>96</v>
      </c>
      <c r="AH1132" t="n">
        <v>106.310317502</v>
      </c>
      <c r="AI1132" t="n">
        <v>107.191067411</v>
      </c>
      <c r="AJ1132" t="n">
        <v>93.21179208700001</v>
      </c>
      <c r="AK1132" t="n">
        <v/>
      </c>
      <c r="AL1132" t="n">
        <v>96.63454446</v>
      </c>
      <c r="AM1132" t="n">
        <v>89.59999999999999</v>
      </c>
      <c r="AN1132" t="n">
        <v>98.24287273900001</v>
      </c>
      <c r="AO1132" t="n">
        <v>93.40000000000001</v>
      </c>
      <c r="AP1132" t="n">
        <v>89.007417285</v>
      </c>
      <c r="AQ1132" t="n">
        <v>87.707308942</v>
      </c>
      <c r="AR1132" t="n">
        <v>100.691609033</v>
      </c>
      <c r="AS1132" t="n">
        <v>86.99275060399999</v>
      </c>
      <c r="AT1132" t="n">
        <v>98.265437609</v>
      </c>
      <c r="AU1132" t="n">
        <v/>
      </c>
    </row>
    <row r="1133">
      <c r="A1133" s="105" t="n">
        <v>41365</v>
      </c>
      <c r="B1133" t="n">
        <v>99.379453</v>
      </c>
      <c r="C1133" t="n">
        <v>99.491709024</v>
      </c>
      <c r="D1133" t="n">
        <v>113.354368617</v>
      </c>
      <c r="E1133" t="n">
        <v>95.024465674</v>
      </c>
      <c r="F1133" t="n">
        <v>98.8</v>
      </c>
      <c r="G1133" t="n">
        <v/>
      </c>
      <c r="H1133" t="n">
        <v>96.40577191600001</v>
      </c>
      <c r="I1133" t="n">
        <v>99.371172069</v>
      </c>
      <c r="J1133" t="n">
        <v>89.48508581900001</v>
      </c>
      <c r="K1133" t="n">
        <v>97.108092341</v>
      </c>
      <c r="L1133" t="n">
        <v>100.2</v>
      </c>
      <c r="M1133" t="n">
        <v>96.59195067100001</v>
      </c>
      <c r="N1133" t="n">
        <v>94.384078653</v>
      </c>
      <c r="O1133" t="n">
        <v>92.807733978</v>
      </c>
      <c r="P1133" t="n">
        <v/>
      </c>
      <c r="Q1133" t="n">
        <v>101.316886148</v>
      </c>
      <c r="R1133" t="n">
        <v>101.399155007</v>
      </c>
      <c r="S1133" t="n">
        <v>97.615998929</v>
      </c>
      <c r="T1133" t="n">
        <v>92.43013795500001</v>
      </c>
      <c r="U1133" t="n">
        <v/>
      </c>
      <c r="V1133" t="n">
        <v>103.00557822</v>
      </c>
      <c r="W1133" t="n">
        <v>85.307108926</v>
      </c>
      <c r="X1133" t="n">
        <v>93.641285697</v>
      </c>
      <c r="Y1133" t="n">
        <v/>
      </c>
      <c r="Z1133" t="n">
        <v>61.148405385</v>
      </c>
      <c r="AA1133" t="n">
        <v>89.32742415</v>
      </c>
      <c r="AB1133" t="n">
        <v>94.519906323</v>
      </c>
      <c r="AC1133" t="n">
        <v>97.99183401400001</v>
      </c>
      <c r="AD1133" t="n">
        <v>98.091825681</v>
      </c>
      <c r="AE1133" t="n">
        <v>99.21299999999999</v>
      </c>
      <c r="AF1133" t="n">
        <v>92.992250646</v>
      </c>
      <c r="AG1133" t="n">
        <v>95.8</v>
      </c>
      <c r="AH1133" t="n">
        <v>105.199888676</v>
      </c>
      <c r="AI1133" t="n">
        <v>107.291059078</v>
      </c>
      <c r="AJ1133" t="n">
        <v>96.70287044200001</v>
      </c>
      <c r="AK1133" t="n">
        <v/>
      </c>
      <c r="AL1133" t="n">
        <v>96.62945639900001</v>
      </c>
      <c r="AM1133" t="n">
        <v>90.8</v>
      </c>
      <c r="AN1133" t="n">
        <v>96.879186213</v>
      </c>
      <c r="AO1133" t="n">
        <v>92.40000000000001</v>
      </c>
      <c r="AP1133" t="n">
        <v>88.207350613</v>
      </c>
      <c r="AQ1133" t="n">
        <v>96.20801733499999</v>
      </c>
      <c r="AR1133" t="n">
        <v>98.491792351</v>
      </c>
      <c r="AS1133" t="n">
        <v>87.692692276</v>
      </c>
      <c r="AT1133" t="n">
        <v>98.15675993799999</v>
      </c>
      <c r="AU1133" t="n">
        <v/>
      </c>
    </row>
    <row r="1134">
      <c r="A1134" s="105" t="n">
        <v>41395</v>
      </c>
      <c r="B1134" t="n">
        <v>99.01172144</v>
      </c>
      <c r="C1134" t="n">
        <v>100.491625698</v>
      </c>
      <c r="D1134" t="n">
        <v>113.06914763</v>
      </c>
      <c r="E1134" t="n">
        <v>94.824620307</v>
      </c>
      <c r="F1134" t="n">
        <v>100</v>
      </c>
      <c r="G1134" t="n">
        <v/>
      </c>
      <c r="H1134" t="n">
        <v>96.546248382</v>
      </c>
      <c r="I1134" t="n">
        <v>99.003471151</v>
      </c>
      <c r="J1134" t="n">
        <v>89.98500249999999</v>
      </c>
      <c r="K1134" t="n">
        <v>96.50804233700001</v>
      </c>
      <c r="L1134" t="n">
        <v>98.2</v>
      </c>
      <c r="M1134" t="n">
        <v>96.791934005</v>
      </c>
      <c r="N1134" t="n">
        <v>94.943079119</v>
      </c>
      <c r="O1134" t="n">
        <v>97.208100675</v>
      </c>
      <c r="P1134" t="n">
        <v/>
      </c>
      <c r="Q1134" t="n">
        <v>102.517086181</v>
      </c>
      <c r="R1134" t="n">
        <v>101.05915784</v>
      </c>
      <c r="S1134" t="n">
        <v>97.965258139</v>
      </c>
      <c r="T1134" t="n">
        <v>92.854616201</v>
      </c>
      <c r="U1134" t="n">
        <v/>
      </c>
      <c r="V1134" t="n">
        <v>101.207226709</v>
      </c>
      <c r="W1134" t="n">
        <v>84.807067256</v>
      </c>
      <c r="X1134" t="n">
        <v>93.184517265</v>
      </c>
      <c r="Y1134" t="n">
        <v/>
      </c>
      <c r="Z1134" t="n">
        <v>63.480870333</v>
      </c>
      <c r="AA1134" t="n">
        <v>87.60362933899999</v>
      </c>
      <c r="AB1134" t="n">
        <v>92.83372365300001</v>
      </c>
      <c r="AC1134" t="n">
        <v>99.891675694</v>
      </c>
      <c r="AD1134" t="n">
        <v>99.591700692</v>
      </c>
      <c r="AE1134" t="n">
        <v>99.51000000000001</v>
      </c>
      <c r="AF1134" t="n">
        <v>93.69219231700001</v>
      </c>
      <c r="AG1134" t="n">
        <v>97.59999999999999</v>
      </c>
      <c r="AH1134" t="n">
        <v>105.271609051</v>
      </c>
      <c r="AI1134" t="n">
        <v>107.091075744</v>
      </c>
      <c r="AJ1134" t="n">
        <v>99.030256012</v>
      </c>
      <c r="AK1134" t="n">
        <v/>
      </c>
      <c r="AL1134" t="n">
        <v>96.958677102</v>
      </c>
      <c r="AM1134" t="n">
        <v>92.3</v>
      </c>
      <c r="AN1134" t="n">
        <v>96.656293641</v>
      </c>
      <c r="AO1134" t="n">
        <v>94.2</v>
      </c>
      <c r="AP1134" t="n">
        <v>89.107425619</v>
      </c>
      <c r="AQ1134" t="n">
        <v>91.107592299</v>
      </c>
      <c r="AR1134" t="n">
        <v>96.791934005</v>
      </c>
      <c r="AS1134" t="n">
        <v>87.89267561</v>
      </c>
      <c r="AT1134" t="n">
        <v>98.244416015</v>
      </c>
      <c r="AU1134" t="n">
        <v/>
      </c>
    </row>
    <row r="1135">
      <c r="A1135" s="105" t="n">
        <v>41426</v>
      </c>
      <c r="B1135" t="n">
        <v>98.552057</v>
      </c>
      <c r="C1135" t="n">
        <v>100.39163403</v>
      </c>
      <c r="D1135" t="n">
        <v>113.703688908</v>
      </c>
      <c r="E1135" t="n">
        <v>94.534082062</v>
      </c>
      <c r="F1135" t="n">
        <v>100.9</v>
      </c>
      <c r="G1135" t="n">
        <v/>
      </c>
      <c r="H1135" t="n">
        <v>98.329122297</v>
      </c>
      <c r="I1135" t="n">
        <v>98.54384501299999</v>
      </c>
      <c r="J1135" t="n">
        <v>90.68488585199999</v>
      </c>
      <c r="K1135" t="n">
        <v>98.208184015</v>
      </c>
      <c r="L1135" t="n">
        <v>98</v>
      </c>
      <c r="M1135" t="n">
        <v>96.791934005</v>
      </c>
      <c r="N1135" t="n">
        <v>95.82007985</v>
      </c>
      <c r="O1135" t="n">
        <v>96.808067339</v>
      </c>
      <c r="P1135" t="n">
        <v/>
      </c>
      <c r="Q1135" t="n">
        <v>103.517252875</v>
      </c>
      <c r="R1135" t="n">
        <v>99.879167674</v>
      </c>
      <c r="S1135" t="n">
        <v>98.05361299</v>
      </c>
      <c r="T1135" t="n">
        <v>93.915811815</v>
      </c>
      <c r="U1135" t="n">
        <v/>
      </c>
      <c r="V1135" t="n">
        <v>106.102739156</v>
      </c>
      <c r="W1135" t="n">
        <v>85.40711726000001</v>
      </c>
      <c r="X1135" t="n">
        <v>90.843380788</v>
      </c>
      <c r="Y1135" t="n">
        <v/>
      </c>
      <c r="Z1135" t="n">
        <v>61.148405385</v>
      </c>
      <c r="AA1135" t="n">
        <v>87.680643929</v>
      </c>
      <c r="AB1135" t="n">
        <v>93.957845433</v>
      </c>
      <c r="AC1135" t="n">
        <v>99.691692359</v>
      </c>
      <c r="AD1135" t="n">
        <v>98.591784018</v>
      </c>
      <c r="AE1135" t="n">
        <v>99.70099999999999</v>
      </c>
      <c r="AF1135" t="n">
        <v>91.69235897</v>
      </c>
      <c r="AG1135" t="n">
        <v>97.90000000000001</v>
      </c>
      <c r="AH1135" t="n">
        <v>105.554799696</v>
      </c>
      <c r="AI1135" t="n">
        <v>103.191400717</v>
      </c>
      <c r="AJ1135" t="n">
        <v>97.40108611300001</v>
      </c>
      <c r="AK1135" t="n">
        <v/>
      </c>
      <c r="AL1135" t="n">
        <v>97.166428216</v>
      </c>
      <c r="AM1135" t="n">
        <v>93.09999999999999</v>
      </c>
      <c r="AN1135" t="n">
        <v>95.185316989</v>
      </c>
      <c r="AO1135" t="n">
        <v>92.7</v>
      </c>
      <c r="AP1135" t="n">
        <v>88.207350613</v>
      </c>
      <c r="AQ1135" t="n">
        <v>88.707392283</v>
      </c>
      <c r="AR1135" t="n">
        <v>97.891842346</v>
      </c>
      <c r="AS1135" t="n">
        <v>90.592450629</v>
      </c>
      <c r="AT1135" t="n">
        <v>98.379172361</v>
      </c>
      <c r="AU1135" t="n">
        <v/>
      </c>
    </row>
    <row r="1136">
      <c r="A1136" s="105" t="n">
        <v>41456</v>
      </c>
      <c r="B1136" t="n">
        <v>99.74718455999999</v>
      </c>
      <c r="C1136" t="n">
        <v>101.991500708</v>
      </c>
      <c r="D1136" t="n">
        <v>112.934783508</v>
      </c>
      <c r="E1136" t="n">
        <v>94.91772096</v>
      </c>
      <c r="F1136" t="n">
        <v>102.5</v>
      </c>
      <c r="G1136" t="n">
        <v/>
      </c>
      <c r="H1136" t="n">
        <v>100.754953166</v>
      </c>
      <c r="I1136" t="n">
        <v>99.73887298699999</v>
      </c>
      <c r="J1136" t="n">
        <v>92.684552575</v>
      </c>
      <c r="K1136" t="n">
        <v>96.50804233700001</v>
      </c>
      <c r="L1136" t="n">
        <v>100.1</v>
      </c>
      <c r="M1136" t="n">
        <v>95.992000667</v>
      </c>
      <c r="N1136" t="n">
        <v>95.842079868</v>
      </c>
      <c r="O1136" t="n">
        <v>98.60821735099999</v>
      </c>
      <c r="P1136" t="n">
        <v/>
      </c>
      <c r="Q1136" t="n">
        <v>102.817136189</v>
      </c>
      <c r="R1136" t="n">
        <v>99.16917359</v>
      </c>
      <c r="S1136" t="n">
        <v>97.948384527</v>
      </c>
      <c r="T1136" t="n">
        <v>94.128050937</v>
      </c>
      <c r="U1136" t="n">
        <v/>
      </c>
      <c r="V1136" t="n">
        <v>98.409791025</v>
      </c>
      <c r="W1136" t="n">
        <v>86.70722560199999</v>
      </c>
      <c r="X1136" t="n">
        <v>93.66382507100001</v>
      </c>
      <c r="Y1136" t="n">
        <v/>
      </c>
      <c r="Z1136" t="n">
        <v>60.076732301</v>
      </c>
      <c r="AA1136" t="n">
        <v>87.91201084399999</v>
      </c>
      <c r="AB1136" t="n">
        <v>94.519906323</v>
      </c>
      <c r="AC1136" t="n">
        <v>99.491709024</v>
      </c>
      <c r="AD1136" t="n">
        <v>100.091659028</v>
      </c>
      <c r="AE1136" t="n">
        <v>98.765</v>
      </c>
      <c r="AF1136" t="n">
        <v>95.09207566000001</v>
      </c>
      <c r="AG1136" t="n">
        <v>98.90000000000001</v>
      </c>
      <c r="AH1136" t="n">
        <v>105.783607748</v>
      </c>
      <c r="AI1136" t="n">
        <v>100.691609033</v>
      </c>
      <c r="AJ1136" t="n">
        <v>100.543056633</v>
      </c>
      <c r="AK1136" t="n">
        <v/>
      </c>
      <c r="AL1136" t="n">
        <v>97.163226053</v>
      </c>
      <c r="AM1136" t="n">
        <v>94.2</v>
      </c>
      <c r="AN1136" t="n">
        <v>93.561470321</v>
      </c>
      <c r="AO1136" t="n">
        <v>91.8</v>
      </c>
      <c r="AP1136" t="n">
        <v>89.607467289</v>
      </c>
      <c r="AQ1136" t="n">
        <v>94.207850654</v>
      </c>
      <c r="AR1136" t="n">
        <v>100.291642363</v>
      </c>
      <c r="AS1136" t="n">
        <v>90.092492292</v>
      </c>
      <c r="AT1136" t="n">
        <v>98.080804559</v>
      </c>
      <c r="AU1136" t="n">
        <v/>
      </c>
    </row>
    <row r="1137">
      <c r="A1137" s="105" t="n">
        <v>41487</v>
      </c>
      <c r="B1137" t="n">
        <v>99.74718455999999</v>
      </c>
      <c r="C1137" t="n">
        <v>99.691692359</v>
      </c>
      <c r="D1137" t="n">
        <v>113.127323639</v>
      </c>
      <c r="E1137" t="n">
        <v>95.744658083</v>
      </c>
      <c r="F1137" t="n">
        <v>101.3</v>
      </c>
      <c r="G1137" t="n">
        <v/>
      </c>
      <c r="H1137" t="n">
        <v>100.285587325</v>
      </c>
      <c r="I1137" t="n">
        <v>99.73887298699999</v>
      </c>
      <c r="J1137" t="n">
        <v>93.684385936</v>
      </c>
      <c r="K1137" t="n">
        <v>98.708225685</v>
      </c>
      <c r="L1137" t="n">
        <v>96.2</v>
      </c>
      <c r="M1137" t="n">
        <v>96.39196733599999</v>
      </c>
      <c r="N1137" t="n">
        <v>96.656080547</v>
      </c>
      <c r="O1137" t="n">
        <v>96.408034003</v>
      </c>
      <c r="P1137" t="n">
        <v/>
      </c>
      <c r="Q1137" t="n">
        <v>104.4174029</v>
      </c>
      <c r="R1137" t="n">
        <v>98.34918042300001</v>
      </c>
      <c r="S1137" t="n">
        <v>98.40862438800001</v>
      </c>
      <c r="T1137" t="n">
        <v>93.279094446</v>
      </c>
      <c r="U1137" t="n">
        <v/>
      </c>
      <c r="V1137" t="n">
        <v>100.008325701</v>
      </c>
      <c r="W1137" t="n">
        <v>88.707392283</v>
      </c>
      <c r="X1137" t="n">
        <v>95.03807607900001</v>
      </c>
      <c r="Y1137" t="n">
        <v/>
      </c>
      <c r="Z1137" t="n">
        <v>59.887613522</v>
      </c>
      <c r="AA1137" t="n">
        <v>89.14847248300001</v>
      </c>
      <c r="AB1137" t="n">
        <v>90.77283372399999</v>
      </c>
      <c r="AC1137" t="n">
        <v>97.891842346</v>
      </c>
      <c r="AD1137" t="n">
        <v>100.39163403</v>
      </c>
      <c r="AE1137" t="n">
        <v>100.173</v>
      </c>
      <c r="AF1137" t="n">
        <v>97.091909008</v>
      </c>
      <c r="AG1137" t="n">
        <v>97.8</v>
      </c>
      <c r="AH1137" t="n">
        <v>106.06008955</v>
      </c>
      <c r="AI1137" t="n">
        <v>103.091409049</v>
      </c>
      <c r="AJ1137" t="n">
        <v>96.935608999</v>
      </c>
      <c r="AK1137" t="n">
        <v/>
      </c>
      <c r="AL1137" t="n">
        <v>97.46125130999999</v>
      </c>
      <c r="AM1137" t="n">
        <v>95</v>
      </c>
      <c r="AN1137" t="n">
        <v>96.01205306999999</v>
      </c>
      <c r="AO1137" t="n">
        <v>91.3</v>
      </c>
      <c r="AP1137" t="n">
        <v>90.107508959</v>
      </c>
      <c r="AQ1137" t="n">
        <v>92.10767564</v>
      </c>
      <c r="AR1137" t="n">
        <v>98.591784018</v>
      </c>
      <c r="AS1137" t="n">
        <v>87.592700608</v>
      </c>
      <c r="AT1137" t="n">
        <v>98.65185812199999</v>
      </c>
      <c r="AU1137" t="n">
        <v/>
      </c>
    </row>
    <row r="1138">
      <c r="A1138" s="105" t="n">
        <v>41518</v>
      </c>
      <c r="B1138" t="n">
        <v>100.9423121</v>
      </c>
      <c r="C1138" t="n">
        <v>98.391800683</v>
      </c>
      <c r="D1138" t="n">
        <v>113.791217158</v>
      </c>
      <c r="E1138" t="n">
        <v>96.533338327</v>
      </c>
      <c r="F1138" t="n">
        <v>101.4</v>
      </c>
      <c r="G1138" t="n">
        <v/>
      </c>
      <c r="H1138" t="n">
        <v>99.15213776100001</v>
      </c>
      <c r="I1138" t="n">
        <v>100.933900942</v>
      </c>
      <c r="J1138" t="n">
        <v>91.884685886</v>
      </c>
      <c r="K1138" t="n">
        <v>98.208184015</v>
      </c>
      <c r="L1138" t="n">
        <v>95.8</v>
      </c>
      <c r="M1138" t="n">
        <v>96.59195067100001</v>
      </c>
      <c r="N1138" t="n">
        <v>96.330080275</v>
      </c>
      <c r="O1138" t="n">
        <v>96.50804233700001</v>
      </c>
      <c r="P1138" t="n">
        <v/>
      </c>
      <c r="Q1138" t="n">
        <v>101.616936156</v>
      </c>
      <c r="R1138" t="n">
        <v>99.07917433999999</v>
      </c>
      <c r="S1138" t="n">
        <v>99.02023592099999</v>
      </c>
      <c r="T1138" t="n">
        <v>94.87088786699999</v>
      </c>
      <c r="U1138" t="n">
        <v/>
      </c>
      <c r="V1138" t="n">
        <v>101.007409874</v>
      </c>
      <c r="W1138" t="n">
        <v>89.607467289</v>
      </c>
      <c r="X1138" t="n">
        <v>95.510485734</v>
      </c>
      <c r="Y1138" t="n">
        <v/>
      </c>
      <c r="Z1138" t="n">
        <v>60.959286606</v>
      </c>
      <c r="AA1138" t="n">
        <v>89.223522903</v>
      </c>
      <c r="AB1138" t="n">
        <v>92.55269320799999</v>
      </c>
      <c r="AC1138" t="n">
        <v>99.691692359</v>
      </c>
      <c r="AD1138" t="n">
        <v>101.191567369</v>
      </c>
      <c r="AE1138" t="n">
        <v>98.938</v>
      </c>
      <c r="AF1138" t="n">
        <v>96.091992334</v>
      </c>
      <c r="AG1138" t="n">
        <v>97.8</v>
      </c>
      <c r="AH1138" t="n">
        <v>105.786815245</v>
      </c>
      <c r="AI1138" t="n">
        <v>104.791267394</v>
      </c>
      <c r="AJ1138" t="n">
        <v>95.30643910000001</v>
      </c>
      <c r="AK1138" t="n">
        <v/>
      </c>
      <c r="AL1138" t="n">
        <v>97.961933759</v>
      </c>
      <c r="AM1138" t="n">
        <v>94.59999999999999</v>
      </c>
      <c r="AN1138" t="n">
        <v>97.385516444</v>
      </c>
      <c r="AO1138" t="n">
        <v>92.7</v>
      </c>
      <c r="AP1138" t="n">
        <v>90.707558963</v>
      </c>
      <c r="AQ1138" t="n">
        <v>92.007667306</v>
      </c>
      <c r="AR1138" t="n">
        <v>99.19173402200001</v>
      </c>
      <c r="AS1138" t="n">
        <v>92.69227564400001</v>
      </c>
      <c r="AT1138" t="n">
        <v>99.17551394199999</v>
      </c>
      <c r="AU1138" t="n">
        <v/>
      </c>
    </row>
    <row r="1139">
      <c r="A1139" s="105" t="n">
        <v>41548</v>
      </c>
      <c r="B1139" t="n">
        <v>100.206849</v>
      </c>
      <c r="C1139" t="n">
        <v>100.7916007</v>
      </c>
      <c r="D1139" t="n">
        <v>112.507777766</v>
      </c>
      <c r="E1139" t="n">
        <v>97.87714459199999</v>
      </c>
      <c r="F1139" t="n">
        <v>98.5</v>
      </c>
      <c r="G1139" t="n">
        <v/>
      </c>
      <c r="H1139" t="n">
        <v>99.887737001</v>
      </c>
      <c r="I1139" t="n">
        <v>100.198499125</v>
      </c>
      <c r="J1139" t="n">
        <v>93.5844026</v>
      </c>
      <c r="K1139" t="n">
        <v>97.508125677</v>
      </c>
      <c r="L1139" t="n">
        <v>102.7</v>
      </c>
      <c r="M1139" t="n">
        <v>96.091992334</v>
      </c>
      <c r="N1139" t="n">
        <v>95.605079671</v>
      </c>
      <c r="O1139" t="n">
        <v>97.608134011</v>
      </c>
      <c r="P1139" t="n">
        <v/>
      </c>
      <c r="Q1139" t="n">
        <v>102.417069512</v>
      </c>
      <c r="R1139" t="n">
        <v>98.92917559</v>
      </c>
      <c r="S1139" t="n">
        <v>99.018103369</v>
      </c>
      <c r="T1139" t="n">
        <v>94.658648744</v>
      </c>
      <c r="U1139" t="n">
        <v/>
      </c>
      <c r="V1139" t="n">
        <v>99.808508867</v>
      </c>
      <c r="W1139" t="n">
        <v>89.20743395300001</v>
      </c>
      <c r="X1139" t="n">
        <v>93.931292547</v>
      </c>
      <c r="Y1139" t="n">
        <v/>
      </c>
      <c r="Z1139" t="n">
        <v>56.861713049</v>
      </c>
      <c r="AA1139" t="n">
        <v>90.76049638400001</v>
      </c>
      <c r="AB1139" t="n">
        <v>93.58313817299999</v>
      </c>
      <c r="AC1139" t="n">
        <v>100.091659028</v>
      </c>
      <c r="AD1139" t="n">
        <v>101.491542371</v>
      </c>
      <c r="AE1139" t="n">
        <v>100.843</v>
      </c>
      <c r="AF1139" t="n">
        <v>98.291809016</v>
      </c>
      <c r="AG1139" t="n">
        <v>98.09999999999999</v>
      </c>
      <c r="AH1139" t="n">
        <v>106.108589724</v>
      </c>
      <c r="AI1139" t="n">
        <v>102.29147571</v>
      </c>
      <c r="AJ1139" t="n">
        <v>92.746314973</v>
      </c>
      <c r="AK1139" t="n">
        <v/>
      </c>
      <c r="AL1139" t="n">
        <v>97.939519533</v>
      </c>
      <c r="AM1139" t="n">
        <v>94.90000000000001</v>
      </c>
      <c r="AN1139" t="n">
        <v>97.92061653499999</v>
      </c>
      <c r="AO1139" t="n">
        <v>92.3</v>
      </c>
      <c r="AP1139" t="n">
        <v>90.707558963</v>
      </c>
      <c r="AQ1139" t="n">
        <v>95.007917326</v>
      </c>
      <c r="AR1139" t="n">
        <v>94.99208399299999</v>
      </c>
      <c r="AS1139" t="n">
        <v>91.69235897</v>
      </c>
      <c r="AT1139" t="n">
        <v>99.06306825</v>
      </c>
      <c r="AU1139" t="n">
        <v/>
      </c>
    </row>
    <row r="1140">
      <c r="A1140" s="105" t="n">
        <v>41579</v>
      </c>
      <c r="B1140" t="n">
        <v>99.56331878</v>
      </c>
      <c r="C1140" t="n">
        <v>103.591367386</v>
      </c>
      <c r="D1140" t="n">
        <v>113.186226298</v>
      </c>
      <c r="E1140" t="n">
        <v>97.541126143</v>
      </c>
      <c r="F1140" t="n">
        <v>101</v>
      </c>
      <c r="G1140" t="n">
        <v/>
      </c>
      <c r="H1140" t="n">
        <v>100.848919851</v>
      </c>
      <c r="I1140" t="n">
        <v>99.55502252799999</v>
      </c>
      <c r="J1140" t="n">
        <v>93.184469255</v>
      </c>
      <c r="K1140" t="n">
        <v>99.70830902599999</v>
      </c>
      <c r="L1140" t="n">
        <v>100.3</v>
      </c>
      <c r="M1140" t="n">
        <v>97.39188401</v>
      </c>
      <c r="N1140" t="n">
        <v>96.417080348</v>
      </c>
      <c r="O1140" t="n">
        <v>96.708059005</v>
      </c>
      <c r="P1140" t="n">
        <v/>
      </c>
      <c r="Q1140" t="n">
        <v>103.617269545</v>
      </c>
      <c r="R1140" t="n">
        <v>100.689160924</v>
      </c>
      <c r="S1140" t="n">
        <v>99.571650058</v>
      </c>
      <c r="T1140" t="n">
        <v>95.295366112</v>
      </c>
      <c r="U1140" t="n">
        <v/>
      </c>
      <c r="V1140" t="n">
        <v>96.411622679</v>
      </c>
      <c r="W1140" t="n">
        <v>89.107425619</v>
      </c>
      <c r="X1140" t="n">
        <v>94.502706158</v>
      </c>
      <c r="Y1140" t="n">
        <v/>
      </c>
      <c r="Z1140" t="n">
        <v>60.265851081</v>
      </c>
      <c r="AA1140" t="n">
        <v>89.84507805699999</v>
      </c>
      <c r="AB1140" t="n">
        <v>95.081967213</v>
      </c>
      <c r="AC1140" t="n">
        <v>99.691692359</v>
      </c>
      <c r="AD1140" t="n">
        <v>101.891509041</v>
      </c>
      <c r="AE1140" t="n">
        <v>100.125</v>
      </c>
      <c r="AF1140" t="n">
        <v>95.592033997</v>
      </c>
      <c r="AG1140" t="n">
        <v>98.40000000000001</v>
      </c>
      <c r="AH1140" t="n">
        <v>106.579359106</v>
      </c>
      <c r="AI1140" t="n">
        <v>104.991250729</v>
      </c>
      <c r="AJ1140" t="n">
        <v>96.470131885</v>
      </c>
      <c r="AK1140" t="n">
        <v/>
      </c>
      <c r="AL1140" t="n">
        <v>98.554594184</v>
      </c>
      <c r="AM1140" t="n">
        <v>96.3</v>
      </c>
      <c r="AN1140" t="n">
        <v>98.16278797699999</v>
      </c>
      <c r="AO1140" t="n">
        <v>95.40000000000001</v>
      </c>
      <c r="AP1140" t="n">
        <v>92.007667306</v>
      </c>
      <c r="AQ1140" t="n">
        <v>92.20768397400001</v>
      </c>
      <c r="AR1140" t="n">
        <v>99.791684026</v>
      </c>
      <c r="AS1140" t="n">
        <v>92.29230897399999</v>
      </c>
      <c r="AT1140" t="n">
        <v>99.30511404799999</v>
      </c>
      <c r="AU1140" t="n">
        <v/>
      </c>
    </row>
    <row r="1141">
      <c r="A1141" s="105" t="n">
        <v>41609</v>
      </c>
      <c r="B1141" t="n">
        <v>99.47138588999999</v>
      </c>
      <c r="C1141" t="n">
        <v>102.191484043</v>
      </c>
      <c r="D1141" t="n">
        <v>109.09078498</v>
      </c>
      <c r="E1141" t="n">
        <v>96.697869654</v>
      </c>
      <c r="F1141" t="n">
        <v>102.1</v>
      </c>
      <c r="G1141" t="n">
        <v/>
      </c>
      <c r="H1141" t="n">
        <v>98.68211460000001</v>
      </c>
      <c r="I1141" t="n">
        <v>99.463097299</v>
      </c>
      <c r="J1141" t="n">
        <v>94.484252625</v>
      </c>
      <c r="K1141" t="n">
        <v>99.80831736</v>
      </c>
      <c r="L1141" t="n">
        <v>101.5</v>
      </c>
      <c r="M1141" t="n">
        <v>97.191900675</v>
      </c>
      <c r="N1141" t="n">
        <v>96.668080557</v>
      </c>
      <c r="O1141" t="n">
        <v>90.607550629</v>
      </c>
      <c r="P1141" t="n">
        <v/>
      </c>
      <c r="Q1141" t="n">
        <v>98.716452742</v>
      </c>
      <c r="R1141" t="n">
        <v>99.47917100700001</v>
      </c>
      <c r="S1141" t="n">
        <v>99.495803087</v>
      </c>
      <c r="T1141" t="n">
        <v>95.189246551</v>
      </c>
      <c r="U1141" t="n">
        <v/>
      </c>
      <c r="V1141" t="n">
        <v>99.508783615</v>
      </c>
      <c r="W1141" t="n">
        <v>89.407450621</v>
      </c>
      <c r="X1141" t="n">
        <v>94.74144721099999</v>
      </c>
      <c r="Y1141" t="n">
        <v/>
      </c>
      <c r="Z1141" t="n">
        <v>62.220078469</v>
      </c>
      <c r="AA1141" t="n">
        <v>88.845140188</v>
      </c>
      <c r="AB1141" t="n">
        <v>95.081967213</v>
      </c>
      <c r="AC1141" t="n">
        <v>98.691775685</v>
      </c>
      <c r="AD1141" t="n">
        <v>101.891509041</v>
      </c>
      <c r="AE1141" t="n">
        <v>101.547</v>
      </c>
      <c r="AF1141" t="n">
        <v>99.791684026</v>
      </c>
      <c r="AG1141" t="n">
        <v>97.2</v>
      </c>
      <c r="AH1141" t="n">
        <v>106.750800533</v>
      </c>
      <c r="AI1141" t="n">
        <v>103.691359053</v>
      </c>
      <c r="AJ1141" t="n">
        <v>96.935608999</v>
      </c>
      <c r="AK1141" t="n">
        <v/>
      </c>
      <c r="AL1141" t="n">
        <v>98.49245292800001</v>
      </c>
      <c r="AM1141" t="n">
        <v>92.90000000000001</v>
      </c>
      <c r="AN1141" t="n">
        <v>98.703218083</v>
      </c>
      <c r="AO1141" t="n">
        <v>96</v>
      </c>
      <c r="AP1141" t="n">
        <v>91.507625635</v>
      </c>
      <c r="AQ1141" t="n">
        <v>95.10792566000001</v>
      </c>
      <c r="AR1141" t="n">
        <v>100.091659028</v>
      </c>
      <c r="AS1141" t="n">
        <v>91.792350637</v>
      </c>
      <c r="AT1141" t="n">
        <v>99.51304933599999</v>
      </c>
      <c r="AU1141" t="n">
        <v/>
      </c>
    </row>
    <row r="1142">
      <c r="A1142" s="105" t="n">
        <v>41640</v>
      </c>
      <c r="B1142" t="n">
        <v>100.8503792</v>
      </c>
      <c r="C1142" t="n">
        <v>100.191650696</v>
      </c>
      <c r="D1142" t="n">
        <v>111.032623981</v>
      </c>
      <c r="E1142" t="n">
        <v>97.052347715</v>
      </c>
      <c r="F1142" t="n">
        <v>100.2</v>
      </c>
      <c r="G1142" t="n">
        <v/>
      </c>
      <c r="H1142" t="n">
        <v>99.182638604</v>
      </c>
      <c r="I1142" t="n">
        <v>100.841975702</v>
      </c>
      <c r="J1142" t="n">
        <v>92.584569238</v>
      </c>
      <c r="K1142" t="n">
        <v>99.30827569</v>
      </c>
      <c r="L1142" t="n">
        <v>100.7</v>
      </c>
      <c r="M1142" t="n">
        <v>96.891925673</v>
      </c>
      <c r="N1142" t="n">
        <v>96.551080459</v>
      </c>
      <c r="O1142" t="n">
        <v>97.708142345</v>
      </c>
      <c r="P1142" t="n">
        <v/>
      </c>
      <c r="Q1142" t="n">
        <v>101.116852809</v>
      </c>
      <c r="R1142" t="n">
        <v>97.919184007</v>
      </c>
      <c r="S1142" t="n">
        <v>99.67004272</v>
      </c>
      <c r="T1142" t="n">
        <v>96.03820304200001</v>
      </c>
      <c r="U1142" t="n">
        <v/>
      </c>
      <c r="V1142" t="n">
        <v>97.510615269</v>
      </c>
      <c r="W1142" t="n">
        <v>90.107508959</v>
      </c>
      <c r="X1142" t="n">
        <v>95.96627759099999</v>
      </c>
      <c r="Y1142" t="n">
        <v/>
      </c>
      <c r="Z1142" t="n">
        <v>65.30901853500001</v>
      </c>
      <c r="AA1142" t="n">
        <v>87.93820209499999</v>
      </c>
      <c r="AB1142" t="n">
        <v>94.988290398</v>
      </c>
      <c r="AC1142" t="n">
        <v>100.291642363</v>
      </c>
      <c r="AD1142" t="n">
        <v>103.591367386</v>
      </c>
      <c r="AE1142" t="n">
        <v>101.318</v>
      </c>
      <c r="AF1142" t="n">
        <v>96.99191734</v>
      </c>
      <c r="AG1142" t="n">
        <v>97.2</v>
      </c>
      <c r="AH1142" t="n">
        <v>107.273191719</v>
      </c>
      <c r="AI1142" t="n">
        <v>101.091575702</v>
      </c>
      <c r="AJ1142" t="n">
        <v>98.681148177</v>
      </c>
      <c r="AK1142" t="n">
        <v/>
      </c>
      <c r="AL1142" t="n">
        <v>98.7927516</v>
      </c>
      <c r="AM1142" t="n">
        <v>95</v>
      </c>
      <c r="AN1142" t="n">
        <v>100.328847026</v>
      </c>
      <c r="AO1142" t="n">
        <v>90.3</v>
      </c>
      <c r="AP1142" t="n">
        <v>90.907575631</v>
      </c>
      <c r="AQ1142" t="n">
        <v>94.00783398599999</v>
      </c>
      <c r="AR1142" t="n">
        <v>100.091659028</v>
      </c>
      <c r="AS1142" t="n">
        <v>95.19206732799999</v>
      </c>
      <c r="AT1142" t="n">
        <v>99.14140343299999</v>
      </c>
      <c r="AU1142" t="n">
        <v/>
      </c>
    </row>
    <row r="1143">
      <c r="A1143" s="105" t="n">
        <v>41671</v>
      </c>
      <c r="B1143" t="n">
        <v>99.65525167</v>
      </c>
      <c r="C1143" t="n">
        <v>104.891259062</v>
      </c>
      <c r="D1143" t="n">
        <v>111.491811494</v>
      </c>
      <c r="E1143" t="n">
        <v>98.85577157199999</v>
      </c>
      <c r="F1143" t="n">
        <v>101.2</v>
      </c>
      <c r="G1143" t="n">
        <v/>
      </c>
      <c r="H1143" t="n">
        <v>100.479714173</v>
      </c>
      <c r="I1143" t="n">
        <v>99.646947758</v>
      </c>
      <c r="J1143" t="n">
        <v>94.284285952</v>
      </c>
      <c r="K1143" t="n">
        <v>99.408284024</v>
      </c>
      <c r="L1143" t="n">
        <v>102</v>
      </c>
      <c r="M1143" t="n">
        <v>97.491875677</v>
      </c>
      <c r="N1143" t="n">
        <v>97.111080926</v>
      </c>
      <c r="O1143" t="n">
        <v>97.30810900900001</v>
      </c>
      <c r="P1143" t="n">
        <v/>
      </c>
      <c r="Q1143" t="n">
        <v>101.716952825</v>
      </c>
      <c r="R1143" t="n">
        <v>99.339172174</v>
      </c>
      <c r="S1143" t="n">
        <v>100.033155398</v>
      </c>
      <c r="T1143" t="n">
        <v>95.93208348100001</v>
      </c>
      <c r="U1143" t="n">
        <v/>
      </c>
      <c r="V1143" t="n">
        <v>99.70860045000001</v>
      </c>
      <c r="W1143" t="n">
        <v>91.107592299</v>
      </c>
      <c r="X1143" t="n">
        <v>96.028334336</v>
      </c>
      <c r="Y1143" t="n">
        <v/>
      </c>
      <c r="Z1143" t="n">
        <v>68.839235753</v>
      </c>
      <c r="AA1143" t="n">
        <v>87.46317205</v>
      </c>
      <c r="AB1143" t="n">
        <v>99.11007025799999</v>
      </c>
      <c r="AC1143" t="n">
        <v>99.491709024</v>
      </c>
      <c r="AD1143" t="n">
        <v>102.891425715</v>
      </c>
      <c r="AE1143" t="n">
        <v>100.558</v>
      </c>
      <c r="AF1143" t="n">
        <v>99.391717357</v>
      </c>
      <c r="AG1143" t="n">
        <v>97.7</v>
      </c>
      <c r="AH1143" t="n">
        <v>107.403113971</v>
      </c>
      <c r="AI1143" t="n">
        <v>100.091659028</v>
      </c>
      <c r="AJ1143" t="n">
        <v>98.797517455</v>
      </c>
      <c r="AK1143" t="n">
        <v/>
      </c>
      <c r="AL1143" t="n">
        <v>99.105919528</v>
      </c>
      <c r="AM1143" t="n">
        <v>94.7</v>
      </c>
      <c r="AN1143" t="n">
        <v>99.94626750400001</v>
      </c>
      <c r="AO1143" t="n">
        <v>92.90000000000001</v>
      </c>
      <c r="AP1143" t="n">
        <v>91.407617301</v>
      </c>
      <c r="AQ1143" t="n">
        <v>92.70772564400001</v>
      </c>
      <c r="AR1143" t="n">
        <v>99.991667361</v>
      </c>
      <c r="AS1143" t="n">
        <v>94.292142321</v>
      </c>
      <c r="AT1143" t="n">
        <v>99.90065975100001</v>
      </c>
      <c r="AU1143" t="n">
        <v/>
      </c>
    </row>
    <row r="1144">
      <c r="A1144" s="105" t="n">
        <v>41699</v>
      </c>
      <c r="B1144" t="n">
        <v>98.36819122</v>
      </c>
      <c r="C1144" t="n">
        <v>101.091575702</v>
      </c>
      <c r="D1144" t="n">
        <v>111.213812963</v>
      </c>
      <c r="E1144" t="n">
        <v>99.16958498</v>
      </c>
      <c r="F1144" t="n">
        <v>101</v>
      </c>
      <c r="G1144" t="n">
        <v/>
      </c>
      <c r="H1144" t="n">
        <v>98.71868972999999</v>
      </c>
      <c r="I1144" t="n">
        <v>98.359994554</v>
      </c>
      <c r="J1144" t="n">
        <v>95.584069322</v>
      </c>
      <c r="K1144" t="n">
        <v>99.80831736</v>
      </c>
      <c r="L1144" t="n">
        <v>98.90000000000001</v>
      </c>
      <c r="M1144" t="n">
        <v>96.99191734</v>
      </c>
      <c r="N1144" t="n">
        <v>96.48408040299999</v>
      </c>
      <c r="O1144" t="n">
        <v>96.808067339</v>
      </c>
      <c r="P1144" t="n">
        <v/>
      </c>
      <c r="Q1144" t="n">
        <v>101.016836139</v>
      </c>
      <c r="R1144" t="n">
        <v>98.849176257</v>
      </c>
      <c r="S1144" t="n">
        <v>100.6297485</v>
      </c>
      <c r="T1144" t="n">
        <v>94.76476830599999</v>
      </c>
      <c r="U1144" t="n">
        <v/>
      </c>
      <c r="V1144" t="n">
        <v>97.71043210400001</v>
      </c>
      <c r="W1144" t="n">
        <v>92.20768397400001</v>
      </c>
      <c r="X1144" t="n">
        <v>95.873853537</v>
      </c>
      <c r="Y1144" t="n">
        <v/>
      </c>
      <c r="Z1144" t="n">
        <v>70.35218599</v>
      </c>
      <c r="AA1144" t="n">
        <v>84.49992574300001</v>
      </c>
      <c r="AB1144" t="n">
        <v>91.522248244</v>
      </c>
      <c r="AC1144" t="n">
        <v>98.491792351</v>
      </c>
      <c r="AD1144" t="n">
        <v>104.291309058</v>
      </c>
      <c r="AE1144" t="n">
        <v>101.428</v>
      </c>
      <c r="AF1144" t="n">
        <v>97.191900675</v>
      </c>
      <c r="AG1144" t="n">
        <v>94.59999999999999</v>
      </c>
      <c r="AH1144" t="n">
        <v>107.771609146</v>
      </c>
      <c r="AI1144" t="n">
        <v>98.791767353</v>
      </c>
      <c r="AJ1144" t="n">
        <v>100.193948798</v>
      </c>
      <c r="AK1144" t="n">
        <v/>
      </c>
      <c r="AL1144" t="n">
        <v>99.398073897</v>
      </c>
      <c r="AM1144" t="n">
        <v>94.40000000000001</v>
      </c>
      <c r="AN1144" t="n">
        <v>96.224031403</v>
      </c>
      <c r="AO1144" t="n">
        <v>92.2</v>
      </c>
      <c r="AP1144" t="n">
        <v>90.707558963</v>
      </c>
      <c r="AQ1144" t="n">
        <v>91.00758396499999</v>
      </c>
      <c r="AR1144" t="n">
        <v>97.59186734399999</v>
      </c>
      <c r="AS1144" t="n">
        <v>94.492125656</v>
      </c>
      <c r="AT1144" t="n">
        <v>100.882923443</v>
      </c>
      <c r="AU1144" t="n">
        <v/>
      </c>
    </row>
    <row r="1145">
      <c r="A1145" s="105" t="n">
        <v>41730</v>
      </c>
      <c r="B1145" t="n">
        <v>99.10365433</v>
      </c>
      <c r="C1145" t="n">
        <v>104.19131739</v>
      </c>
      <c r="D1145" t="n">
        <v>110.242678771</v>
      </c>
      <c r="E1145" t="n">
        <v>100.463898082</v>
      </c>
      <c r="F1145" t="n">
        <v>101.8</v>
      </c>
      <c r="G1145" t="n">
        <v/>
      </c>
      <c r="H1145" t="n">
        <v>100.563977906</v>
      </c>
      <c r="I1145" t="n">
        <v>99.09539638</v>
      </c>
      <c r="J1145" t="n">
        <v>95.684052658</v>
      </c>
      <c r="K1145" t="n">
        <v>99.408284024</v>
      </c>
      <c r="L1145" t="n">
        <v>99.59999999999999</v>
      </c>
      <c r="M1145" t="n">
        <v>98.591784018</v>
      </c>
      <c r="N1145" t="n">
        <v>97.51208126</v>
      </c>
      <c r="O1145" t="n">
        <v>100.008334028</v>
      </c>
      <c r="P1145" t="n">
        <v/>
      </c>
      <c r="Q1145" t="n">
        <v>102.61710285</v>
      </c>
      <c r="R1145" t="n">
        <v>99.089174257</v>
      </c>
      <c r="S1145" t="n">
        <v>100.011253136</v>
      </c>
      <c r="T1145" t="n">
        <v>94.97700742799999</v>
      </c>
      <c r="U1145" t="n">
        <v/>
      </c>
      <c r="V1145" t="n">
        <v>100.008325701</v>
      </c>
      <c r="W1145" t="n">
        <v>92.907742312</v>
      </c>
      <c r="X1145" t="n">
        <v>97.412075523</v>
      </c>
      <c r="Y1145" t="n">
        <v/>
      </c>
      <c r="Z1145" t="n">
        <v>81.88843154200001</v>
      </c>
      <c r="AA1145" t="n">
        <v>84.13186852</v>
      </c>
      <c r="AB1145" t="n">
        <v>90.210772834</v>
      </c>
      <c r="AC1145" t="n">
        <v>99.491709024</v>
      </c>
      <c r="AD1145" t="n">
        <v>99.791684026</v>
      </c>
      <c r="AE1145" t="n">
        <v>101.916</v>
      </c>
      <c r="AF1145" t="n">
        <v>97.891842346</v>
      </c>
      <c r="AG1145" t="n">
        <v>96.40000000000001</v>
      </c>
      <c r="AH1145" t="n">
        <v>108.508799971</v>
      </c>
      <c r="AI1145" t="n">
        <v>104.091325723</v>
      </c>
      <c r="AJ1145" t="n">
        <v>99.262994569</v>
      </c>
      <c r="AK1145" t="n">
        <v/>
      </c>
      <c r="AL1145" t="n">
        <v>99.397674001</v>
      </c>
      <c r="AM1145" t="n">
        <v>95.8</v>
      </c>
      <c r="AN1145" t="n">
        <v>98.737948794</v>
      </c>
      <c r="AO1145" t="n">
        <v>94.5</v>
      </c>
      <c r="AP1145" t="n">
        <v>92.507708976</v>
      </c>
      <c r="AQ1145" t="n">
        <v>97.00808400699999</v>
      </c>
      <c r="AR1145" t="n">
        <v>98.291809016</v>
      </c>
      <c r="AS1145" t="n">
        <v>93.59220065</v>
      </c>
      <c r="AT1145" t="n">
        <v>100.945591588</v>
      </c>
      <c r="AU1145" t="n">
        <v/>
      </c>
    </row>
    <row r="1146">
      <c r="A1146" s="105" t="n">
        <v>41760</v>
      </c>
      <c r="B1146" t="n">
        <v>97.44886233</v>
      </c>
      <c r="C1146" t="n">
        <v>101.191567369</v>
      </c>
      <c r="D1146" t="n">
        <v>109.129352459</v>
      </c>
      <c r="E1146" t="n">
        <v>100.729288449</v>
      </c>
      <c r="F1146" t="n">
        <v>100.1</v>
      </c>
      <c r="G1146" t="n">
        <v/>
      </c>
      <c r="H1146" t="n">
        <v>101.22204928</v>
      </c>
      <c r="I1146" t="n">
        <v>97.44074226799999</v>
      </c>
      <c r="J1146" t="n">
        <v>94.684219297</v>
      </c>
      <c r="K1146" t="n">
        <v>98.708225685</v>
      </c>
      <c r="L1146" t="n">
        <v>98.2</v>
      </c>
      <c r="M1146" t="n">
        <v>97.79185067900001</v>
      </c>
      <c r="N1146" t="n">
        <v>97.127080939</v>
      </c>
      <c r="O1146" t="n">
        <v>100.508375698</v>
      </c>
      <c r="P1146" t="n">
        <v/>
      </c>
      <c r="Q1146" t="n">
        <v>101.916986164</v>
      </c>
      <c r="R1146" t="n">
        <v>97.18919009</v>
      </c>
      <c r="S1146" t="n">
        <v>100.248614293</v>
      </c>
      <c r="T1146" t="n">
        <v>94.446409622</v>
      </c>
      <c r="U1146" t="n">
        <v/>
      </c>
      <c r="V1146" t="n">
        <v>105.503288652</v>
      </c>
      <c r="W1146" t="n">
        <v>92.40770064199999</v>
      </c>
      <c r="X1146" t="n">
        <v>97.283425826</v>
      </c>
      <c r="Y1146" t="n">
        <v/>
      </c>
      <c r="Z1146" t="n">
        <v>84.220896489</v>
      </c>
      <c r="AA1146" t="n">
        <v>84.74117009</v>
      </c>
      <c r="AB1146" t="n">
        <v>93.302107728</v>
      </c>
      <c r="AC1146" t="n">
        <v>97.99183401400001</v>
      </c>
      <c r="AD1146" t="n">
        <v>101.891509041</v>
      </c>
      <c r="AE1146" t="n">
        <v>99.405</v>
      </c>
      <c r="AF1146" t="n">
        <v>97.39188401</v>
      </c>
      <c r="AG1146" t="n">
        <v>96.59999999999999</v>
      </c>
      <c r="AH1146" t="n">
        <v>108.978120384</v>
      </c>
      <c r="AI1146" t="n">
        <v>103.691359053</v>
      </c>
      <c r="AJ1146" t="n">
        <v>94.60822342900001</v>
      </c>
      <c r="AK1146" t="n">
        <v/>
      </c>
      <c r="AL1146" t="n">
        <v>99.259521908</v>
      </c>
      <c r="AM1146" t="n">
        <v>94.2</v>
      </c>
      <c r="AN1146" t="n">
        <v>97.369710646</v>
      </c>
      <c r="AO1146" t="n">
        <v>94</v>
      </c>
      <c r="AP1146" t="n">
        <v>92.20768397400001</v>
      </c>
      <c r="AQ1146" t="n">
        <v>91.107592299</v>
      </c>
      <c r="AR1146" t="n">
        <v>95.392050662</v>
      </c>
      <c r="AS1146" t="n">
        <v>92.392300642</v>
      </c>
      <c r="AT1146" t="n">
        <v>101.35144716</v>
      </c>
      <c r="AU1146" t="n">
        <v/>
      </c>
    </row>
    <row r="1147">
      <c r="A1147" s="105" t="n">
        <v>41791</v>
      </c>
      <c r="B1147" t="n">
        <v>101.034245</v>
      </c>
      <c r="C1147" t="n">
        <v>102.69144238</v>
      </c>
      <c r="D1147" t="n">
        <v>105.903028131</v>
      </c>
      <c r="E1147" t="n">
        <v>101.577092959</v>
      </c>
      <c r="F1147" t="n">
        <v>105.7</v>
      </c>
      <c r="G1147" t="n">
        <v/>
      </c>
      <c r="H1147" t="n">
        <v>100.861669458</v>
      </c>
      <c r="I1147" t="n">
        <v>101.025826181</v>
      </c>
      <c r="J1147" t="n">
        <v>95.38410265</v>
      </c>
      <c r="K1147" t="n">
        <v>98.80823402</v>
      </c>
      <c r="L1147" t="n">
        <v>97.40000000000001</v>
      </c>
      <c r="M1147" t="n">
        <v>97.291892342</v>
      </c>
      <c r="N1147" t="n">
        <v>96.645080538</v>
      </c>
      <c r="O1147" t="n">
        <v>100.008334028</v>
      </c>
      <c r="P1147" t="n">
        <v/>
      </c>
      <c r="Q1147" t="n">
        <v>99.816636106</v>
      </c>
      <c r="R1147" t="n">
        <v>99.129173924</v>
      </c>
      <c r="S1147" t="n">
        <v>100.472134441</v>
      </c>
      <c r="T1147" t="n">
        <v>94.34029006</v>
      </c>
      <c r="U1147" t="n">
        <v/>
      </c>
      <c r="V1147" t="n">
        <v>98.20997419</v>
      </c>
      <c r="W1147" t="n">
        <v>95.807983999</v>
      </c>
      <c r="X1147" t="n">
        <v>98.173922594</v>
      </c>
      <c r="Y1147" t="n">
        <v/>
      </c>
      <c r="Z1147" t="n">
        <v>63.985187078</v>
      </c>
      <c r="AA1147" t="n">
        <v>86.40221357599999</v>
      </c>
      <c r="AB1147" t="n">
        <v>92.83372365300001</v>
      </c>
      <c r="AC1147" t="n">
        <v>99.891675694</v>
      </c>
      <c r="AD1147" t="n">
        <v>100.591617365</v>
      </c>
      <c r="AE1147" t="n">
        <v>102.286</v>
      </c>
      <c r="AF1147" t="n">
        <v>98.591784018</v>
      </c>
      <c r="AG1147" t="n">
        <v>95.90000000000001</v>
      </c>
      <c r="AH1147" t="n">
        <v>108.762534563</v>
      </c>
      <c r="AI1147" t="n">
        <v>101.991500708</v>
      </c>
      <c r="AJ1147" t="n">
        <v>99.262994569</v>
      </c>
      <c r="AK1147" t="n">
        <v/>
      </c>
      <c r="AL1147" t="n">
        <v>99.557923839</v>
      </c>
      <c r="AM1147" t="n">
        <v>94.8</v>
      </c>
      <c r="AN1147" t="n">
        <v>96.84849599899999</v>
      </c>
      <c r="AO1147" t="n">
        <v>95.09999999999999</v>
      </c>
      <c r="AP1147" t="n">
        <v>94.707892324</v>
      </c>
      <c r="AQ1147" t="n">
        <v>94.10784232</v>
      </c>
      <c r="AR1147" t="n">
        <v>97.491875677</v>
      </c>
      <c r="AS1147" t="n">
        <v>94.192150654</v>
      </c>
      <c r="AT1147" t="n">
        <v>101.700584093</v>
      </c>
      <c r="AU1147" t="n">
        <v/>
      </c>
    </row>
    <row r="1148">
      <c r="A1148" s="105" t="n">
        <v>41821</v>
      </c>
      <c r="B1148" t="n">
        <v>98.18432543999999</v>
      </c>
      <c r="C1148" t="n">
        <v>100.991584035</v>
      </c>
      <c r="D1148" t="n">
        <v>108.611405415</v>
      </c>
      <c r="E1148" t="n">
        <v>100.987187959</v>
      </c>
      <c r="F1148" t="n">
        <v>100.2</v>
      </c>
      <c r="G1148" t="n">
        <v/>
      </c>
      <c r="H1148" t="n">
        <v>98.79619445500001</v>
      </c>
      <c r="I1148" t="n">
        <v>98.176144095</v>
      </c>
      <c r="J1148" t="n">
        <v>95.184135977</v>
      </c>
      <c r="K1148" t="n">
        <v>100.908409034</v>
      </c>
      <c r="L1148" t="n">
        <v>97.5</v>
      </c>
      <c r="M1148" t="n">
        <v>98.091825681</v>
      </c>
      <c r="N1148" t="n">
        <v>96.555080463</v>
      </c>
      <c r="O1148" t="n">
        <v>102.708559047</v>
      </c>
      <c r="P1148" t="n">
        <v/>
      </c>
      <c r="Q1148" t="n">
        <v>101.316886148</v>
      </c>
      <c r="R1148" t="n">
        <v>100.12916559</v>
      </c>
      <c r="S1148" t="n">
        <v>100.826390395</v>
      </c>
      <c r="T1148" t="n">
        <v>95.401485674</v>
      </c>
      <c r="U1148" t="n">
        <v/>
      </c>
      <c r="V1148" t="n">
        <v>97.510615269</v>
      </c>
      <c r="W1148" t="n">
        <v>97.408117343</v>
      </c>
      <c r="X1148" t="n">
        <v>98.973530199</v>
      </c>
      <c r="Y1148" t="n">
        <v/>
      </c>
      <c r="Z1148" t="n">
        <v>71.23474029400001</v>
      </c>
      <c r="AA1148" t="n">
        <v>89.438128264</v>
      </c>
      <c r="AB1148" t="n">
        <v>94.707259953</v>
      </c>
      <c r="AC1148" t="n">
        <v>98.491792351</v>
      </c>
      <c r="AD1148" t="n">
        <v>100.39163403</v>
      </c>
      <c r="AE1148" t="n">
        <v>102.927</v>
      </c>
      <c r="AF1148" t="n">
        <v>100.191650696</v>
      </c>
      <c r="AG1148" t="n">
        <v>96.5</v>
      </c>
      <c r="AH1148" t="n">
        <v>108.911273017</v>
      </c>
      <c r="AI1148" t="n">
        <v>102.69144238</v>
      </c>
      <c r="AJ1148" t="n">
        <v>97.866563227</v>
      </c>
      <c r="AK1148" t="n">
        <v/>
      </c>
      <c r="AL1148" t="n">
        <v>99.911075016</v>
      </c>
      <c r="AM1148" t="n">
        <v>96.59999999999999</v>
      </c>
      <c r="AN1148" t="n">
        <v>98.43776042499999</v>
      </c>
      <c r="AO1148" t="n">
        <v>94.5</v>
      </c>
      <c r="AP1148" t="n">
        <v>91.207600633</v>
      </c>
      <c r="AQ1148" t="n">
        <v>99.008250688</v>
      </c>
      <c r="AR1148" t="n">
        <v>95.692025665</v>
      </c>
      <c r="AS1148" t="n">
        <v>96.49195900300001</v>
      </c>
      <c r="AT1148" t="n">
        <v>101.977037876</v>
      </c>
      <c r="AU1148" t="n">
        <v/>
      </c>
    </row>
    <row r="1149">
      <c r="A1149" s="105" t="n">
        <v>41852</v>
      </c>
      <c r="B1149" t="n">
        <v>97.26499655000001</v>
      </c>
      <c r="C1149" t="n">
        <v>98.091825681</v>
      </c>
      <c r="D1149" t="n">
        <v>109.064537515</v>
      </c>
      <c r="E1149" t="n">
        <v>99.307898306</v>
      </c>
      <c r="F1149" t="n">
        <v>101.2</v>
      </c>
      <c r="G1149" t="n">
        <v/>
      </c>
      <c r="H1149" t="n">
        <v>98.00143789400001</v>
      </c>
      <c r="I1149" t="n">
        <v>97.256891809</v>
      </c>
      <c r="J1149" t="n">
        <v>95.78403599400001</v>
      </c>
      <c r="K1149" t="n">
        <v>96.708059005</v>
      </c>
      <c r="L1149" t="n">
        <v>102.8</v>
      </c>
      <c r="M1149" t="n">
        <v>96.39196733599999</v>
      </c>
      <c r="N1149" t="n">
        <v>97.01708084800001</v>
      </c>
      <c r="O1149" t="n">
        <v>100.8084007</v>
      </c>
      <c r="P1149" t="n">
        <v/>
      </c>
      <c r="Q1149" t="n">
        <v>102.017002834</v>
      </c>
      <c r="R1149" t="n">
        <v>98.32918059000001</v>
      </c>
      <c r="S1149" t="n">
        <v>99.680621254</v>
      </c>
      <c r="T1149" t="n">
        <v>94.34029006</v>
      </c>
      <c r="U1149" t="n">
        <v/>
      </c>
      <c r="V1149" t="n">
        <v>95.912080593</v>
      </c>
      <c r="W1149" t="n">
        <v>91.707642304</v>
      </c>
      <c r="X1149" t="n">
        <v>98.13538378200001</v>
      </c>
      <c r="Y1149" t="n">
        <v/>
      </c>
      <c r="Z1149" t="n">
        <v>74.954076292</v>
      </c>
      <c r="AA1149" t="n">
        <v>93.646691379</v>
      </c>
      <c r="AB1149" t="n">
        <v>95.73770491800001</v>
      </c>
      <c r="AC1149" t="n">
        <v>97.191900675</v>
      </c>
      <c r="AD1149" t="n">
        <v>99.491709024</v>
      </c>
      <c r="AE1149" t="n">
        <v>99.08799999999999</v>
      </c>
      <c r="AF1149" t="n">
        <v>97.99183401400001</v>
      </c>
      <c r="AG1149" t="n">
        <v>97</v>
      </c>
      <c r="AH1149" t="n">
        <v>109.04737239</v>
      </c>
      <c r="AI1149" t="n">
        <v>102.991417382</v>
      </c>
      <c r="AJ1149" t="n">
        <v>98.797517455</v>
      </c>
      <c r="AK1149" t="n">
        <v/>
      </c>
      <c r="AL1149" t="n">
        <v>98.79004847500001</v>
      </c>
      <c r="AM1149" t="n">
        <v>95.59999999999999</v>
      </c>
      <c r="AN1149" t="n">
        <v>96.917924111</v>
      </c>
      <c r="AO1149" t="n">
        <v>94.7</v>
      </c>
      <c r="AP1149" t="n">
        <v>93.20776731399999</v>
      </c>
      <c r="AQ1149" t="n">
        <v>91.00758396499999</v>
      </c>
      <c r="AR1149" t="n">
        <v>97.39188401</v>
      </c>
      <c r="AS1149" t="n">
        <v>91.792350637</v>
      </c>
      <c r="AT1149" t="n">
        <v>101.786058684</v>
      </c>
      <c r="AU1149" t="n">
        <v/>
      </c>
    </row>
    <row r="1150">
      <c r="A1150" s="105" t="n">
        <v>41883</v>
      </c>
      <c r="B1150" t="n">
        <v>98.552057</v>
      </c>
      <c r="C1150" t="n">
        <v>102.491459045</v>
      </c>
      <c r="D1150" t="n">
        <v>109.208766455</v>
      </c>
      <c r="E1150" t="n">
        <v>101.212983796</v>
      </c>
      <c r="F1150" t="n">
        <v>101.1</v>
      </c>
      <c r="G1150" t="n">
        <v/>
      </c>
      <c r="H1150" t="n">
        <v>98.10784660100001</v>
      </c>
      <c r="I1150" t="n">
        <v>98.54384501299999</v>
      </c>
      <c r="J1150" t="n">
        <v>97.083819363</v>
      </c>
      <c r="K1150" t="n">
        <v>99.108259022</v>
      </c>
      <c r="L1150" t="n">
        <v>101.3</v>
      </c>
      <c r="M1150" t="n">
        <v>97.39188401</v>
      </c>
      <c r="N1150" t="n">
        <v>97.262081052</v>
      </c>
      <c r="O1150" t="n">
        <v>101.608467372</v>
      </c>
      <c r="P1150" t="n">
        <v/>
      </c>
      <c r="Q1150" t="n">
        <v>99.916652775</v>
      </c>
      <c r="R1150" t="n">
        <v>99.16917359</v>
      </c>
      <c r="S1150" t="n">
        <v>100.575946692</v>
      </c>
      <c r="T1150" t="n">
        <v>94.97700742799999</v>
      </c>
      <c r="U1150" t="n">
        <v/>
      </c>
      <c r="V1150" t="n">
        <v>97.1109816</v>
      </c>
      <c r="W1150" t="n">
        <v>94.00783398599999</v>
      </c>
      <c r="X1150" t="n">
        <v>98.95577928500001</v>
      </c>
      <c r="Y1150" t="n">
        <v/>
      </c>
      <c r="Z1150" t="n">
        <v>73.441126055</v>
      </c>
      <c r="AA1150" t="n">
        <v>96.76832083799999</v>
      </c>
      <c r="AB1150" t="n">
        <v>98.82903981299999</v>
      </c>
      <c r="AC1150" t="n">
        <v>97.891842346</v>
      </c>
      <c r="AD1150" t="n">
        <v>100.591617365</v>
      </c>
      <c r="AE1150" t="n">
        <v>99.2</v>
      </c>
      <c r="AF1150" t="n">
        <v>99.791684026</v>
      </c>
      <c r="AG1150" t="n">
        <v>98.40000000000001</v>
      </c>
      <c r="AH1150" t="n">
        <v>109.297127627</v>
      </c>
      <c r="AI1150" t="n">
        <v>101.291559037</v>
      </c>
      <c r="AJ1150" t="n">
        <v>101.823118697</v>
      </c>
      <c r="AK1150" t="n">
        <v/>
      </c>
      <c r="AL1150" t="n">
        <v>99.65384641</v>
      </c>
      <c r="AM1150" t="n">
        <v>96.59999999999999</v>
      </c>
      <c r="AN1150" t="n">
        <v>96.959881211</v>
      </c>
      <c r="AO1150" t="n">
        <v>96</v>
      </c>
      <c r="AP1150" t="n">
        <v>92.40770064199999</v>
      </c>
      <c r="AQ1150" t="n">
        <v>96.408034003</v>
      </c>
      <c r="AR1150" t="n">
        <v>95.392050662</v>
      </c>
      <c r="AS1150" t="n">
        <v>96.091992334</v>
      </c>
      <c r="AT1150" t="n">
        <v>102.098209512</v>
      </c>
      <c r="AU1150" t="n">
        <v/>
      </c>
    </row>
    <row r="1151">
      <c r="A1151" s="105" t="n">
        <v>41913</v>
      </c>
      <c r="B1151" t="n">
        <v>98.09239255</v>
      </c>
      <c r="C1151" t="n">
        <v>99.691692359</v>
      </c>
      <c r="D1151" t="n">
        <v>109.305884278</v>
      </c>
      <c r="E1151" t="n">
        <v>102.027079449</v>
      </c>
      <c r="F1151" t="n">
        <v>103.6</v>
      </c>
      <c r="G1151" t="n">
        <v/>
      </c>
      <c r="H1151" t="n">
        <v>99.016977449</v>
      </c>
      <c r="I1151" t="n">
        <v>98.084218865</v>
      </c>
      <c r="J1151" t="n">
        <v>96.78386935499999</v>
      </c>
      <c r="K1151" t="n">
        <v>99.30827569</v>
      </c>
      <c r="L1151" t="n">
        <v>100.4</v>
      </c>
      <c r="M1151" t="n">
        <v>97.091909008</v>
      </c>
      <c r="N1151" t="n">
        <v>96.81608068</v>
      </c>
      <c r="O1151" t="n">
        <v>100.8084007</v>
      </c>
      <c r="P1151" t="n">
        <v/>
      </c>
      <c r="Q1151" t="n">
        <v>101.316886148</v>
      </c>
      <c r="R1151" t="n">
        <v>97.55918700700001</v>
      </c>
      <c r="S1151" t="n">
        <v>100.554764214</v>
      </c>
      <c r="T1151" t="n">
        <v>94.87088786699999</v>
      </c>
      <c r="U1151" t="n">
        <v/>
      </c>
      <c r="V1151" t="n">
        <v>99.908417284</v>
      </c>
      <c r="W1151" t="n">
        <v>91.30760896699999</v>
      </c>
      <c r="X1151" t="n">
        <v>94.477847039</v>
      </c>
      <c r="Y1151" t="n">
        <v/>
      </c>
      <c r="Z1151" t="n">
        <v>76.530066121</v>
      </c>
      <c r="AA1151" t="n">
        <v>101.172380906</v>
      </c>
      <c r="AB1151" t="n">
        <v>97.704918033</v>
      </c>
      <c r="AC1151" t="n">
        <v>97.69185901199999</v>
      </c>
      <c r="AD1151" t="n">
        <v>100.591617365</v>
      </c>
      <c r="AE1151" t="n">
        <v>97.98</v>
      </c>
      <c r="AF1151" t="n">
        <v>99.491709024</v>
      </c>
      <c r="AG1151" t="n">
        <v>98.5</v>
      </c>
      <c r="AH1151" t="n">
        <v>109.360423129</v>
      </c>
      <c r="AI1151" t="n">
        <v>100.191650696</v>
      </c>
      <c r="AJ1151" t="n">
        <v>103.10318076</v>
      </c>
      <c r="AK1151" t="n">
        <v/>
      </c>
      <c r="AL1151" t="n">
        <v>99.569969671</v>
      </c>
      <c r="AM1151" t="n">
        <v>96.7</v>
      </c>
      <c r="AN1151" t="n">
        <v>98.861917951</v>
      </c>
      <c r="AO1151" t="n">
        <v>97.09999999999999</v>
      </c>
      <c r="AP1151" t="n">
        <v>92.70772564400001</v>
      </c>
      <c r="AQ1151" t="n">
        <v>97.708142345</v>
      </c>
      <c r="AR1151" t="n">
        <v>95.892008999</v>
      </c>
      <c r="AS1151" t="n">
        <v>94.892092326</v>
      </c>
      <c r="AT1151" t="n">
        <v>102.103861544</v>
      </c>
      <c r="AU1151" t="n">
        <v/>
      </c>
    </row>
    <row r="1152">
      <c r="A1152" s="105" t="n">
        <v>41944</v>
      </c>
      <c r="B1152" t="n">
        <v>97.35692944</v>
      </c>
      <c r="C1152" t="n">
        <v>99.09174235499999</v>
      </c>
      <c r="D1152" t="n">
        <v>108.485662001</v>
      </c>
      <c r="E1152" t="n">
        <v>101.658154734</v>
      </c>
      <c r="F1152" t="n">
        <v>103.2</v>
      </c>
      <c r="G1152" t="n">
        <v/>
      </c>
      <c r="H1152" t="n">
        <v>97.950676249</v>
      </c>
      <c r="I1152" t="n">
        <v>97.348817039</v>
      </c>
      <c r="J1152" t="n">
        <v>97.483752708</v>
      </c>
      <c r="K1152" t="n">
        <v>99.408284024</v>
      </c>
      <c r="L1152" t="n">
        <v>100.1</v>
      </c>
      <c r="M1152" t="n">
        <v>96.791934005</v>
      </c>
      <c r="N1152" t="n">
        <v>96.415080346</v>
      </c>
      <c r="O1152" t="n">
        <v>102.30852571</v>
      </c>
      <c r="P1152" t="n">
        <v/>
      </c>
      <c r="Q1152" t="n">
        <v>100.516752792</v>
      </c>
      <c r="R1152" t="n">
        <v>96.76919359</v>
      </c>
      <c r="S1152" t="n">
        <v>100.855929278</v>
      </c>
      <c r="T1152" t="n">
        <v>95.825963919</v>
      </c>
      <c r="U1152" t="n">
        <v/>
      </c>
      <c r="V1152" t="n">
        <v>99.209058363</v>
      </c>
      <c r="W1152" t="n">
        <v>95.307942329</v>
      </c>
      <c r="X1152" t="n">
        <v>101.362732786</v>
      </c>
      <c r="Y1152" t="n">
        <v/>
      </c>
      <c r="Z1152" t="n">
        <v>76.02574937599999</v>
      </c>
      <c r="AA1152" t="n">
        <v>99.58835414000001</v>
      </c>
      <c r="AB1152" t="n">
        <v>97.04918032800001</v>
      </c>
      <c r="AC1152" t="n">
        <v>97.79185067900001</v>
      </c>
      <c r="AD1152" t="n">
        <v>100.591617365</v>
      </c>
      <c r="AE1152" t="n">
        <v>98.49299999999999</v>
      </c>
      <c r="AF1152" t="n">
        <v>100.491625698</v>
      </c>
      <c r="AG1152" t="n">
        <v>96.40000000000001</v>
      </c>
      <c r="AH1152" t="n">
        <v>109.5572142</v>
      </c>
      <c r="AI1152" t="n">
        <v>100.691609033</v>
      </c>
      <c r="AJ1152" t="n">
        <v>100.77579519</v>
      </c>
      <c r="AK1152" t="n">
        <v/>
      </c>
      <c r="AL1152" t="n">
        <v>99.77462629199999</v>
      </c>
      <c r="AM1152" t="n">
        <v>96.5</v>
      </c>
      <c r="AN1152" t="n">
        <v>97.751337916</v>
      </c>
      <c r="AO1152" t="n">
        <v>97.7</v>
      </c>
      <c r="AP1152" t="n">
        <v>92.907742312</v>
      </c>
      <c r="AQ1152" t="n">
        <v>93.707808984</v>
      </c>
      <c r="AR1152" t="n">
        <v>95.392050662</v>
      </c>
      <c r="AS1152" t="n">
        <v>95.692025665</v>
      </c>
      <c r="AT1152" t="n">
        <v>102.729848894</v>
      </c>
      <c r="AU1152" t="n">
        <v/>
      </c>
    </row>
    <row r="1153">
      <c r="A1153" s="105" t="n">
        <v>41974</v>
      </c>
      <c r="B1153" t="n">
        <v>99.379453</v>
      </c>
      <c r="C1153" t="n">
        <v>99.691692359</v>
      </c>
      <c r="D1153" t="n">
        <v>105.251630783</v>
      </c>
      <c r="E1153" t="n">
        <v>102.069616816</v>
      </c>
      <c r="F1153" t="n">
        <v>102.6</v>
      </c>
      <c r="G1153" t="n">
        <v/>
      </c>
      <c r="H1153" t="n">
        <v>99.609983766</v>
      </c>
      <c r="I1153" t="n">
        <v>99.371172069</v>
      </c>
      <c r="J1153" t="n">
        <v>98.883519413</v>
      </c>
      <c r="K1153" t="n">
        <v>101.108425702</v>
      </c>
      <c r="L1153" t="n">
        <v>100.2</v>
      </c>
      <c r="M1153" t="n">
        <v>98.091825681</v>
      </c>
      <c r="N1153" t="n">
        <v>96.64808054</v>
      </c>
      <c r="O1153" t="n">
        <v>101.908492374</v>
      </c>
      <c r="P1153" t="n">
        <v/>
      </c>
      <c r="Q1153" t="n">
        <v>98.516419403</v>
      </c>
      <c r="R1153" t="n">
        <v>99.67916934</v>
      </c>
      <c r="S1153" t="n">
        <v>101.364445394</v>
      </c>
      <c r="T1153" t="n">
        <v>97.736116024</v>
      </c>
      <c r="U1153" t="n">
        <v/>
      </c>
      <c r="V1153" t="n">
        <v>96.71134793100001</v>
      </c>
      <c r="W1153" t="n">
        <v>93.80781731800001</v>
      </c>
      <c r="X1153" t="n">
        <v>98.689780355</v>
      </c>
      <c r="Y1153" t="n">
        <v/>
      </c>
      <c r="Z1153" t="n">
        <v>70.16306720999999</v>
      </c>
      <c r="AA1153" t="n">
        <v>98.477595369</v>
      </c>
      <c r="AB1153" t="n">
        <v>96.018735363</v>
      </c>
      <c r="AC1153" t="n">
        <v>98.791767353</v>
      </c>
      <c r="AD1153" t="n">
        <v>100.191650696</v>
      </c>
      <c r="AE1153" t="n">
        <v>101.089</v>
      </c>
      <c r="AF1153" t="n">
        <v>100.991584035</v>
      </c>
      <c r="AG1153" t="n">
        <v>97.2</v>
      </c>
      <c r="AH1153" t="n">
        <v>109.599606574</v>
      </c>
      <c r="AI1153" t="n">
        <v>100.7916007</v>
      </c>
      <c r="AJ1153" t="n">
        <v>101.357641583</v>
      </c>
      <c r="AK1153" t="n">
        <v/>
      </c>
      <c r="AL1153" t="n">
        <v>100.307205125</v>
      </c>
      <c r="AM1153" t="n">
        <v>98.09999999999999</v>
      </c>
      <c r="AN1153" t="n">
        <v>97.35671430399999</v>
      </c>
      <c r="AO1153" t="n">
        <v>100.1</v>
      </c>
      <c r="AP1153" t="n">
        <v>94.907908992</v>
      </c>
      <c r="AQ1153" t="n">
        <v>98.60821735099999</v>
      </c>
      <c r="AR1153" t="n">
        <v>99.591700692</v>
      </c>
      <c r="AS1153" t="n">
        <v>95.592033997</v>
      </c>
      <c r="AT1153" t="n">
        <v>102.720230524</v>
      </c>
      <c r="AU1153" t="n">
        <v/>
      </c>
    </row>
    <row r="1154">
      <c r="A1154" s="105" t="n">
        <v>42005</v>
      </c>
      <c r="B1154" t="n">
        <v>100.6</v>
      </c>
      <c r="C1154" t="n">
        <v>101.491542371</v>
      </c>
      <c r="D1154" t="n">
        <v>105.906209975</v>
      </c>
      <c r="E1154" t="n">
        <v>101.386343632</v>
      </c>
      <c r="F1154" t="n">
        <v>103</v>
      </c>
      <c r="G1154" t="n">
        <v/>
      </c>
      <c r="H1154" t="n">
        <v>102.817211912</v>
      </c>
      <c r="I1154" t="n">
        <v>100.491625698</v>
      </c>
      <c r="J1154" t="n">
        <v>97.68371938</v>
      </c>
      <c r="K1154" t="n">
        <v>98.408200683</v>
      </c>
      <c r="L1154" t="n">
        <v>97.3</v>
      </c>
      <c r="M1154" t="n">
        <v>97.59186734399999</v>
      </c>
      <c r="N1154" t="n">
        <v>96.85208071</v>
      </c>
      <c r="O1154" t="n">
        <v>99.108259022</v>
      </c>
      <c r="P1154" t="n">
        <v/>
      </c>
      <c r="Q1154" t="n">
        <v>97.31621937</v>
      </c>
      <c r="R1154" t="n">
        <v>99.43917134</v>
      </c>
      <c r="S1154" t="n">
        <v>101.080219458</v>
      </c>
      <c r="T1154" t="n">
        <v>99.327909445</v>
      </c>
      <c r="U1154" t="n">
        <v/>
      </c>
      <c r="V1154" t="n">
        <v>98.110065773</v>
      </c>
      <c r="W1154" t="n">
        <v>97.608134011</v>
      </c>
      <c r="X1154" t="n">
        <v>98.09304271800001</v>
      </c>
      <c r="Y1154" t="n">
        <v/>
      </c>
      <c r="Z1154" t="n">
        <v>76.187302116</v>
      </c>
      <c r="AA1154" t="n">
        <v>99.28055435900001</v>
      </c>
      <c r="AB1154" t="n">
        <v>96.112412178</v>
      </c>
      <c r="AC1154" t="n">
        <v>98.291809016</v>
      </c>
      <c r="AD1154" t="n">
        <v>102.69144238</v>
      </c>
      <c r="AE1154" t="n">
        <v>97.7</v>
      </c>
      <c r="AF1154" t="n">
        <v>100.191650696</v>
      </c>
      <c r="AG1154" t="n">
        <v>96.5</v>
      </c>
      <c r="AH1154" t="n">
        <v>109.276523953</v>
      </c>
      <c r="AI1154" t="n">
        <v>102.891425715</v>
      </c>
      <c r="AJ1154" t="n">
        <v>98.564778898</v>
      </c>
      <c r="AK1154" t="n">
        <v/>
      </c>
      <c r="AL1154" t="n">
        <v>99.996434131</v>
      </c>
      <c r="AM1154" t="n">
        <v>98.7</v>
      </c>
      <c r="AN1154" t="n">
        <v>95.87920100700001</v>
      </c>
      <c r="AO1154" t="n">
        <v>101.2</v>
      </c>
      <c r="AP1154" t="n">
        <v>97.908159013</v>
      </c>
      <c r="AQ1154" t="n">
        <v>97.408117343</v>
      </c>
      <c r="AR1154" t="n">
        <v>94.592117324</v>
      </c>
      <c r="AS1154" t="n">
        <v>95.19206732799999</v>
      </c>
      <c r="AT1154" t="n">
        <v>101.932912362</v>
      </c>
      <c r="AU1154" t="n">
        <v/>
      </c>
    </row>
    <row r="1155">
      <c r="A1155" s="105" t="n">
        <v>42036</v>
      </c>
      <c r="B1155" t="n">
        <v>99.59999999999999</v>
      </c>
      <c r="C1155" t="n">
        <v>97.291892342</v>
      </c>
      <c r="D1155" t="n">
        <v>105.116727179</v>
      </c>
      <c r="E1155" t="n">
        <v>100.746142877</v>
      </c>
      <c r="F1155" t="n">
        <v>99</v>
      </c>
      <c r="G1155" t="n">
        <v/>
      </c>
      <c r="H1155" t="n">
        <v>100.521270442</v>
      </c>
      <c r="I1155" t="n">
        <v>99.691692359</v>
      </c>
      <c r="J1155" t="n">
        <v>98.78353607699999</v>
      </c>
      <c r="K1155" t="n">
        <v>99.30827569</v>
      </c>
      <c r="L1155" t="n">
        <v>98.5</v>
      </c>
      <c r="M1155" t="n">
        <v>100.291642363</v>
      </c>
      <c r="N1155" t="n">
        <v>98.109081758</v>
      </c>
      <c r="O1155" t="n">
        <v>102.408534045</v>
      </c>
      <c r="P1155" t="n">
        <v/>
      </c>
      <c r="Q1155" t="n">
        <v>98.816469412</v>
      </c>
      <c r="R1155" t="n">
        <v>100.019166507</v>
      </c>
      <c r="S1155" t="n">
        <v>100.519774905</v>
      </c>
      <c r="T1155" t="n">
        <v>100.389105058</v>
      </c>
      <c r="U1155" t="n">
        <v/>
      </c>
      <c r="V1155" t="n">
        <v>101.706768795</v>
      </c>
      <c r="W1155" t="n">
        <v>96.20801733499999</v>
      </c>
      <c r="X1155" t="n">
        <v>98.865118942</v>
      </c>
      <c r="Y1155" t="n">
        <v/>
      </c>
      <c r="Z1155" t="n">
        <v>111.781369772</v>
      </c>
      <c r="AA1155" t="n">
        <v>101.416981928</v>
      </c>
      <c r="AB1155" t="n">
        <v>97.79859484799999</v>
      </c>
      <c r="AC1155" t="n">
        <v>99.09174235499999</v>
      </c>
      <c r="AD1155" t="n">
        <v>99.791684026</v>
      </c>
      <c r="AE1155" t="n">
        <v>100.2</v>
      </c>
      <c r="AF1155" t="n">
        <v>99.791684026</v>
      </c>
      <c r="AG1155" t="n">
        <v>97.40000000000001</v>
      </c>
      <c r="AH1155" t="n">
        <v>109.590521705</v>
      </c>
      <c r="AI1155" t="n">
        <v>103.491375719</v>
      </c>
      <c r="AJ1155" t="n">
        <v>100.77579519</v>
      </c>
      <c r="AK1155" t="n">
        <v/>
      </c>
      <c r="AL1155" t="n">
        <v>100.097844894</v>
      </c>
      <c r="AM1155" t="n">
        <v>99.2</v>
      </c>
      <c r="AN1155" t="n">
        <v>97.79918500700001</v>
      </c>
      <c r="AO1155" t="n">
        <v>100.1</v>
      </c>
      <c r="AP1155" t="n">
        <v>96.108009001</v>
      </c>
      <c r="AQ1155" t="n">
        <v>99.50829235800001</v>
      </c>
      <c r="AR1155" t="n">
        <v>95.792017332</v>
      </c>
      <c r="AS1155" t="n">
        <v>95.19206732799999</v>
      </c>
      <c r="AT1155" t="n">
        <v>101.295720106</v>
      </c>
      <c r="AU1155" t="n">
        <v/>
      </c>
    </row>
    <row r="1156">
      <c r="A1156" s="105" t="n">
        <v>42064</v>
      </c>
      <c r="B1156" t="n">
        <v>100.2</v>
      </c>
      <c r="C1156" t="n">
        <v>100.291642363</v>
      </c>
      <c r="D1156" t="n">
        <v>104.51508331</v>
      </c>
      <c r="E1156" t="n">
        <v>100.143128878</v>
      </c>
      <c r="F1156" t="n">
        <v>98.3</v>
      </c>
      <c r="G1156" t="n">
        <v/>
      </c>
      <c r="H1156" t="n">
        <v>98.447137329</v>
      </c>
      <c r="I1156" t="n">
        <v>100.191650696</v>
      </c>
      <c r="J1156" t="n">
        <v>99.383436094</v>
      </c>
      <c r="K1156" t="n">
        <v>99.20826735599999</v>
      </c>
      <c r="L1156" t="n">
        <v>102.1</v>
      </c>
      <c r="M1156" t="n">
        <v>100.39163403</v>
      </c>
      <c r="N1156" t="n">
        <v>98.839082366</v>
      </c>
      <c r="O1156" t="n">
        <v>101.008417368</v>
      </c>
      <c r="P1156" t="n">
        <v/>
      </c>
      <c r="Q1156" t="n">
        <v>100.8168028</v>
      </c>
      <c r="R1156" t="n">
        <v>99.96916692400001</v>
      </c>
      <c r="S1156" t="n">
        <v>100.277476997</v>
      </c>
      <c r="T1156" t="n">
        <v>100.919702865</v>
      </c>
      <c r="U1156" t="n">
        <v/>
      </c>
      <c r="V1156" t="n">
        <v>101.706768795</v>
      </c>
      <c r="W1156" t="n">
        <v>99.408284024</v>
      </c>
      <c r="X1156" t="n">
        <v>98.18272757</v>
      </c>
      <c r="Y1156" t="n">
        <v/>
      </c>
      <c r="Z1156" t="n">
        <v>110.781536411</v>
      </c>
      <c r="AA1156" t="n">
        <v>103.551499004</v>
      </c>
      <c r="AB1156" t="n">
        <v>97.142857143</v>
      </c>
      <c r="AC1156" t="n">
        <v>99.391717357</v>
      </c>
      <c r="AD1156" t="n">
        <v>99.29172569000001</v>
      </c>
      <c r="AE1156" t="n">
        <v>98.5</v>
      </c>
      <c r="AF1156" t="n">
        <v>100.591617365</v>
      </c>
      <c r="AG1156" t="n">
        <v>101.2</v>
      </c>
      <c r="AH1156" t="n">
        <v>109.693842453</v>
      </c>
      <c r="AI1156" t="n">
        <v>100.7916007</v>
      </c>
      <c r="AJ1156" t="n">
        <v>102.172226532</v>
      </c>
      <c r="AK1156" t="n">
        <v/>
      </c>
      <c r="AL1156" t="n">
        <v>100.069594855</v>
      </c>
      <c r="AM1156" t="n">
        <v>100.1</v>
      </c>
      <c r="AN1156" t="n">
        <v>98.159182007</v>
      </c>
      <c r="AO1156" t="n">
        <v>99.59999999999999</v>
      </c>
      <c r="AP1156" t="n">
        <v>99.20826735599999</v>
      </c>
      <c r="AQ1156" t="n">
        <v>98.80823402</v>
      </c>
      <c r="AR1156" t="n">
        <v>96.091992334</v>
      </c>
      <c r="AS1156" t="n">
        <v>99.09174235499999</v>
      </c>
      <c r="AT1156" t="n">
        <v>100.950946145</v>
      </c>
      <c r="AU1156" t="n">
        <v/>
      </c>
    </row>
    <row r="1157">
      <c r="A1157" s="105" t="n">
        <v>42095</v>
      </c>
      <c r="B1157" t="n">
        <v>100</v>
      </c>
      <c r="C1157" t="n">
        <v>101.591534039</v>
      </c>
      <c r="D1157" t="n">
        <v>102.489492435</v>
      </c>
      <c r="E1157" t="n">
        <v>99.27606216300001</v>
      </c>
      <c r="F1157" t="n">
        <v>100.9</v>
      </c>
      <c r="G1157" t="n">
        <v/>
      </c>
      <c r="H1157" t="n">
        <v>100.685288436</v>
      </c>
      <c r="I1157" t="n">
        <v>100.091659028</v>
      </c>
      <c r="J1157" t="n">
        <v>100.283286119</v>
      </c>
      <c r="K1157" t="n">
        <v>100.108342362</v>
      </c>
      <c r="L1157" t="n">
        <v>101.1</v>
      </c>
      <c r="M1157" t="n">
        <v>99.391717357</v>
      </c>
      <c r="N1157" t="n">
        <v>99.757083131</v>
      </c>
      <c r="O1157" t="n">
        <v>101.30844237</v>
      </c>
      <c r="P1157" t="n">
        <v/>
      </c>
      <c r="Q1157" t="n">
        <v>100.216702784</v>
      </c>
      <c r="R1157" t="n">
        <v>99.24917292400001</v>
      </c>
      <c r="S1157" t="n">
        <v>100.13745215</v>
      </c>
      <c r="T1157" t="n">
        <v>100.813583304</v>
      </c>
      <c r="U1157" t="n">
        <v/>
      </c>
      <c r="V1157" t="n">
        <v>100.907501457</v>
      </c>
      <c r="W1157" t="n">
        <v>99.008250688</v>
      </c>
      <c r="X1157" t="n">
        <v>98.111696245</v>
      </c>
      <c r="Y1157" t="n">
        <v/>
      </c>
      <c r="Z1157" t="n">
        <v>90.784869188</v>
      </c>
      <c r="AA1157" t="n">
        <v>107.166310948</v>
      </c>
      <c r="AB1157" t="n">
        <v>95.362997658</v>
      </c>
      <c r="AC1157" t="n">
        <v>99.691692359</v>
      </c>
      <c r="AD1157" t="n">
        <v>99.691692359</v>
      </c>
      <c r="AE1157" t="n">
        <v>99.59999999999999</v>
      </c>
      <c r="AF1157" t="n">
        <v>100.691609033</v>
      </c>
      <c r="AG1157" t="n">
        <v>102.4</v>
      </c>
      <c r="AH1157" t="n">
        <v>110.453685118</v>
      </c>
      <c r="AI1157" t="n">
        <v>98.591784018</v>
      </c>
      <c r="AJ1157" t="n">
        <v>95.30643910000001</v>
      </c>
      <c r="AK1157" t="n">
        <v/>
      </c>
      <c r="AL1157" t="n">
        <v>99.92453587599999</v>
      </c>
      <c r="AM1157" t="n">
        <v>97.90000000000001</v>
      </c>
      <c r="AN1157" t="n">
        <v>99.849167924</v>
      </c>
      <c r="AO1157" t="n">
        <v>99.5</v>
      </c>
      <c r="AP1157" t="n">
        <v>98.308192349</v>
      </c>
      <c r="AQ1157" t="n">
        <v>97.908159013</v>
      </c>
      <c r="AR1157" t="n">
        <v>101.691525706</v>
      </c>
      <c r="AS1157" t="n">
        <v>99.391717357</v>
      </c>
      <c r="AT1157" t="n">
        <v>100.376620353</v>
      </c>
      <c r="AU1157" t="n">
        <v/>
      </c>
    </row>
    <row r="1158">
      <c r="A1158" s="105" t="n">
        <v>42125</v>
      </c>
      <c r="B1158" t="n">
        <v>99.3</v>
      </c>
      <c r="C1158" t="n">
        <v>101.691525706</v>
      </c>
      <c r="D1158" t="n">
        <v>101.531834291</v>
      </c>
      <c r="E1158" t="n">
        <v>98.35495426599999</v>
      </c>
      <c r="F1158" t="n">
        <v>101.3</v>
      </c>
      <c r="G1158" t="n">
        <v/>
      </c>
      <c r="H1158" t="n">
        <v>100.752734863</v>
      </c>
      <c r="I1158" t="n">
        <v>99.29172569000001</v>
      </c>
      <c r="J1158" t="n">
        <v>99.88335277500001</v>
      </c>
      <c r="K1158" t="n">
        <v>100.508375698</v>
      </c>
      <c r="L1158" t="n">
        <v>100.8</v>
      </c>
      <c r="M1158" t="n">
        <v>100.091659028</v>
      </c>
      <c r="N1158" t="n">
        <v>100.929084108</v>
      </c>
      <c r="O1158" t="n">
        <v>101.008417368</v>
      </c>
      <c r="P1158" t="n">
        <v/>
      </c>
      <c r="Q1158" t="n">
        <v>99.516586098</v>
      </c>
      <c r="R1158" t="n">
        <v>100.33916384</v>
      </c>
      <c r="S1158" t="n">
        <v>100.003626842</v>
      </c>
      <c r="T1158" t="n">
        <v>100.282985497</v>
      </c>
      <c r="U1158" t="n">
        <v/>
      </c>
      <c r="V1158" t="n">
        <v>96.211805845</v>
      </c>
      <c r="W1158" t="n">
        <v>98.208184015</v>
      </c>
      <c r="X1158" t="n">
        <v>98.91390895799999</v>
      </c>
      <c r="Y1158" t="n">
        <v/>
      </c>
      <c r="Z1158" t="n">
        <v>97.1838027</v>
      </c>
      <c r="AA1158" t="n">
        <v>105.742773571</v>
      </c>
      <c r="AB1158" t="n">
        <v>95.081967213</v>
      </c>
      <c r="AC1158" t="n">
        <v>100.491625698</v>
      </c>
      <c r="AD1158" t="n">
        <v>99.691692359</v>
      </c>
      <c r="AE1158" t="n">
        <v>98.09999999999999</v>
      </c>
      <c r="AF1158" t="n">
        <v>100.691609033</v>
      </c>
      <c r="AG1158" t="n">
        <v>99.59999999999999</v>
      </c>
      <c r="AH1158" t="n">
        <v>108.968089657</v>
      </c>
      <c r="AI1158" t="n">
        <v>97.891842346</v>
      </c>
      <c r="AJ1158" t="n">
        <v>99.030256012</v>
      </c>
      <c r="AK1158" t="n">
        <v/>
      </c>
      <c r="AL1158" t="n">
        <v>99.763134443</v>
      </c>
      <c r="AM1158" t="n">
        <v>99</v>
      </c>
      <c r="AN1158" t="n">
        <v>100.089165924</v>
      </c>
      <c r="AO1158" t="n">
        <v>100.1</v>
      </c>
      <c r="AP1158" t="n">
        <v>100.608384032</v>
      </c>
      <c r="AQ1158" t="n">
        <v>96.708059005</v>
      </c>
      <c r="AR1158" t="n">
        <v>100.291642363</v>
      </c>
      <c r="AS1158" t="n">
        <v>99.491709024</v>
      </c>
      <c r="AT1158" t="n">
        <v>99.905716832</v>
      </c>
      <c r="AU1158" t="n">
        <v/>
      </c>
    </row>
    <row r="1159">
      <c r="A1159" s="105" t="n">
        <v>42156</v>
      </c>
      <c r="B1159" t="n">
        <v>100.1</v>
      </c>
      <c r="C1159" t="n">
        <v>97.59186734399999</v>
      </c>
      <c r="D1159" t="n">
        <v>100.49688705</v>
      </c>
      <c r="E1159" t="n">
        <v>99.15647598</v>
      </c>
      <c r="F1159" t="n">
        <v>97.8</v>
      </c>
      <c r="G1159" t="n">
        <v/>
      </c>
      <c r="H1159" t="n">
        <v>103.173628473</v>
      </c>
      <c r="I1159" t="n">
        <v>100.191650696</v>
      </c>
      <c r="J1159" t="n">
        <v>100.283286119</v>
      </c>
      <c r="K1159" t="n">
        <v>100.208350696</v>
      </c>
      <c r="L1159" t="n">
        <v>105.2</v>
      </c>
      <c r="M1159" t="n">
        <v>100.39163403</v>
      </c>
      <c r="N1159" t="n">
        <v>101.12408427</v>
      </c>
      <c r="O1159" t="n">
        <v>101.608467372</v>
      </c>
      <c r="P1159" t="n">
        <v/>
      </c>
      <c r="Q1159" t="n">
        <v>101.416902817</v>
      </c>
      <c r="R1159" t="n">
        <v>100.229164757</v>
      </c>
      <c r="S1159" t="n">
        <v>99.98827472399999</v>
      </c>
      <c r="T1159" t="n">
        <v>100.49522462</v>
      </c>
      <c r="U1159" t="n">
        <v/>
      </c>
      <c r="V1159" t="n">
        <v>95.11281325500001</v>
      </c>
      <c r="W1159" t="n">
        <v>100.30835903</v>
      </c>
      <c r="X1159" t="n">
        <v>98.98512026500001</v>
      </c>
      <c r="Y1159" t="n">
        <v/>
      </c>
      <c r="Z1159" t="n">
        <v>101.183136144</v>
      </c>
      <c r="AA1159" t="n">
        <v>105.02693641</v>
      </c>
      <c r="AB1159" t="n">
        <v>96.955503513</v>
      </c>
      <c r="AC1159" t="n">
        <v>99.991667361</v>
      </c>
      <c r="AD1159" t="n">
        <v>100.491625698</v>
      </c>
      <c r="AE1159" t="n">
        <v>100.1</v>
      </c>
      <c r="AF1159" t="n">
        <v>99.691692359</v>
      </c>
      <c r="AG1159" t="n">
        <v>98.8</v>
      </c>
      <c r="AH1159" t="n">
        <v>109.433697179</v>
      </c>
      <c r="AI1159" t="n">
        <v>100.691609033</v>
      </c>
      <c r="AJ1159" t="n">
        <v>102.521334368</v>
      </c>
      <c r="AK1159" t="n">
        <v/>
      </c>
      <c r="AL1159" t="n">
        <v>100.082599722</v>
      </c>
      <c r="AM1159" t="n">
        <v>99.40000000000001</v>
      </c>
      <c r="AN1159" t="n">
        <v>100.599161674</v>
      </c>
      <c r="AO1159" t="n">
        <v>99.8</v>
      </c>
      <c r="AP1159" t="n">
        <v>99.50829235800001</v>
      </c>
      <c r="AQ1159" t="n">
        <v>102.208517376</v>
      </c>
      <c r="AR1159" t="n">
        <v>100.39163403</v>
      </c>
      <c r="AS1159" t="n">
        <v>100.39163403</v>
      </c>
      <c r="AT1159" t="n">
        <v>99.60754734699999</v>
      </c>
      <c r="AU1159" t="n">
        <v/>
      </c>
    </row>
    <row r="1160">
      <c r="A1160" s="105" t="n">
        <v>42186</v>
      </c>
      <c r="B1160" t="n">
        <v>100</v>
      </c>
      <c r="C1160" t="n">
        <v>98.591784018</v>
      </c>
      <c r="D1160" t="n">
        <v>98.735180086</v>
      </c>
      <c r="E1160" t="n">
        <v>100.617460653</v>
      </c>
      <c r="F1160" t="n">
        <v>100.4</v>
      </c>
      <c r="G1160" t="n">
        <v/>
      </c>
      <c r="H1160" t="n">
        <v>99.322653957</v>
      </c>
      <c r="I1160" t="n">
        <v>100.091659028</v>
      </c>
      <c r="J1160" t="n">
        <v>102.982836194</v>
      </c>
      <c r="K1160" t="n">
        <v>101.608467372</v>
      </c>
      <c r="L1160" t="n">
        <v>100.1</v>
      </c>
      <c r="M1160" t="n">
        <v>100.891592367</v>
      </c>
      <c r="N1160" t="n">
        <v>102.069085058</v>
      </c>
      <c r="O1160" t="n">
        <v>100.108342362</v>
      </c>
      <c r="P1160" t="n">
        <v/>
      </c>
      <c r="Q1160" t="n">
        <v>99.316552759</v>
      </c>
      <c r="R1160" t="n">
        <v>99.13917384</v>
      </c>
      <c r="S1160" t="n">
        <v>100.526660461</v>
      </c>
      <c r="T1160" t="n">
        <v>99.964626813</v>
      </c>
      <c r="U1160" t="n">
        <v/>
      </c>
      <c r="V1160" t="n">
        <v>97.310798435</v>
      </c>
      <c r="W1160" t="n">
        <v>101.408450704</v>
      </c>
      <c r="X1160" t="n">
        <v>100.451508616</v>
      </c>
      <c r="Y1160" t="n">
        <v/>
      </c>
      <c r="Z1160" t="n">
        <v>99.88335277500001</v>
      </c>
      <c r="AA1160" t="n">
        <v>100.226348699</v>
      </c>
      <c r="AB1160" t="n">
        <v>93.676814988</v>
      </c>
      <c r="AC1160" t="n">
        <v>100.991584035</v>
      </c>
      <c r="AD1160" t="n">
        <v>100.39163403</v>
      </c>
      <c r="AE1160" t="n">
        <v>99.2</v>
      </c>
      <c r="AF1160" t="n">
        <v>98.091825681</v>
      </c>
      <c r="AG1160" t="n">
        <v>101.4</v>
      </c>
      <c r="AH1160" t="n">
        <v>109.876633952</v>
      </c>
      <c r="AI1160" t="n">
        <v>100.491625698</v>
      </c>
      <c r="AJ1160" t="n">
        <v>99.262994569</v>
      </c>
      <c r="AK1160" t="n">
        <v/>
      </c>
      <c r="AL1160" t="n">
        <v>100.38923936</v>
      </c>
      <c r="AM1160" t="n">
        <v>100.6</v>
      </c>
      <c r="AN1160" t="n">
        <v>103.499137507</v>
      </c>
      <c r="AO1160" t="n">
        <v>100.1</v>
      </c>
      <c r="AP1160" t="n">
        <v>103.108592383</v>
      </c>
      <c r="AQ1160" t="n">
        <v>101.80848404</v>
      </c>
      <c r="AR1160" t="n">
        <v>98.591784018</v>
      </c>
      <c r="AS1160" t="n">
        <v>99.791684026</v>
      </c>
      <c r="AT1160" t="n">
        <v>100.259117579</v>
      </c>
      <c r="AU1160" t="n">
        <v/>
      </c>
    </row>
    <row r="1161">
      <c r="A1161" s="105" t="n">
        <v>42217</v>
      </c>
      <c r="B1161" t="n">
        <v>99.8</v>
      </c>
      <c r="C1161" t="n">
        <v>98.091825681</v>
      </c>
      <c r="D1161" t="n">
        <v>99.26704357200001</v>
      </c>
      <c r="E1161" t="n">
        <v>101.706577775</v>
      </c>
      <c r="F1161" t="n">
        <v>99.3</v>
      </c>
      <c r="G1161" t="n">
        <v/>
      </c>
      <c r="H1161" t="n">
        <v>95.08693795000001</v>
      </c>
      <c r="I1161" t="n">
        <v>99.891675694</v>
      </c>
      <c r="J1161" t="n">
        <v>100.883186136</v>
      </c>
      <c r="K1161" t="n">
        <v>99.008250688</v>
      </c>
      <c r="L1161" t="n">
        <v>103.5</v>
      </c>
      <c r="M1161" t="n">
        <v>99.691692359</v>
      </c>
      <c r="N1161" t="n">
        <v>99.795083163</v>
      </c>
      <c r="O1161" t="n">
        <v>100.908409034</v>
      </c>
      <c r="P1161" t="n">
        <v/>
      </c>
      <c r="Q1161" t="n">
        <v>100.016669445</v>
      </c>
      <c r="R1161" t="n">
        <v>100.119165674</v>
      </c>
      <c r="S1161" t="n">
        <v>99.77065691599999</v>
      </c>
      <c r="T1161" t="n">
        <v>100.282985497</v>
      </c>
      <c r="U1161" t="n">
        <v/>
      </c>
      <c r="V1161" t="n">
        <v>100.707684622</v>
      </c>
      <c r="W1161" t="n">
        <v>97.708142345</v>
      </c>
      <c r="X1161" t="n">
        <v>101.429210227</v>
      </c>
      <c r="Y1161" t="n">
        <v/>
      </c>
      <c r="Z1161" t="n">
        <v>105.582402933</v>
      </c>
      <c r="AA1161" t="n">
        <v>96.249366486</v>
      </c>
      <c r="AB1161" t="n">
        <v>96.48711943799999</v>
      </c>
      <c r="AC1161" t="n">
        <v>98.791767353</v>
      </c>
      <c r="AD1161" t="n">
        <v>98.791767353</v>
      </c>
      <c r="AE1161" t="n">
        <v>101.9</v>
      </c>
      <c r="AF1161" t="n">
        <v>101.491542371</v>
      </c>
      <c r="AG1161" t="n">
        <v>101.6</v>
      </c>
      <c r="AH1161" t="n">
        <v>110.309803085</v>
      </c>
      <c r="AI1161" t="n">
        <v>96.99191734</v>
      </c>
      <c r="AJ1161" t="n">
        <v>102.172226532</v>
      </c>
      <c r="AK1161" t="n">
        <v/>
      </c>
      <c r="AL1161" t="n">
        <v>100.006615627</v>
      </c>
      <c r="AM1161" t="n">
        <v>98.59999999999999</v>
      </c>
      <c r="AN1161" t="n">
        <v>98.259181173</v>
      </c>
      <c r="AO1161" t="n">
        <v>100.9</v>
      </c>
      <c r="AP1161" t="n">
        <v>96.50804233700001</v>
      </c>
      <c r="AQ1161" t="n">
        <v>98.308192349</v>
      </c>
      <c r="AR1161" t="n">
        <v>103.591367386</v>
      </c>
      <c r="AS1161" t="n">
        <v>102.591450712</v>
      </c>
      <c r="AT1161" t="n">
        <v>100.031251441</v>
      </c>
      <c r="AU1161" t="n">
        <v/>
      </c>
    </row>
    <row r="1162">
      <c r="A1162" s="105" t="n">
        <v>42248</v>
      </c>
      <c r="B1162" t="n">
        <v>99.8</v>
      </c>
      <c r="C1162" t="n">
        <v>100.991584035</v>
      </c>
      <c r="D1162" t="n">
        <v>97.01333976399999</v>
      </c>
      <c r="E1162" t="n">
        <v>99.55001351</v>
      </c>
      <c r="F1162" t="n">
        <v>100.2</v>
      </c>
      <c r="G1162" t="n">
        <v/>
      </c>
      <c r="H1162" t="n">
        <v>100.051490227</v>
      </c>
      <c r="I1162" t="n">
        <v>99.791684026</v>
      </c>
      <c r="J1162" t="n">
        <v>99.983336111</v>
      </c>
      <c r="K1162" t="n">
        <v>99.20826735599999</v>
      </c>
      <c r="L1162" t="n">
        <v>99.8</v>
      </c>
      <c r="M1162" t="n">
        <v>100.291642363</v>
      </c>
      <c r="N1162" t="n">
        <v>101.182084318</v>
      </c>
      <c r="O1162" t="n">
        <v>100.708392366</v>
      </c>
      <c r="P1162" t="n">
        <v/>
      </c>
      <c r="Q1162" t="n">
        <v>101.616936156</v>
      </c>
      <c r="R1162" t="n">
        <v>101.17915684</v>
      </c>
      <c r="S1162" t="n">
        <v>99.953588962</v>
      </c>
      <c r="T1162" t="n">
        <v>100.070746374</v>
      </c>
      <c r="U1162" t="n">
        <v/>
      </c>
      <c r="V1162" t="n">
        <v>100.308050953</v>
      </c>
      <c r="W1162" t="n">
        <v>101.408450704</v>
      </c>
      <c r="X1162" t="n">
        <v>100.793428957</v>
      </c>
      <c r="Y1162" t="n">
        <v/>
      </c>
      <c r="Z1162" t="n">
        <v>101.683052825</v>
      </c>
      <c r="AA1162" t="n">
        <v>93.741077686</v>
      </c>
      <c r="AB1162" t="n">
        <v>95.269320843</v>
      </c>
      <c r="AC1162" t="n">
        <v>99.791684026</v>
      </c>
      <c r="AD1162" t="n">
        <v>100.491625698</v>
      </c>
      <c r="AE1162" t="n">
        <v>103.1</v>
      </c>
      <c r="AF1162" t="n">
        <v>99.09174235499999</v>
      </c>
      <c r="AG1162" t="n">
        <v>100.8</v>
      </c>
      <c r="AH1162" t="n">
        <v>110.869408404</v>
      </c>
      <c r="AI1162" t="n">
        <v>98.591784018</v>
      </c>
      <c r="AJ1162" t="n">
        <v>104.615981381</v>
      </c>
      <c r="AK1162" t="n">
        <v/>
      </c>
      <c r="AL1162" t="n">
        <v>100.469634908</v>
      </c>
      <c r="AM1162" t="n">
        <v>100.8</v>
      </c>
      <c r="AN1162" t="n">
        <v>101.499154174</v>
      </c>
      <c r="AO1162" t="n">
        <v>99.8</v>
      </c>
      <c r="AP1162" t="n">
        <v>101.908492374</v>
      </c>
      <c r="AQ1162" t="n">
        <v>102.408534045</v>
      </c>
      <c r="AR1162" t="n">
        <v>102.891425715</v>
      </c>
      <c r="AS1162" t="n">
        <v>102.69144238</v>
      </c>
      <c r="AT1162" t="n">
        <v>99.76134211599999</v>
      </c>
      <c r="AU1162" t="n">
        <v/>
      </c>
    </row>
    <row r="1163">
      <c r="A1163" s="105" t="n">
        <v>42278</v>
      </c>
      <c r="B1163" t="n">
        <v>100.7</v>
      </c>
      <c r="C1163" t="n">
        <v>101.591534039</v>
      </c>
      <c r="D1163" t="n">
        <v>96.815613998</v>
      </c>
      <c r="E1163" t="n">
        <v>99.32662544900001</v>
      </c>
      <c r="F1163" t="n">
        <v>101</v>
      </c>
      <c r="G1163" t="n">
        <v/>
      </c>
      <c r="H1163" t="n">
        <v>100.35103326</v>
      </c>
      <c r="I1163" t="n">
        <v>100.491625698</v>
      </c>
      <c r="J1163" t="n">
        <v>102.382936177</v>
      </c>
      <c r="K1163" t="n">
        <v>100.30835903</v>
      </c>
      <c r="L1163" t="n">
        <v>96.8</v>
      </c>
      <c r="M1163" t="n">
        <v>100.7916007</v>
      </c>
      <c r="N1163" t="n">
        <v>100.552083793</v>
      </c>
      <c r="O1163" t="n">
        <v>101.30844237</v>
      </c>
      <c r="P1163" t="n">
        <v/>
      </c>
      <c r="Q1163" t="n">
        <v>99.916652775</v>
      </c>
      <c r="R1163" t="n">
        <v>101.259156174</v>
      </c>
      <c r="S1163" t="n">
        <v>99.91417104600001</v>
      </c>
      <c r="T1163" t="n">
        <v>100.070746374</v>
      </c>
      <c r="U1163" t="n">
        <v/>
      </c>
      <c r="V1163" t="n">
        <v>99.60869203199999</v>
      </c>
      <c r="W1163" t="n">
        <v>102.008500708</v>
      </c>
      <c r="X1163" t="n">
        <v>103.421754157</v>
      </c>
      <c r="Y1163" t="n">
        <v/>
      </c>
      <c r="Z1163" t="n">
        <v>100.983169472</v>
      </c>
      <c r="AA1163" t="n">
        <v>92.87555942199999</v>
      </c>
      <c r="AB1163" t="n">
        <v>94.051522248</v>
      </c>
      <c r="AC1163" t="n">
        <v>99.891675694</v>
      </c>
      <c r="AD1163" t="n">
        <v>100.591617365</v>
      </c>
      <c r="AE1163" t="n">
        <v>101.2</v>
      </c>
      <c r="AF1163" t="n">
        <v>99.591700692</v>
      </c>
      <c r="AG1163" t="n">
        <v>100.6</v>
      </c>
      <c r="AH1163" t="n">
        <v>110.012802271</v>
      </c>
      <c r="AI1163" t="n">
        <v>100.891592367</v>
      </c>
      <c r="AJ1163" t="n">
        <v>100.310318076</v>
      </c>
      <c r="AK1163" t="n">
        <v/>
      </c>
      <c r="AL1163" t="n">
        <v>100.220909933</v>
      </c>
      <c r="AM1163" t="n">
        <v>101.6</v>
      </c>
      <c r="AN1163" t="n">
        <v>104.239131341</v>
      </c>
      <c r="AO1163" t="n">
        <v>100.4</v>
      </c>
      <c r="AP1163" t="n">
        <v>101.608467372</v>
      </c>
      <c r="AQ1163" t="n">
        <v>101.108425702</v>
      </c>
      <c r="AR1163" t="n">
        <v>102.391467378</v>
      </c>
      <c r="AS1163" t="n">
        <v>100.291642363</v>
      </c>
      <c r="AT1163" t="n">
        <v>99.30818796</v>
      </c>
      <c r="AU1163" t="n">
        <v/>
      </c>
    </row>
    <row r="1164">
      <c r="A1164" s="105" t="n">
        <v>42309</v>
      </c>
      <c r="B1164" t="n">
        <v>101.1</v>
      </c>
      <c r="C1164" t="n">
        <v>100.991584035</v>
      </c>
      <c r="D1164" t="n">
        <v>95.123445201</v>
      </c>
      <c r="E1164" t="n">
        <v>99.64552193900001</v>
      </c>
      <c r="F1164" t="n">
        <v>100.2</v>
      </c>
      <c r="G1164" t="n">
        <v/>
      </c>
      <c r="H1164" t="n">
        <v>97.906773532</v>
      </c>
      <c r="I1164" t="n">
        <v>101.091575702</v>
      </c>
      <c r="J1164" t="n">
        <v>99.88335277500001</v>
      </c>
      <c r="K1164" t="n">
        <v>99.008250688</v>
      </c>
      <c r="L1164" t="n">
        <v>95.59999999999999</v>
      </c>
      <c r="M1164" t="n">
        <v>99.891675694</v>
      </c>
      <c r="N1164" t="n">
        <v>100.48808374</v>
      </c>
      <c r="O1164" t="n">
        <v>98.308192349</v>
      </c>
      <c r="P1164" t="n">
        <v/>
      </c>
      <c r="Q1164" t="n">
        <v>98.716452742</v>
      </c>
      <c r="R1164" t="n">
        <v>99.34917209</v>
      </c>
      <c r="S1164" t="n">
        <v>99.18609292399999</v>
      </c>
      <c r="T1164" t="n">
        <v>98.797311638</v>
      </c>
      <c r="U1164" t="n">
        <v/>
      </c>
      <c r="V1164" t="n">
        <v>102.605944551</v>
      </c>
      <c r="W1164" t="n">
        <v>101.608467372</v>
      </c>
      <c r="X1164" t="n">
        <v>101.627413943</v>
      </c>
      <c r="Y1164" t="n">
        <v/>
      </c>
      <c r="Z1164" t="n">
        <v>98.683552741</v>
      </c>
      <c r="AA1164" t="n">
        <v>95.571336367</v>
      </c>
      <c r="AB1164" t="n">
        <v>101.826697892</v>
      </c>
      <c r="AC1164" t="n">
        <v>100.591617365</v>
      </c>
      <c r="AD1164" t="n">
        <v>99.991667361</v>
      </c>
      <c r="AE1164" t="n">
        <v>100.5</v>
      </c>
      <c r="AF1164" t="n">
        <v>100.991584035</v>
      </c>
      <c r="AG1164" t="n">
        <v>100.3</v>
      </c>
      <c r="AH1164" t="n">
        <v>109.230842789</v>
      </c>
      <c r="AI1164" t="n">
        <v>101.091575702</v>
      </c>
      <c r="AJ1164" t="n">
        <v>99.262994569</v>
      </c>
      <c r="AK1164" t="n">
        <v/>
      </c>
      <c r="AL1164" t="n">
        <v>99.66570056</v>
      </c>
      <c r="AM1164" t="n">
        <v>101.8</v>
      </c>
      <c r="AN1164" t="n">
        <v>99.79916833999999</v>
      </c>
      <c r="AO1164" t="n">
        <v>100</v>
      </c>
      <c r="AP1164" t="n">
        <v>103.008584049</v>
      </c>
      <c r="AQ1164" t="n">
        <v>101.408450704</v>
      </c>
      <c r="AR1164" t="n">
        <v>102.69144238</v>
      </c>
      <c r="AS1164" t="n">
        <v>102.491459045</v>
      </c>
      <c r="AT1164" t="n">
        <v>98.545361937</v>
      </c>
      <c r="AU1164" t="n">
        <v/>
      </c>
    </row>
    <row r="1165">
      <c r="A1165" s="105" t="n">
        <v>42339</v>
      </c>
      <c r="B1165" t="n">
        <v>98.8</v>
      </c>
      <c r="C1165" t="n">
        <v>99.791684026</v>
      </c>
      <c r="D1165" t="n">
        <v>93.648687771</v>
      </c>
      <c r="E1165" t="n">
        <v>100.090692878</v>
      </c>
      <c r="F1165" t="n">
        <v>98.5</v>
      </c>
      <c r="G1165" t="n">
        <v/>
      </c>
      <c r="H1165" t="n">
        <v>98.564707946</v>
      </c>
      <c r="I1165" t="n">
        <v>98.591784018</v>
      </c>
      <c r="J1165" t="n">
        <v>99.183469422</v>
      </c>
      <c r="K1165" t="n">
        <v>99.908325694</v>
      </c>
      <c r="L1165" t="n">
        <v>99.2</v>
      </c>
      <c r="M1165" t="n">
        <v>100.191650696</v>
      </c>
      <c r="N1165" t="n">
        <v>100.302083585</v>
      </c>
      <c r="O1165" t="n">
        <v>96.008000667</v>
      </c>
      <c r="P1165" t="n">
        <v/>
      </c>
      <c r="Q1165" t="n">
        <v>102.317052842</v>
      </c>
      <c r="R1165" t="n">
        <v>99.70916909</v>
      </c>
      <c r="S1165" t="n">
        <v>98.64200461599999</v>
      </c>
      <c r="T1165" t="n">
        <v>98.58507251499999</v>
      </c>
      <c r="U1165" t="n">
        <v/>
      </c>
      <c r="V1165" t="n">
        <v>105.703105487</v>
      </c>
      <c r="W1165" t="n">
        <v>101.008417368</v>
      </c>
      <c r="X1165" t="n">
        <v>102.134422187</v>
      </c>
      <c r="Y1165" t="n">
        <v/>
      </c>
      <c r="Z1165" t="n">
        <v>105.682386269</v>
      </c>
      <c r="AA1165" t="n">
        <v>99.15125511700001</v>
      </c>
      <c r="AB1165" t="n">
        <v>98.07962529300001</v>
      </c>
      <c r="AC1165" t="n">
        <v>98.691775685</v>
      </c>
      <c r="AD1165" t="n">
        <v>98.091825681</v>
      </c>
      <c r="AE1165" t="n">
        <v>99.8</v>
      </c>
      <c r="AF1165" t="n">
        <v>99.09174235499999</v>
      </c>
      <c r="AG1165" t="n">
        <v>99.59999999999999</v>
      </c>
      <c r="AH1165" t="n">
        <v>109.746314749</v>
      </c>
      <c r="AI1165" t="n">
        <v>98.391800683</v>
      </c>
      <c r="AJ1165" t="n">
        <v>98.913886734</v>
      </c>
      <c r="AK1165" t="n">
        <v/>
      </c>
      <c r="AL1165" t="n">
        <v>99.313755691</v>
      </c>
      <c r="AM1165" t="n">
        <v>102.2</v>
      </c>
      <c r="AN1165" t="n">
        <v>100.30916409</v>
      </c>
      <c r="AO1165" t="n">
        <v>99.2</v>
      </c>
      <c r="AP1165" t="n">
        <v>101.708475706</v>
      </c>
      <c r="AQ1165" t="n">
        <v>102.30852571</v>
      </c>
      <c r="AR1165" t="n">
        <v>100.991584035</v>
      </c>
      <c r="AS1165" t="n">
        <v>103.291392384</v>
      </c>
      <c r="AT1165" t="n">
        <v>98.025275822</v>
      </c>
      <c r="AU1165" t="n">
        <v/>
      </c>
    </row>
    <row r="1166">
      <c r="A1166" s="105" t="n">
        <v>42370</v>
      </c>
      <c r="B1166" t="n">
        <v>102.3</v>
      </c>
      <c r="C1166" t="n">
        <v>105.191234064</v>
      </c>
      <c r="D1166" t="n">
        <v>94.63642480599999</v>
      </c>
      <c r="E1166" t="n">
        <v>100.697987367</v>
      </c>
      <c r="F1166" t="n">
        <v>99.2</v>
      </c>
      <c r="G1166" t="n">
        <v/>
      </c>
      <c r="H1166" t="n">
        <v>99.05129890400001</v>
      </c>
      <c r="I1166" t="n">
        <v>102.29147571</v>
      </c>
      <c r="J1166" t="n">
        <v>102.182969505</v>
      </c>
      <c r="K1166" t="n">
        <v>101.208434036</v>
      </c>
      <c r="L1166" t="n">
        <v>104.6</v>
      </c>
      <c r="M1166" t="n">
        <v>102.69144238</v>
      </c>
      <c r="N1166" t="n">
        <v>101.836084863</v>
      </c>
      <c r="O1166" t="n">
        <v>101.108425702</v>
      </c>
      <c r="P1166" t="n">
        <v/>
      </c>
      <c r="Q1166" t="n">
        <v>100.416736123</v>
      </c>
      <c r="R1166" t="n">
        <v>101.439154674</v>
      </c>
      <c r="S1166" t="n">
        <v>99.870639782</v>
      </c>
      <c r="T1166" t="n">
        <v>100.070746374</v>
      </c>
      <c r="U1166" t="n">
        <v/>
      </c>
      <c r="V1166" t="n">
        <v>102.306219299</v>
      </c>
      <c r="W1166" t="n">
        <v>99.80831736</v>
      </c>
      <c r="X1166" t="n">
        <v>102.458038265</v>
      </c>
      <c r="Y1166" t="n">
        <v/>
      </c>
      <c r="Z1166" t="n">
        <v>118.680219963</v>
      </c>
      <c r="AA1166" t="n">
        <v>94.680152081</v>
      </c>
      <c r="AB1166" t="n">
        <v>96.48711943799999</v>
      </c>
      <c r="AC1166" t="n">
        <v>101.691525706</v>
      </c>
      <c r="AD1166" t="n">
        <v>100.291642363</v>
      </c>
      <c r="AE1166" t="n">
        <v>99</v>
      </c>
      <c r="AF1166" t="n">
        <v>100.291642363</v>
      </c>
      <c r="AG1166" t="n">
        <v>102.7</v>
      </c>
      <c r="AH1166" t="n">
        <v>110.083003502</v>
      </c>
      <c r="AI1166" t="n">
        <v>100.691609033</v>
      </c>
      <c r="AJ1166" t="n">
        <v>99.495733126</v>
      </c>
      <c r="AK1166" t="n">
        <v/>
      </c>
      <c r="AL1166" t="n">
        <v>100.349337119</v>
      </c>
      <c r="AM1166" t="n">
        <v>102.2</v>
      </c>
      <c r="AN1166" t="n">
        <v>100.649161257</v>
      </c>
      <c r="AO1166" t="n">
        <v>100.5</v>
      </c>
      <c r="AP1166" t="n">
        <v>102.508542379</v>
      </c>
      <c r="AQ1166" t="n">
        <v>101.908492374</v>
      </c>
      <c r="AR1166" t="n">
        <v>101.091575702</v>
      </c>
      <c r="AS1166" t="n">
        <v>102.591450712</v>
      </c>
      <c r="AT1166" t="n">
        <v>98.572035563</v>
      </c>
      <c r="AU1166" t="n">
        <v/>
      </c>
    </row>
    <row r="1167">
      <c r="A1167" s="105" t="n">
        <v>42401</v>
      </c>
      <c r="B1167" t="n">
        <v>101.9</v>
      </c>
      <c r="C1167" t="n">
        <v>102.191484043</v>
      </c>
      <c r="D1167" t="n">
        <v>93.557669401</v>
      </c>
      <c r="E1167" t="n">
        <v>99.77340157099999</v>
      </c>
      <c r="F1167" t="n">
        <v>103.2</v>
      </c>
      <c r="G1167" t="n">
        <v/>
      </c>
      <c r="H1167" t="n">
        <v>99.409802228</v>
      </c>
      <c r="I1167" t="n">
        <v>101.991500708</v>
      </c>
      <c r="J1167" t="n">
        <v>104.182636227</v>
      </c>
      <c r="K1167" t="n">
        <v>101.208434036</v>
      </c>
      <c r="L1167" t="n">
        <v>100</v>
      </c>
      <c r="M1167" t="n">
        <v>101.091575702</v>
      </c>
      <c r="N1167" t="n">
        <v>101.458084548</v>
      </c>
      <c r="O1167" t="n">
        <v>98.708225685</v>
      </c>
      <c r="P1167" t="n">
        <v/>
      </c>
      <c r="Q1167" t="n">
        <v>102.417069512</v>
      </c>
      <c r="R1167" t="n">
        <v>100.799160007</v>
      </c>
      <c r="S1167" t="n">
        <v>99.28439247999999</v>
      </c>
      <c r="T1167" t="n">
        <v>99.434029006</v>
      </c>
      <c r="U1167" t="n">
        <v/>
      </c>
      <c r="V1167" t="n">
        <v>98.409791025</v>
      </c>
      <c r="W1167" t="n">
        <v>98.208184015</v>
      </c>
      <c r="X1167" t="n">
        <v>102.177911778</v>
      </c>
      <c r="Y1167" t="n">
        <v/>
      </c>
      <c r="Z1167" t="n">
        <v>99.683386102</v>
      </c>
      <c r="AA1167" t="n">
        <v>90.75860726400001</v>
      </c>
      <c r="AB1167" t="n">
        <v>95.550351288</v>
      </c>
      <c r="AC1167" t="n">
        <v>100.39163403</v>
      </c>
      <c r="AD1167" t="n">
        <v>99.491709024</v>
      </c>
      <c r="AE1167" t="n">
        <v>100.8</v>
      </c>
      <c r="AF1167" t="n">
        <v>101.691525706</v>
      </c>
      <c r="AG1167" t="n">
        <v>98.09999999999999</v>
      </c>
      <c r="AH1167" t="n">
        <v>110.007175544</v>
      </c>
      <c r="AI1167" t="n">
        <v>101.491542371</v>
      </c>
      <c r="AJ1167" t="n">
        <v>99.495733126</v>
      </c>
      <c r="AK1167" t="n">
        <v/>
      </c>
      <c r="AL1167" t="n">
        <v>100.013685586</v>
      </c>
      <c r="AM1167" t="n">
        <v>101.8</v>
      </c>
      <c r="AN1167" t="n">
        <v>102.309147424</v>
      </c>
      <c r="AO1167" t="n">
        <v>99.8</v>
      </c>
      <c r="AP1167" t="n">
        <v>104.308692391</v>
      </c>
      <c r="AQ1167" t="n">
        <v>107.808984082</v>
      </c>
      <c r="AR1167" t="n">
        <v>101.391550704</v>
      </c>
      <c r="AS1167" t="n">
        <v>103.691359053</v>
      </c>
      <c r="AT1167" t="n">
        <v>98.06236108500001</v>
      </c>
      <c r="AU1167" t="n">
        <v/>
      </c>
    </row>
    <row r="1168">
      <c r="A1168" s="105" t="n">
        <v>42430</v>
      </c>
      <c r="B1168" t="n">
        <v>102.6</v>
      </c>
      <c r="C1168" t="n">
        <v>103.691359053</v>
      </c>
      <c r="D1168" t="n">
        <v>94.043203467</v>
      </c>
      <c r="E1168" t="n">
        <v>98.756785245</v>
      </c>
      <c r="F1168" t="n">
        <v>102.1</v>
      </c>
      <c r="G1168" t="n">
        <v/>
      </c>
      <c r="H1168" t="n">
        <v>101.793625215</v>
      </c>
      <c r="I1168" t="n">
        <v>102.491459045</v>
      </c>
      <c r="J1168" t="n">
        <v>102.782869522</v>
      </c>
      <c r="K1168" t="n">
        <v>100.208350696</v>
      </c>
      <c r="L1168" t="n">
        <v>103.6</v>
      </c>
      <c r="M1168" t="n">
        <v>100.591617365</v>
      </c>
      <c r="N1168" t="n">
        <v>102.356085297</v>
      </c>
      <c r="O1168" t="n">
        <v>97.108092341</v>
      </c>
      <c r="P1168" t="n">
        <v/>
      </c>
      <c r="Q1168" t="n">
        <v>100.216702784</v>
      </c>
      <c r="R1168" t="n">
        <v>100.029166424</v>
      </c>
      <c r="S1168" t="n">
        <v>98.83714335000001</v>
      </c>
      <c r="T1168" t="n">
        <v>100.282985497</v>
      </c>
      <c r="U1168" t="n">
        <v/>
      </c>
      <c r="V1168" t="n">
        <v>99.808508867</v>
      </c>
      <c r="W1168" t="n">
        <v>96.50804233700001</v>
      </c>
      <c r="X1168" t="n">
        <v>103.030521832</v>
      </c>
      <c r="Y1168" t="n">
        <v/>
      </c>
      <c r="Z1168" t="n">
        <v>98.183636061</v>
      </c>
      <c r="AA1168" t="n">
        <v>88.77777442199999</v>
      </c>
      <c r="AB1168" t="n">
        <v>97.985948478</v>
      </c>
      <c r="AC1168" t="n">
        <v>100.491625698</v>
      </c>
      <c r="AD1168" t="n">
        <v>99.891675694</v>
      </c>
      <c r="AE1168" t="n">
        <v>101</v>
      </c>
      <c r="AF1168" t="n">
        <v>101.391550704</v>
      </c>
      <c r="AG1168" t="n">
        <v>103.1</v>
      </c>
      <c r="AH1168" t="n">
        <v>109.59574379</v>
      </c>
      <c r="AI1168" t="n">
        <v>102.591450712</v>
      </c>
      <c r="AJ1168" t="n">
        <v>100.310318076</v>
      </c>
      <c r="AK1168" t="n">
        <v/>
      </c>
      <c r="AL1168" t="n">
        <v>99.670303631</v>
      </c>
      <c r="AM1168" t="n">
        <v>100.5</v>
      </c>
      <c r="AN1168" t="n">
        <v>100.469162757</v>
      </c>
      <c r="AO1168" t="n">
        <v>100.7</v>
      </c>
      <c r="AP1168" t="n">
        <v>99.008250688</v>
      </c>
      <c r="AQ1168" t="n">
        <v>102.30852571</v>
      </c>
      <c r="AR1168" t="n">
        <v>101.091575702</v>
      </c>
      <c r="AS1168" t="n">
        <v>102.591450712</v>
      </c>
      <c r="AT1168" t="n">
        <v>97.31262397899999</v>
      </c>
      <c r="AU1168" t="n">
        <v/>
      </c>
    </row>
    <row r="1169">
      <c r="A1169" s="105" t="n">
        <v>42461</v>
      </c>
      <c r="B1169" t="n">
        <v>102.1</v>
      </c>
      <c r="C1169" t="n">
        <v>105.391217399</v>
      </c>
      <c r="D1169" t="n">
        <v>94.098164602</v>
      </c>
      <c r="E1169" t="n">
        <v>99.012009449</v>
      </c>
      <c r="F1169" t="n">
        <v>101.5</v>
      </c>
      <c r="G1169" t="n">
        <v/>
      </c>
      <c r="H1169" t="n">
        <v>97.87990895900001</v>
      </c>
      <c r="I1169" t="n">
        <v>102.191484043</v>
      </c>
      <c r="J1169" t="n">
        <v>102.682886186</v>
      </c>
      <c r="K1169" t="n">
        <v>101.008417368</v>
      </c>
      <c r="L1169" t="n">
        <v>102</v>
      </c>
      <c r="M1169" t="n">
        <v>101.591534039</v>
      </c>
      <c r="N1169" t="n">
        <v>102.549085458</v>
      </c>
      <c r="O1169" t="n">
        <v>102.108509042</v>
      </c>
      <c r="P1169" t="n">
        <v/>
      </c>
      <c r="Q1169" t="n">
        <v>105.317552925</v>
      </c>
      <c r="R1169" t="n">
        <v>101.08915759</v>
      </c>
      <c r="S1169" t="n">
        <v>99.313500283</v>
      </c>
      <c r="T1169" t="n">
        <v>103.466572338</v>
      </c>
      <c r="U1169" t="n">
        <v/>
      </c>
      <c r="V1169" t="n">
        <v>103.305303472</v>
      </c>
      <c r="W1169" t="n">
        <v>102.408534045</v>
      </c>
      <c r="X1169" t="n">
        <v>104.287762534</v>
      </c>
      <c r="Y1169" t="n">
        <v/>
      </c>
      <c r="Z1169" t="n">
        <v>98.58356940500001</v>
      </c>
      <c r="AA1169" t="n">
        <v>87.59031932000001</v>
      </c>
      <c r="AB1169" t="n">
        <v>97.51756440299999</v>
      </c>
      <c r="AC1169" t="n">
        <v>102.091492376</v>
      </c>
      <c r="AD1169" t="n">
        <v>99.19173402200001</v>
      </c>
      <c r="AE1169" t="n">
        <v>99.90000000000001</v>
      </c>
      <c r="AF1169" t="n">
        <v>99.591700692</v>
      </c>
      <c r="AG1169" t="n">
        <v>102.7</v>
      </c>
      <c r="AH1169" t="n">
        <v>109.27924983</v>
      </c>
      <c r="AI1169" t="n">
        <v>102.191484043</v>
      </c>
      <c r="AJ1169" t="n">
        <v>100.659425912</v>
      </c>
      <c r="AK1169" t="n">
        <v/>
      </c>
      <c r="AL1169" t="n">
        <v>100.061183461</v>
      </c>
      <c r="AM1169" t="n">
        <v>103.5</v>
      </c>
      <c r="AN1169" t="n">
        <v>103.799135007</v>
      </c>
      <c r="AO1169" t="n">
        <v>100.3</v>
      </c>
      <c r="AP1169" t="n">
        <v>103.208600717</v>
      </c>
      <c r="AQ1169" t="n">
        <v>105.808817401</v>
      </c>
      <c r="AR1169" t="n">
        <v>103.691359053</v>
      </c>
      <c r="AS1169" t="n">
        <v>102.791434047</v>
      </c>
      <c r="AT1169" t="n">
        <v>97.608017027</v>
      </c>
      <c r="AU1169" t="n">
        <v/>
      </c>
    </row>
    <row r="1170">
      <c r="A1170" s="105" t="n">
        <v>42491</v>
      </c>
      <c r="B1170" t="n">
        <v>101.2</v>
      </c>
      <c r="C1170" t="n">
        <v>101.391550704</v>
      </c>
      <c r="D1170" t="n">
        <v>94.298852017</v>
      </c>
      <c r="E1170" t="n">
        <v>95.21922796</v>
      </c>
      <c r="F1170" t="n">
        <v>100.4</v>
      </c>
      <c r="G1170" t="n">
        <v/>
      </c>
      <c r="H1170" t="n">
        <v>98.715567061</v>
      </c>
      <c r="I1170" t="n">
        <v>101.391550704</v>
      </c>
      <c r="J1170" t="n">
        <v>100.7832028</v>
      </c>
      <c r="K1170" t="n">
        <v>99.008250688</v>
      </c>
      <c r="L1170" t="n">
        <v>103.3</v>
      </c>
      <c r="M1170" t="n">
        <v>100.191650696</v>
      </c>
      <c r="N1170" t="n">
        <v>100.352083627</v>
      </c>
      <c r="O1170" t="n">
        <v>99.608300692</v>
      </c>
      <c r="P1170" t="n">
        <v/>
      </c>
      <c r="Q1170" t="n">
        <v>104.017336223</v>
      </c>
      <c r="R1170" t="n">
        <v>99.609169924</v>
      </c>
      <c r="S1170" t="n">
        <v>98.34866663</v>
      </c>
      <c r="T1170" t="n">
        <v>101.768659356</v>
      </c>
      <c r="U1170" t="n">
        <v/>
      </c>
      <c r="V1170" t="n">
        <v>101.107318292</v>
      </c>
      <c r="W1170" t="n">
        <v>101.708475706</v>
      </c>
      <c r="X1170" t="n">
        <v>105.643312468</v>
      </c>
      <c r="Y1170" t="n">
        <v/>
      </c>
      <c r="Z1170" t="n">
        <v>101.383102816</v>
      </c>
      <c r="AA1170" t="n">
        <v>89.61386866799999</v>
      </c>
      <c r="AB1170" t="n">
        <v>97.892271663</v>
      </c>
      <c r="AC1170" t="n">
        <v>100.39163403</v>
      </c>
      <c r="AD1170" t="n">
        <v>98.691775685</v>
      </c>
      <c r="AE1170" t="n">
        <v>103.4</v>
      </c>
      <c r="AF1170" t="n">
        <v>99.691692359</v>
      </c>
      <c r="AG1170" t="n">
        <v>104.2</v>
      </c>
      <c r="AH1170" t="n">
        <v>109.342396458</v>
      </c>
      <c r="AI1170" t="n">
        <v>100.39163403</v>
      </c>
      <c r="AJ1170" t="n">
        <v>100.77579519</v>
      </c>
      <c r="AK1170" t="n">
        <v/>
      </c>
      <c r="AL1170" t="n">
        <v>99.450697107</v>
      </c>
      <c r="AM1170" t="n">
        <v>102</v>
      </c>
      <c r="AN1170" t="n">
        <v>100.60916159</v>
      </c>
      <c r="AO1170" t="n">
        <v>100.4</v>
      </c>
      <c r="AP1170" t="n">
        <v>101.908492374</v>
      </c>
      <c r="AQ1170" t="n">
        <v>105.908825735</v>
      </c>
      <c r="AR1170" t="n">
        <v>99.891675694</v>
      </c>
      <c r="AS1170" t="n">
        <v>104.491292392</v>
      </c>
      <c r="AT1170" t="n">
        <v>97.383125643</v>
      </c>
      <c r="AU1170" t="n">
        <v/>
      </c>
    </row>
    <row r="1171">
      <c r="A1171" s="105" t="n">
        <v>42522</v>
      </c>
      <c r="B1171" t="n">
        <v>101</v>
      </c>
      <c r="C1171" t="n">
        <v>102.891425715</v>
      </c>
      <c r="D1171" t="n">
        <v>93.288489754</v>
      </c>
      <c r="E1171" t="n">
        <v>97.69629389799999</v>
      </c>
      <c r="F1171" t="n">
        <v>99.40000000000001</v>
      </c>
      <c r="G1171" t="n">
        <v/>
      </c>
      <c r="H1171" t="n">
        <v>98.50402832899999</v>
      </c>
      <c r="I1171" t="n">
        <v>101.091575702</v>
      </c>
      <c r="J1171" t="n">
        <v>104.3826029</v>
      </c>
      <c r="K1171" t="n">
        <v>101.208434036</v>
      </c>
      <c r="L1171" t="n">
        <v>101.9</v>
      </c>
      <c r="M1171" t="n">
        <v>101.191567369</v>
      </c>
      <c r="N1171" t="n">
        <v>100.659083883</v>
      </c>
      <c r="O1171" t="n">
        <v>99.80831736</v>
      </c>
      <c r="P1171" t="n">
        <v/>
      </c>
      <c r="Q1171" t="n">
        <v>105.317552925</v>
      </c>
      <c r="R1171" t="n">
        <v>99.309172424</v>
      </c>
      <c r="S1171" t="n">
        <v>98.929540347</v>
      </c>
      <c r="T1171" t="n">
        <v>100.601344181</v>
      </c>
      <c r="U1171" t="n">
        <v/>
      </c>
      <c r="V1171" t="n">
        <v>101.90658563</v>
      </c>
      <c r="W1171" t="n">
        <v>100.208350696</v>
      </c>
      <c r="X1171" t="n">
        <v>107.006420192</v>
      </c>
      <c r="Y1171" t="n">
        <v/>
      </c>
      <c r="Z1171" t="n">
        <v>105.682386269</v>
      </c>
      <c r="AA1171" t="n">
        <v>91.62723360699999</v>
      </c>
      <c r="AB1171" t="n">
        <v>98.82903981299999</v>
      </c>
      <c r="AC1171" t="n">
        <v>99.29172569000001</v>
      </c>
      <c r="AD1171" t="n">
        <v>99.19173402200001</v>
      </c>
      <c r="AE1171" t="n">
        <v>103.5</v>
      </c>
      <c r="AF1171" t="n">
        <v>99.691692359</v>
      </c>
      <c r="AG1171" t="n">
        <v>105.8</v>
      </c>
      <c r="AH1171" t="n">
        <v>109.536959112</v>
      </c>
      <c r="AI1171" t="n">
        <v>101.991500708</v>
      </c>
      <c r="AJ1171" t="n">
        <v>96.470131885</v>
      </c>
      <c r="AK1171" t="n">
        <v/>
      </c>
      <c r="AL1171" t="n">
        <v>99.90297776</v>
      </c>
      <c r="AM1171" t="n">
        <v>103</v>
      </c>
      <c r="AN1171" t="n">
        <v>102.449146257</v>
      </c>
      <c r="AO1171" t="n">
        <v>100.7</v>
      </c>
      <c r="AP1171" t="n">
        <v>102.408534045</v>
      </c>
      <c r="AQ1171" t="n">
        <v>109.309109092</v>
      </c>
      <c r="AR1171" t="n">
        <v>99.391717357</v>
      </c>
      <c r="AS1171" t="n">
        <v>103.991334055</v>
      </c>
      <c r="AT1171" t="n">
        <v>97.84619564499999</v>
      </c>
      <c r="AU1171" t="n">
        <v/>
      </c>
    </row>
    <row r="1172">
      <c r="A1172" s="105" t="n">
        <v>42552</v>
      </c>
      <c r="B1172" t="n">
        <v>100.8</v>
      </c>
      <c r="C1172" t="n">
        <v>107.791017415</v>
      </c>
      <c r="D1172" t="n">
        <v>93.920740986</v>
      </c>
      <c r="E1172" t="n">
        <v>100.257364449</v>
      </c>
      <c r="F1172" t="n">
        <v>98.3</v>
      </c>
      <c r="G1172" t="n">
        <v/>
      </c>
      <c r="H1172" t="n">
        <v>97.523247864</v>
      </c>
      <c r="I1172" t="n">
        <v>100.691609033</v>
      </c>
      <c r="J1172" t="n">
        <v>101.583069488</v>
      </c>
      <c r="K1172" t="n">
        <v>99.608300692</v>
      </c>
      <c r="L1172" t="n">
        <v>107.7</v>
      </c>
      <c r="M1172" t="n">
        <v>101.191567369</v>
      </c>
      <c r="N1172" t="n">
        <v>100.790083992</v>
      </c>
      <c r="O1172" t="n">
        <v>104.508709059</v>
      </c>
      <c r="P1172" t="n">
        <v/>
      </c>
      <c r="Q1172" t="n">
        <v>106.617769628</v>
      </c>
      <c r="R1172" t="n">
        <v>99.10917409</v>
      </c>
      <c r="S1172" t="n">
        <v>99.159504841</v>
      </c>
      <c r="T1172" t="n">
        <v>100.601344181</v>
      </c>
      <c r="U1172" t="n">
        <v/>
      </c>
      <c r="V1172" t="n">
        <v>103.00557822</v>
      </c>
      <c r="W1172" t="n">
        <v>101.708475706</v>
      </c>
      <c r="X1172" t="n">
        <v>105.690838869</v>
      </c>
      <c r="Y1172" t="n">
        <v/>
      </c>
      <c r="Z1172" t="n">
        <v>107.982002999</v>
      </c>
      <c r="AA1172" t="n">
        <v>93.90133833599999</v>
      </c>
      <c r="AB1172" t="n">
        <v>97.611241218</v>
      </c>
      <c r="AC1172" t="n">
        <v>101.291559037</v>
      </c>
      <c r="AD1172" t="n">
        <v>99.691692359</v>
      </c>
      <c r="AE1172" t="n">
        <v>102.7</v>
      </c>
      <c r="AF1172" t="n">
        <v>99.791684026</v>
      </c>
      <c r="AG1172" t="n">
        <v>104.2</v>
      </c>
      <c r="AH1172" t="n">
        <v>109.813602027</v>
      </c>
      <c r="AI1172" t="n">
        <v>100.491625698</v>
      </c>
      <c r="AJ1172" t="n">
        <v>99.612102405</v>
      </c>
      <c r="AK1172" t="n">
        <v/>
      </c>
      <c r="AL1172" t="n">
        <v>99.859774106</v>
      </c>
      <c r="AM1172" t="n">
        <v>102</v>
      </c>
      <c r="AN1172" t="n">
        <v>101.80915159</v>
      </c>
      <c r="AO1172" t="n">
        <v>102</v>
      </c>
      <c r="AP1172" t="n">
        <v>98.908242354</v>
      </c>
      <c r="AQ1172" t="n">
        <v>104.108675723</v>
      </c>
      <c r="AR1172" t="n">
        <v>101.991500708</v>
      </c>
      <c r="AS1172" t="n">
        <v>97.69185901199999</v>
      </c>
      <c r="AT1172" t="n">
        <v>98.005344971</v>
      </c>
      <c r="AU1172" t="n">
        <v/>
      </c>
    </row>
    <row r="1173">
      <c r="A1173" s="105" t="n">
        <v>42583</v>
      </c>
      <c r="B1173" t="n">
        <v>103.2</v>
      </c>
      <c r="C1173" t="n">
        <v>105.791184068</v>
      </c>
      <c r="D1173" t="n">
        <v>92.053174384</v>
      </c>
      <c r="E1173" t="n">
        <v>100.66427851</v>
      </c>
      <c r="F1173" t="n">
        <v>101.1</v>
      </c>
      <c r="G1173" t="n">
        <v/>
      </c>
      <c r="H1173" t="n">
        <v>97.51551854100001</v>
      </c>
      <c r="I1173" t="n">
        <v>103.191400717</v>
      </c>
      <c r="J1173" t="n">
        <v>103.982669555</v>
      </c>
      <c r="K1173" t="n">
        <v>101.30844237</v>
      </c>
      <c r="L1173" t="n">
        <v>106.8</v>
      </c>
      <c r="M1173" t="n">
        <v>101.091575702</v>
      </c>
      <c r="N1173" t="n">
        <v>102.134085112</v>
      </c>
      <c r="O1173" t="n">
        <v>103.508625719</v>
      </c>
      <c r="P1173" t="n">
        <v/>
      </c>
      <c r="Q1173" t="n">
        <v>103.717286214</v>
      </c>
      <c r="R1173" t="n">
        <v>101.069157757</v>
      </c>
      <c r="S1173" t="n">
        <v>99.65245249900001</v>
      </c>
      <c r="T1173" t="n">
        <v>100.389105058</v>
      </c>
      <c r="U1173" t="n">
        <v/>
      </c>
      <c r="V1173" t="n">
        <v>103.105486637</v>
      </c>
      <c r="W1173" t="n">
        <v>101.30844237</v>
      </c>
      <c r="X1173" t="n">
        <v>104.889580731</v>
      </c>
      <c r="Y1173" t="n">
        <v/>
      </c>
      <c r="Z1173" t="n">
        <v>88.885185802</v>
      </c>
      <c r="AA1173" t="n">
        <v>97.52727989</v>
      </c>
      <c r="AB1173" t="n">
        <v>96.76814988300001</v>
      </c>
      <c r="AC1173" t="n">
        <v>102.091492376</v>
      </c>
      <c r="AD1173" t="n">
        <v>100.591617365</v>
      </c>
      <c r="AE1173" t="n">
        <v>101.3</v>
      </c>
      <c r="AF1173" t="n">
        <v>97.491875677</v>
      </c>
      <c r="AG1173" t="n">
        <v>101.7</v>
      </c>
      <c r="AH1173" t="n">
        <v>109.419447884</v>
      </c>
      <c r="AI1173" t="n">
        <v>99.391717357</v>
      </c>
      <c r="AJ1173" t="n">
        <v>95.190069822</v>
      </c>
      <c r="AK1173" t="n">
        <v/>
      </c>
      <c r="AL1173" t="n">
        <v>100.290640419</v>
      </c>
      <c r="AM1173" t="n">
        <v>103.8</v>
      </c>
      <c r="AN1173" t="n">
        <v>103.219139841</v>
      </c>
      <c r="AO1173" t="n">
        <v>101.7</v>
      </c>
      <c r="AP1173" t="n">
        <v>107.208934078</v>
      </c>
      <c r="AQ1173" t="n">
        <v>108.50904242</v>
      </c>
      <c r="AR1173" t="n">
        <v>98.691775685</v>
      </c>
      <c r="AS1173" t="n">
        <v>104.991250729</v>
      </c>
      <c r="AT1173" t="n">
        <v>97.899344579</v>
      </c>
      <c r="AU1173" t="n">
        <v/>
      </c>
    </row>
    <row r="1174">
      <c r="A1174" s="105" t="n">
        <v>42614</v>
      </c>
      <c r="B1174" t="n">
        <v>102.7</v>
      </c>
      <c r="C1174" t="n">
        <v>102.991417382</v>
      </c>
      <c r="D1174" t="n">
        <v>92.99707022600001</v>
      </c>
      <c r="E1174" t="n">
        <v>101.849706653</v>
      </c>
      <c r="F1174" t="n">
        <v>99.59999999999999</v>
      </c>
      <c r="G1174" t="n">
        <v/>
      </c>
      <c r="H1174" t="n">
        <v>97.849196015</v>
      </c>
      <c r="I1174" t="n">
        <v>102.791434047</v>
      </c>
      <c r="J1174" t="n">
        <v>102.882852858</v>
      </c>
      <c r="K1174" t="n">
        <v>101.008417368</v>
      </c>
      <c r="L1174" t="n">
        <v>93.8</v>
      </c>
      <c r="M1174" t="n">
        <v>101.391550704</v>
      </c>
      <c r="N1174" t="n">
        <v>101.90408492</v>
      </c>
      <c r="O1174" t="n">
        <v>107.208934078</v>
      </c>
      <c r="P1174" t="n">
        <v/>
      </c>
      <c r="Q1174" t="n">
        <v>105.517586264</v>
      </c>
      <c r="R1174" t="n">
        <v>99.819168174</v>
      </c>
      <c r="S1174" t="n">
        <v>99.622007818</v>
      </c>
      <c r="T1174" t="n">
        <v>100.176865936</v>
      </c>
      <c r="U1174" t="n">
        <v/>
      </c>
      <c r="V1174" t="n">
        <v>101.606860378</v>
      </c>
      <c r="W1174" t="n">
        <v>99.20826735599999</v>
      </c>
      <c r="X1174" t="n">
        <v>105.728487948</v>
      </c>
      <c r="Y1174" t="n">
        <v/>
      </c>
      <c r="Z1174" t="n">
        <v>100.383269455</v>
      </c>
      <c r="AA1174" t="n">
        <v>92.278772641</v>
      </c>
      <c r="AB1174" t="n">
        <v>95.925058548</v>
      </c>
      <c r="AC1174" t="n">
        <v>101.891509041</v>
      </c>
      <c r="AD1174" t="n">
        <v>100.991584035</v>
      </c>
      <c r="AE1174" t="n">
        <v>101.8</v>
      </c>
      <c r="AF1174" t="n">
        <v>98.391800683</v>
      </c>
      <c r="AG1174" t="n">
        <v>103.7</v>
      </c>
      <c r="AH1174" t="n">
        <v>109.416771755</v>
      </c>
      <c r="AI1174" t="n">
        <v>99.29172569000001</v>
      </c>
      <c r="AJ1174" t="n">
        <v>90.76803723800001</v>
      </c>
      <c r="AK1174" t="n">
        <v/>
      </c>
      <c r="AL1174" t="n">
        <v>100.147532097</v>
      </c>
      <c r="AM1174" t="n">
        <v>104.3</v>
      </c>
      <c r="AN1174" t="n">
        <v>103.359138674</v>
      </c>
      <c r="AO1174" t="n">
        <v>102.2</v>
      </c>
      <c r="AP1174" t="n">
        <v>104.208684057</v>
      </c>
      <c r="AQ1174" t="n">
        <v>109.809150763</v>
      </c>
      <c r="AR1174" t="n">
        <v>105.691192401</v>
      </c>
      <c r="AS1174" t="n">
        <v>101.991500708</v>
      </c>
      <c r="AT1174" t="n">
        <v>97.79869874400001</v>
      </c>
      <c r="AU1174" t="n">
        <v/>
      </c>
    </row>
    <row r="1175">
      <c r="A1175" s="105" t="n">
        <v>42644</v>
      </c>
      <c r="B1175" t="n">
        <v>103.3</v>
      </c>
      <c r="C1175" t="n">
        <v>103.191400717</v>
      </c>
      <c r="D1175" t="n">
        <v>91.81820232</v>
      </c>
      <c r="E1175" t="n">
        <v>101.307422102</v>
      </c>
      <c r="F1175" t="n">
        <v>99.09999999999999</v>
      </c>
      <c r="G1175" t="n">
        <v/>
      </c>
      <c r="H1175" t="n">
        <v>96.294967207</v>
      </c>
      <c r="I1175" t="n">
        <v>103.291392384</v>
      </c>
      <c r="J1175" t="n">
        <v>104.182636227</v>
      </c>
      <c r="K1175" t="n">
        <v>101.80848404</v>
      </c>
      <c r="L1175" t="n">
        <v>108.6</v>
      </c>
      <c r="M1175" t="n">
        <v>102.891425715</v>
      </c>
      <c r="N1175" t="n">
        <v>102.170085142</v>
      </c>
      <c r="O1175" t="n">
        <v>107.208934078</v>
      </c>
      <c r="P1175" t="n">
        <v/>
      </c>
      <c r="Q1175" t="n">
        <v>106.417736289</v>
      </c>
      <c r="R1175" t="n">
        <v>99.609169924</v>
      </c>
      <c r="S1175" t="n">
        <v>99.68678785</v>
      </c>
      <c r="T1175" t="n">
        <v>98.69119207599999</v>
      </c>
      <c r="U1175" t="n">
        <v/>
      </c>
      <c r="V1175" t="n">
        <v>105.403380235</v>
      </c>
      <c r="W1175" t="n">
        <v>100.008334028</v>
      </c>
      <c r="X1175" t="n">
        <v>108.241520983</v>
      </c>
      <c r="Y1175" t="n">
        <v/>
      </c>
      <c r="Z1175" t="n">
        <v>119.180136644</v>
      </c>
      <c r="AA1175" t="n">
        <v>88.62806390199999</v>
      </c>
      <c r="AB1175" t="n">
        <v>94.707259953</v>
      </c>
      <c r="AC1175" t="n">
        <v>102.391467378</v>
      </c>
      <c r="AD1175" t="n">
        <v>101.091575702</v>
      </c>
      <c r="AE1175" t="n">
        <v>100.4</v>
      </c>
      <c r="AF1175" t="n">
        <v>97.291892342</v>
      </c>
      <c r="AG1175" t="n">
        <v>108.2</v>
      </c>
      <c r="AH1175" t="n">
        <v>109.703234965</v>
      </c>
      <c r="AI1175" t="n">
        <v>100.39163403</v>
      </c>
      <c r="AJ1175" t="n">
        <v>101.241272304</v>
      </c>
      <c r="AK1175" t="n">
        <v/>
      </c>
      <c r="AL1175" t="n">
        <v>100.524864385</v>
      </c>
      <c r="AM1175" t="n">
        <v>102.9</v>
      </c>
      <c r="AN1175" t="n">
        <v>101.279156007</v>
      </c>
      <c r="AO1175" t="n">
        <v>104.1</v>
      </c>
      <c r="AP1175" t="n">
        <v>104.908742395</v>
      </c>
      <c r="AQ1175" t="n">
        <v>104.108675723</v>
      </c>
      <c r="AR1175" t="n">
        <v>101.691525706</v>
      </c>
      <c r="AS1175" t="n">
        <v>106.49112574</v>
      </c>
      <c r="AT1175" t="n">
        <v>97.88189269</v>
      </c>
      <c r="AU1175" t="n">
        <v/>
      </c>
    </row>
    <row r="1176">
      <c r="A1176" s="105" t="n">
        <v>42675</v>
      </c>
      <c r="B1176" t="n">
        <v>104.6</v>
      </c>
      <c r="C1176" t="n">
        <v>103.791350721</v>
      </c>
      <c r="D1176" t="n">
        <v>92.694090362</v>
      </c>
      <c r="E1176" t="n">
        <v>102.579530163</v>
      </c>
      <c r="F1176" t="n">
        <v>99</v>
      </c>
      <c r="G1176" t="n">
        <v/>
      </c>
      <c r="H1176" t="n">
        <v>99.026371387</v>
      </c>
      <c r="I1176" t="n">
        <v>104.59128406</v>
      </c>
      <c r="J1176" t="n">
        <v>104.482586236</v>
      </c>
      <c r="K1176" t="n">
        <v>101.408450704</v>
      </c>
      <c r="L1176" t="n">
        <v>108.7</v>
      </c>
      <c r="M1176" t="n">
        <v>102.591450712</v>
      </c>
      <c r="N1176" t="n">
        <v>103.230086025</v>
      </c>
      <c r="O1176" t="n">
        <v>108.209017418</v>
      </c>
      <c r="P1176" t="n">
        <v/>
      </c>
      <c r="Q1176" t="n">
        <v>105.717619603</v>
      </c>
      <c r="R1176" t="n">
        <v>102.269147757</v>
      </c>
      <c r="S1176" t="n">
        <v>99.93793534300001</v>
      </c>
      <c r="T1176" t="n">
        <v>99.540148567</v>
      </c>
      <c r="U1176" t="n">
        <v/>
      </c>
      <c r="V1176" t="n">
        <v>104.704021314</v>
      </c>
      <c r="W1176" t="n">
        <v>102.408534045</v>
      </c>
      <c r="X1176" t="n">
        <v>106.264670681</v>
      </c>
      <c r="Y1176" t="n">
        <v/>
      </c>
      <c r="Z1176" t="n">
        <v>101.783036161</v>
      </c>
      <c r="AA1176" t="n">
        <v>88.013203205</v>
      </c>
      <c r="AB1176" t="n">
        <v>98.07962529300001</v>
      </c>
      <c r="AC1176" t="n">
        <v>103.291392384</v>
      </c>
      <c r="AD1176" t="n">
        <v>102.091492376</v>
      </c>
      <c r="AE1176" t="n">
        <v>104.8</v>
      </c>
      <c r="AF1176" t="n">
        <v>97.99183401400001</v>
      </c>
      <c r="AG1176" t="n">
        <v>110.9</v>
      </c>
      <c r="AH1176" t="n">
        <v>109.781576592</v>
      </c>
      <c r="AI1176" t="n">
        <v>103.091409049</v>
      </c>
      <c r="AJ1176" t="n">
        <v>100.543056633</v>
      </c>
      <c r="AK1176" t="n">
        <v/>
      </c>
      <c r="AL1176" t="n">
        <v>101.032885478</v>
      </c>
      <c r="AM1176" t="n">
        <v>104.9</v>
      </c>
      <c r="AN1176" t="n">
        <v>103.169140257</v>
      </c>
      <c r="AO1176" t="n">
        <v>104.7</v>
      </c>
      <c r="AP1176" t="n">
        <v>105.108759063</v>
      </c>
      <c r="AQ1176" t="n">
        <v>109.209100758</v>
      </c>
      <c r="AR1176" t="n">
        <v>102.29147571</v>
      </c>
      <c r="AS1176" t="n">
        <v>105.691192401</v>
      </c>
      <c r="AT1176" t="n">
        <v>97.47316152400001</v>
      </c>
      <c r="AU1176" t="n">
        <v/>
      </c>
    </row>
    <row r="1177">
      <c r="A1177" s="105" t="n">
        <v>42705</v>
      </c>
      <c r="B1177" t="n">
        <v>104.3</v>
      </c>
      <c r="C1177" t="n">
        <v>110.090825765</v>
      </c>
      <c r="D1177" t="n">
        <v>94.202130548</v>
      </c>
      <c r="E1177" t="n">
        <v>102.808803897</v>
      </c>
      <c r="F1177" t="n">
        <v>101.6</v>
      </c>
      <c r="G1177" t="n">
        <v/>
      </c>
      <c r="H1177" t="n">
        <v>97.747360297</v>
      </c>
      <c r="I1177" t="n">
        <v>103.691359053</v>
      </c>
      <c r="J1177" t="n">
        <v>103.582736211</v>
      </c>
      <c r="K1177" t="n">
        <v>99.50829235800001</v>
      </c>
      <c r="L1177" t="n">
        <v>109.6</v>
      </c>
      <c r="M1177" t="n">
        <v>102.391467378</v>
      </c>
      <c r="N1177" t="n">
        <v>103.255086046</v>
      </c>
      <c r="O1177" t="n">
        <v>106.108842404</v>
      </c>
      <c r="P1177" t="n">
        <v/>
      </c>
      <c r="Q1177" t="n">
        <v>104.317386231</v>
      </c>
      <c r="R1177" t="n">
        <v>100.66916109</v>
      </c>
      <c r="S1177" t="n">
        <v>99.996667741</v>
      </c>
      <c r="T1177" t="n">
        <v>101.025822427</v>
      </c>
      <c r="U1177" t="n">
        <v/>
      </c>
      <c r="V1177" t="n">
        <v>106.702189659</v>
      </c>
      <c r="W1177" t="n">
        <v>102.30852571</v>
      </c>
      <c r="X1177" t="n">
        <v>104.898740057</v>
      </c>
      <c r="Y1177" t="n">
        <v/>
      </c>
      <c r="Z1177" t="n">
        <v>104.482586236</v>
      </c>
      <c r="AA1177" t="n">
        <v>88.600286482</v>
      </c>
      <c r="AB1177" t="n">
        <v>98.07962529300001</v>
      </c>
      <c r="AC1177" t="n">
        <v>104.991250729</v>
      </c>
      <c r="AD1177" t="n">
        <v>101.491542371</v>
      </c>
      <c r="AE1177" t="n">
        <v>103.8</v>
      </c>
      <c r="AF1177" t="n">
        <v>102.69144238</v>
      </c>
      <c r="AG1177" t="n">
        <v>110</v>
      </c>
      <c r="AH1177" t="n">
        <v>109.638205471</v>
      </c>
      <c r="AI1177" t="n">
        <v>103.991334055</v>
      </c>
      <c r="AJ1177" t="n">
        <v>97.866563227</v>
      </c>
      <c r="AK1177" t="n">
        <v/>
      </c>
      <c r="AL1177" t="n">
        <v>101.087447571</v>
      </c>
      <c r="AM1177" t="n">
        <v>107</v>
      </c>
      <c r="AN1177" t="n">
        <v>104.669127757</v>
      </c>
      <c r="AO1177" t="n">
        <v>103.9</v>
      </c>
      <c r="AP1177" t="n">
        <v>104.408700725</v>
      </c>
      <c r="AQ1177" t="n">
        <v>111.509292441</v>
      </c>
      <c r="AR1177" t="n">
        <v>102.091492376</v>
      </c>
      <c r="AS1177" t="n">
        <v>104.991250729</v>
      </c>
      <c r="AT1177" t="n">
        <v>98.07396262499999</v>
      </c>
      <c r="AU1177" t="n">
        <v/>
      </c>
    </row>
    <row r="1178">
      <c r="A1178" s="105" t="n">
        <v>42736</v>
      </c>
      <c r="B1178" t="n">
        <v>102.4</v>
      </c>
      <c r="C1178" t="n">
        <v>103.191400717</v>
      </c>
      <c r="D1178" t="n">
        <v>94.89331746800001</v>
      </c>
      <c r="E1178" t="n">
        <v>103.534079387</v>
      </c>
      <c r="F1178" t="n">
        <v>105.1</v>
      </c>
      <c r="G1178" t="n">
        <v/>
      </c>
      <c r="H1178" t="n">
        <v>97.93975902299999</v>
      </c>
      <c r="I1178" t="n">
        <v>102.391467378</v>
      </c>
      <c r="J1178" t="n">
        <v>106.982169638</v>
      </c>
      <c r="K1178" t="n">
        <v>100.908409034</v>
      </c>
      <c r="L1178" t="n">
        <v>103</v>
      </c>
      <c r="M1178" t="n">
        <v>101.891509041</v>
      </c>
      <c r="N1178" t="n">
        <v>104.246086872</v>
      </c>
      <c r="O1178" t="n">
        <v>103.708642387</v>
      </c>
      <c r="P1178" t="n">
        <v/>
      </c>
      <c r="Q1178" t="n">
        <v>107.517919653</v>
      </c>
      <c r="R1178" t="n">
        <v>101.109157424</v>
      </c>
      <c r="S1178" t="n">
        <v>99.756679483</v>
      </c>
      <c r="T1178" t="n">
        <v>99.75238769000001</v>
      </c>
      <c r="U1178" t="n">
        <v/>
      </c>
      <c r="V1178" t="n">
        <v>107.40154858</v>
      </c>
      <c r="W1178" t="n">
        <v>101.908492374</v>
      </c>
      <c r="X1178" t="n">
        <v>105.758136383</v>
      </c>
      <c r="Y1178" t="n">
        <v/>
      </c>
      <c r="Z1178" t="n">
        <v>98.883519413</v>
      </c>
      <c r="AA1178" t="n">
        <v>86.844985057</v>
      </c>
      <c r="AB1178" t="n">
        <v>98.07962529300001</v>
      </c>
      <c r="AC1178" t="n">
        <v>102.091492376</v>
      </c>
      <c r="AD1178" t="n">
        <v>100.691609033</v>
      </c>
      <c r="AE1178" t="n">
        <v>106.3</v>
      </c>
      <c r="AF1178" t="n">
        <v>97.291892342</v>
      </c>
      <c r="AG1178" t="n">
        <v>109.5</v>
      </c>
      <c r="AH1178" t="n">
        <v>109.740365635</v>
      </c>
      <c r="AI1178" t="n">
        <v>101.191567369</v>
      </c>
      <c r="AJ1178" t="n">
        <v>100.659425912</v>
      </c>
      <c r="AK1178" t="n">
        <v/>
      </c>
      <c r="AL1178" t="n">
        <v>101.08432666</v>
      </c>
      <c r="AM1178" t="n">
        <v>106.7</v>
      </c>
      <c r="AN1178" t="n">
        <v>104.809126591</v>
      </c>
      <c r="AO1178" t="n">
        <v>105.6</v>
      </c>
      <c r="AP1178" t="n">
        <v>106.108842404</v>
      </c>
      <c r="AQ1178" t="n">
        <v>109.309109092</v>
      </c>
      <c r="AR1178" t="n">
        <v>103.491375719</v>
      </c>
      <c r="AS1178" t="n">
        <v>105.891175735</v>
      </c>
      <c r="AT1178" t="n">
        <v>97.904005027</v>
      </c>
      <c r="AU1178" t="n">
        <v/>
      </c>
    </row>
    <row r="1179">
      <c r="A1179" s="105" t="n">
        <v>42767</v>
      </c>
      <c r="B1179" t="n">
        <v>104.8</v>
      </c>
      <c r="C1179" t="n">
        <v>106.891092409</v>
      </c>
      <c r="D1179" t="n">
        <v>96.227082852</v>
      </c>
      <c r="E1179" t="n">
        <v>103.129305571</v>
      </c>
      <c r="F1179" t="n">
        <v>100.9</v>
      </c>
      <c r="G1179" t="n">
        <v/>
      </c>
      <c r="H1179" t="n">
        <v>93.838965049</v>
      </c>
      <c r="I1179" t="n">
        <v>104.991250729</v>
      </c>
      <c r="J1179" t="n">
        <v>107.882019663</v>
      </c>
      <c r="K1179" t="n">
        <v>102.108509042</v>
      </c>
      <c r="L1179" t="n">
        <v>106.9</v>
      </c>
      <c r="M1179" t="n">
        <v>102.69144238</v>
      </c>
      <c r="N1179" t="n">
        <v>103.48808624</v>
      </c>
      <c r="O1179" t="n">
        <v>105.508792399</v>
      </c>
      <c r="P1179" t="n">
        <v/>
      </c>
      <c r="Q1179" t="n">
        <v>106.117686281</v>
      </c>
      <c r="R1179" t="n">
        <v>100.049166257</v>
      </c>
      <c r="S1179" t="n">
        <v>99.845026148</v>
      </c>
      <c r="T1179" t="n">
        <v>99.221789883</v>
      </c>
      <c r="U1179" t="n">
        <v/>
      </c>
      <c r="V1179" t="n">
        <v>108.800266422</v>
      </c>
      <c r="W1179" t="n">
        <v>104.208684057</v>
      </c>
      <c r="X1179" t="n">
        <v>107.055279083</v>
      </c>
      <c r="Y1179" t="n">
        <v/>
      </c>
      <c r="Z1179" t="n">
        <v>102.882852858</v>
      </c>
      <c r="AA1179" t="n">
        <v>86.163810867</v>
      </c>
      <c r="AB1179" t="n">
        <v>94.613583138</v>
      </c>
      <c r="AC1179" t="n">
        <v>102.991417382</v>
      </c>
      <c r="AD1179" t="n">
        <v>101.391550704</v>
      </c>
      <c r="AE1179" t="n">
        <v>104.7</v>
      </c>
      <c r="AF1179" t="n">
        <v>101.291559037</v>
      </c>
      <c r="AG1179" t="n">
        <v>111.2</v>
      </c>
      <c r="AH1179" t="n">
        <v>109.618610586</v>
      </c>
      <c r="AI1179" t="n">
        <v>103.891342388</v>
      </c>
      <c r="AJ1179" t="n">
        <v>101.008533747</v>
      </c>
      <c r="AK1179" t="n">
        <v/>
      </c>
      <c r="AL1179" t="n">
        <v>101.139923068</v>
      </c>
      <c r="AM1179" t="n">
        <v>106.6</v>
      </c>
      <c r="AN1179" t="n">
        <v>103.119140674</v>
      </c>
      <c r="AO1179" t="n">
        <v>104.4</v>
      </c>
      <c r="AP1179" t="n">
        <v>105.408784065</v>
      </c>
      <c r="AQ1179" t="n">
        <v>111.209267439</v>
      </c>
      <c r="AR1179" t="n">
        <v>104.391300725</v>
      </c>
      <c r="AS1179" t="n">
        <v>107.491042413</v>
      </c>
      <c r="AT1179" t="n">
        <v>97.589573554</v>
      </c>
      <c r="AU1179" t="n">
        <v/>
      </c>
    </row>
    <row r="1180">
      <c r="A1180" s="105" t="n">
        <v>42795</v>
      </c>
      <c r="B1180" t="n">
        <v>105.7</v>
      </c>
      <c r="C1180" t="n">
        <v>105.991167403</v>
      </c>
      <c r="D1180" t="n">
        <v>94.34577596600001</v>
      </c>
      <c r="E1180" t="n">
        <v>103.363127326</v>
      </c>
      <c r="F1180" t="n">
        <v>104.5</v>
      </c>
      <c r="G1180" t="n">
        <v/>
      </c>
      <c r="H1180" t="n">
        <v>90.59951552299999</v>
      </c>
      <c r="I1180" t="n">
        <v>106.09115907</v>
      </c>
      <c r="J1180" t="n">
        <v>107.882019663</v>
      </c>
      <c r="K1180" t="n">
        <v>101.608467372</v>
      </c>
      <c r="L1180" t="n">
        <v>108.1</v>
      </c>
      <c r="M1180" t="n">
        <v>102.29147571</v>
      </c>
      <c r="N1180" t="n">
        <v>103.307086089</v>
      </c>
      <c r="O1180" t="n">
        <v>108.409034086</v>
      </c>
      <c r="P1180" t="n">
        <v/>
      </c>
      <c r="Q1180" t="n">
        <v>105.317552925</v>
      </c>
      <c r="R1180" t="n">
        <v>101.32915559</v>
      </c>
      <c r="S1180" t="n">
        <v>100.158671862</v>
      </c>
      <c r="T1180" t="n">
        <v>98.054474708</v>
      </c>
      <c r="U1180" t="n">
        <v/>
      </c>
      <c r="V1180" t="n">
        <v>107.701273832</v>
      </c>
      <c r="W1180" t="n">
        <v>104.908742395</v>
      </c>
      <c r="X1180" t="n">
        <v>107.444258608</v>
      </c>
      <c r="Y1180" t="n">
        <v/>
      </c>
      <c r="Z1180" t="n">
        <v>94.98416930499999</v>
      </c>
      <c r="AA1180" t="n">
        <v>87.56065388499999</v>
      </c>
      <c r="AB1180" t="n">
        <v>98.922716628</v>
      </c>
      <c r="AC1180" t="n">
        <v>103.791350721</v>
      </c>
      <c r="AD1180" t="n">
        <v>101.491542371</v>
      </c>
      <c r="AE1180" t="n">
        <v>106.3</v>
      </c>
      <c r="AF1180" t="n">
        <v>103.091409049</v>
      </c>
      <c r="AG1180" t="n">
        <v>113.5</v>
      </c>
      <c r="AH1180" t="n">
        <v>109.736496632</v>
      </c>
      <c r="AI1180" t="n">
        <v>102.891425715</v>
      </c>
      <c r="AJ1180" t="n">
        <v>101.474010861</v>
      </c>
      <c r="AK1180" t="n">
        <v/>
      </c>
      <c r="AL1180" t="n">
        <v>101.517109146</v>
      </c>
      <c r="AM1180" t="n">
        <v>108.9</v>
      </c>
      <c r="AN1180" t="n">
        <v>106.939108841</v>
      </c>
      <c r="AO1180" t="n">
        <v>104.2</v>
      </c>
      <c r="AP1180" t="n">
        <v>106.608884074</v>
      </c>
      <c r="AQ1180" t="n">
        <v>115.509625802</v>
      </c>
      <c r="AR1180" t="n">
        <v>105.291225731</v>
      </c>
      <c r="AS1180" t="n">
        <v>108.890925756</v>
      </c>
      <c r="AT1180" t="n">
        <v>98.238863142</v>
      </c>
      <c r="AU1180" t="n">
        <v/>
      </c>
    </row>
    <row r="1181">
      <c r="A1181" s="105" t="n">
        <v>42826</v>
      </c>
      <c r="B1181" t="n">
        <v>106.3</v>
      </c>
      <c r="C1181" t="n">
        <v>107.891009083</v>
      </c>
      <c r="D1181" t="n">
        <v>94.53296531300001</v>
      </c>
      <c r="E1181" t="n">
        <v>104.323027162</v>
      </c>
      <c r="F1181" t="n">
        <v>101.8</v>
      </c>
      <c r="G1181" t="n">
        <v/>
      </c>
      <c r="H1181" t="n">
        <v>96.48056445500001</v>
      </c>
      <c r="I1181" t="n">
        <v>106.291142405</v>
      </c>
      <c r="J1181" t="n">
        <v>110.581569738</v>
      </c>
      <c r="K1181" t="n">
        <v>103.208600717</v>
      </c>
      <c r="L1181" t="n">
        <v>106.5</v>
      </c>
      <c r="M1181" t="n">
        <v>103.091409049</v>
      </c>
      <c r="N1181" t="n">
        <v>103.276086063</v>
      </c>
      <c r="O1181" t="n">
        <v>110.009167431</v>
      </c>
      <c r="P1181" t="n">
        <v/>
      </c>
      <c r="Q1181" t="n">
        <v>106.017669612</v>
      </c>
      <c r="R1181" t="n">
        <v>101.039158007</v>
      </c>
      <c r="S1181" t="n">
        <v>101.293574444</v>
      </c>
      <c r="T1181" t="n">
        <v>98.903431199</v>
      </c>
      <c r="U1181" t="n">
        <v/>
      </c>
      <c r="V1181" t="n">
        <v>103.704937141</v>
      </c>
      <c r="W1181" t="n">
        <v>105.808817401</v>
      </c>
      <c r="X1181" t="n">
        <v>108.013680624</v>
      </c>
      <c r="Y1181" t="n">
        <v/>
      </c>
      <c r="Z1181" t="n">
        <v>101.083152808</v>
      </c>
      <c r="AA1181" t="n">
        <v>88.803067696</v>
      </c>
      <c r="AB1181" t="n">
        <v>100.421545667</v>
      </c>
      <c r="AC1181" t="n">
        <v>103.491375719</v>
      </c>
      <c r="AD1181" t="n">
        <v>103.791350721</v>
      </c>
      <c r="AE1181" t="n">
        <v>104.4</v>
      </c>
      <c r="AF1181" t="n">
        <v>103.491375719</v>
      </c>
      <c r="AG1181" t="n">
        <v>113.3</v>
      </c>
      <c r="AH1181" t="n">
        <v>109.497057723</v>
      </c>
      <c r="AI1181" t="n">
        <v>101.291559037</v>
      </c>
      <c r="AJ1181" t="n">
        <v>101.939487975</v>
      </c>
      <c r="AK1181" t="n">
        <v/>
      </c>
      <c r="AL1181" t="n">
        <v>102.302872209</v>
      </c>
      <c r="AM1181" t="n">
        <v>107.8</v>
      </c>
      <c r="AN1181" t="n">
        <v>101.879151007</v>
      </c>
      <c r="AO1181" t="n">
        <v>105.6</v>
      </c>
      <c r="AP1181" t="n">
        <v>105.308775731</v>
      </c>
      <c r="AQ1181" t="n">
        <v>107.608967414</v>
      </c>
      <c r="AR1181" t="n">
        <v>104.991250729</v>
      </c>
      <c r="AS1181" t="n">
        <v>111.890675777</v>
      </c>
      <c r="AT1181" t="n">
        <v>99.212500048</v>
      </c>
      <c r="AU1181" t="n">
        <v/>
      </c>
    </row>
    <row r="1182">
      <c r="A1182" s="105" t="n">
        <v>42856</v>
      </c>
      <c r="B1182" t="n">
        <v>106.8</v>
      </c>
      <c r="C1182" t="n">
        <v>106.49112574</v>
      </c>
      <c r="D1182" t="n">
        <v>94.81039133199999</v>
      </c>
      <c r="E1182" t="n">
        <v>105.473676325</v>
      </c>
      <c r="F1182" t="n">
        <v>104.2</v>
      </c>
      <c r="G1182" t="n">
        <v/>
      </c>
      <c r="H1182" t="n">
        <v>96.834980681</v>
      </c>
      <c r="I1182" t="n">
        <v>107.191067411</v>
      </c>
      <c r="J1182" t="n">
        <v>112.881186469</v>
      </c>
      <c r="K1182" t="n">
        <v>103.408617385</v>
      </c>
      <c r="L1182" t="n">
        <v>108.1</v>
      </c>
      <c r="M1182" t="n">
        <v>103.591367386</v>
      </c>
      <c r="N1182" t="n">
        <v>104.476087063</v>
      </c>
      <c r="O1182" t="n">
        <v>108.309025752</v>
      </c>
      <c r="P1182" t="n">
        <v/>
      </c>
      <c r="Q1182" t="n">
        <v>107.417902984</v>
      </c>
      <c r="R1182" t="n">
        <v>103.269139424</v>
      </c>
      <c r="S1182" t="n">
        <v>101.318952985</v>
      </c>
      <c r="T1182" t="n">
        <v>99.115670322</v>
      </c>
      <c r="U1182" t="n">
        <v/>
      </c>
      <c r="V1182" t="n">
        <v>107.501456998</v>
      </c>
      <c r="W1182" t="n">
        <v>107.50895908</v>
      </c>
      <c r="X1182" t="n">
        <v>108.272909491</v>
      </c>
      <c r="Y1182" t="n">
        <v/>
      </c>
      <c r="Z1182" t="n">
        <v>94.484252625</v>
      </c>
      <c r="AA1182" t="n">
        <v>86.686641804</v>
      </c>
      <c r="AB1182" t="n">
        <v>99.203747073</v>
      </c>
      <c r="AC1182" t="n">
        <v>104.291309058</v>
      </c>
      <c r="AD1182" t="n">
        <v>102.191484043</v>
      </c>
      <c r="AE1182" t="n">
        <v>105.5</v>
      </c>
      <c r="AF1182" t="n">
        <v>102.891425715</v>
      </c>
      <c r="AG1182" t="n">
        <v>114.9</v>
      </c>
      <c r="AH1182" t="n">
        <v>109.388121197</v>
      </c>
      <c r="AI1182" t="n">
        <v>101.391550704</v>
      </c>
      <c r="AJ1182" t="n">
        <v>101.008533747</v>
      </c>
      <c r="AK1182" t="n">
        <v/>
      </c>
      <c r="AL1182" t="n">
        <v>102.454334928</v>
      </c>
      <c r="AM1182" t="n">
        <v>108.6</v>
      </c>
      <c r="AN1182" t="n">
        <v>107.099107507</v>
      </c>
      <c r="AO1182" t="n">
        <v>106.6</v>
      </c>
      <c r="AP1182" t="n">
        <v>105.408784065</v>
      </c>
      <c r="AQ1182" t="n">
        <v>114.70955913</v>
      </c>
      <c r="AR1182" t="n">
        <v>105.891175735</v>
      </c>
      <c r="AS1182" t="n">
        <v>110.490792434</v>
      </c>
      <c r="AT1182" t="n">
        <v>99.296288945</v>
      </c>
      <c r="AU1182" t="n">
        <v/>
      </c>
    </row>
    <row r="1183">
      <c r="A1183" s="105" t="n">
        <v>42887</v>
      </c>
      <c r="B1183" t="n">
        <v>107.2</v>
      </c>
      <c r="C1183" t="n">
        <v>107.791017415</v>
      </c>
      <c r="D1183" t="n">
        <v>95.574298263</v>
      </c>
      <c r="E1183" t="n">
        <v>105.566241917</v>
      </c>
      <c r="F1183" t="n">
        <v>104.2</v>
      </c>
      <c r="G1183" t="n">
        <v/>
      </c>
      <c r="H1183" t="n">
        <v>97.315730649</v>
      </c>
      <c r="I1183" t="n">
        <v>107.391050746</v>
      </c>
      <c r="J1183" t="n">
        <v>108.581903016</v>
      </c>
      <c r="K1183" t="n">
        <v>103.508625719</v>
      </c>
      <c r="L1183" t="n">
        <v>108.3</v>
      </c>
      <c r="M1183" t="n">
        <v>103.191400717</v>
      </c>
      <c r="N1183" t="n">
        <v>104.479087066</v>
      </c>
      <c r="O1183" t="n">
        <v>108.409034086</v>
      </c>
      <c r="P1183" t="n">
        <v/>
      </c>
      <c r="Q1183" t="n">
        <v>107.717952992</v>
      </c>
      <c r="R1183" t="n">
        <v>101.95915034</v>
      </c>
      <c r="S1183" t="n">
        <v>101.581852119</v>
      </c>
      <c r="T1183" t="n">
        <v>99.009550761</v>
      </c>
      <c r="U1183" t="n">
        <v/>
      </c>
      <c r="V1183" t="n">
        <v>107.001914911</v>
      </c>
      <c r="W1183" t="n">
        <v>106.408867406</v>
      </c>
      <c r="X1183" t="n">
        <v>106.703517625</v>
      </c>
      <c r="Y1183" t="n">
        <v/>
      </c>
      <c r="Z1183" t="n">
        <v>84.88585235799999</v>
      </c>
      <c r="AA1183" t="n">
        <v>84.71560613600001</v>
      </c>
      <c r="AB1183" t="n">
        <v>98.266978923</v>
      </c>
      <c r="AC1183" t="n">
        <v>105.691192401</v>
      </c>
      <c r="AD1183" t="n">
        <v>102.991417382</v>
      </c>
      <c r="AE1183" t="n">
        <v>104.3</v>
      </c>
      <c r="AF1183" t="n">
        <v>104.491292392</v>
      </c>
      <c r="AG1183" t="n">
        <v>113.6</v>
      </c>
      <c r="AH1183" t="n">
        <v>109.42160856</v>
      </c>
      <c r="AI1183" t="n">
        <v>102.591450712</v>
      </c>
      <c r="AJ1183" t="n">
        <v>101.474010861</v>
      </c>
      <c r="AK1183" t="n">
        <v/>
      </c>
      <c r="AL1183" t="n">
        <v>102.567263385</v>
      </c>
      <c r="AM1183" t="n">
        <v>110</v>
      </c>
      <c r="AN1183" t="n">
        <v>106.329113924</v>
      </c>
      <c r="AO1183" t="n">
        <v>106.8</v>
      </c>
      <c r="AP1183" t="n">
        <v>105.108759063</v>
      </c>
      <c r="AQ1183" t="n">
        <v>117.509792483</v>
      </c>
      <c r="AR1183" t="n">
        <v>106.591117407</v>
      </c>
      <c r="AS1183" t="n">
        <v>111.190734105</v>
      </c>
      <c r="AT1183" t="n">
        <v>99.47060951500001</v>
      </c>
      <c r="AU1183" t="n">
        <v/>
      </c>
    </row>
    <row r="1184">
      <c r="A1184" s="105" t="n">
        <v>42917</v>
      </c>
      <c r="B1184" t="n">
        <v>108.3</v>
      </c>
      <c r="C1184" t="n">
        <v>111.690692442</v>
      </c>
      <c r="D1184" t="n">
        <v>95.883201422</v>
      </c>
      <c r="E1184" t="n">
        <v>106.106921284</v>
      </c>
      <c r="F1184" t="n">
        <v>108.5</v>
      </c>
      <c r="G1184" t="n">
        <v/>
      </c>
      <c r="H1184" t="n">
        <v>99.19685697600001</v>
      </c>
      <c r="I1184" t="n">
        <v>108.490959087</v>
      </c>
      <c r="J1184" t="n">
        <v>107.782036327</v>
      </c>
      <c r="K1184" t="n">
        <v>104.208684057</v>
      </c>
      <c r="L1184" t="n">
        <v>104.6</v>
      </c>
      <c r="M1184" t="n">
        <v>104.791267394</v>
      </c>
      <c r="N1184" t="n">
        <v>104.219086849</v>
      </c>
      <c r="O1184" t="n">
        <v>105.308775731</v>
      </c>
      <c r="P1184" t="n">
        <v/>
      </c>
      <c r="Q1184" t="n">
        <v>109.018169695</v>
      </c>
      <c r="R1184" t="n">
        <v>102.599145007</v>
      </c>
      <c r="S1184" t="n">
        <v>101.67138099</v>
      </c>
      <c r="T1184" t="n">
        <v>99.964626813</v>
      </c>
      <c r="U1184" t="n">
        <v/>
      </c>
      <c r="V1184" t="n">
        <v>105.403380235</v>
      </c>
      <c r="W1184" t="n">
        <v>102.808567381</v>
      </c>
      <c r="X1184" t="n">
        <v>106.910928765</v>
      </c>
      <c r="Y1184" t="n">
        <v/>
      </c>
      <c r="Z1184" t="n">
        <v>102.382936177</v>
      </c>
      <c r="AA1184" t="n">
        <v>91.538577065</v>
      </c>
      <c r="AB1184" t="n">
        <v>98.173302108</v>
      </c>
      <c r="AC1184" t="n">
        <v>106.391134072</v>
      </c>
      <c r="AD1184" t="n">
        <v>102.491459045</v>
      </c>
      <c r="AE1184" t="n">
        <v>105</v>
      </c>
      <c r="AF1184" t="n">
        <v>102.29147571</v>
      </c>
      <c r="AG1184" t="n">
        <v>113.5</v>
      </c>
      <c r="AH1184" t="n">
        <v>108.436185191</v>
      </c>
      <c r="AI1184" t="n">
        <v>101.791517374</v>
      </c>
      <c r="AJ1184" t="n">
        <v>101.241272304</v>
      </c>
      <c r="AK1184" t="n">
        <v/>
      </c>
      <c r="AL1184" t="n">
        <v>102.695745289</v>
      </c>
      <c r="AM1184" t="n">
        <v>108.5</v>
      </c>
      <c r="AN1184" t="n">
        <v>108.759093674</v>
      </c>
      <c r="AO1184" t="n">
        <v>106.7</v>
      </c>
      <c r="AP1184" t="n">
        <v>106.308859072</v>
      </c>
      <c r="AQ1184" t="n">
        <v>111.609300775</v>
      </c>
      <c r="AR1184" t="n">
        <v>106.49112574</v>
      </c>
      <c r="AS1184" t="n">
        <v>110.890759103</v>
      </c>
      <c r="AT1184" t="n">
        <v>99.29906538199999</v>
      </c>
      <c r="AU1184" t="n">
        <v/>
      </c>
    </row>
    <row r="1185">
      <c r="A1185" s="105" t="n">
        <v>42948</v>
      </c>
      <c r="B1185" t="n">
        <v>109.5</v>
      </c>
      <c r="C1185" t="n">
        <v>110.190817432</v>
      </c>
      <c r="D1185" t="n">
        <v>95.87283015</v>
      </c>
      <c r="E1185" t="n">
        <v>104.886981693</v>
      </c>
      <c r="F1185" t="n">
        <v>108.9</v>
      </c>
      <c r="G1185" t="n">
        <v/>
      </c>
      <c r="H1185" t="n">
        <v>101.075828735</v>
      </c>
      <c r="I1185" t="n">
        <v>109.590867428</v>
      </c>
      <c r="J1185" t="n">
        <v>110.781536411</v>
      </c>
      <c r="K1185" t="n">
        <v>106.408867406</v>
      </c>
      <c r="L1185" t="n">
        <v>108.3</v>
      </c>
      <c r="M1185" t="n">
        <v>105.391217399</v>
      </c>
      <c r="N1185" t="n">
        <v>104.632087193</v>
      </c>
      <c r="O1185" t="n">
        <v>104.508709059</v>
      </c>
      <c r="P1185" t="n">
        <v/>
      </c>
      <c r="Q1185" t="n">
        <v>107.517919653</v>
      </c>
      <c r="R1185" t="n">
        <v>102.82914309</v>
      </c>
      <c r="S1185" t="n">
        <v>102.045641287</v>
      </c>
      <c r="T1185" t="n">
        <v>100.070746374</v>
      </c>
      <c r="U1185" t="n">
        <v/>
      </c>
      <c r="V1185" t="n">
        <v>108.90017484</v>
      </c>
      <c r="W1185" t="n">
        <v>106.808900742</v>
      </c>
      <c r="X1185" t="n">
        <v>110.03015963</v>
      </c>
      <c r="Y1185" t="n">
        <v/>
      </c>
      <c r="Z1185" t="n">
        <v>91.284785869</v>
      </c>
      <c r="AA1185" t="n">
        <v>100.142881812</v>
      </c>
      <c r="AB1185" t="n">
        <v>98.36065573800001</v>
      </c>
      <c r="AC1185" t="n">
        <v>108.190984085</v>
      </c>
      <c r="AD1185" t="n">
        <v>103.791350721</v>
      </c>
      <c r="AE1185" t="n">
        <v>105</v>
      </c>
      <c r="AF1185" t="n">
        <v>105.191234064</v>
      </c>
      <c r="AG1185" t="n">
        <v>113.1</v>
      </c>
      <c r="AH1185" t="n">
        <v>108.791118573</v>
      </c>
      <c r="AI1185" t="n">
        <v>101.691525706</v>
      </c>
      <c r="AJ1185" t="n">
        <v>101.706749418</v>
      </c>
      <c r="AK1185" t="n">
        <v/>
      </c>
      <c r="AL1185" t="n">
        <v>103.283140677</v>
      </c>
      <c r="AM1185" t="n">
        <v>113.2</v>
      </c>
      <c r="AN1185" t="n">
        <v>113.609053258</v>
      </c>
      <c r="AO1185" t="n">
        <v>106.8</v>
      </c>
      <c r="AP1185" t="n">
        <v>107.808984082</v>
      </c>
      <c r="AQ1185" t="n">
        <v>116.909742479</v>
      </c>
      <c r="AR1185" t="n">
        <v>105.791184068</v>
      </c>
      <c r="AS1185" t="n">
        <v>114.390467461</v>
      </c>
      <c r="AT1185" t="n">
        <v>98.84888598000001</v>
      </c>
      <c r="AU1185" t="n">
        <v/>
      </c>
    </row>
    <row r="1186">
      <c r="A1186" s="105" t="n">
        <v>42979</v>
      </c>
      <c r="B1186" t="n">
        <v>109.5</v>
      </c>
      <c r="C1186" t="n">
        <v>107.791017415</v>
      </c>
      <c r="D1186" t="n">
        <v>96.298988135</v>
      </c>
      <c r="E1186" t="n">
        <v>105.332687693</v>
      </c>
      <c r="F1186" t="n">
        <v>106.7</v>
      </c>
      <c r="G1186" t="n">
        <v/>
      </c>
      <c r="H1186" t="n">
        <v>100.111519016</v>
      </c>
      <c r="I1186" t="n">
        <v>109.390884093</v>
      </c>
      <c r="J1186" t="n">
        <v>111.281453091</v>
      </c>
      <c r="K1186" t="n">
        <v>105.408784065</v>
      </c>
      <c r="L1186" t="n">
        <v>102.5</v>
      </c>
      <c r="M1186" t="n">
        <v>104.891259062</v>
      </c>
      <c r="N1186" t="n">
        <v>105.311087759</v>
      </c>
      <c r="O1186" t="n">
        <v>107.708975748</v>
      </c>
      <c r="P1186" t="n">
        <v/>
      </c>
      <c r="Q1186" t="n">
        <v>106.817802967</v>
      </c>
      <c r="R1186" t="n">
        <v>103.509137424</v>
      </c>
      <c r="S1186" t="n">
        <v>101.712086899</v>
      </c>
      <c r="T1186" t="n">
        <v>101.874778918</v>
      </c>
      <c r="U1186" t="n">
        <v/>
      </c>
      <c r="V1186" t="n">
        <v>104.10457081</v>
      </c>
      <c r="W1186" t="n">
        <v>106.208850738</v>
      </c>
      <c r="X1186" t="n">
        <v>110.555625348</v>
      </c>
      <c r="Y1186" t="n">
        <v/>
      </c>
      <c r="Z1186" t="n">
        <v>97.283786036</v>
      </c>
      <c r="AA1186" t="n">
        <v>95.64025556</v>
      </c>
      <c r="AB1186" t="n">
        <v>98.07962529300001</v>
      </c>
      <c r="AC1186" t="n">
        <v>105.191234064</v>
      </c>
      <c r="AD1186" t="n">
        <v>102.591450712</v>
      </c>
      <c r="AE1186" t="n">
        <v>105.3</v>
      </c>
      <c r="AF1186" t="n">
        <v>104.691275727</v>
      </c>
      <c r="AG1186" t="n">
        <v>116.4</v>
      </c>
      <c r="AH1186" t="n">
        <v>108.298839109</v>
      </c>
      <c r="AI1186" t="n">
        <v>102.491459045</v>
      </c>
      <c r="AJ1186" t="n">
        <v>102.055857254</v>
      </c>
      <c r="AK1186" t="n">
        <v/>
      </c>
      <c r="AL1186" t="n">
        <v>103.014803269</v>
      </c>
      <c r="AM1186" t="n">
        <v>111.8</v>
      </c>
      <c r="AN1186" t="n">
        <v>106.879109341</v>
      </c>
      <c r="AO1186" t="n">
        <v>107</v>
      </c>
      <c r="AP1186" t="n">
        <v>109.309109092</v>
      </c>
      <c r="AQ1186" t="n">
        <v>119.009917493</v>
      </c>
      <c r="AR1186" t="n">
        <v>107.691025748</v>
      </c>
      <c r="AS1186" t="n">
        <v>115.790350804</v>
      </c>
      <c r="AT1186" t="n">
        <v>98.94318567400001</v>
      </c>
      <c r="AU1186" t="n">
        <v/>
      </c>
    </row>
    <row r="1187">
      <c r="A1187" s="105" t="n">
        <v>43009</v>
      </c>
      <c r="B1187" t="n">
        <v>109.1</v>
      </c>
      <c r="C1187" t="n">
        <v>106.791100742</v>
      </c>
      <c r="D1187" t="n">
        <v>97.13390855199999</v>
      </c>
      <c r="E1187" t="n">
        <v>104.646739203</v>
      </c>
      <c r="F1187" t="n">
        <v>106.4</v>
      </c>
      <c r="G1187" t="n">
        <v/>
      </c>
      <c r="H1187" t="n">
        <v>100.251127242</v>
      </c>
      <c r="I1187" t="n">
        <v>109.090909091</v>
      </c>
      <c r="J1187" t="n">
        <v>109.781703049</v>
      </c>
      <c r="K1187" t="n">
        <v>103.808650721</v>
      </c>
      <c r="L1187" t="n">
        <v>105.3</v>
      </c>
      <c r="M1187" t="n">
        <v>105.891175735</v>
      </c>
      <c r="N1187" t="n">
        <v>106.413088678</v>
      </c>
      <c r="O1187" t="n">
        <v>109.109092424</v>
      </c>
      <c r="P1187" t="n">
        <v/>
      </c>
      <c r="Q1187" t="n">
        <v>108.418069678</v>
      </c>
      <c r="R1187" t="n">
        <v>104.119132341</v>
      </c>
      <c r="S1187" t="n">
        <v>102.226904472</v>
      </c>
      <c r="T1187" t="n">
        <v>102.08701804</v>
      </c>
      <c r="U1187" t="n">
        <v/>
      </c>
      <c r="V1187" t="n">
        <v>107.501456998</v>
      </c>
      <c r="W1187" t="n">
        <v>107.908992416</v>
      </c>
      <c r="X1187" t="n">
        <v>110.08141154</v>
      </c>
      <c r="Y1187" t="n">
        <v/>
      </c>
      <c r="Z1187" t="n">
        <v>117.980336611</v>
      </c>
      <c r="AA1187" t="n">
        <v>92.93480070699999</v>
      </c>
      <c r="AB1187" t="n">
        <v>100.046838407</v>
      </c>
      <c r="AC1187" t="n">
        <v>105.791184068</v>
      </c>
      <c r="AD1187" t="n">
        <v>103.191400717</v>
      </c>
      <c r="AE1187" t="n">
        <v>105.8</v>
      </c>
      <c r="AF1187" t="n">
        <v>101.291559037</v>
      </c>
      <c r="AG1187" t="n">
        <v>115.3</v>
      </c>
      <c r="AH1187" t="n">
        <v>108.808720649</v>
      </c>
      <c r="AI1187" t="n">
        <v>104.091325723</v>
      </c>
      <c r="AJ1187" t="n">
        <v>99.030256012</v>
      </c>
      <c r="AK1187" t="n">
        <v/>
      </c>
      <c r="AL1187" t="n">
        <v>103.614593924</v>
      </c>
      <c r="AM1187" t="n">
        <v>113.2</v>
      </c>
      <c r="AN1187" t="n">
        <v>105.929117257</v>
      </c>
      <c r="AO1187" t="n">
        <v>105.7</v>
      </c>
      <c r="AP1187" t="n">
        <v>109.309109092</v>
      </c>
      <c r="AQ1187" t="n">
        <v>117.809817485</v>
      </c>
      <c r="AR1187" t="n">
        <v>107.791017415</v>
      </c>
      <c r="AS1187" t="n">
        <v>116.290309141</v>
      </c>
      <c r="AT1187" t="n">
        <v>100.189805816</v>
      </c>
      <c r="AU1187" t="n">
        <v/>
      </c>
    </row>
    <row r="1188">
      <c r="A1188" s="105" t="n">
        <v>43040</v>
      </c>
      <c r="B1188" t="n">
        <v>111.7</v>
      </c>
      <c r="C1188" t="n">
        <v>108.190984085</v>
      </c>
      <c r="D1188" t="n">
        <v>97.535503578</v>
      </c>
      <c r="E1188" t="n">
        <v>105.794445529</v>
      </c>
      <c r="F1188" t="n">
        <v>108.3</v>
      </c>
      <c r="G1188" t="n">
        <v/>
      </c>
      <c r="H1188" t="n">
        <v>100.912255296</v>
      </c>
      <c r="I1188" t="n">
        <v>111.490709108</v>
      </c>
      <c r="J1188" t="n">
        <v>112.881186469</v>
      </c>
      <c r="K1188" t="n">
        <v>107.608967414</v>
      </c>
      <c r="L1188" t="n">
        <v>106.7</v>
      </c>
      <c r="M1188" t="n">
        <v>107.691025748</v>
      </c>
      <c r="N1188" t="n">
        <v>107.637089698</v>
      </c>
      <c r="O1188" t="n">
        <v>107.108925744</v>
      </c>
      <c r="P1188" t="n">
        <v/>
      </c>
      <c r="Q1188" t="n">
        <v>109.91831972</v>
      </c>
      <c r="R1188" t="n">
        <v>104.349130424</v>
      </c>
      <c r="S1188" t="n">
        <v>103.178089968</v>
      </c>
      <c r="T1188" t="n">
        <v>102.82985497</v>
      </c>
      <c r="U1188" t="n">
        <v/>
      </c>
      <c r="V1188" t="n">
        <v>106.202647573</v>
      </c>
      <c r="W1188" t="n">
        <v>106.208850738</v>
      </c>
      <c r="X1188" t="n">
        <v>115.103970041</v>
      </c>
      <c r="Y1188" t="n">
        <v/>
      </c>
      <c r="Z1188" t="n">
        <v>116.780536577</v>
      </c>
      <c r="AA1188" t="n">
        <v>96.896902149</v>
      </c>
      <c r="AB1188" t="n">
        <v>100.608899297</v>
      </c>
      <c r="AC1188" t="n">
        <v>107.391050746</v>
      </c>
      <c r="AD1188" t="n">
        <v>103.991334055</v>
      </c>
      <c r="AE1188" t="n">
        <v>105.4</v>
      </c>
      <c r="AF1188" t="n">
        <v>107.491042413</v>
      </c>
      <c r="AG1188" t="n">
        <v>115.5</v>
      </c>
      <c r="AH1188" t="n">
        <v>108.196862801</v>
      </c>
      <c r="AI1188" t="n">
        <v>104.491292392</v>
      </c>
      <c r="AJ1188" t="n">
        <v>98.681148177</v>
      </c>
      <c r="AK1188" t="n">
        <v/>
      </c>
      <c r="AL1188" t="n">
        <v>104.338631227</v>
      </c>
      <c r="AM1188" t="n">
        <v>112.1</v>
      </c>
      <c r="AN1188" t="n">
        <v>106.359113674</v>
      </c>
      <c r="AO1188" t="n">
        <v>105.5</v>
      </c>
      <c r="AP1188" t="n">
        <v>111.309275773</v>
      </c>
      <c r="AQ1188" t="n">
        <v>120.010000833</v>
      </c>
      <c r="AR1188" t="n">
        <v>109.190900758</v>
      </c>
      <c r="AS1188" t="n">
        <v>116.990250812</v>
      </c>
      <c r="AT1188" t="n">
        <v>100.374141391</v>
      </c>
      <c r="AU1188" t="n">
        <v/>
      </c>
    </row>
    <row r="1189">
      <c r="A1189" s="105" t="n">
        <v>43070</v>
      </c>
      <c r="B1189" t="n">
        <v>112.6</v>
      </c>
      <c r="C1189" t="n">
        <v>107.491042413</v>
      </c>
      <c r="D1189" t="n">
        <v>100.4674137</v>
      </c>
      <c r="E1189" t="n">
        <v>106.223297101</v>
      </c>
      <c r="F1189" t="n">
        <v>115.2</v>
      </c>
      <c r="G1189" t="n">
        <v/>
      </c>
      <c r="H1189" t="n">
        <v>99.145986724</v>
      </c>
      <c r="I1189" t="n">
        <v>111.490709108</v>
      </c>
      <c r="J1189" t="n">
        <v>113.781036494</v>
      </c>
      <c r="K1189" t="n">
        <v>107.00891741</v>
      </c>
      <c r="L1189" t="n">
        <v>106.9</v>
      </c>
      <c r="M1189" t="n">
        <v>107.99100075</v>
      </c>
      <c r="N1189" t="n">
        <v>109.376091147</v>
      </c>
      <c r="O1189" t="n">
        <v>109.209100758</v>
      </c>
      <c r="P1189" t="n">
        <v/>
      </c>
      <c r="Q1189" t="n">
        <v>111.218536423</v>
      </c>
      <c r="R1189" t="n">
        <v>105.579120174</v>
      </c>
      <c r="S1189" t="n">
        <v>103.760363648</v>
      </c>
      <c r="T1189" t="n">
        <v>103.148213654</v>
      </c>
      <c r="U1189" t="n">
        <v/>
      </c>
      <c r="V1189" t="n">
        <v>107.80118225</v>
      </c>
      <c r="W1189" t="n">
        <v>108.209017418</v>
      </c>
      <c r="X1189" t="n">
        <v>112.798416437</v>
      </c>
      <c r="Y1189" t="n">
        <v/>
      </c>
      <c r="Z1189" t="n">
        <v>110.581569738</v>
      </c>
      <c r="AA1189" t="n">
        <v>102.418191422</v>
      </c>
      <c r="AB1189" t="n">
        <v>100.702576112</v>
      </c>
      <c r="AC1189" t="n">
        <v>110.690775769</v>
      </c>
      <c r="AD1189" t="n">
        <v>105.491209066</v>
      </c>
      <c r="AE1189" t="n">
        <v>103.3</v>
      </c>
      <c r="AF1189" t="n">
        <v>107.491042413</v>
      </c>
      <c r="AG1189" t="n">
        <v>114.8</v>
      </c>
      <c r="AH1189" t="n">
        <v>109.726507421</v>
      </c>
      <c r="AI1189" t="n">
        <v>104.59128406</v>
      </c>
      <c r="AJ1189" t="n">
        <v>98.797517455</v>
      </c>
      <c r="AK1189" t="n">
        <v/>
      </c>
      <c r="AL1189" t="n">
        <v>104.973263381</v>
      </c>
      <c r="AM1189" t="n">
        <v>115.6</v>
      </c>
      <c r="AN1189" t="n">
        <v>104.459129507</v>
      </c>
      <c r="AO1189" t="n">
        <v>104.7</v>
      </c>
      <c r="AP1189" t="n">
        <v>108.50904242</v>
      </c>
      <c r="AQ1189" t="n">
        <v>116.009667472</v>
      </c>
      <c r="AR1189" t="n">
        <v>110.090825765</v>
      </c>
      <c r="AS1189" t="n">
        <v>120.089992501</v>
      </c>
      <c r="AT1189" t="n">
        <v>100.534579777</v>
      </c>
      <c r="AU1189" t="n">
        <v/>
      </c>
    </row>
    <row r="1190">
      <c r="A1190" s="105" t="n">
        <v>43101</v>
      </c>
      <c r="B1190" t="n">
        <v>110.1</v>
      </c>
      <c r="C1190" t="n">
        <v>108.490959087</v>
      </c>
      <c r="D1190" t="n">
        <v>97.903507573</v>
      </c>
      <c r="E1190" t="n">
        <v>105.853569795</v>
      </c>
      <c r="F1190" t="n">
        <v>110.4</v>
      </c>
      <c r="G1190" t="n">
        <v/>
      </c>
      <c r="H1190" t="n">
        <v>100.565782529</v>
      </c>
      <c r="I1190" t="n">
        <v>109.89084243</v>
      </c>
      <c r="J1190" t="n">
        <v>113.681053158</v>
      </c>
      <c r="K1190" t="n">
        <v>106.50887574</v>
      </c>
      <c r="L1190" t="n">
        <v>107.4</v>
      </c>
      <c r="M1190" t="n">
        <v>105.791184068</v>
      </c>
      <c r="N1190" t="n">
        <v>105.411087843</v>
      </c>
      <c r="O1190" t="n">
        <v>111.209267439</v>
      </c>
      <c r="P1190" t="n">
        <v/>
      </c>
      <c r="Q1190" t="n">
        <v>111.418569762</v>
      </c>
      <c r="R1190" t="n">
        <v>101.77915184</v>
      </c>
      <c r="S1190" t="n">
        <v>102.45227889</v>
      </c>
      <c r="T1190" t="n">
        <v>103.042094093</v>
      </c>
      <c r="U1190" t="n">
        <v/>
      </c>
      <c r="V1190" t="n">
        <v>107.901090667</v>
      </c>
      <c r="W1190" t="n">
        <v>109.00908409</v>
      </c>
      <c r="X1190" t="n">
        <v>113.241734336</v>
      </c>
      <c r="Y1190" t="n">
        <v/>
      </c>
      <c r="Z1190" t="n">
        <v>101.983002833</v>
      </c>
      <c r="AA1190" t="n">
        <v>99.97449935</v>
      </c>
      <c r="AB1190" t="n">
        <v>103.512880562</v>
      </c>
      <c r="AC1190" t="n">
        <v>106.591117407</v>
      </c>
      <c r="AD1190" t="n">
        <v>101.291559037</v>
      </c>
      <c r="AE1190" t="n">
        <v>105.2</v>
      </c>
      <c r="AF1190" t="n">
        <v>104.19131739</v>
      </c>
      <c r="AG1190" t="n">
        <v>116.5</v>
      </c>
      <c r="AH1190" t="n">
        <v>109.216625881</v>
      </c>
      <c r="AI1190" t="n">
        <v>105.191234064</v>
      </c>
      <c r="AJ1190" t="n">
        <v>101.939487975</v>
      </c>
      <c r="AK1190" t="n">
        <v/>
      </c>
      <c r="AL1190" t="n">
        <v>103.932208843</v>
      </c>
      <c r="AM1190" t="n">
        <v>113.4</v>
      </c>
      <c r="AN1190" t="n">
        <v>107.409104924</v>
      </c>
      <c r="AO1190" t="n">
        <v>108.2</v>
      </c>
      <c r="AP1190" t="n">
        <v>106.00883407</v>
      </c>
      <c r="AQ1190" t="n">
        <v>124.910409201</v>
      </c>
      <c r="AR1190" t="n">
        <v>109.190900758</v>
      </c>
      <c r="AS1190" t="n">
        <v>117.790184151</v>
      </c>
      <c r="AT1190" t="n">
        <v>100.492139957</v>
      </c>
      <c r="AU1190" t="n">
        <v/>
      </c>
    </row>
    <row r="1191">
      <c r="A1191" s="105" t="n">
        <v>43132</v>
      </c>
      <c r="B1191" t="n">
        <v>111.7</v>
      </c>
      <c r="C1191" t="n">
        <v>106.291142405</v>
      </c>
      <c r="D1191" t="n">
        <v>97.59207215000001</v>
      </c>
      <c r="E1191" t="n">
        <v>107.321777794</v>
      </c>
      <c r="F1191" t="n">
        <v>111.7</v>
      </c>
      <c r="G1191" t="n">
        <v/>
      </c>
      <c r="H1191" t="n">
        <v>103.49584505</v>
      </c>
      <c r="I1191" t="n">
        <v>111.890675777</v>
      </c>
      <c r="J1191" t="n">
        <v>111.181469755</v>
      </c>
      <c r="K1191" t="n">
        <v>104.608717393</v>
      </c>
      <c r="L1191" t="n">
        <v>107.2</v>
      </c>
      <c r="M1191" t="n">
        <v>104.991250729</v>
      </c>
      <c r="N1191" t="n">
        <v>106.568088807</v>
      </c>
      <c r="O1191" t="n">
        <v>107.00891741</v>
      </c>
      <c r="P1191" t="n">
        <v/>
      </c>
      <c r="Q1191" t="n">
        <v>111.218536423</v>
      </c>
      <c r="R1191" t="n">
        <v>103.249139591</v>
      </c>
      <c r="S1191" t="n">
        <v>102.955586929</v>
      </c>
      <c r="T1191" t="n">
        <v>103.360452777</v>
      </c>
      <c r="U1191" t="n">
        <v/>
      </c>
      <c r="V1191" t="n">
        <v>108.000999084</v>
      </c>
      <c r="W1191" t="n">
        <v>108.00900075</v>
      </c>
      <c r="X1191" t="n">
        <v>114.381722624</v>
      </c>
      <c r="Y1191" t="n">
        <v/>
      </c>
      <c r="Z1191" t="n">
        <v>96.78386935499999</v>
      </c>
      <c r="AA1191" t="n">
        <v>98.67519528699999</v>
      </c>
      <c r="AB1191" t="n">
        <v>100.421545667</v>
      </c>
      <c r="AC1191" t="n">
        <v>105.891175735</v>
      </c>
      <c r="AD1191" t="n">
        <v>103.791350721</v>
      </c>
      <c r="AE1191" t="n">
        <v>106.2</v>
      </c>
      <c r="AF1191" t="n">
        <v>101.591534039</v>
      </c>
      <c r="AG1191" t="n">
        <v>119.8</v>
      </c>
      <c r="AH1191" t="n">
        <v>110.338365269</v>
      </c>
      <c r="AI1191" t="n">
        <v>104.59128406</v>
      </c>
      <c r="AJ1191" t="n">
        <v>102.172226532</v>
      </c>
      <c r="AK1191" t="n">
        <v/>
      </c>
      <c r="AL1191" t="n">
        <v>104.372268887</v>
      </c>
      <c r="AM1191" t="n">
        <v>114.3</v>
      </c>
      <c r="AN1191" t="n">
        <v>105.079124341</v>
      </c>
      <c r="AO1191" t="n">
        <v>107.3</v>
      </c>
      <c r="AP1191" t="n">
        <v>108.50904242</v>
      </c>
      <c r="AQ1191" t="n">
        <v>119.909992499</v>
      </c>
      <c r="AR1191" t="n">
        <v>108.790934089</v>
      </c>
      <c r="AS1191" t="n">
        <v>116.990250812</v>
      </c>
      <c r="AT1191" t="n">
        <v>100.85089526</v>
      </c>
      <c r="AU1191" t="n">
        <v/>
      </c>
    </row>
    <row r="1192">
      <c r="A1192" s="105" t="n">
        <v>43160</v>
      </c>
      <c r="B1192" t="n">
        <v>109.9</v>
      </c>
      <c r="C1192" t="n">
        <v>109.990834097</v>
      </c>
      <c r="D1192" t="n">
        <v>98.741268529</v>
      </c>
      <c r="E1192" t="n">
        <v>108.526468141</v>
      </c>
      <c r="F1192" t="n">
        <v>111</v>
      </c>
      <c r="G1192" t="n">
        <v/>
      </c>
      <c r="H1192" t="n">
        <v>101.681893941</v>
      </c>
      <c r="I1192" t="n">
        <v>110.490792434</v>
      </c>
      <c r="J1192" t="n">
        <v>112.481253124</v>
      </c>
      <c r="K1192" t="n">
        <v>105.908825735</v>
      </c>
      <c r="L1192" t="n">
        <v>106.3</v>
      </c>
      <c r="M1192" t="n">
        <v>105.091242396</v>
      </c>
      <c r="N1192" t="n">
        <v>107.708089757</v>
      </c>
      <c r="O1192" t="n">
        <v>111.309275773</v>
      </c>
      <c r="P1192" t="n">
        <v/>
      </c>
      <c r="Q1192" t="n">
        <v>113.318886481</v>
      </c>
      <c r="R1192" t="n">
        <v>104.209131591</v>
      </c>
      <c r="S1192" t="n">
        <v>103.784860838</v>
      </c>
      <c r="T1192" t="n">
        <v>103.148213654</v>
      </c>
      <c r="U1192" t="n">
        <v/>
      </c>
      <c r="V1192" t="n">
        <v>108.700358005</v>
      </c>
      <c r="W1192" t="n">
        <v>107.608967414</v>
      </c>
      <c r="X1192" t="n">
        <v>113.140923519</v>
      </c>
      <c r="Y1192" t="n">
        <v/>
      </c>
      <c r="Z1192" t="n">
        <v>78.986835527</v>
      </c>
      <c r="AA1192" t="n">
        <v/>
      </c>
      <c r="AB1192" t="n">
        <v>101.077283372</v>
      </c>
      <c r="AC1192" t="n">
        <v>107.391050746</v>
      </c>
      <c r="AD1192" t="n">
        <v>104.891259062</v>
      </c>
      <c r="AE1192" t="n">
        <v>104.6</v>
      </c>
      <c r="AF1192" t="n">
        <v>101.091575702</v>
      </c>
      <c r="AG1192" t="n">
        <v>115</v>
      </c>
      <c r="AH1192" t="n">
        <v/>
      </c>
      <c r="AI1192" t="n">
        <v>105.191234064</v>
      </c>
      <c r="AJ1192" t="n">
        <v>101.939487975</v>
      </c>
      <c r="AK1192" t="n">
        <v/>
      </c>
      <c r="AL1192" t="n">
        <v>104.834907322</v>
      </c>
      <c r="AM1192" t="n">
        <v>113</v>
      </c>
      <c r="AN1192" t="n">
        <v>109.899084174</v>
      </c>
      <c r="AO1192" t="n">
        <v>107.9</v>
      </c>
      <c r="AP1192" t="n">
        <v>109.709142429</v>
      </c>
      <c r="AQ1192" t="n">
        <v>120.210017501</v>
      </c>
      <c r="AR1192" t="n">
        <v>110.290809099</v>
      </c>
      <c r="AS1192" t="n">
        <v>117.09024248</v>
      </c>
      <c r="AT1192" t="n">
        <v>101.417784169</v>
      </c>
      <c r="AU1192" t="n">
        <v/>
      </c>
    </row>
    <row r="1193">
      <c r="A1193" s="105" t="n">
        <v>43191</v>
      </c>
      <c r="B1193" t="n">
        <v>111.4</v>
      </c>
      <c r="C1193" t="n">
        <v>110.290809099</v>
      </c>
      <c r="D1193" t="n">
        <v>99.032952294</v>
      </c>
      <c r="E1193" t="n">
        <v>108.679495651</v>
      </c>
      <c r="F1193" t="n">
        <v>111.4</v>
      </c>
      <c r="G1193" t="n">
        <v/>
      </c>
      <c r="H1193" t="n">
        <v>100.367928</v>
      </c>
      <c r="I1193" t="n">
        <v>111.890675777</v>
      </c>
      <c r="J1193" t="n">
        <v>110.481586402</v>
      </c>
      <c r="K1193" t="n">
        <v>105.408784065</v>
      </c>
      <c r="L1193" t="n">
        <v>107.8</v>
      </c>
      <c r="M1193" t="n">
        <v>104.791267394</v>
      </c>
      <c r="N1193" t="n">
        <v>105.282087735</v>
      </c>
      <c r="O1193" t="n">
        <v>113.809484124</v>
      </c>
      <c r="P1193" t="n">
        <v/>
      </c>
      <c r="Q1193" t="n">
        <v>107.917986331</v>
      </c>
      <c r="R1193" t="n">
        <v>103.259139507</v>
      </c>
      <c r="S1193" t="n">
        <v>103.988302182</v>
      </c>
      <c r="T1193" t="n">
        <v>103.042094093</v>
      </c>
      <c r="U1193" t="n">
        <v/>
      </c>
      <c r="V1193" t="n">
        <v>107.001914911</v>
      </c>
      <c r="W1193" t="n">
        <v>109.00908409</v>
      </c>
      <c r="X1193" t="n">
        <v>112.721647166</v>
      </c>
      <c r="Y1193" t="n">
        <v/>
      </c>
      <c r="Z1193" t="n">
        <v>92.28461923</v>
      </c>
      <c r="AA1193" t="n">
        <v/>
      </c>
      <c r="AB1193" t="n">
        <v>100.889929742</v>
      </c>
      <c r="AC1193" t="n">
        <v>105.691192401</v>
      </c>
      <c r="AD1193" t="n">
        <v>104.291309058</v>
      </c>
      <c r="AE1193" t="n">
        <v>107.1</v>
      </c>
      <c r="AF1193" t="n">
        <v>100.191650696</v>
      </c>
      <c r="AG1193" t="n">
        <v>115.9</v>
      </c>
      <c r="AH1193" t="n">
        <v/>
      </c>
      <c r="AI1193" t="n">
        <v>103.191400717</v>
      </c>
      <c r="AJ1193" t="n">
        <v>100.659425912</v>
      </c>
      <c r="AK1193" t="n">
        <v/>
      </c>
      <c r="AL1193" t="n">
        <v>105.0706375</v>
      </c>
      <c r="AM1193" t="n">
        <v>115.1</v>
      </c>
      <c r="AN1193" t="n">
        <v>106.759110341</v>
      </c>
      <c r="AO1193" t="n">
        <v>108.5</v>
      </c>
      <c r="AP1193" t="n">
        <v>108.609050754</v>
      </c>
      <c r="AQ1193" t="n">
        <v>118.009834153</v>
      </c>
      <c r="AR1193" t="n">
        <v>105.891175735</v>
      </c>
      <c r="AS1193" t="n">
        <v>118.490125823</v>
      </c>
      <c r="AT1193" t="n">
        <v>102.563560159</v>
      </c>
      <c r="AU1193" t="n">
        <v/>
      </c>
    </row>
    <row r="1194">
      <c r="A1194" s="105" t="n">
        <v>43221</v>
      </c>
      <c r="B1194" t="n">
        <v>114.7</v>
      </c>
      <c r="C1194" t="n">
        <v>110.390800767</v>
      </c>
      <c r="D1194" t="n">
        <v>88.208856571</v>
      </c>
      <c r="E1194" t="n">
        <v>108.349362876</v>
      </c>
      <c r="F1194" t="n">
        <v>113.3</v>
      </c>
      <c r="G1194" t="n">
        <v/>
      </c>
      <c r="H1194" t="n">
        <v>100.945385887</v>
      </c>
      <c r="I1194" t="n">
        <v>115.1904008</v>
      </c>
      <c r="J1194" t="n">
        <v>113.981003166</v>
      </c>
      <c r="K1194" t="n">
        <v>107.108925744</v>
      </c>
      <c r="L1194" t="n">
        <v>105</v>
      </c>
      <c r="M1194" t="n">
        <v>106.191150737</v>
      </c>
      <c r="N1194" t="n">
        <v>105.656088047</v>
      </c>
      <c r="O1194" t="n">
        <v>113.909492458</v>
      </c>
      <c r="P1194" t="n">
        <v/>
      </c>
      <c r="Q1194" t="n">
        <v>112.018669778</v>
      </c>
      <c r="R1194" t="n">
        <v>102.13914884</v>
      </c>
      <c r="S1194" t="n">
        <v>103.796005221</v>
      </c>
      <c r="T1194" t="n">
        <v>102.82985497</v>
      </c>
      <c r="U1194" t="n">
        <v/>
      </c>
      <c r="V1194" t="n">
        <v>108.90017484</v>
      </c>
      <c r="W1194" t="n">
        <v>110.909242437</v>
      </c>
      <c r="X1194" t="n">
        <v>112.485119253</v>
      </c>
      <c r="Y1194" t="n">
        <v/>
      </c>
      <c r="Z1194" t="n">
        <v>101.383102816</v>
      </c>
      <c r="AA1194" t="n">
        <v/>
      </c>
      <c r="AB1194" t="n">
        <v>101.358313817</v>
      </c>
      <c r="AC1194" t="n">
        <v>106.691109074</v>
      </c>
      <c r="AD1194" t="n">
        <v>104.59128406</v>
      </c>
      <c r="AE1194" t="n">
        <v>108</v>
      </c>
      <c r="AF1194" t="n">
        <v>101.591534039</v>
      </c>
      <c r="AG1194" t="n">
        <v>114.3</v>
      </c>
      <c r="AH1194" t="n">
        <v/>
      </c>
      <c r="AI1194" t="n">
        <v>103.391384051</v>
      </c>
      <c r="AJ1194" t="n">
        <v>99.14662529100001</v>
      </c>
      <c r="AK1194" t="n">
        <v/>
      </c>
      <c r="AL1194" t="n">
        <v>105.199218364</v>
      </c>
      <c r="AM1194" t="n">
        <v>116.6</v>
      </c>
      <c r="AN1194" t="n">
        <v>105.289122591</v>
      </c>
      <c r="AO1194" t="n">
        <v>110.6</v>
      </c>
      <c r="AP1194" t="n">
        <v>112.509375781</v>
      </c>
      <c r="AQ1194" t="n">
        <v>121.91015918</v>
      </c>
      <c r="AR1194" t="n">
        <v>110.090825765</v>
      </c>
      <c r="AS1194" t="n">
        <v>116.790267478</v>
      </c>
      <c r="AT1194" t="n">
        <v>101.611143163</v>
      </c>
      <c r="AU1194" t="n">
        <v/>
      </c>
    </row>
    <row r="1195">
      <c r="A1195" s="105" t="n">
        <v>43252</v>
      </c>
      <c r="B1195" t="n">
        <v>113.2</v>
      </c>
      <c r="C1195" t="n">
        <v>106.291142405</v>
      </c>
      <c r="D1195" t="n">
        <v>99.20988046799999</v>
      </c>
      <c r="E1195" t="n">
        <v>109.0941681</v>
      </c>
      <c r="F1195" t="n">
        <v>113.3</v>
      </c>
      <c r="G1195" t="n">
        <v/>
      </c>
      <c r="H1195" t="n">
        <v>102.32926147</v>
      </c>
      <c r="I1195" t="n">
        <v>113.590534122</v>
      </c>
      <c r="J1195" t="n">
        <v>115.980669888</v>
      </c>
      <c r="K1195" t="n">
        <v>107.00891741</v>
      </c>
      <c r="L1195" t="n">
        <v>106.7</v>
      </c>
      <c r="M1195" t="n">
        <v>105.991167403</v>
      </c>
      <c r="N1195" t="n">
        <v>104.519087099</v>
      </c>
      <c r="O1195" t="n">
        <v>111.709309109</v>
      </c>
      <c r="P1195" t="n">
        <v/>
      </c>
      <c r="Q1195" t="n">
        <v>111.318553092</v>
      </c>
      <c r="R1195" t="n">
        <v>103.889134257</v>
      </c>
      <c r="S1195" t="n">
        <v>104.2288451</v>
      </c>
      <c r="T1195" t="n">
        <v>104.633887513</v>
      </c>
      <c r="U1195" t="n">
        <v/>
      </c>
      <c r="V1195" t="n">
        <v>108.700358005</v>
      </c>
      <c r="W1195" t="n">
        <v>110.009167431</v>
      </c>
      <c r="X1195" t="n">
        <v>114.780645682</v>
      </c>
      <c r="Y1195" t="n">
        <v/>
      </c>
      <c r="Z1195" t="n">
        <v>97.78370271599999</v>
      </c>
      <c r="AA1195" t="n">
        <v/>
      </c>
      <c r="AB1195" t="n">
        <v>99.67213114800001</v>
      </c>
      <c r="AC1195" t="n">
        <v>107.191067411</v>
      </c>
      <c r="AD1195" t="n">
        <v>103.591367386</v>
      </c>
      <c r="AE1195" t="n">
        <v>108.5</v>
      </c>
      <c r="AF1195" t="n">
        <v>101.391550704</v>
      </c>
      <c r="AG1195" t="n">
        <v>113.5</v>
      </c>
      <c r="AH1195" t="n">
        <v/>
      </c>
      <c r="AI1195" t="n">
        <v>103.291392384</v>
      </c>
      <c r="AJ1195" t="n">
        <v>104.150504267</v>
      </c>
      <c r="AK1195" t="n">
        <v/>
      </c>
      <c r="AL1195" t="n">
        <v>105.431135684</v>
      </c>
      <c r="AM1195" t="n">
        <v>117.3</v>
      </c>
      <c r="AN1195" t="n">
        <v>106.319114007</v>
      </c>
      <c r="AO1195" t="n">
        <v>110.2</v>
      </c>
      <c r="AP1195" t="n">
        <v>111.709309109</v>
      </c>
      <c r="AQ1195" t="n">
        <v>118.909909159</v>
      </c>
      <c r="AR1195" t="n">
        <v>110.490792434</v>
      </c>
      <c r="AS1195" t="n">
        <v>113.490542455</v>
      </c>
      <c r="AT1195" t="n">
        <v>102.381901863</v>
      </c>
      <c r="AU1195" t="n">
        <v/>
      </c>
    </row>
    <row r="1196">
      <c r="A1196" s="105" t="n">
        <v>43282</v>
      </c>
      <c r="B1196" t="n">
        <v>112.9</v>
      </c>
      <c r="C1196" t="n">
        <v>109.190900758</v>
      </c>
      <c r="D1196" t="n">
        <v>98.834510888</v>
      </c>
      <c r="E1196" t="n">
        <v>110.266487243</v>
      </c>
      <c r="F1196" t="n">
        <v>110.4</v>
      </c>
      <c r="G1196" t="n">
        <v/>
      </c>
      <c r="H1196" t="n">
        <v>101.106065456</v>
      </c>
      <c r="I1196" t="n">
        <v>113.29055912</v>
      </c>
      <c r="J1196" t="n">
        <v>115.480753208</v>
      </c>
      <c r="K1196" t="n">
        <v>104.708725727</v>
      </c>
      <c r="L1196" t="n">
        <v>107.8</v>
      </c>
      <c r="M1196" t="n">
        <v>104.791267394</v>
      </c>
      <c r="N1196" t="n">
        <v>104.611087176</v>
      </c>
      <c r="O1196" t="n">
        <v>111.209267439</v>
      </c>
      <c r="P1196" t="n">
        <v/>
      </c>
      <c r="Q1196" t="n">
        <v>109.818303051</v>
      </c>
      <c r="R1196" t="n">
        <v>103.679136007</v>
      </c>
      <c r="S1196" t="n">
        <v>104.003856869</v>
      </c>
      <c r="T1196" t="n">
        <v>103.784931022</v>
      </c>
      <c r="U1196" t="n">
        <v/>
      </c>
      <c r="V1196" t="n">
        <v>109.099991674</v>
      </c>
      <c r="W1196" t="n">
        <v>106.908909076</v>
      </c>
      <c r="X1196" t="n">
        <v>113.573102923</v>
      </c>
      <c r="Y1196" t="n">
        <v/>
      </c>
      <c r="Z1196" t="n">
        <v>92.48458590200001</v>
      </c>
      <c r="AA1196" t="n">
        <v/>
      </c>
      <c r="AB1196" t="n">
        <v>102.107728337</v>
      </c>
      <c r="AC1196" t="n">
        <v>106.09115907</v>
      </c>
      <c r="AD1196" t="n">
        <v>103.791350721</v>
      </c>
      <c r="AE1196" t="n">
        <v>108.3</v>
      </c>
      <c r="AF1196" t="n">
        <v>102.69144238</v>
      </c>
      <c r="AG1196" t="n">
        <v>117.2</v>
      </c>
      <c r="AH1196" t="n">
        <v/>
      </c>
      <c r="AI1196" t="n">
        <v>101.791517374</v>
      </c>
      <c r="AJ1196" t="n">
        <v>101.939487975</v>
      </c>
      <c r="AK1196" t="n">
        <v/>
      </c>
      <c r="AL1196" t="n">
        <v>105.181057368</v>
      </c>
      <c r="AM1196" t="n">
        <v>116.9</v>
      </c>
      <c r="AN1196" t="n">
        <v>107.799101674</v>
      </c>
      <c r="AO1196" t="n">
        <v>109.9</v>
      </c>
      <c r="AP1196" t="n">
        <v>110.009167431</v>
      </c>
      <c r="AQ1196" t="n">
        <v>120.510042504</v>
      </c>
      <c r="AR1196" t="n">
        <v>105.891175735</v>
      </c>
      <c r="AS1196" t="n">
        <v>116.190317474</v>
      </c>
      <c r="AT1196" t="n">
        <v>102.588151457</v>
      </c>
      <c r="AU1196" t="n">
        <v/>
      </c>
    </row>
    <row r="1197">
      <c r="A1197" s="105" t="n">
        <v>43313</v>
      </c>
      <c r="B1197" t="n">
        <v>113.1</v>
      </c>
      <c r="C1197" t="n">
        <v>112.190650779</v>
      </c>
      <c r="D1197" t="n">
        <v>97.96405069799999</v>
      </c>
      <c r="E1197" t="n">
        <v>110.547126855</v>
      </c>
      <c r="F1197" t="n">
        <v>111</v>
      </c>
      <c r="G1197" t="n">
        <v/>
      </c>
      <c r="H1197" t="n">
        <v>100.669449884</v>
      </c>
      <c r="I1197" t="n">
        <v>112.790600783</v>
      </c>
      <c r="J1197" t="n">
        <v>112.981169805</v>
      </c>
      <c r="K1197" t="n">
        <v>105.708809067</v>
      </c>
      <c r="L1197" t="n">
        <v>106.4</v>
      </c>
      <c r="M1197" t="n">
        <v>106.09115907</v>
      </c>
      <c r="N1197" t="n">
        <v>105.40808784</v>
      </c>
      <c r="O1197" t="n">
        <v>111.809317443</v>
      </c>
      <c r="P1197" t="n">
        <v/>
      </c>
      <c r="Q1197" t="n">
        <v>110.218369728</v>
      </c>
      <c r="R1197" t="n">
        <v>103.949133757</v>
      </c>
      <c r="S1197" t="n">
        <v>104.551980756</v>
      </c>
      <c r="T1197" t="n">
        <v>104.527767952</v>
      </c>
      <c r="U1197" t="n">
        <v/>
      </c>
      <c r="V1197" t="n">
        <v>109.299808509</v>
      </c>
      <c r="W1197" t="n">
        <v>111.509292441</v>
      </c>
      <c r="X1197" t="n">
        <v>115.380214967</v>
      </c>
      <c r="Y1197" t="n">
        <v/>
      </c>
      <c r="Z1197" t="n">
        <v>99.983336111</v>
      </c>
      <c r="AA1197" t="n">
        <v/>
      </c>
      <c r="AB1197" t="n">
        <v>104.730679157</v>
      </c>
      <c r="AC1197" t="n">
        <v>106.891092409</v>
      </c>
      <c r="AD1197" t="n">
        <v>103.591367386</v>
      </c>
      <c r="AE1197" t="n">
        <v>109.1</v>
      </c>
      <c r="AF1197" t="n">
        <v>102.091492376</v>
      </c>
      <c r="AG1197" t="n">
        <v>118.4</v>
      </c>
      <c r="AH1197" t="n">
        <v/>
      </c>
      <c r="AI1197" t="n">
        <v>102.69144238</v>
      </c>
      <c r="AJ1197" t="n">
        <v>104.150504267</v>
      </c>
      <c r="AK1197" t="n">
        <v/>
      </c>
      <c r="AL1197" t="n">
        <v>105.873384379</v>
      </c>
      <c r="AM1197" t="n">
        <v>119.1</v>
      </c>
      <c r="AN1197" t="n">
        <v>109.339088841</v>
      </c>
      <c r="AO1197" t="n">
        <v>109.6</v>
      </c>
      <c r="AP1197" t="n">
        <v>115.409617468</v>
      </c>
      <c r="AQ1197" t="n">
        <v>123.010250854</v>
      </c>
      <c r="AR1197" t="n">
        <v>108.490959087</v>
      </c>
      <c r="AS1197" t="n">
        <v>115.890342471</v>
      </c>
      <c r="AT1197" t="n">
        <v>103.303480578</v>
      </c>
      <c r="AU1197" t="n">
        <v/>
      </c>
    </row>
    <row r="1198">
      <c r="A1198" s="105" t="n">
        <v>43344</v>
      </c>
      <c r="B1198" t="n">
        <v>114.3</v>
      </c>
      <c r="C1198" t="n">
        <v>106.391134072</v>
      </c>
      <c r="D1198" t="n">
        <v>95.338665608</v>
      </c>
      <c r="E1198" t="n">
        <v>110.176061896</v>
      </c>
      <c r="F1198" t="n">
        <v>109.7</v>
      </c>
      <c r="G1198" t="n">
        <v/>
      </c>
      <c r="H1198" t="n">
        <v>99.78181113799999</v>
      </c>
      <c r="I1198" t="n">
        <v>113.990500792</v>
      </c>
      <c r="J1198" t="n">
        <v>114.180969838</v>
      </c>
      <c r="K1198" t="n">
        <v>105.008750729</v>
      </c>
      <c r="L1198" t="n">
        <v>107.2</v>
      </c>
      <c r="M1198" t="n">
        <v>105.191234064</v>
      </c>
      <c r="N1198" t="n">
        <v>105.287087739</v>
      </c>
      <c r="O1198" t="n">
        <v>112.209350779</v>
      </c>
      <c r="P1198" t="n">
        <v/>
      </c>
      <c r="Q1198" t="n">
        <v>113.118853142</v>
      </c>
      <c r="R1198" t="n">
        <v>102.879142674</v>
      </c>
      <c r="S1198" t="n">
        <v>104.353374579</v>
      </c>
      <c r="T1198" t="n">
        <v>104.740007075</v>
      </c>
      <c r="U1198" t="n">
        <v/>
      </c>
      <c r="V1198" t="n">
        <v>107.80118225</v>
      </c>
      <c r="W1198" t="n">
        <v>108.50904242</v>
      </c>
      <c r="X1198" t="n">
        <v>116.272841183</v>
      </c>
      <c r="Y1198" t="n">
        <v/>
      </c>
      <c r="Z1198" t="n">
        <v>98.283619397</v>
      </c>
      <c r="AA1198" t="n">
        <v/>
      </c>
      <c r="AB1198" t="n">
        <v>100.421545667</v>
      </c>
      <c r="AC1198" t="n">
        <v>107.091075744</v>
      </c>
      <c r="AD1198" t="n">
        <v>103.291392384</v>
      </c>
      <c r="AE1198" t="n">
        <v>106.1</v>
      </c>
      <c r="AF1198" t="n">
        <v>100.891592367</v>
      </c>
      <c r="AG1198" t="n">
        <v>113.7</v>
      </c>
      <c r="AH1198" t="n">
        <v/>
      </c>
      <c r="AI1198" t="n">
        <v>102.791434047</v>
      </c>
      <c r="AJ1198" t="n">
        <v>102.055857254</v>
      </c>
      <c r="AK1198" t="n">
        <v/>
      </c>
      <c r="AL1198" t="n">
        <v>105.253302702</v>
      </c>
      <c r="AM1198" t="n">
        <v>117.9</v>
      </c>
      <c r="AN1198" t="n">
        <v>106.669111091</v>
      </c>
      <c r="AO1198" t="n">
        <v>110.1</v>
      </c>
      <c r="AP1198" t="n">
        <v>114.20951746</v>
      </c>
      <c r="AQ1198" t="n">
        <v>116.609717476</v>
      </c>
      <c r="AR1198" t="n">
        <v>108.590950754</v>
      </c>
      <c r="AS1198" t="n">
        <v>112.190650779</v>
      </c>
      <c r="AT1198" t="n">
        <v>103.289895869</v>
      </c>
      <c r="AU1198" t="n">
        <v/>
      </c>
    </row>
    <row r="1199">
      <c r="A1199" s="105" t="n">
        <v>43374</v>
      </c>
      <c r="B1199" t="n">
        <v>116.2</v>
      </c>
      <c r="C1199" t="n">
        <v>106.391134072</v>
      </c>
      <c r="D1199" t="n">
        <v>96.50307759099999</v>
      </c>
      <c r="E1199" t="n">
        <v>110.359052835</v>
      </c>
      <c r="F1199" t="n">
        <v>115.7</v>
      </c>
      <c r="G1199" t="n">
        <v/>
      </c>
      <c r="H1199" t="n">
        <v>99.93362643099999</v>
      </c>
      <c r="I1199" t="n">
        <v>116.290309141</v>
      </c>
      <c r="J1199" t="n">
        <v>112.981169805</v>
      </c>
      <c r="K1199" t="n">
        <v>105.008750729</v>
      </c>
      <c r="L1199" t="n">
        <v>109.7</v>
      </c>
      <c r="M1199" t="n">
        <v>106.191150737</v>
      </c>
      <c r="N1199" t="n">
        <v>106.241088534</v>
      </c>
      <c r="O1199" t="n">
        <v>112.409367447</v>
      </c>
      <c r="P1199" t="n">
        <v/>
      </c>
      <c r="Q1199" t="n">
        <v>111.218536423</v>
      </c>
      <c r="R1199" t="n">
        <v>103.979133507</v>
      </c>
      <c r="S1199" t="n">
        <v>104.641179484</v>
      </c>
      <c r="T1199" t="n">
        <v>103.678811461</v>
      </c>
      <c r="U1199" t="n">
        <v/>
      </c>
      <c r="V1199" t="n">
        <v>107.80118225</v>
      </c>
      <c r="W1199" t="n">
        <v>111.209267439</v>
      </c>
      <c r="X1199" t="n">
        <v>119.16063876</v>
      </c>
      <c r="Y1199" t="n">
        <v/>
      </c>
      <c r="Z1199" t="n">
        <v>110.581569738</v>
      </c>
      <c r="AA1199" t="n">
        <v/>
      </c>
      <c r="AB1199" t="n">
        <v>99.297423888</v>
      </c>
      <c r="AC1199" t="n">
        <v>106.791100742</v>
      </c>
      <c r="AD1199" t="n">
        <v>105.291225731</v>
      </c>
      <c r="AE1199" t="n">
        <v>107.7</v>
      </c>
      <c r="AF1199" t="n">
        <v>103.791350721</v>
      </c>
      <c r="AG1199" t="n">
        <v>114.6</v>
      </c>
      <c r="AH1199" t="n">
        <v/>
      </c>
      <c r="AI1199" t="n">
        <v>103.191400717</v>
      </c>
      <c r="AJ1199" t="n">
        <v>103.335919317</v>
      </c>
      <c r="AK1199" t="n">
        <v/>
      </c>
      <c r="AL1199" t="n">
        <v>105.768012968</v>
      </c>
      <c r="AM1199" t="n">
        <v>118.9</v>
      </c>
      <c r="AN1199" t="n">
        <v>106.469112757</v>
      </c>
      <c r="AO1199" t="n">
        <v>110.3</v>
      </c>
      <c r="AP1199" t="n">
        <v>115.909659138</v>
      </c>
      <c r="AQ1199" t="n">
        <v>126.210517543</v>
      </c>
      <c r="AR1199" t="n">
        <v>111.590700775</v>
      </c>
      <c r="AS1199" t="n">
        <v>109.89084243</v>
      </c>
      <c r="AT1199" t="n">
        <v>103.171996461</v>
      </c>
      <c r="AU1199" t="n">
        <v/>
      </c>
    </row>
    <row r="1200">
      <c r="A1200" s="105" t="n">
        <v>43405</v>
      </c>
      <c r="B1200" t="n">
        <v>115.4</v>
      </c>
      <c r="C1200" t="n">
        <v>112.090659112</v>
      </c>
      <c r="D1200" t="n">
        <v>96.41036370400001</v>
      </c>
      <c r="E1200" t="n">
        <v>109.392999794</v>
      </c>
      <c r="F1200" t="n">
        <v>114.9</v>
      </c>
      <c r="G1200" t="n">
        <v/>
      </c>
      <c r="H1200" t="n">
        <v>103.957772802</v>
      </c>
      <c r="I1200" t="n">
        <v>115.1904008</v>
      </c>
      <c r="J1200" t="n">
        <v>114.380936511</v>
      </c>
      <c r="K1200" t="n">
        <v>103.008584049</v>
      </c>
      <c r="L1200" t="n">
        <v>110.4</v>
      </c>
      <c r="M1200" t="n">
        <v>104.19131739</v>
      </c>
      <c r="N1200" t="n">
        <v>104.635087196</v>
      </c>
      <c r="O1200" t="n">
        <v>116.409700808</v>
      </c>
      <c r="P1200" t="n">
        <v/>
      </c>
      <c r="Q1200" t="n">
        <v>111.118519753</v>
      </c>
      <c r="R1200" t="n">
        <v>102.699144174</v>
      </c>
      <c r="S1200" t="n">
        <v>103.887115169</v>
      </c>
      <c r="T1200" t="n">
        <v>103.5726919</v>
      </c>
      <c r="U1200" t="n">
        <v/>
      </c>
      <c r="V1200" t="n">
        <v>112.097244193</v>
      </c>
      <c r="W1200" t="n">
        <v>110.309192433</v>
      </c>
      <c r="X1200" t="n">
        <v>115.2903867</v>
      </c>
      <c r="Y1200" t="n">
        <v/>
      </c>
      <c r="Z1200" t="n">
        <v>94.98416930499999</v>
      </c>
      <c r="AA1200" t="n">
        <v/>
      </c>
      <c r="AB1200" t="n">
        <v>98.36065573800001</v>
      </c>
      <c r="AC1200" t="n">
        <v>104.991250729</v>
      </c>
      <c r="AD1200" t="n">
        <v>104.091325723</v>
      </c>
      <c r="AE1200" t="n">
        <v>105.7</v>
      </c>
      <c r="AF1200" t="n">
        <v>102.791434047</v>
      </c>
      <c r="AG1200" t="n">
        <v>115.8</v>
      </c>
      <c r="AH1200" t="n">
        <v/>
      </c>
      <c r="AI1200" t="n">
        <v>103.491375719</v>
      </c>
      <c r="AJ1200" t="n">
        <v>100.77579519</v>
      </c>
      <c r="AK1200" t="n">
        <v/>
      </c>
      <c r="AL1200" t="n">
        <v>104.979915778</v>
      </c>
      <c r="AM1200" t="n">
        <v>117.9</v>
      </c>
      <c r="AN1200" t="n">
        <v>103.12914059</v>
      </c>
      <c r="AO1200" t="n">
        <v>110.2</v>
      </c>
      <c r="AP1200" t="n">
        <v>112.609384115</v>
      </c>
      <c r="AQ1200" t="n">
        <v>123.210267522</v>
      </c>
      <c r="AR1200" t="n">
        <v>110.090825765</v>
      </c>
      <c r="AS1200" t="n">
        <v>109.690859095</v>
      </c>
      <c r="AT1200" t="n">
        <v>103.085431127</v>
      </c>
      <c r="AU1200" t="n">
        <v/>
      </c>
    </row>
    <row r="1201">
      <c r="A1201" s="105" t="n">
        <v>43435</v>
      </c>
      <c r="B1201" t="n">
        <v>119</v>
      </c>
      <c r="C1201" t="n">
        <v>107.191067411</v>
      </c>
      <c r="D1201" t="n">
        <v>96.650411307</v>
      </c>
      <c r="E1201" t="n">
        <v>108.653277651</v>
      </c>
      <c r="F1201" t="n">
        <v>116.5</v>
      </c>
      <c r="G1201" t="n">
        <v/>
      </c>
      <c r="H1201" t="n">
        <v>102.274322815</v>
      </c>
      <c r="I1201" t="n">
        <v>117.490209149</v>
      </c>
      <c r="J1201" t="n">
        <v>114.280953174</v>
      </c>
      <c r="K1201" t="n">
        <v>103.908659055</v>
      </c>
      <c r="L1201" t="n">
        <v>118.9</v>
      </c>
      <c r="M1201" t="n">
        <v>104.491292392</v>
      </c>
      <c r="N1201" t="n">
        <v>104.276086897</v>
      </c>
      <c r="O1201" t="n">
        <v>116.909742479</v>
      </c>
      <c r="P1201" t="n">
        <v/>
      </c>
      <c r="Q1201" t="n">
        <v>112.718786464</v>
      </c>
      <c r="R1201" t="n">
        <v>104.249131257</v>
      </c>
      <c r="S1201" t="n">
        <v>104.085885014</v>
      </c>
      <c r="T1201" t="n">
        <v>103.784931022</v>
      </c>
      <c r="U1201" t="n">
        <v/>
      </c>
      <c r="V1201" t="n">
        <v>110.099075847</v>
      </c>
      <c r="W1201" t="n">
        <v>115.809650804</v>
      </c>
      <c r="X1201" t="n">
        <v>115.451915323</v>
      </c>
      <c r="Y1201" t="n">
        <v/>
      </c>
      <c r="Z1201" t="n">
        <v>93.084485919</v>
      </c>
      <c r="AA1201" t="n">
        <v/>
      </c>
      <c r="AB1201" t="n">
        <v>100.327868852</v>
      </c>
      <c r="AC1201" t="n">
        <v>105.391217399</v>
      </c>
      <c r="AD1201" t="n">
        <v>104.391300725</v>
      </c>
      <c r="AE1201" t="n">
        <v>103.9</v>
      </c>
      <c r="AF1201" t="n">
        <v>104.19131739</v>
      </c>
      <c r="AG1201" t="n">
        <v>119</v>
      </c>
      <c r="AH1201" t="n">
        <v/>
      </c>
      <c r="AI1201" t="n">
        <v>100.7916007</v>
      </c>
      <c r="AJ1201" t="n">
        <v>100.310318076</v>
      </c>
      <c r="AK1201" t="n">
        <v/>
      </c>
      <c r="AL1201" t="n">
        <v>105.00061129</v>
      </c>
      <c r="AM1201" t="n">
        <v>119.2</v>
      </c>
      <c r="AN1201" t="n">
        <v>103.06914109</v>
      </c>
      <c r="AO1201" t="n">
        <v>111.2</v>
      </c>
      <c r="AP1201" t="n">
        <v>115.509625802</v>
      </c>
      <c r="AQ1201" t="n">
        <v>114.70955913</v>
      </c>
      <c r="AR1201" t="n">
        <v>111.490709108</v>
      </c>
      <c r="AS1201" t="n">
        <v>107.891009083</v>
      </c>
      <c r="AT1201" t="n">
        <v>102.994899454</v>
      </c>
      <c r="AU1201" t="n">
        <v/>
      </c>
    </row>
    <row r="1202">
      <c r="A1202" s="105" t="n">
        <v>43466</v>
      </c>
      <c r="B1202" t="n">
        <v>118</v>
      </c>
      <c r="C1202" t="n">
        <v>112.490625781</v>
      </c>
      <c r="D1202" t="n">
        <v>96.03363991400001</v>
      </c>
      <c r="E1202" t="n">
        <v>107.505838856</v>
      </c>
      <c r="F1202" t="n">
        <v>115.8</v>
      </c>
      <c r="G1202" t="n">
        <v/>
      </c>
      <c r="H1202" t="n">
        <v>99.750768303</v>
      </c>
      <c r="I1202" t="n">
        <v>117.290225815</v>
      </c>
      <c r="J1202" t="n">
        <v>113.081153141</v>
      </c>
      <c r="K1202" t="n">
        <v>103.608634053</v>
      </c>
      <c r="L1202" t="n">
        <v>110</v>
      </c>
      <c r="M1202" t="n">
        <v>105.591200733</v>
      </c>
      <c r="N1202" t="n">
        <v>107.394089495</v>
      </c>
      <c r="O1202" t="n">
        <v>127.810650888</v>
      </c>
      <c r="P1202" t="n">
        <v/>
      </c>
      <c r="Q1202" t="n">
        <v>113.418903151</v>
      </c>
      <c r="R1202" t="n">
        <v>104.599128341</v>
      </c>
      <c r="S1202" t="n">
        <v>103.484520135</v>
      </c>
      <c r="T1202" t="n">
        <v>104.846126636</v>
      </c>
      <c r="U1202" t="n">
        <v/>
      </c>
      <c r="V1202" t="n">
        <v>111.397885272</v>
      </c>
      <c r="W1202" t="n">
        <v>114.70955913</v>
      </c>
      <c r="X1202" t="n">
        <v>114.726965092</v>
      </c>
      <c r="Y1202" t="n">
        <v/>
      </c>
      <c r="Z1202" t="n">
        <v>96.883852691</v>
      </c>
      <c r="AA1202" t="n">
        <v/>
      </c>
      <c r="AB1202" t="n">
        <v>102.107728337</v>
      </c>
      <c r="AC1202" t="n">
        <v>106.291142405</v>
      </c>
      <c r="AD1202" t="n">
        <v>102.391467378</v>
      </c>
      <c r="AE1202" t="n">
        <v>105.4</v>
      </c>
      <c r="AF1202" t="n">
        <v>101.491542371</v>
      </c>
      <c r="AG1202" t="n">
        <v>117.2</v>
      </c>
      <c r="AH1202" t="n">
        <v/>
      </c>
      <c r="AI1202" t="n">
        <v>103.991334055</v>
      </c>
      <c r="AJ1202" t="n">
        <v>98.44840962000001</v>
      </c>
      <c r="AK1202" t="n">
        <v/>
      </c>
      <c r="AL1202" t="n">
        <v>104.874082625</v>
      </c>
      <c r="AM1202" t="n">
        <v>120.2</v>
      </c>
      <c r="AN1202" t="n">
        <v>104.649127924</v>
      </c>
      <c r="AO1202" t="n">
        <v>111.2</v>
      </c>
      <c r="AP1202" t="n">
        <v>113.009417451</v>
      </c>
      <c r="AQ1202" t="n">
        <v>128.61071756</v>
      </c>
      <c r="AR1202" t="n">
        <v>112.790600783</v>
      </c>
      <c r="AS1202" t="n">
        <v>109.790850762</v>
      </c>
      <c r="AT1202" t="n">
        <v>102.399353751</v>
      </c>
      <c r="AU1202" t="n">
        <v/>
      </c>
    </row>
    <row r="1203">
      <c r="A1203" s="105" t="n">
        <v>43497</v>
      </c>
      <c r="B1203" t="n">
        <v>117.5</v>
      </c>
      <c r="C1203" t="n">
        <v>111.990667444</v>
      </c>
      <c r="D1203" t="n">
        <v>96.241076362</v>
      </c>
      <c r="E1203" t="n">
        <v>107.151093264</v>
      </c>
      <c r="F1203" t="n">
        <v>115</v>
      </c>
      <c r="G1203" t="n">
        <v/>
      </c>
      <c r="H1203" t="n">
        <v>99.534489005</v>
      </c>
      <c r="I1203" t="n">
        <v>117.590200817</v>
      </c>
      <c r="J1203" t="n">
        <v>113.281119813</v>
      </c>
      <c r="K1203" t="n">
        <v>103.608634053</v>
      </c>
      <c r="L1203" t="n">
        <v>109.6</v>
      </c>
      <c r="M1203" t="n">
        <v>105.391217399</v>
      </c>
      <c r="N1203" t="n">
        <v>106.647088873</v>
      </c>
      <c r="O1203" t="n">
        <v>122.91024252</v>
      </c>
      <c r="P1203" t="n">
        <v/>
      </c>
      <c r="Q1203" t="n">
        <v>111.318553092</v>
      </c>
      <c r="R1203" t="n">
        <v>104.679127674</v>
      </c>
      <c r="S1203" t="n">
        <v>103.401248974</v>
      </c>
      <c r="T1203" t="n">
        <v>105.482844004</v>
      </c>
      <c r="U1203" t="n">
        <v/>
      </c>
      <c r="V1203" t="n">
        <v>110.099075847</v>
      </c>
      <c r="W1203" t="n">
        <v>114.109509126</v>
      </c>
      <c r="X1203" t="n">
        <v>114.48993487</v>
      </c>
      <c r="Y1203" t="n">
        <v/>
      </c>
      <c r="Z1203" t="n">
        <v>99.58340276600001</v>
      </c>
      <c r="AA1203" t="n">
        <v/>
      </c>
      <c r="AB1203" t="n">
        <v>102.388758782</v>
      </c>
      <c r="AC1203" t="n">
        <v>106.49112574</v>
      </c>
      <c r="AD1203" t="n">
        <v>102.891425715</v>
      </c>
      <c r="AE1203" t="n">
        <v>102.2</v>
      </c>
      <c r="AF1203" t="n">
        <v>100.691609033</v>
      </c>
      <c r="AG1203" t="n">
        <v>116.5</v>
      </c>
      <c r="AH1203" t="n">
        <v/>
      </c>
      <c r="AI1203" t="n">
        <v>102.891425715</v>
      </c>
      <c r="AJ1203" t="n">
        <v>96.237393328</v>
      </c>
      <c r="AK1203" t="n">
        <v/>
      </c>
      <c r="AL1203" t="n">
        <v>104.589117279</v>
      </c>
      <c r="AM1203" t="n">
        <v>121.8</v>
      </c>
      <c r="AN1203" t="n">
        <v>103.109140757</v>
      </c>
      <c r="AO1203" t="n">
        <v>110.9</v>
      </c>
      <c r="AP1203" t="n">
        <v>114.409534128</v>
      </c>
      <c r="AQ1203" t="n">
        <v>124.410367531</v>
      </c>
      <c r="AR1203" t="n">
        <v>111.990667444</v>
      </c>
      <c r="AS1203" t="n">
        <v>110.990750771</v>
      </c>
      <c r="AT1203" t="n">
        <v>101.950463409</v>
      </c>
      <c r="AU1203" t="n">
        <v/>
      </c>
    </row>
    <row r="1204">
      <c r="A1204" s="105" t="n">
        <v>43525</v>
      </c>
      <c r="B1204" t="n">
        <v>116.8</v>
      </c>
      <c r="C1204" t="n">
        <v>110.790767436</v>
      </c>
      <c r="D1204" t="n">
        <v>95.865915969</v>
      </c>
      <c r="E1204" t="n">
        <v>108.826637488</v>
      </c>
      <c r="F1204" t="n">
        <v>115.2</v>
      </c>
      <c r="G1204" t="n">
        <v/>
      </c>
      <c r="H1204" t="n">
        <v>99.546755737</v>
      </c>
      <c r="I1204" t="n">
        <v>117.590200817</v>
      </c>
      <c r="J1204" t="n">
        <v>113.681053158</v>
      </c>
      <c r="K1204" t="n">
        <v>104.408700725</v>
      </c>
      <c r="L1204" t="n">
        <v>112.3</v>
      </c>
      <c r="M1204" t="n">
        <v>105.491209066</v>
      </c>
      <c r="N1204" t="n">
        <v>106.329088608</v>
      </c>
      <c r="O1204" t="n">
        <v>125.410450871</v>
      </c>
      <c r="P1204" t="n">
        <v/>
      </c>
      <c r="Q1204" t="n">
        <v>111.418569762</v>
      </c>
      <c r="R1204" t="n">
        <v>104.439129674</v>
      </c>
      <c r="S1204" t="n">
        <v>103.554733893</v>
      </c>
      <c r="T1204" t="n">
        <v>106.437920057</v>
      </c>
      <c r="U1204" t="n">
        <v/>
      </c>
      <c r="V1204" t="n">
        <v>107.901090667</v>
      </c>
      <c r="W1204" t="n">
        <v>116.009667472</v>
      </c>
      <c r="X1204" t="n">
        <v>116.268834953</v>
      </c>
      <c r="Y1204" t="n">
        <v/>
      </c>
      <c r="Z1204" t="n">
        <v>100.583236127</v>
      </c>
      <c r="AA1204" t="n">
        <v/>
      </c>
      <c r="AB1204" t="n">
        <v>103.325526932</v>
      </c>
      <c r="AC1204" t="n">
        <v>105.591200733</v>
      </c>
      <c r="AD1204" t="n">
        <v>102.491459045</v>
      </c>
      <c r="AE1204" t="n">
        <v>104.1</v>
      </c>
      <c r="AF1204" t="n">
        <v>101.791517374</v>
      </c>
      <c r="AG1204" t="n">
        <v>117.9</v>
      </c>
      <c r="AH1204" t="n">
        <v/>
      </c>
      <c r="AI1204" t="n">
        <v>103.391384051</v>
      </c>
      <c r="AJ1204" t="n">
        <v>95.422808379</v>
      </c>
      <c r="AK1204" t="n">
        <v/>
      </c>
      <c r="AL1204" t="n">
        <v>104.925035858</v>
      </c>
      <c r="AM1204" t="n">
        <v>121.6</v>
      </c>
      <c r="AN1204" t="n">
        <v>102.809143257</v>
      </c>
      <c r="AO1204" t="n">
        <v>111.2</v>
      </c>
      <c r="AP1204" t="n">
        <v>117.409784149</v>
      </c>
      <c r="AQ1204" t="n">
        <v>121.010084174</v>
      </c>
      <c r="AR1204" t="n">
        <v>110.190817432</v>
      </c>
      <c r="AS1204" t="n">
        <v>114.390467461</v>
      </c>
      <c r="AT1204" t="n">
        <v>102.034053989</v>
      </c>
      <c r="AU1204" t="n">
        <v/>
      </c>
    </row>
    <row r="1205">
      <c r="A1205" s="105" t="n">
        <v>43556</v>
      </c>
      <c r="B1205" t="n">
        <v>114.4</v>
      </c>
      <c r="C1205" t="n">
        <v>117.09024248</v>
      </c>
      <c r="D1205" t="n">
        <v>96.195517632</v>
      </c>
      <c r="E1205" t="n">
        <v>111.055970079</v>
      </c>
      <c r="F1205" t="n">
        <v>116.1</v>
      </c>
      <c r="G1205" t="n">
        <v/>
      </c>
      <c r="H1205" t="n">
        <v>101.604918293</v>
      </c>
      <c r="I1205" t="n">
        <v>115.090409133</v>
      </c>
      <c r="J1205" t="n">
        <v>114.980836527</v>
      </c>
      <c r="K1205" t="n">
        <v>102.808567381</v>
      </c>
      <c r="L1205" t="n">
        <v>113</v>
      </c>
      <c r="M1205" t="n">
        <v>104.791267394</v>
      </c>
      <c r="N1205" t="n">
        <v>106.436088697</v>
      </c>
      <c r="O1205" t="n">
        <v>124.710392533</v>
      </c>
      <c r="P1205" t="n">
        <v/>
      </c>
      <c r="Q1205" t="n">
        <v>114.819136523</v>
      </c>
      <c r="R1205" t="n">
        <v>104.839126341</v>
      </c>
      <c r="S1205" t="n">
        <v>103.045677853</v>
      </c>
      <c r="T1205" t="n">
        <v>103.997170145</v>
      </c>
      <c r="U1205" t="n">
        <v/>
      </c>
      <c r="V1205" t="n">
        <v>109.99916743</v>
      </c>
      <c r="W1205" t="n">
        <v>115.809650804</v>
      </c>
      <c r="X1205" t="n">
        <v>116.125935703</v>
      </c>
      <c r="Y1205" t="n">
        <v/>
      </c>
      <c r="Z1205" t="n">
        <v>100.083319447</v>
      </c>
      <c r="AA1205" t="n">
        <v/>
      </c>
      <c r="AB1205" t="n">
        <v>104.449648712</v>
      </c>
      <c r="AC1205" t="n">
        <v>103.991334055</v>
      </c>
      <c r="AD1205" t="n">
        <v>102.69144238</v>
      </c>
      <c r="AE1205" t="n">
        <v>106.1</v>
      </c>
      <c r="AF1205" t="n">
        <v>101.291559037</v>
      </c>
      <c r="AG1205" t="n">
        <v>114</v>
      </c>
      <c r="AH1205" t="n">
        <v/>
      </c>
      <c r="AI1205" t="n">
        <v>102.29147571</v>
      </c>
      <c r="AJ1205" t="n">
        <v>96.470131885</v>
      </c>
      <c r="AK1205" t="n">
        <v/>
      </c>
      <c r="AL1205" t="n">
        <v>104.817090647</v>
      </c>
      <c r="AM1205" t="n">
        <v>122.5</v>
      </c>
      <c r="AN1205" t="n">
        <v>105.839118007</v>
      </c>
      <c r="AO1205" t="n">
        <v>113.3</v>
      </c>
      <c r="AP1205" t="n">
        <v>116.309692474</v>
      </c>
      <c r="AQ1205" t="n">
        <v>131.710975915</v>
      </c>
      <c r="AR1205" t="n">
        <v>111.590700775</v>
      </c>
      <c r="AS1205" t="n">
        <v>113.69052579</v>
      </c>
      <c r="AT1205" t="n">
        <v>101.521008124</v>
      </c>
      <c r="AU1205" t="n">
        <v/>
      </c>
    </row>
    <row r="1206">
      <c r="A1206" s="105" t="n">
        <v>43586</v>
      </c>
      <c r="B1206" t="n">
        <v>114.6</v>
      </c>
      <c r="C1206" t="n">
        <v>112.590617449</v>
      </c>
      <c r="D1206" t="n">
        <v>96.067153875</v>
      </c>
      <c r="E1206" t="n">
        <v>111.160307018</v>
      </c>
      <c r="F1206" t="n">
        <v>117.2</v>
      </c>
      <c r="G1206" t="n">
        <v/>
      </c>
      <c r="H1206" t="n">
        <v>101.920250438</v>
      </c>
      <c r="I1206" t="n">
        <v>115.490375802</v>
      </c>
      <c r="J1206" t="n">
        <v>117.780369938</v>
      </c>
      <c r="K1206" t="n">
        <v>103.508625719</v>
      </c>
      <c r="L1206" t="n">
        <v>118.3</v>
      </c>
      <c r="M1206" t="n">
        <v>105.391217399</v>
      </c>
      <c r="N1206" t="n">
        <v>106.758088965</v>
      </c>
      <c r="O1206" t="n">
        <v>126.010500875</v>
      </c>
      <c r="P1206" t="n">
        <v/>
      </c>
      <c r="Q1206" t="n">
        <v>111.918653109</v>
      </c>
      <c r="R1206" t="n">
        <v>106.189115091</v>
      </c>
      <c r="S1206" t="n">
        <v>103.738983515</v>
      </c>
      <c r="T1206" t="n">
        <v>105.270604882</v>
      </c>
      <c r="U1206" t="n">
        <v/>
      </c>
      <c r="V1206" t="n">
        <v>108.600449588</v>
      </c>
      <c r="W1206" t="n">
        <v>118.709892491</v>
      </c>
      <c r="X1206" t="n">
        <v>117.852248102</v>
      </c>
      <c r="Y1206" t="n">
        <v/>
      </c>
      <c r="Z1206" t="n">
        <v>99.08348608599999</v>
      </c>
      <c r="AA1206" t="n">
        <v/>
      </c>
      <c r="AB1206" t="n">
        <v>102.857142857</v>
      </c>
      <c r="AC1206" t="n">
        <v>106.291142405</v>
      </c>
      <c r="AD1206" t="n">
        <v>103.891342388</v>
      </c>
      <c r="AE1206" t="n">
        <v>105.9</v>
      </c>
      <c r="AF1206" t="n">
        <v>100.591617365</v>
      </c>
      <c r="AG1206" t="n">
        <v>116.5</v>
      </c>
      <c r="AH1206" t="n">
        <v/>
      </c>
      <c r="AI1206" t="n">
        <v>102.69144238</v>
      </c>
      <c r="AJ1206" t="n">
        <v>96.586501164</v>
      </c>
      <c r="AK1206" t="n">
        <v/>
      </c>
      <c r="AL1206" t="n">
        <v>105.359208937</v>
      </c>
      <c r="AM1206" t="n">
        <v>122.3</v>
      </c>
      <c r="AN1206" t="n">
        <v>106.369113591</v>
      </c>
      <c r="AO1206" t="n">
        <v>112.9</v>
      </c>
      <c r="AP1206" t="n">
        <v>116.20968414</v>
      </c>
      <c r="AQ1206" t="n">
        <v>126.410534211</v>
      </c>
      <c r="AR1206" t="n">
        <v>112.190650779</v>
      </c>
      <c r="AS1206" t="n">
        <v>114.690442463</v>
      </c>
      <c r="AT1206" t="n">
        <v>101.712383949</v>
      </c>
      <c r="AU1206" t="n">
        <v/>
      </c>
    </row>
    <row r="1207">
      <c r="A1207" s="105" t="n">
        <v>43617</v>
      </c>
      <c r="B1207" t="n">
        <v>115.6</v>
      </c>
      <c r="C1207" t="n">
        <v>116.790267478</v>
      </c>
      <c r="D1207" t="n">
        <v>95.303863495</v>
      </c>
      <c r="E1207" t="n">
        <v>110.269965141</v>
      </c>
      <c r="F1207" t="n">
        <v>119.6</v>
      </c>
      <c r="G1207" t="n">
        <v/>
      </c>
      <c r="H1207" t="n">
        <v>100.213180814</v>
      </c>
      <c r="I1207" t="n">
        <v>115.890342471</v>
      </c>
      <c r="J1207" t="n">
        <v>112.381269788</v>
      </c>
      <c r="K1207" t="n">
        <v>102.608550713</v>
      </c>
      <c r="L1207" t="n">
        <v>110.7</v>
      </c>
      <c r="M1207" t="n">
        <v>104.491292392</v>
      </c>
      <c r="N1207" t="n">
        <v>106.043088369</v>
      </c>
      <c r="O1207" t="n">
        <v>117.609800817</v>
      </c>
      <c r="P1207" t="n">
        <v/>
      </c>
      <c r="Q1207" t="n">
        <v>114.219036506</v>
      </c>
      <c r="R1207" t="n">
        <v>103.689135924</v>
      </c>
      <c r="S1207" t="n">
        <v>103.011501645</v>
      </c>
      <c r="T1207" t="n">
        <v>105.588963566</v>
      </c>
      <c r="U1207" t="n">
        <v/>
      </c>
      <c r="V1207" t="n">
        <v>108.200815919</v>
      </c>
      <c r="W1207" t="n">
        <v>114.809567464</v>
      </c>
      <c r="X1207" t="n">
        <v>116.797166247</v>
      </c>
      <c r="Y1207" t="n">
        <v/>
      </c>
      <c r="Z1207" t="n">
        <v>100.383269455</v>
      </c>
      <c r="AA1207" t="n">
        <v/>
      </c>
      <c r="AB1207" t="n">
        <v>102.107728337</v>
      </c>
      <c r="AC1207" t="n">
        <v>106.09115907</v>
      </c>
      <c r="AD1207" t="n">
        <v>101.391550704</v>
      </c>
      <c r="AE1207" t="n">
        <v>106.4</v>
      </c>
      <c r="AF1207" t="n">
        <v>98.391800683</v>
      </c>
      <c r="AG1207" t="n">
        <v>116.7</v>
      </c>
      <c r="AH1207" t="n">
        <v/>
      </c>
      <c r="AI1207" t="n">
        <v>101.591534039</v>
      </c>
      <c r="AJ1207" t="n">
        <v>95.539177657</v>
      </c>
      <c r="AK1207" t="n">
        <v/>
      </c>
      <c r="AL1207" t="n">
        <v>104.455416991</v>
      </c>
      <c r="AM1207" t="n">
        <v>119.5</v>
      </c>
      <c r="AN1207" t="n">
        <v>100.72916059</v>
      </c>
      <c r="AO1207" t="n">
        <v>114.7</v>
      </c>
      <c r="AP1207" t="n">
        <v>111.909325777</v>
      </c>
      <c r="AQ1207" t="n">
        <v>116.809734145</v>
      </c>
      <c r="AR1207" t="n">
        <v>111.990667444</v>
      </c>
      <c r="AS1207" t="n">
        <v>109.790850762</v>
      </c>
      <c r="AT1207" t="n">
        <v>101.729439204</v>
      </c>
      <c r="AU1207" t="n">
        <v/>
      </c>
    </row>
    <row r="1208">
      <c r="A1208" s="105" t="n">
        <v>43647</v>
      </c>
      <c r="B1208" t="n">
        <v>114.9</v>
      </c>
      <c r="C1208" t="n">
        <v>109.090909091</v>
      </c>
      <c r="D1208" t="n">
        <v>94.61462531700001</v>
      </c>
      <c r="E1208" t="n">
        <v>108.403939121</v>
      </c>
      <c r="F1208" t="n">
        <v>118.3</v>
      </c>
      <c r="G1208" t="n">
        <v/>
      </c>
      <c r="H1208" t="n">
        <v>100.933578402</v>
      </c>
      <c r="I1208" t="n">
        <v>115.590367469</v>
      </c>
      <c r="J1208" t="n">
        <v>112.181303116</v>
      </c>
      <c r="K1208" t="n">
        <v>102.008500708</v>
      </c>
      <c r="L1208" t="n">
        <v>113.4</v>
      </c>
      <c r="M1208" t="n">
        <v>104.291309058</v>
      </c>
      <c r="N1208" t="n">
        <v>105.281087734</v>
      </c>
      <c r="O1208" t="n">
        <v>114.309525794</v>
      </c>
      <c r="P1208" t="n">
        <v/>
      </c>
      <c r="Q1208" t="n">
        <v>115.119186531</v>
      </c>
      <c r="R1208" t="n">
        <v>104.129132257</v>
      </c>
      <c r="S1208" t="n">
        <v>102.769631166</v>
      </c>
      <c r="T1208" t="n">
        <v>106.013441811</v>
      </c>
      <c r="U1208" t="n">
        <v/>
      </c>
      <c r="V1208" t="n">
        <v>106.402464408</v>
      </c>
      <c r="W1208" t="n">
        <v>116.809734145</v>
      </c>
      <c r="X1208" t="n">
        <v>118.547379374</v>
      </c>
      <c r="Y1208" t="n">
        <v/>
      </c>
      <c r="Z1208" t="n">
        <v>102.58290285</v>
      </c>
      <c r="AA1208" t="n">
        <v/>
      </c>
      <c r="AB1208" t="n">
        <v>106.323185012</v>
      </c>
      <c r="AC1208" t="n">
        <v>106.191150737</v>
      </c>
      <c r="AD1208" t="n">
        <v>101.791517374</v>
      </c>
      <c r="AE1208" t="n">
        <v>108.6</v>
      </c>
      <c r="AF1208" t="n">
        <v>98.591784018</v>
      </c>
      <c r="AG1208" t="n">
        <v>114.9</v>
      </c>
      <c r="AH1208" t="n">
        <v/>
      </c>
      <c r="AI1208" t="n">
        <v>101.691525706</v>
      </c>
      <c r="AJ1208" t="n">
        <v>96.237393328</v>
      </c>
      <c r="AK1208" t="n">
        <v/>
      </c>
      <c r="AL1208" t="n">
        <v>104.625825065</v>
      </c>
      <c r="AM1208" t="n">
        <v>120.5</v>
      </c>
      <c r="AN1208" t="n">
        <v>106.409113257</v>
      </c>
      <c r="AO1208" t="n">
        <v>114.1</v>
      </c>
      <c r="AP1208" t="n">
        <v>110.609217435</v>
      </c>
      <c r="AQ1208" t="n">
        <v>130.210850904</v>
      </c>
      <c r="AR1208" t="n">
        <v>112.390634114</v>
      </c>
      <c r="AS1208" t="n">
        <v>114.79043413</v>
      </c>
      <c r="AT1208" t="n">
        <v>101.34113468</v>
      </c>
      <c r="AU1208" t="n">
        <v/>
      </c>
    </row>
    <row r="1209">
      <c r="A1209" s="105" t="n">
        <v>43678</v>
      </c>
      <c r="B1209" t="n">
        <v>114</v>
      </c>
      <c r="C1209" t="n">
        <v>117.290225815</v>
      </c>
      <c r="D1209" t="n">
        <v>95.622312188</v>
      </c>
      <c r="E1209" t="n">
        <v>108.656755549</v>
      </c>
      <c r="F1209" t="n">
        <v>118.7</v>
      </c>
      <c r="G1209" t="n">
        <v/>
      </c>
      <c r="H1209" t="n">
        <v>102.465933833</v>
      </c>
      <c r="I1209" t="n">
        <v>113.390550787</v>
      </c>
      <c r="J1209" t="n">
        <v>112.581236461</v>
      </c>
      <c r="K1209" t="n">
        <v>102.208517376</v>
      </c>
      <c r="L1209" t="n">
        <v>110.3</v>
      </c>
      <c r="M1209" t="n">
        <v>104.391300725</v>
      </c>
      <c r="N1209" t="n">
        <v>106.029088358</v>
      </c>
      <c r="O1209" t="n">
        <v>119.009917493</v>
      </c>
      <c r="P1209" t="n">
        <v/>
      </c>
      <c r="Q1209" t="n">
        <v>113.918986498</v>
      </c>
      <c r="R1209" t="n">
        <v>102.909142424</v>
      </c>
      <c r="S1209" t="n">
        <v>102.737359277</v>
      </c>
      <c r="T1209" t="n">
        <v>105.376724443</v>
      </c>
      <c r="U1209" t="n">
        <v/>
      </c>
      <c r="V1209" t="n">
        <v>109.099991674</v>
      </c>
      <c r="W1209" t="n">
        <v>115.109592466</v>
      </c>
      <c r="X1209" t="n">
        <v>114.054283523</v>
      </c>
      <c r="Y1209" t="n">
        <v/>
      </c>
      <c r="Z1209" t="n">
        <v>103.582736211</v>
      </c>
      <c r="AA1209" t="n">
        <v/>
      </c>
      <c r="AB1209" t="n">
        <v>105.199063232</v>
      </c>
      <c r="AC1209" t="n">
        <v>105.191234064</v>
      </c>
      <c r="AD1209" t="n">
        <v>100.491625698</v>
      </c>
      <c r="AE1209" t="n">
        <v>106.6</v>
      </c>
      <c r="AF1209" t="n">
        <v>101.291559037</v>
      </c>
      <c r="AG1209" t="n">
        <v>119.3</v>
      </c>
      <c r="AH1209" t="n">
        <v/>
      </c>
      <c r="AI1209" t="n">
        <v>101.891509041</v>
      </c>
      <c r="AJ1209" t="n">
        <v>94.375484872</v>
      </c>
      <c r="AK1209" t="n">
        <v/>
      </c>
      <c r="AL1209" t="n">
        <v>104.415494405</v>
      </c>
      <c r="AM1209" t="n">
        <v>120.4</v>
      </c>
      <c r="AN1209" t="n">
        <v>103.529137257</v>
      </c>
      <c r="AO1209" t="n">
        <v>114.7</v>
      </c>
      <c r="AP1209" t="n">
        <v>108.809067422</v>
      </c>
      <c r="AQ1209" t="n">
        <v>121.010084174</v>
      </c>
      <c r="AR1209" t="n">
        <v>112.890592451</v>
      </c>
      <c r="AS1209" t="n">
        <v>111.590700775</v>
      </c>
      <c r="AT1209" t="n">
        <v>102.042581617</v>
      </c>
      <c r="AU1209" t="n">
        <v/>
      </c>
    </row>
    <row r="1210">
      <c r="A1210" s="105" t="n">
        <v>43709</v>
      </c>
      <c r="B1210" t="n">
        <v>114.8</v>
      </c>
      <c r="C1210" t="n">
        <v>114.890425798</v>
      </c>
      <c r="D1210" t="n">
        <v>95.62920434900001</v>
      </c>
      <c r="E1210" t="n">
        <v>108.279537386</v>
      </c>
      <c r="F1210" t="n">
        <v>121</v>
      </c>
      <c r="G1210" t="n">
        <v/>
      </c>
      <c r="H1210" t="n">
        <v>100.822559625</v>
      </c>
      <c r="I1210" t="n">
        <v>114.490459128</v>
      </c>
      <c r="J1210" t="n">
        <v>112.781203133</v>
      </c>
      <c r="K1210" t="n">
        <v>101.408450704</v>
      </c>
      <c r="L1210" t="n">
        <v>112.2</v>
      </c>
      <c r="M1210" t="n">
        <v>104.391300725</v>
      </c>
      <c r="N1210" t="n">
        <v>105.511087926</v>
      </c>
      <c r="O1210" t="n">
        <v>117.109759147</v>
      </c>
      <c r="P1210" t="n">
        <v/>
      </c>
      <c r="Q1210" t="n">
        <v>114.019003167</v>
      </c>
      <c r="R1210" t="n">
        <v>103.879134341</v>
      </c>
      <c r="S1210" t="n">
        <v>102.943377938</v>
      </c>
      <c r="T1210" t="n">
        <v>106.968517863</v>
      </c>
      <c r="U1210" t="n">
        <v/>
      </c>
      <c r="V1210" t="n">
        <v>109.299808509</v>
      </c>
      <c r="W1210" t="n">
        <v>118.509875823</v>
      </c>
      <c r="X1210" t="n">
        <v>111.000832485</v>
      </c>
      <c r="Y1210" t="n">
        <v/>
      </c>
      <c r="Z1210" t="n">
        <v>106.782202966</v>
      </c>
      <c r="AA1210" t="n">
        <v/>
      </c>
      <c r="AB1210" t="n">
        <v>103.793911007</v>
      </c>
      <c r="AC1210" t="n">
        <v>104.991250729</v>
      </c>
      <c r="AD1210" t="n">
        <v>102.491459045</v>
      </c>
      <c r="AE1210" t="n">
        <v>108</v>
      </c>
      <c r="AF1210" t="n">
        <v>98.791767353</v>
      </c>
      <c r="AG1210" t="n">
        <v>120.4</v>
      </c>
      <c r="AH1210" t="n">
        <v/>
      </c>
      <c r="AI1210" t="n">
        <v>103.091409049</v>
      </c>
      <c r="AJ1210" t="n">
        <v>93.560899922</v>
      </c>
      <c r="AK1210" t="n">
        <v/>
      </c>
      <c r="AL1210" t="n">
        <v>104.847994269</v>
      </c>
      <c r="AM1210" t="n">
        <v>121.9</v>
      </c>
      <c r="AN1210" t="n">
        <v>100.84915959</v>
      </c>
      <c r="AO1210" t="n">
        <v>114.6</v>
      </c>
      <c r="AP1210" t="n">
        <v>110.509209101</v>
      </c>
      <c r="AQ1210" t="n">
        <v>122.510209184</v>
      </c>
      <c r="AR1210" t="n">
        <v>112.590617449</v>
      </c>
      <c r="AS1210" t="n">
        <v>115.790350804</v>
      </c>
      <c r="AT1210" t="n">
        <v>101.715755337</v>
      </c>
      <c r="AU1210" t="n">
        <v/>
      </c>
    </row>
    <row r="1211">
      <c r="A1211" s="105" t="n">
        <v>43739</v>
      </c>
      <c r="B1211" t="n">
        <v>114.4</v>
      </c>
      <c r="C1211" t="n">
        <v>111.590700775</v>
      </c>
      <c r="D1211" t="n">
        <v>97.685578745</v>
      </c>
      <c r="E1211" t="n">
        <v>108.672272325</v>
      </c>
      <c r="F1211" t="n">
        <v>120.3</v>
      </c>
      <c r="G1211" t="n">
        <v/>
      </c>
      <c r="H1211" t="n">
        <v>97.693131756</v>
      </c>
      <c r="I1211" t="n">
        <v>114.590450796</v>
      </c>
      <c r="J1211" t="n">
        <v>112.781203133</v>
      </c>
      <c r="K1211" t="n">
        <v>100.708392366</v>
      </c>
      <c r="L1211" t="n">
        <v>109.8</v>
      </c>
      <c r="M1211" t="n">
        <v>104.991250729</v>
      </c>
      <c r="N1211" t="n">
        <v>105.230087692</v>
      </c>
      <c r="O1211" t="n">
        <v>116.309692474</v>
      </c>
      <c r="P1211" t="n">
        <v/>
      </c>
      <c r="Q1211" t="n">
        <v>112.918819803</v>
      </c>
      <c r="R1211" t="n">
        <v>103.699135841</v>
      </c>
      <c r="S1211" t="n">
        <v>101.756705369</v>
      </c>
      <c r="T1211" t="n">
        <v>107.923593916</v>
      </c>
      <c r="U1211" t="n">
        <v/>
      </c>
      <c r="V1211" t="n">
        <v>107.001914911</v>
      </c>
      <c r="W1211" t="n">
        <v>117.609800817</v>
      </c>
      <c r="X1211" t="n">
        <v>111.20680017</v>
      </c>
      <c r="Y1211" t="n">
        <v/>
      </c>
      <c r="Z1211" t="n">
        <v>126.978836861</v>
      </c>
      <c r="AA1211" t="n">
        <v/>
      </c>
      <c r="AB1211" t="n">
        <v>108.852459016</v>
      </c>
      <c r="AC1211" t="n">
        <v>104.291309058</v>
      </c>
      <c r="AD1211" t="n">
        <v>98.291809016</v>
      </c>
      <c r="AE1211" t="n">
        <v>106.9</v>
      </c>
      <c r="AF1211" t="n">
        <v>97.091909008</v>
      </c>
      <c r="AG1211" t="n">
        <v>118.5</v>
      </c>
      <c r="AH1211" t="n">
        <v/>
      </c>
      <c r="AI1211" t="n">
        <v>102.891425715</v>
      </c>
      <c r="AJ1211" t="n">
        <v>97.168347556</v>
      </c>
      <c r="AK1211" t="n">
        <v/>
      </c>
      <c r="AL1211" t="n">
        <v>103.996259164</v>
      </c>
      <c r="AM1211" t="n">
        <v>123.5</v>
      </c>
      <c r="AN1211" t="n">
        <v>104.269131091</v>
      </c>
      <c r="AO1211" t="n">
        <v>114.9</v>
      </c>
      <c r="AP1211" t="n">
        <v>111.209267439</v>
      </c>
      <c r="AQ1211" t="n">
        <v>129.210767564</v>
      </c>
      <c r="AR1211" t="n">
        <v>111.090742438</v>
      </c>
      <c r="AS1211" t="n">
        <v>114.290475794</v>
      </c>
      <c r="AT1211" t="n">
        <v>100.921000291</v>
      </c>
      <c r="AU1211" t="n">
        <v/>
      </c>
    </row>
    <row r="1212">
      <c r="A1212" s="105" t="n">
        <v>43770</v>
      </c>
      <c r="B1212" t="n">
        <v>113.9</v>
      </c>
      <c r="C1212" t="n">
        <v>114.690442463</v>
      </c>
      <c r="D1212" t="n">
        <v>95.57452947</v>
      </c>
      <c r="E1212" t="n">
        <v>107.709429651</v>
      </c>
      <c r="F1212" t="n">
        <v>117.4</v>
      </c>
      <c r="G1212" t="n">
        <v/>
      </c>
      <c r="H1212" t="n">
        <v>100.648251071</v>
      </c>
      <c r="I1212" t="n">
        <v>113.69052579</v>
      </c>
      <c r="J1212" t="n">
        <v>110.981503083</v>
      </c>
      <c r="K1212" t="n">
        <v>100.8084007</v>
      </c>
      <c r="L1212" t="n">
        <v>104.7</v>
      </c>
      <c r="M1212" t="n">
        <v>103.591367386</v>
      </c>
      <c r="N1212" t="n">
        <v>106.241088534</v>
      </c>
      <c r="O1212" t="n">
        <v>118.609884157</v>
      </c>
      <c r="P1212" t="n">
        <v/>
      </c>
      <c r="Q1212" t="n">
        <v>112.618769795</v>
      </c>
      <c r="R1212" t="n">
        <v>103.03914134</v>
      </c>
      <c r="S1212" t="n">
        <v>101.721750755</v>
      </c>
      <c r="T1212" t="n">
        <v>107.605235232</v>
      </c>
      <c r="U1212" t="n">
        <v/>
      </c>
      <c r="V1212" t="n">
        <v>101.107318292</v>
      </c>
      <c r="W1212" t="n">
        <v>116.109675806</v>
      </c>
      <c r="X1212" t="n">
        <v>117.999924452</v>
      </c>
      <c r="Y1212" t="n">
        <v/>
      </c>
      <c r="Z1212" t="n">
        <v>101.983002833</v>
      </c>
      <c r="AA1212" t="n">
        <v/>
      </c>
      <c r="AB1212" t="n">
        <v>107.447306792</v>
      </c>
      <c r="AC1212" t="n">
        <v>104.59128406</v>
      </c>
      <c r="AD1212" t="n">
        <v>97.69185901199999</v>
      </c>
      <c r="AE1212" t="n">
        <v>107.5</v>
      </c>
      <c r="AF1212" t="n">
        <v>96.49195900300001</v>
      </c>
      <c r="AG1212" t="n">
        <v>116.1</v>
      </c>
      <c r="AH1212" t="n">
        <v/>
      </c>
      <c r="AI1212" t="n">
        <v>101.691525706</v>
      </c>
      <c r="AJ1212" t="n">
        <v>100.193948798</v>
      </c>
      <c r="AK1212" t="n">
        <v/>
      </c>
      <c r="AL1212" t="n">
        <v>103.87570898</v>
      </c>
      <c r="AM1212" t="n">
        <v>124.3</v>
      </c>
      <c r="AN1212" t="n">
        <v>103.12914059</v>
      </c>
      <c r="AO1212" t="n">
        <v>112.9</v>
      </c>
      <c r="AP1212" t="n">
        <v>109.809150763</v>
      </c>
      <c r="AQ1212" t="n">
        <v>121.91015918</v>
      </c>
      <c r="AR1212" t="n">
        <v>112.590617449</v>
      </c>
      <c r="AS1212" t="n">
        <v>114.990417465</v>
      </c>
      <c r="AT1212" t="n">
        <v>101.238703992</v>
      </c>
      <c r="AU1212" t="n">
        <v/>
      </c>
    </row>
    <row r="1213">
      <c r="A1213" s="105" t="n">
        <v>43800</v>
      </c>
      <c r="B1213" t="n">
        <v>115.6</v>
      </c>
      <c r="C1213" t="n">
        <v>118.190150821</v>
      </c>
      <c r="D1213" t="n">
        <v>94.73130763100001</v>
      </c>
      <c r="E1213" t="n">
        <v>107.174903488</v>
      </c>
      <c r="F1213" t="n">
        <v>115.1</v>
      </c>
      <c r="G1213" t="n">
        <v/>
      </c>
      <c r="H1213" t="n">
        <v>103.837833063</v>
      </c>
      <c r="I1213" t="n">
        <v>113.490542455</v>
      </c>
      <c r="J1213" t="n">
        <v>110.481586402</v>
      </c>
      <c r="K1213" t="n">
        <v>98.508209017</v>
      </c>
      <c r="L1213" t="n">
        <v>111.6</v>
      </c>
      <c r="M1213" t="n">
        <v>101.791517374</v>
      </c>
      <c r="N1213" t="n">
        <v>104.986087488</v>
      </c>
      <c r="O1213" t="n">
        <v>116.409700808</v>
      </c>
      <c r="P1213" t="n">
        <v/>
      </c>
      <c r="Q1213" t="n">
        <v>111.618603101</v>
      </c>
      <c r="R1213" t="n">
        <v>101.17915684</v>
      </c>
      <c r="S1213" t="n">
        <v>100.981376592</v>
      </c>
      <c r="T1213" t="n">
        <v>107.711354793</v>
      </c>
      <c r="U1213" t="n">
        <v/>
      </c>
      <c r="V1213" t="n">
        <v>105.503288652</v>
      </c>
      <c r="W1213" t="n">
        <v>112.109342445</v>
      </c>
      <c r="X1213" t="n">
        <v>115.456562736</v>
      </c>
      <c r="Y1213" t="n">
        <v/>
      </c>
      <c r="Z1213" t="n">
        <v>95.88401933</v>
      </c>
      <c r="AA1213" t="n">
        <v/>
      </c>
      <c r="AB1213" t="n">
        <v>107.259953162</v>
      </c>
      <c r="AC1213" t="n">
        <v>101.791517374</v>
      </c>
      <c r="AD1213" t="n">
        <v>97.79185067900001</v>
      </c>
      <c r="AE1213" t="n">
        <v>110.5</v>
      </c>
      <c r="AF1213" t="n">
        <v>91.69235897</v>
      </c>
      <c r="AG1213" t="n">
        <v>114.9</v>
      </c>
      <c r="AH1213" t="n">
        <v/>
      </c>
      <c r="AI1213" t="n">
        <v>100.191650696</v>
      </c>
      <c r="AJ1213" t="n">
        <v>101.124903026</v>
      </c>
      <c r="AK1213" t="n">
        <v/>
      </c>
      <c r="AL1213" t="n">
        <v>103.523333348</v>
      </c>
      <c r="AM1213" t="n">
        <v>121.2</v>
      </c>
      <c r="AN1213" t="n">
        <v>106.439113007</v>
      </c>
      <c r="AO1213" t="n">
        <v>112.3</v>
      </c>
      <c r="AP1213" t="n">
        <v>109.50912576</v>
      </c>
      <c r="AQ1213" t="n">
        <v>119.509959163</v>
      </c>
      <c r="AR1213" t="n">
        <v>110.790767436</v>
      </c>
      <c r="AS1213" t="n">
        <v>117.290225815</v>
      </c>
      <c r="AT1213" t="n">
        <v>100.906820631</v>
      </c>
      <c r="AU1213" t="n">
        <v/>
      </c>
    </row>
    <row r="1214">
      <c r="A1214" s="105" t="n">
        <v>43831</v>
      </c>
      <c r="B1214" t="n">
        <v>118.6</v>
      </c>
      <c r="C1214" t="n">
        <v>112.890592451</v>
      </c>
      <c r="D1214" t="n">
        <v>95.935839481</v>
      </c>
      <c r="E1214" t="n">
        <v>107.897503672</v>
      </c>
      <c r="F1214" t="n">
        <v>119.6</v>
      </c>
      <c r="G1214" t="n">
        <v/>
      </c>
      <c r="H1214" t="n">
        <v>102.265127556</v>
      </c>
      <c r="I1214" t="n">
        <v>117.590200817</v>
      </c>
      <c r="J1214" t="n">
        <v>112.381269788</v>
      </c>
      <c r="K1214" t="n">
        <v>101.508459038</v>
      </c>
      <c r="L1214" t="n">
        <v>106.7</v>
      </c>
      <c r="M1214" t="n">
        <v>104.19131739</v>
      </c>
      <c r="N1214" t="n">
        <v>105.733088111</v>
      </c>
      <c r="O1214" t="n">
        <v>117.509792483</v>
      </c>
      <c r="P1214" t="n">
        <v/>
      </c>
      <c r="Q1214" t="n">
        <v>110.418403067</v>
      </c>
      <c r="R1214" t="n">
        <v>101.369155257</v>
      </c>
      <c r="S1214" t="n">
        <v>101.667258941</v>
      </c>
      <c r="T1214" t="n">
        <v>110.045985143</v>
      </c>
      <c r="U1214" t="n">
        <v/>
      </c>
      <c r="V1214" t="n">
        <v>111.597702106</v>
      </c>
      <c r="W1214" t="n">
        <v>118.309859155</v>
      </c>
      <c r="X1214" t="n">
        <v>117.092451048</v>
      </c>
      <c r="Y1214" t="n">
        <v/>
      </c>
      <c r="Z1214" t="n">
        <v>103.982669555</v>
      </c>
      <c r="AA1214" t="n">
        <v/>
      </c>
      <c r="AB1214" t="n">
        <v>107.540983607</v>
      </c>
      <c r="AC1214" t="n">
        <v>105.691192401</v>
      </c>
      <c r="AD1214" t="n">
        <v>98.091825681</v>
      </c>
      <c r="AE1214" t="n">
        <v>108.3</v>
      </c>
      <c r="AF1214" t="n">
        <v>96.291975669</v>
      </c>
      <c r="AG1214" t="n">
        <v>114.6</v>
      </c>
      <c r="AH1214" t="n">
        <v/>
      </c>
      <c r="AI1214" t="n">
        <v>102.69144238</v>
      </c>
      <c r="AJ1214" t="n">
        <v>98.564778898</v>
      </c>
      <c r="AK1214" t="n">
        <v/>
      </c>
      <c r="AL1214" t="n">
        <v>104.139593771</v>
      </c>
      <c r="AM1214" t="n">
        <v>124.3</v>
      </c>
      <c r="AN1214" t="n">
        <v>107.049107924</v>
      </c>
      <c r="AO1214" t="n">
        <v>112.8</v>
      </c>
      <c r="AP1214" t="n">
        <v>115.609634136</v>
      </c>
      <c r="AQ1214" t="n">
        <v>124.910409201</v>
      </c>
      <c r="AR1214" t="n">
        <v>112.190650779</v>
      </c>
      <c r="AS1214" t="n">
        <v>117.190234147</v>
      </c>
      <c r="AT1214" t="n">
        <v>100.450493404</v>
      </c>
      <c r="AU1214" t="n">
        <v/>
      </c>
    </row>
    <row r="1215">
      <c r="A1215" s="105" t="n">
        <v>43862</v>
      </c>
      <c r="B1215" t="n">
        <v>116.6</v>
      </c>
      <c r="C1215" t="n">
        <v>114.390467461</v>
      </c>
      <c r="D1215" t="n">
        <v>96.35575488400001</v>
      </c>
      <c r="E1215" t="n">
        <v>108.769118406</v>
      </c>
      <c r="F1215" t="n">
        <v>116.2</v>
      </c>
      <c r="G1215" t="n">
        <v/>
      </c>
      <c r="H1215" t="n">
        <v>101.528978084</v>
      </c>
      <c r="I1215" t="n">
        <v>115.590367469</v>
      </c>
      <c r="J1215" t="n">
        <v>113.681053158</v>
      </c>
      <c r="K1215" t="n">
        <v>102.808567381</v>
      </c>
      <c r="L1215" t="n">
        <v>108.6</v>
      </c>
      <c r="M1215" t="n">
        <v>103.991334055</v>
      </c>
      <c r="N1215" t="n">
        <v>105.436087863</v>
      </c>
      <c r="O1215" t="n">
        <v>127.710642554</v>
      </c>
      <c r="P1215" t="n">
        <v/>
      </c>
      <c r="Q1215" t="n">
        <v>109.818303051</v>
      </c>
      <c r="R1215" t="n">
        <v>103.499137507</v>
      </c>
      <c r="S1215" t="n">
        <v>102.126417897</v>
      </c>
      <c r="T1215" t="n">
        <v>111.001061196</v>
      </c>
      <c r="U1215" t="n">
        <v/>
      </c>
      <c r="V1215" t="n">
        <v>107.001914911</v>
      </c>
      <c r="W1215" t="n">
        <v>116.009667472</v>
      </c>
      <c r="X1215" t="n">
        <v>116.476266524</v>
      </c>
      <c r="Y1215" t="n">
        <v/>
      </c>
      <c r="Z1215" t="n">
        <v>96.083986002</v>
      </c>
      <c r="AA1215" t="n">
        <v/>
      </c>
      <c r="AB1215" t="n">
        <v>108.477751756</v>
      </c>
      <c r="AC1215" t="n">
        <v>103.291392384</v>
      </c>
      <c r="AD1215" t="n">
        <v>98.391800683</v>
      </c>
      <c r="AE1215" t="n">
        <v>105.5</v>
      </c>
      <c r="AF1215" t="n">
        <v>97.69185901199999</v>
      </c>
      <c r="AG1215" t="n">
        <v>117.4</v>
      </c>
      <c r="AH1215" t="n">
        <v/>
      </c>
      <c r="AI1215" t="n">
        <v>102.69144238</v>
      </c>
      <c r="AJ1215" t="n">
        <v>100.892164469</v>
      </c>
      <c r="AK1215" t="n">
        <v/>
      </c>
      <c r="AL1215" t="n">
        <v>104.33324631</v>
      </c>
      <c r="AM1215" t="n">
        <v>125.8</v>
      </c>
      <c r="AN1215" t="n">
        <v>104.579128507</v>
      </c>
      <c r="AO1215" t="n">
        <v>113.9</v>
      </c>
      <c r="AP1215" t="n">
        <v>114.809567464</v>
      </c>
      <c r="AQ1215" t="n">
        <v>129.6108009</v>
      </c>
      <c r="AR1215" t="n">
        <v>111.590700775</v>
      </c>
      <c r="AS1215" t="n">
        <v>119.590034164</v>
      </c>
      <c r="AT1215" t="n">
        <v>100.847920507</v>
      </c>
      <c r="AU1215" t="n">
        <v/>
      </c>
    </row>
    <row r="1216">
      <c r="A1216" s="105" t="n">
        <v>43891</v>
      </c>
      <c r="B1216" t="n">
        <v>105.7</v>
      </c>
      <c r="C1216" t="n">
        <v>107.59103408</v>
      </c>
      <c r="D1216" t="n">
        <v>88.65594426600001</v>
      </c>
      <c r="E1216" t="n">
        <v>102.07577002</v>
      </c>
      <c r="F1216" t="n">
        <v>112.3</v>
      </c>
      <c r="G1216" t="n">
        <v/>
      </c>
      <c r="H1216" t="n">
        <v>100.319854219</v>
      </c>
      <c r="I1216" t="n">
        <v>107.091075744</v>
      </c>
      <c r="J1216" t="n">
        <v>99.88335277500001</v>
      </c>
      <c r="K1216" t="n">
        <v>91.507625635</v>
      </c>
      <c r="L1216" t="n">
        <v>108</v>
      </c>
      <c r="M1216" t="n">
        <v>92.69227564400001</v>
      </c>
      <c r="N1216" t="n">
        <v>91.497076248</v>
      </c>
      <c r="O1216" t="n">
        <v>117.509792483</v>
      </c>
      <c r="P1216" t="n">
        <v/>
      </c>
      <c r="Q1216" t="n">
        <v>113.818969828</v>
      </c>
      <c r="R1216" t="n">
        <v>85.63928633899999</v>
      </c>
      <c r="S1216" t="n">
        <v>95.01288780599999</v>
      </c>
      <c r="T1216" t="n">
        <v>105.376724443</v>
      </c>
      <c r="U1216" t="n">
        <v/>
      </c>
      <c r="V1216" t="n">
        <v>107.901090667</v>
      </c>
      <c r="W1216" t="n">
        <v>104.208684057</v>
      </c>
      <c r="X1216" t="n">
        <v>94.19591444700001</v>
      </c>
      <c r="Y1216" t="n">
        <v/>
      </c>
      <c r="Z1216" t="n">
        <v>133.177803699</v>
      </c>
      <c r="AA1216" t="n">
        <v/>
      </c>
      <c r="AB1216" t="n">
        <v>97.704918033</v>
      </c>
      <c r="AC1216" t="n">
        <v>74.09382551500001</v>
      </c>
      <c r="AD1216" t="n">
        <v>96.291975669</v>
      </c>
      <c r="AE1216" t="n">
        <v>109.7</v>
      </c>
      <c r="AF1216" t="n">
        <v>79.493375552</v>
      </c>
      <c r="AG1216" t="n">
        <v>114.8</v>
      </c>
      <c r="AH1216" t="n">
        <v/>
      </c>
      <c r="AI1216" t="n">
        <v>100.591617365</v>
      </c>
      <c r="AJ1216" t="n">
        <v>102.404965089</v>
      </c>
      <c r="AK1216" t="n">
        <v/>
      </c>
      <c r="AL1216" t="n">
        <v>98.158291824</v>
      </c>
      <c r="AM1216" t="n">
        <v>115.3</v>
      </c>
      <c r="AN1216" t="n">
        <v>95.979200173</v>
      </c>
      <c r="AO1216" t="n">
        <v>113</v>
      </c>
      <c r="AP1216" t="n">
        <v>93.407783982</v>
      </c>
      <c r="AQ1216" t="n">
        <v>114.109509126</v>
      </c>
      <c r="AR1216" t="n">
        <v>109.89084243</v>
      </c>
      <c r="AS1216" t="n">
        <v>112.790600783</v>
      </c>
      <c r="AT1216" t="n">
        <v>97.05094480699999</v>
      </c>
      <c r="AU1216" t="n">
        <v/>
      </c>
    </row>
    <row r="1217">
      <c r="A1217" s="105" t="n">
        <v>43922</v>
      </c>
      <c r="B1217" t="n">
        <v>89.7</v>
      </c>
      <c r="C1217" t="n">
        <v>94.99208399299999</v>
      </c>
      <c r="D1217" t="n">
        <v>71.269872147</v>
      </c>
      <c r="E1217" t="n">
        <v>88.644930696</v>
      </c>
      <c r="F1217" t="n">
        <v>107.4</v>
      </c>
      <c r="G1217" t="n">
        <v/>
      </c>
      <c r="H1217" t="n">
        <v>97.040790871</v>
      </c>
      <c r="I1217" t="n">
        <v>91.19240063300001</v>
      </c>
      <c r="J1217" t="n">
        <v>75.78736877199999</v>
      </c>
      <c r="K1217" t="n">
        <v>71.105925494</v>
      </c>
      <c r="L1217" t="n">
        <v>103.2</v>
      </c>
      <c r="M1217" t="n">
        <v>74.793767186</v>
      </c>
      <c r="N1217" t="n">
        <v>70.082058402</v>
      </c>
      <c r="O1217" t="n">
        <v>106.608884074</v>
      </c>
      <c r="P1217" t="n">
        <v/>
      </c>
      <c r="Q1217" t="n">
        <v>109.518253042</v>
      </c>
      <c r="R1217" t="n">
        <v>68.10943242099999</v>
      </c>
      <c r="S1217" t="n">
        <v>81.014454058</v>
      </c>
      <c r="T1217" t="n">
        <v>86.16908383400001</v>
      </c>
      <c r="U1217" t="n">
        <v/>
      </c>
      <c r="V1217" t="n">
        <v>98.509699442</v>
      </c>
      <c r="W1217" t="n">
        <v>73.406117176</v>
      </c>
      <c r="X1217" t="n">
        <v>49.610620345</v>
      </c>
      <c r="Y1217" t="n">
        <v/>
      </c>
      <c r="Z1217" t="n">
        <v>108.081986336</v>
      </c>
      <c r="AA1217" t="n">
        <v/>
      </c>
      <c r="AB1217" t="n">
        <v>99.297423888</v>
      </c>
      <c r="AC1217" t="n">
        <v>58.095158737</v>
      </c>
      <c r="AD1217" t="n">
        <v>87.09274227100001</v>
      </c>
      <c r="AE1217" t="n">
        <v>103.9</v>
      </c>
      <c r="AF1217" t="n">
        <v>68.39430047499999</v>
      </c>
      <c r="AG1217" t="n">
        <v>103.1</v>
      </c>
      <c r="AH1217" t="n">
        <v/>
      </c>
      <c r="AI1217" t="n">
        <v>94.292142321</v>
      </c>
      <c r="AJ1217" t="n">
        <v>101.939487975</v>
      </c>
      <c r="AK1217" t="n">
        <v/>
      </c>
      <c r="AL1217" t="n">
        <v>83.914755767</v>
      </c>
      <c r="AM1217" t="n">
        <v>91.7</v>
      </c>
      <c r="AN1217" t="n">
        <v>74.449379589</v>
      </c>
      <c r="AO1217" t="n">
        <v>108.4</v>
      </c>
      <c r="AP1217" t="n">
        <v>67.905658805</v>
      </c>
      <c r="AQ1217" t="n">
        <v>95.70797566500001</v>
      </c>
      <c r="AR1217" t="n">
        <v>93.092242313</v>
      </c>
      <c r="AS1217" t="n">
        <v>79.593367219</v>
      </c>
      <c r="AT1217" t="n">
        <v>84.244034916</v>
      </c>
      <c r="AU1217" t="n">
        <v/>
      </c>
    </row>
    <row r="1218">
      <c r="A1218" s="105" t="n">
        <v>43952</v>
      </c>
      <c r="B1218" t="n">
        <v>98.5</v>
      </c>
      <c r="C1218" t="n">
        <v>107.291059078</v>
      </c>
      <c r="D1218" t="n">
        <v>76.852677165</v>
      </c>
      <c r="E1218" t="n">
        <v>92.631671879</v>
      </c>
      <c r="F1218" t="n">
        <v>103.6</v>
      </c>
      <c r="G1218" t="n">
        <v/>
      </c>
      <c r="H1218" t="n">
        <v>97.27985771100001</v>
      </c>
      <c r="I1218" t="n">
        <v>98.99175068700001</v>
      </c>
      <c r="J1218" t="n">
        <v>89.585069155</v>
      </c>
      <c r="K1218" t="n">
        <v>79.806650554</v>
      </c>
      <c r="L1218" t="n">
        <v>100.7</v>
      </c>
      <c r="M1218" t="n">
        <v>85.392883926</v>
      </c>
      <c r="N1218" t="n">
        <v>81.077067564</v>
      </c>
      <c r="O1218" t="n">
        <v>106.00883407</v>
      </c>
      <c r="P1218" t="n">
        <v/>
      </c>
      <c r="Q1218" t="n">
        <v>106.617769628</v>
      </c>
      <c r="R1218" t="n">
        <v>81.389321756</v>
      </c>
      <c r="S1218" t="n">
        <v>84.14514506099999</v>
      </c>
      <c r="T1218" t="n">
        <v>92.642377078</v>
      </c>
      <c r="U1218" t="n">
        <v/>
      </c>
      <c r="V1218" t="n">
        <v>100.008325701</v>
      </c>
      <c r="W1218" t="n">
        <v>86.20718393200001</v>
      </c>
      <c r="X1218" t="n">
        <v>79.076804216</v>
      </c>
      <c r="Y1218" t="n">
        <v/>
      </c>
      <c r="Z1218" t="n">
        <v>103.08281953</v>
      </c>
      <c r="AA1218" t="n">
        <v/>
      </c>
      <c r="AB1218" t="n">
        <v>103.325526932</v>
      </c>
      <c r="AC1218" t="n">
        <v>84.49295892000001</v>
      </c>
      <c r="AD1218" t="n">
        <v>78.293475544</v>
      </c>
      <c r="AE1218" t="n">
        <v>96.3</v>
      </c>
      <c r="AF1218" t="n">
        <v>78.793433881</v>
      </c>
      <c r="AG1218" t="n">
        <v>109</v>
      </c>
      <c r="AH1218" t="n">
        <v/>
      </c>
      <c r="AI1218" t="n">
        <v>94.192150654</v>
      </c>
      <c r="AJ1218" t="n">
        <v>100.543056633</v>
      </c>
      <c r="AK1218" t="n">
        <v/>
      </c>
      <c r="AL1218" t="n">
        <v>87.211512872</v>
      </c>
      <c r="AM1218" t="n">
        <v>103.5</v>
      </c>
      <c r="AN1218" t="n">
        <v>76.839359672</v>
      </c>
      <c r="AO1218" t="n">
        <v>105.5</v>
      </c>
      <c r="AP1218" t="n">
        <v>81.90682556900001</v>
      </c>
      <c r="AQ1218" t="n">
        <v>102.408534045</v>
      </c>
      <c r="AR1218" t="n">
        <v>93.092242313</v>
      </c>
      <c r="AS1218" t="n">
        <v>94.792100658</v>
      </c>
      <c r="AT1218" t="n">
        <v>85.60795951599999</v>
      </c>
      <c r="AU1218" t="n">
        <v/>
      </c>
    </row>
    <row r="1219">
      <c r="A1219" s="105" t="n">
        <v>43983</v>
      </c>
      <c r="B1219" t="n">
        <v>104.9</v>
      </c>
      <c r="C1219" t="n">
        <v>103.891342388</v>
      </c>
      <c r="D1219" t="n">
        <v>84.46582931099999</v>
      </c>
      <c r="E1219" t="n">
        <v>96.572130266</v>
      </c>
      <c r="F1219" t="n">
        <v>108.6</v>
      </c>
      <c r="G1219" t="n">
        <v/>
      </c>
      <c r="H1219" t="n">
        <v>96.133661847</v>
      </c>
      <c r="I1219" t="n">
        <v>105.091242396</v>
      </c>
      <c r="J1219" t="n">
        <v>101.483086152</v>
      </c>
      <c r="K1219" t="n">
        <v>89.507458955</v>
      </c>
      <c r="L1219" t="n">
        <v>106.2</v>
      </c>
      <c r="M1219" t="n">
        <v>94.092158987</v>
      </c>
      <c r="N1219" t="n">
        <v>90.163075136</v>
      </c>
      <c r="O1219" t="n">
        <v>115.109592466</v>
      </c>
      <c r="P1219" t="n">
        <v/>
      </c>
      <c r="Q1219" t="n">
        <v>107.117852975</v>
      </c>
      <c r="R1219" t="n">
        <v>91.40923825599999</v>
      </c>
      <c r="S1219" t="n">
        <v>90.368108564</v>
      </c>
      <c r="T1219" t="n">
        <v>103.466572338</v>
      </c>
      <c r="U1219" t="n">
        <v/>
      </c>
      <c r="V1219" t="n">
        <v>103.00557822</v>
      </c>
      <c r="W1219" t="n">
        <v>101.408450704</v>
      </c>
      <c r="X1219" t="n">
        <v>97.291537975</v>
      </c>
      <c r="Y1219" t="n">
        <v/>
      </c>
      <c r="Z1219" t="n">
        <v>123.779370105</v>
      </c>
      <c r="AA1219" t="n">
        <v/>
      </c>
      <c r="AB1219" t="n">
        <v>108.290398126</v>
      </c>
      <c r="AC1219" t="n">
        <v>91.592367303</v>
      </c>
      <c r="AD1219" t="n">
        <v>82.093158903</v>
      </c>
      <c r="AE1219" t="n">
        <v>103.6</v>
      </c>
      <c r="AF1219" t="n">
        <v>85.392883926</v>
      </c>
      <c r="AG1219" t="n">
        <v>114.5</v>
      </c>
      <c r="AH1219" t="n">
        <v/>
      </c>
      <c r="AI1219" t="n">
        <v>95.292058995</v>
      </c>
      <c r="AJ1219" t="n">
        <v>99.728471683</v>
      </c>
      <c r="AK1219" t="n">
        <v/>
      </c>
      <c r="AL1219" t="n">
        <v>93.78410055800001</v>
      </c>
      <c r="AM1219" t="n">
        <v>114.3</v>
      </c>
      <c r="AN1219" t="n">
        <v>85.83928467299999</v>
      </c>
      <c r="AO1219" t="n">
        <v>106.4</v>
      </c>
      <c r="AP1219" t="n">
        <v>99.908325694</v>
      </c>
      <c r="AQ1219" t="n">
        <v>110.509209101</v>
      </c>
      <c r="AR1219" t="n">
        <v>99.391717357</v>
      </c>
      <c r="AS1219" t="n">
        <v>109.790850762</v>
      </c>
      <c r="AT1219" t="n">
        <v>90.98016649</v>
      </c>
      <c r="AU1219" t="n">
        <v/>
      </c>
    </row>
    <row r="1220">
      <c r="A1220" s="105" t="n">
        <v>44013</v>
      </c>
      <c r="B1220" t="n">
        <v>110.3</v>
      </c>
      <c r="C1220" t="n">
        <v>109.290892426</v>
      </c>
      <c r="D1220" t="n">
        <v>92.022049559</v>
      </c>
      <c r="E1220" t="n">
        <v>99.238340347</v>
      </c>
      <c r="F1220" t="n">
        <v>111.9</v>
      </c>
      <c r="G1220" t="n">
        <v/>
      </c>
      <c r="H1220" t="n">
        <v>97.397159233</v>
      </c>
      <c r="I1220" t="n">
        <v>110.690775769</v>
      </c>
      <c r="J1220" t="n">
        <v>106.882186302</v>
      </c>
      <c r="K1220" t="n">
        <v>91.60763396900001</v>
      </c>
      <c r="L1220" t="n">
        <v>100.9</v>
      </c>
      <c r="M1220" t="n">
        <v>98.491792351</v>
      </c>
      <c r="N1220" t="n">
        <v>97.268081057</v>
      </c>
      <c r="O1220" t="n">
        <v>116.609717476</v>
      </c>
      <c r="P1220" t="n">
        <v/>
      </c>
      <c r="Q1220" t="n">
        <v>109.018169695</v>
      </c>
      <c r="R1220" t="n">
        <v>94.889209257</v>
      </c>
      <c r="S1220" t="n">
        <v>94.257242035</v>
      </c>
      <c r="T1220" t="n">
        <v>109.197028652</v>
      </c>
      <c r="U1220" t="n">
        <v/>
      </c>
      <c r="V1220" t="n">
        <v>106.202647573</v>
      </c>
      <c r="W1220" t="n">
        <v>108.309025752</v>
      </c>
      <c r="X1220" t="n">
        <v>105.683224633</v>
      </c>
      <c r="Y1220" t="n">
        <v/>
      </c>
      <c r="Z1220" t="n">
        <v>135.97733711</v>
      </c>
      <c r="AA1220" t="n">
        <v/>
      </c>
      <c r="AB1220" t="n">
        <v>105.761124122</v>
      </c>
      <c r="AC1220" t="n">
        <v>97.891842346</v>
      </c>
      <c r="AD1220" t="n">
        <v>87.39271727400001</v>
      </c>
      <c r="AE1220" t="n">
        <v>105.5</v>
      </c>
      <c r="AF1220" t="n">
        <v>91.19240063300001</v>
      </c>
      <c r="AG1220" t="n">
        <v>114.8</v>
      </c>
      <c r="AH1220" t="n">
        <v/>
      </c>
      <c r="AI1220" t="n">
        <v>97.79185067900001</v>
      </c>
      <c r="AJ1220" t="n">
        <v>101.474010861</v>
      </c>
      <c r="AK1220" t="n">
        <v/>
      </c>
      <c r="AL1220" t="n">
        <v>97.99690296</v>
      </c>
      <c r="AM1220" t="n">
        <v>121.4</v>
      </c>
      <c r="AN1220" t="n">
        <v>97.919184007</v>
      </c>
      <c r="AO1220" t="n">
        <v>108.2</v>
      </c>
      <c r="AP1220" t="n">
        <v>104.108675723</v>
      </c>
      <c r="AQ1220" t="n">
        <v>122.610217518</v>
      </c>
      <c r="AR1220" t="n">
        <v>102.991417382</v>
      </c>
      <c r="AS1220" t="n">
        <v>121.689859178</v>
      </c>
      <c r="AT1220" t="n">
        <v>94.442383234</v>
      </c>
      <c r="AU1220" t="n">
        <v/>
      </c>
    </row>
    <row r="1221">
      <c r="A1221" s="105" t="n">
        <v>44044</v>
      </c>
      <c r="B1221" t="n">
        <v>110.9</v>
      </c>
      <c r="C1221" t="n">
        <v>109.990834097</v>
      </c>
      <c r="D1221" t="n">
        <v>94.93578243100001</v>
      </c>
      <c r="E1221" t="n">
        <v>98.896168694</v>
      </c>
      <c r="F1221" t="n">
        <v>113.1</v>
      </c>
      <c r="G1221" t="n">
        <v/>
      </c>
      <c r="H1221" t="n">
        <v>97.922892805</v>
      </c>
      <c r="I1221" t="n">
        <v>110.490792434</v>
      </c>
      <c r="J1221" t="n">
        <v>109.981669722</v>
      </c>
      <c r="K1221" t="n">
        <v>90.707558963</v>
      </c>
      <c r="L1221" t="n">
        <v>104.8</v>
      </c>
      <c r="M1221" t="n">
        <v>98.291809016</v>
      </c>
      <c r="N1221" t="n">
        <v>100.142083452</v>
      </c>
      <c r="O1221" t="n">
        <v>116.70972581</v>
      </c>
      <c r="P1221" t="n">
        <v/>
      </c>
      <c r="Q1221" t="n">
        <v>110.418403067</v>
      </c>
      <c r="R1221" t="n">
        <v>95.339205507</v>
      </c>
      <c r="S1221" t="n">
        <v>95.532079592</v>
      </c>
      <c r="T1221" t="n">
        <v>111.31941988</v>
      </c>
      <c r="U1221" t="n">
        <v/>
      </c>
      <c r="V1221" t="n">
        <v>105.403380235</v>
      </c>
      <c r="W1221" t="n">
        <v>115.309609134</v>
      </c>
      <c r="X1221" t="n">
        <v>106.158262462</v>
      </c>
      <c r="Y1221" t="n">
        <v/>
      </c>
      <c r="Z1221" t="n">
        <v>108.881853024</v>
      </c>
      <c r="AA1221" t="n">
        <v/>
      </c>
      <c r="AB1221" t="n">
        <v>108.665105386</v>
      </c>
      <c r="AC1221" t="n">
        <v>104.291309058</v>
      </c>
      <c r="AD1221" t="n">
        <v>89.89250895799999</v>
      </c>
      <c r="AE1221" t="n">
        <v>106.3</v>
      </c>
      <c r="AF1221" t="n">
        <v>90.89242563099999</v>
      </c>
      <c r="AG1221" t="n">
        <v>116.3</v>
      </c>
      <c r="AH1221" t="n">
        <v/>
      </c>
      <c r="AI1221" t="n">
        <v>97.79185067900001</v>
      </c>
      <c r="AJ1221" t="n">
        <v>102.870442203</v>
      </c>
      <c r="AK1221" t="n">
        <v/>
      </c>
      <c r="AL1221" t="n">
        <v>99.257355444</v>
      </c>
      <c r="AM1221" t="n">
        <v>122.5</v>
      </c>
      <c r="AN1221" t="n">
        <v>106.979108507</v>
      </c>
      <c r="AO1221" t="n">
        <v>111</v>
      </c>
      <c r="AP1221" t="n">
        <v>110.009167431</v>
      </c>
      <c r="AQ1221" t="n">
        <v>117.809817485</v>
      </c>
      <c r="AR1221" t="n">
        <v>111.190734105</v>
      </c>
      <c r="AS1221" t="n">
        <v>123.189734189</v>
      </c>
      <c r="AT1221" t="n">
        <v>95.308433212</v>
      </c>
      <c r="AU1221" t="n">
        <v/>
      </c>
    </row>
    <row r="1222">
      <c r="A1222" s="105" t="n">
        <v>44075</v>
      </c>
      <c r="B1222" t="n">
        <v>113.9</v>
      </c>
      <c r="C1222" t="n">
        <v>109.89084243</v>
      </c>
      <c r="D1222" t="n">
        <v>97.55924079899999</v>
      </c>
      <c r="E1222" t="n">
        <v>100.288398</v>
      </c>
      <c r="F1222" t="n">
        <v>115.8</v>
      </c>
      <c r="G1222" t="n">
        <v/>
      </c>
      <c r="H1222" t="n">
        <v>100.037202651</v>
      </c>
      <c r="I1222" t="n">
        <v>112.990584118</v>
      </c>
      <c r="J1222" t="n">
        <v>111.381436427</v>
      </c>
      <c r="K1222" t="n">
        <v>93.60780065</v>
      </c>
      <c r="L1222" t="n">
        <v>107</v>
      </c>
      <c r="M1222" t="n">
        <v>98.591784018</v>
      </c>
      <c r="N1222" t="n">
        <v>101.902084918</v>
      </c>
      <c r="O1222" t="n">
        <v>119.109925827</v>
      </c>
      <c r="P1222" t="n">
        <v/>
      </c>
      <c r="Q1222" t="n">
        <v>107.817969662</v>
      </c>
      <c r="R1222" t="n">
        <v>97.07919100700001</v>
      </c>
      <c r="S1222" t="n">
        <v>96.269005913</v>
      </c>
      <c r="T1222" t="n">
        <v>113.017332862</v>
      </c>
      <c r="U1222" t="n">
        <v/>
      </c>
      <c r="V1222" t="n">
        <v>106.502372825</v>
      </c>
      <c r="W1222" t="n">
        <v>117.109759147</v>
      </c>
      <c r="X1222" t="n">
        <v>112.184622476</v>
      </c>
      <c r="Y1222" t="n">
        <v/>
      </c>
      <c r="Z1222" t="n">
        <v>99.283452758</v>
      </c>
      <c r="AA1222" t="n">
        <v/>
      </c>
      <c r="AB1222" t="n">
        <v>109.695550351</v>
      </c>
      <c r="AC1222" t="n">
        <v>100.191650696</v>
      </c>
      <c r="AD1222" t="n">
        <v>91.992333972</v>
      </c>
      <c r="AE1222" t="n">
        <v>109.6</v>
      </c>
      <c r="AF1222" t="n">
        <v>93.59220065</v>
      </c>
      <c r="AG1222" t="n">
        <v>116.9</v>
      </c>
      <c r="AH1222" t="n">
        <v/>
      </c>
      <c r="AI1222" t="n">
        <v>98.491792351</v>
      </c>
      <c r="AJ1222" t="n">
        <v>101.008533747</v>
      </c>
      <c r="AK1222" t="n">
        <v/>
      </c>
      <c r="AL1222" t="n">
        <v>100.214333132</v>
      </c>
      <c r="AM1222" t="n">
        <v>126.1</v>
      </c>
      <c r="AN1222" t="n">
        <v>103.919134007</v>
      </c>
      <c r="AO1222" t="n">
        <v>110</v>
      </c>
      <c r="AP1222" t="n">
        <v>113.70947579</v>
      </c>
      <c r="AQ1222" t="n">
        <v>122.510209184</v>
      </c>
      <c r="AR1222" t="n">
        <v>110.190817432</v>
      </c>
      <c r="AS1222" t="n">
        <v>125.589534205</v>
      </c>
      <c r="AT1222" t="n">
        <v>95.26262200399999</v>
      </c>
      <c r="AU1222" t="n">
        <v/>
      </c>
    </row>
    <row r="1223">
      <c r="A1223" s="105" t="n">
        <v>44105</v>
      </c>
      <c r="B1223" t="n">
        <v>115.1</v>
      </c>
      <c r="C1223" t="n">
        <v>116.990250812</v>
      </c>
      <c r="D1223" t="n">
        <v>98.885849785</v>
      </c>
      <c r="E1223" t="n">
        <v>100.537469</v>
      </c>
      <c r="F1223" t="n">
        <v>113.4</v>
      </c>
      <c r="G1223" t="n">
        <v/>
      </c>
      <c r="H1223" t="n">
        <v>101.343546049</v>
      </c>
      <c r="I1223" t="n">
        <v>114.590450796</v>
      </c>
      <c r="J1223" t="n">
        <v>114.480919847</v>
      </c>
      <c r="K1223" t="n">
        <v>97.208100675</v>
      </c>
      <c r="L1223" t="n">
        <v>100.3</v>
      </c>
      <c r="M1223" t="n">
        <v>101.491542371</v>
      </c>
      <c r="N1223" t="n">
        <v>103.326086105</v>
      </c>
      <c r="O1223" t="n">
        <v>121.710142512</v>
      </c>
      <c r="P1223" t="n">
        <v/>
      </c>
      <c r="Q1223" t="n">
        <v>110.218369728</v>
      </c>
      <c r="R1223" t="n">
        <v>99.55917033999999</v>
      </c>
      <c r="S1223" t="n">
        <v>97.752971012</v>
      </c>
      <c r="T1223" t="n">
        <v>114.184648037</v>
      </c>
      <c r="U1223" t="n">
        <v/>
      </c>
      <c r="V1223" t="n">
        <v>103.305303472</v>
      </c>
      <c r="W1223" t="n">
        <v>119.909992499</v>
      </c>
      <c r="X1223" t="n">
        <v>116.368108823</v>
      </c>
      <c r="Y1223" t="n">
        <v/>
      </c>
      <c r="Z1223" t="n">
        <v>103.582736211</v>
      </c>
      <c r="AA1223" t="n">
        <v/>
      </c>
      <c r="AB1223" t="n">
        <v>108.384074941</v>
      </c>
      <c r="AC1223" t="n">
        <v>102.491459045</v>
      </c>
      <c r="AD1223" t="n">
        <v>93.69219231700001</v>
      </c>
      <c r="AE1223" t="n">
        <v>109</v>
      </c>
      <c r="AF1223" t="n">
        <v>94.192150654</v>
      </c>
      <c r="AG1223" t="n">
        <v>118.4</v>
      </c>
      <c r="AH1223" t="n">
        <v/>
      </c>
      <c r="AI1223" t="n">
        <v>100.691609033</v>
      </c>
      <c r="AJ1223" t="n">
        <v>97.284716835</v>
      </c>
      <c r="AK1223" t="n">
        <v/>
      </c>
      <c r="AL1223" t="n">
        <v>101.434248812</v>
      </c>
      <c r="AM1223" t="n">
        <v>127.7</v>
      </c>
      <c r="AN1223" t="n">
        <v>105.619119841</v>
      </c>
      <c r="AO1223" t="n">
        <v>109.9</v>
      </c>
      <c r="AP1223" t="n">
        <v>110.909242437</v>
      </c>
      <c r="AQ1223" t="n">
        <v>127.510625885</v>
      </c>
      <c r="AR1223" t="n">
        <v>109.990834097</v>
      </c>
      <c r="AS1223" t="n">
        <v>125.989500875</v>
      </c>
      <c r="AT1223" t="n">
        <v>96.01017762399999</v>
      </c>
      <c r="AU1223" t="n">
        <v/>
      </c>
    </row>
    <row r="1224">
      <c r="A1224" s="105" t="n">
        <v>44136</v>
      </c>
      <c r="B1224" t="n">
        <v>114.6</v>
      </c>
      <c r="C1224" t="n">
        <v>115.290392467</v>
      </c>
      <c r="D1224" t="n">
        <v>99.411217463</v>
      </c>
      <c r="E1224" t="n">
        <v>102.688950183</v>
      </c>
      <c r="F1224" t="n">
        <v>116.5</v>
      </c>
      <c r="G1224" t="n">
        <v/>
      </c>
      <c r="H1224" t="n">
        <v>99.80362069100001</v>
      </c>
      <c r="I1224" t="n">
        <v>114.190484126</v>
      </c>
      <c r="J1224" t="n">
        <v>113.481086486</v>
      </c>
      <c r="K1224" t="n">
        <v>98.60821735099999</v>
      </c>
      <c r="L1224" t="n">
        <v>107.6</v>
      </c>
      <c r="M1224" t="n">
        <v>104.59128406</v>
      </c>
      <c r="N1224" t="n">
        <v>102.352085293</v>
      </c>
      <c r="O1224" t="n">
        <v>120.91007584</v>
      </c>
      <c r="P1224" t="n">
        <v/>
      </c>
      <c r="Q1224" t="n">
        <v>111.218536423</v>
      </c>
      <c r="R1224" t="n">
        <v>98.189181757</v>
      </c>
      <c r="S1224" t="n">
        <v>98.13493819999999</v>
      </c>
      <c r="T1224" t="n">
        <v>115.98868058</v>
      </c>
      <c r="U1224" t="n">
        <v/>
      </c>
      <c r="V1224" t="n">
        <v>109.99916743</v>
      </c>
      <c r="W1224" t="n">
        <v>118.309859155</v>
      </c>
      <c r="X1224" t="n">
        <v>116.110796552</v>
      </c>
      <c r="Y1224" t="n">
        <v/>
      </c>
      <c r="Z1224" t="n">
        <v>162.272954508</v>
      </c>
      <c r="AA1224" t="n">
        <v/>
      </c>
      <c r="AB1224" t="n">
        <v>109.601873536</v>
      </c>
      <c r="AC1224" t="n">
        <v>100.291642363</v>
      </c>
      <c r="AD1224" t="n">
        <v>93.992167319</v>
      </c>
      <c r="AE1224" t="n">
        <v>109.4</v>
      </c>
      <c r="AF1224" t="n">
        <v>94.292142321</v>
      </c>
      <c r="AG1224" t="n">
        <v>119.7</v>
      </c>
      <c r="AH1224" t="n">
        <v/>
      </c>
      <c r="AI1224" t="n">
        <v>99.991667361</v>
      </c>
      <c r="AJ1224" t="n">
        <v>99.495733126</v>
      </c>
      <c r="AK1224" t="n">
        <v/>
      </c>
      <c r="AL1224" t="n">
        <v>102.160146012</v>
      </c>
      <c r="AM1224" t="n">
        <v>127.7</v>
      </c>
      <c r="AN1224" t="n">
        <v>100.03916634</v>
      </c>
      <c r="AO1224" t="n">
        <v>111.7</v>
      </c>
      <c r="AP1224" t="n">
        <v>114.009500792</v>
      </c>
      <c r="AQ1224" t="n">
        <v>124.510375865</v>
      </c>
      <c r="AR1224" t="n">
        <v>110.790767436</v>
      </c>
      <c r="AS1224" t="n">
        <v>127.389384218</v>
      </c>
      <c r="AT1224" t="n">
        <v>96.301009384</v>
      </c>
      <c r="AU1224" t="n">
        <v/>
      </c>
    </row>
    <row r="1225">
      <c r="A1225" s="105" t="n">
        <v>44166</v>
      </c>
      <c r="B1225" t="n">
        <v>113.7</v>
      </c>
      <c r="C1225" t="n">
        <v>113.69052579</v>
      </c>
      <c r="D1225" t="n">
        <v>99.569252746</v>
      </c>
      <c r="E1225" t="n">
        <v>104.144851775</v>
      </c>
      <c r="F1225" t="n">
        <v>116.2</v>
      </c>
      <c r="G1225" t="n">
        <v/>
      </c>
      <c r="H1225" t="n">
        <v>99.24396330099999</v>
      </c>
      <c r="I1225" t="n">
        <v>110.290809099</v>
      </c>
      <c r="J1225" t="n">
        <v>113.781036494</v>
      </c>
      <c r="K1225" t="n">
        <v>98.708225685</v>
      </c>
      <c r="L1225" t="n">
        <v>108.3</v>
      </c>
      <c r="M1225" t="n">
        <v>104.691275727</v>
      </c>
      <c r="N1225" t="n">
        <v>103.390086158</v>
      </c>
      <c r="O1225" t="n">
        <v>120.710059172</v>
      </c>
      <c r="P1225" t="n">
        <v/>
      </c>
      <c r="Q1225" t="n">
        <v>108.218036339</v>
      </c>
      <c r="R1225" t="n">
        <v>97.919184007</v>
      </c>
      <c r="S1225" t="n">
        <v>98.766238524</v>
      </c>
      <c r="T1225" t="n">
        <v>116.837637071</v>
      </c>
      <c r="U1225" t="n">
        <v/>
      </c>
      <c r="V1225" t="n">
        <v>110.099075847</v>
      </c>
      <c r="W1225" t="n">
        <v>115.309609134</v>
      </c>
      <c r="X1225" t="n">
        <v>117.465286742</v>
      </c>
      <c r="Y1225" t="n">
        <v/>
      </c>
      <c r="Z1225" t="n">
        <v>163.072821196</v>
      </c>
      <c r="AA1225" t="n">
        <v/>
      </c>
      <c r="AB1225" t="n">
        <v>109.039812646</v>
      </c>
      <c r="AC1225" t="n">
        <v>100.591617365</v>
      </c>
      <c r="AD1225" t="n">
        <v>94.092158987</v>
      </c>
      <c r="AE1225" t="n">
        <v>111.3</v>
      </c>
      <c r="AF1225" t="n">
        <v>89.69252562299999</v>
      </c>
      <c r="AG1225" t="n">
        <v>119.1</v>
      </c>
      <c r="AH1225" t="n">
        <v/>
      </c>
      <c r="AI1225" t="n">
        <v>100.191650696</v>
      </c>
      <c r="AJ1225" t="n">
        <v>102.637703646</v>
      </c>
      <c r="AK1225" t="n">
        <v/>
      </c>
      <c r="AL1225" t="n">
        <v>102.815726972</v>
      </c>
      <c r="AM1225" t="n">
        <v>128.5</v>
      </c>
      <c r="AN1225" t="n">
        <v>101.639153007</v>
      </c>
      <c r="AO1225" t="n">
        <v>115.3</v>
      </c>
      <c r="AP1225" t="n">
        <v>112.309359113</v>
      </c>
      <c r="AQ1225" t="n">
        <v>124.110342529</v>
      </c>
      <c r="AR1225" t="n">
        <v>111.890675777</v>
      </c>
      <c r="AS1225" t="n">
        <v>128.489292559</v>
      </c>
      <c r="AT1225" t="n">
        <v>97.312128187</v>
      </c>
      <c r="AU1225" t="n">
        <v/>
      </c>
    </row>
    <row r="1226">
      <c r="A1226" s="105" t="n">
        <v>44197</v>
      </c>
      <c r="B1226" t="n">
        <v>114.2</v>
      </c>
      <c r="C1226" t="n">
        <v>120.989917507</v>
      </c>
      <c r="D1226" t="n">
        <v>100.557022811</v>
      </c>
      <c r="E1226" t="n">
        <v>104.666001407</v>
      </c>
      <c r="F1226" t="n">
        <v>119.2</v>
      </c>
      <c r="G1226" t="n">
        <v/>
      </c>
      <c r="H1226" t="n">
        <v>101.020046142</v>
      </c>
      <c r="I1226" t="n">
        <v>113.29055912</v>
      </c>
      <c r="J1226" t="n">
        <v>112.181303116</v>
      </c>
      <c r="K1226" t="n">
        <v>98.208184015</v>
      </c>
      <c r="L1226" t="n">
        <v>109.2</v>
      </c>
      <c r="M1226" t="n">
        <v>105.691192401</v>
      </c>
      <c r="N1226" t="n">
        <v>103.339086116</v>
      </c>
      <c r="O1226" t="n">
        <v>127.910659222</v>
      </c>
      <c r="P1226" t="n">
        <v/>
      </c>
      <c r="Q1226" t="n">
        <v>110.618436406</v>
      </c>
      <c r="R1226" t="n">
        <v>100.989158424</v>
      </c>
      <c r="S1226" t="n">
        <v>99.925119232</v>
      </c>
      <c r="T1226" t="n">
        <v>115.139724089</v>
      </c>
      <c r="U1226" t="n">
        <v/>
      </c>
      <c r="V1226" t="n">
        <v>115.594038798</v>
      </c>
      <c r="W1226" t="n">
        <v>115.409617468</v>
      </c>
      <c r="X1226" t="n">
        <v>116.757568583</v>
      </c>
      <c r="Y1226" t="n">
        <v/>
      </c>
      <c r="Z1226" t="n">
        <v>154.874187635</v>
      </c>
      <c r="AA1226" t="n">
        <v/>
      </c>
      <c r="AB1226" t="n">
        <v>106.791569087</v>
      </c>
      <c r="AC1226" t="n">
        <v>104.19131739</v>
      </c>
      <c r="AD1226" t="n">
        <v>96.19198400099999</v>
      </c>
      <c r="AE1226" t="n">
        <v>111.8</v>
      </c>
      <c r="AF1226" t="n">
        <v>96.59195067100001</v>
      </c>
      <c r="AG1226" t="n">
        <v>119.4</v>
      </c>
      <c r="AH1226" t="n">
        <v/>
      </c>
      <c r="AI1226" t="n">
        <v>102.191484043</v>
      </c>
      <c r="AJ1226" t="n">
        <v>103.801396431</v>
      </c>
      <c r="AK1226" t="n">
        <v/>
      </c>
      <c r="AL1226" t="n">
        <v>103.942751209</v>
      </c>
      <c r="AM1226" t="n">
        <v>130.8</v>
      </c>
      <c r="AN1226" t="n">
        <v>100.569161924</v>
      </c>
      <c r="AO1226" t="n">
        <v>111.5</v>
      </c>
      <c r="AP1226" t="n">
        <v>114.609550796</v>
      </c>
      <c r="AQ1226" t="n">
        <v>121.810150846</v>
      </c>
      <c r="AR1226" t="n">
        <v>111.490709108</v>
      </c>
      <c r="AS1226" t="n">
        <v>130.489125906</v>
      </c>
      <c r="AT1226" t="n">
        <v>98.429148224</v>
      </c>
      <c r="AU1226" t="n">
        <v/>
      </c>
    </row>
    <row r="1227">
      <c r="A1227" s="105" t="n">
        <v>44228</v>
      </c>
      <c r="B1227" t="n">
        <v>116.5</v>
      </c>
      <c r="C1227" t="n">
        <v>118.59011749</v>
      </c>
      <c r="D1227" t="n">
        <v>98.584532408</v>
      </c>
      <c r="E1227" t="n">
        <v>103.533276795</v>
      </c>
      <c r="F1227" t="n">
        <v>117</v>
      </c>
      <c r="G1227" t="n">
        <v/>
      </c>
      <c r="H1227" t="n">
        <v>102.488413096</v>
      </c>
      <c r="I1227" t="n">
        <v>117.390217482</v>
      </c>
      <c r="J1227" t="n">
        <v>110.781536411</v>
      </c>
      <c r="K1227" t="n">
        <v>97.00808400699999</v>
      </c>
      <c r="L1227" t="n">
        <v>107.3</v>
      </c>
      <c r="M1227" t="n">
        <v>104.291309058</v>
      </c>
      <c r="N1227" t="n">
        <v>103.184085987</v>
      </c>
      <c r="O1227" t="n">
        <v>127.810650888</v>
      </c>
      <c r="P1227" t="n">
        <v/>
      </c>
      <c r="Q1227" t="n">
        <v>112.618769795</v>
      </c>
      <c r="R1227" t="n">
        <v>96.449196257</v>
      </c>
      <c r="S1227" t="n">
        <v>97.985677333</v>
      </c>
      <c r="T1227" t="n">
        <v>115.458082773</v>
      </c>
      <c r="U1227" t="n">
        <v/>
      </c>
      <c r="V1227" t="n">
        <v>111.397885272</v>
      </c>
      <c r="W1227" t="n">
        <v>119.709975831</v>
      </c>
      <c r="X1227" t="n">
        <v>116.608977787</v>
      </c>
      <c r="Y1227" t="n">
        <v/>
      </c>
      <c r="Z1227" t="n">
        <v>158.673554408</v>
      </c>
      <c r="AA1227" t="n">
        <v/>
      </c>
      <c r="AB1227" t="n">
        <v>105.854800937</v>
      </c>
      <c r="AC1227" t="n">
        <v>102.69144238</v>
      </c>
      <c r="AD1227" t="n">
        <v>96.091992334</v>
      </c>
      <c r="AE1227" t="n">
        <v>115.4</v>
      </c>
      <c r="AF1227" t="n">
        <v>94.99208399299999</v>
      </c>
      <c r="AG1227" t="n">
        <v>121.9</v>
      </c>
      <c r="AH1227" t="n">
        <v/>
      </c>
      <c r="AI1227" t="n">
        <v>99.691692359</v>
      </c>
      <c r="AJ1227" t="n">
        <v>102.055857254</v>
      </c>
      <c r="AK1227" t="n">
        <v/>
      </c>
      <c r="AL1227" t="n">
        <v>102.778010612</v>
      </c>
      <c r="AM1227" t="n">
        <v>130.3</v>
      </c>
      <c r="AN1227" t="n">
        <v>102.07914934</v>
      </c>
      <c r="AO1227" t="n">
        <v>112.6</v>
      </c>
      <c r="AP1227" t="n">
        <v>114.909575798</v>
      </c>
      <c r="AQ1227" t="n">
        <v>126.510542545</v>
      </c>
      <c r="AR1227" t="n">
        <v>112.990584118</v>
      </c>
      <c r="AS1227" t="n">
        <v>134.188817599</v>
      </c>
      <c r="AT1227" t="n">
        <v>95.413342861</v>
      </c>
      <c r="AU1227" t="n">
        <v/>
      </c>
    </row>
    <row r="1228">
      <c r="A1228" s="105" t="n">
        <v>44256</v>
      </c>
      <c r="B1228" t="n">
        <v>119.4</v>
      </c>
      <c r="C1228" t="n">
        <v>123.089742521</v>
      </c>
      <c r="D1228" t="n">
        <v>96.13268445999999</v>
      </c>
      <c r="E1228" t="n">
        <v>104.12987006</v>
      </c>
      <c r="F1228" t="n">
        <v>125.2</v>
      </c>
      <c r="G1228" t="n">
        <v/>
      </c>
      <c r="H1228" t="n">
        <v>102.196865583</v>
      </c>
      <c r="I1228" t="n">
        <v>121.489875844</v>
      </c>
      <c r="J1228" t="n">
        <v>113.781036494</v>
      </c>
      <c r="K1228" t="n">
        <v>98.508209017</v>
      </c>
      <c r="L1228" t="n">
        <v>113.8</v>
      </c>
      <c r="M1228" t="n">
        <v>105.291225731</v>
      </c>
      <c r="N1228" t="n">
        <v>104.218086848</v>
      </c>
      <c r="O1228" t="n">
        <v>126.910575881</v>
      </c>
      <c r="P1228" t="n">
        <v/>
      </c>
      <c r="Q1228" t="n">
        <v>111.518586431</v>
      </c>
      <c r="R1228" t="n">
        <v>98.10918242299999</v>
      </c>
      <c r="S1228" t="n">
        <v>99.791934278</v>
      </c>
      <c r="T1228" t="n">
        <v>116.413158826</v>
      </c>
      <c r="U1228" t="n">
        <v/>
      </c>
      <c r="V1228" t="n">
        <v>113.995504121</v>
      </c>
      <c r="W1228" t="n">
        <v>120.310025835</v>
      </c>
      <c r="X1228" t="n">
        <v>116.704631591</v>
      </c>
      <c r="Y1228" t="n">
        <v/>
      </c>
      <c r="Z1228" t="n">
        <v>152.274620897</v>
      </c>
      <c r="AA1228" t="n">
        <v/>
      </c>
      <c r="AB1228" t="n">
        <v>111.007025761</v>
      </c>
      <c r="AC1228" t="n">
        <v>102.891425715</v>
      </c>
      <c r="AD1228" t="n">
        <v>97.291892342</v>
      </c>
      <c r="AE1228" t="n">
        <v>114.8</v>
      </c>
      <c r="AF1228" t="n">
        <v>96.291975669</v>
      </c>
      <c r="AG1228" t="n">
        <v>120</v>
      </c>
      <c r="AH1228" t="n">
        <v/>
      </c>
      <c r="AI1228" t="n">
        <v>103.291392384</v>
      </c>
      <c r="AJ1228" t="n">
        <v>103.335919317</v>
      </c>
      <c r="AK1228" t="n">
        <v/>
      </c>
      <c r="AL1228" t="n">
        <v>104.386536079</v>
      </c>
      <c r="AM1228" t="n">
        <v>133.3</v>
      </c>
      <c r="AN1228" t="n">
        <v>101.699152507</v>
      </c>
      <c r="AO1228" t="n">
        <v>113.9</v>
      </c>
      <c r="AP1228" t="n">
        <v>117.909825819</v>
      </c>
      <c r="AQ1228" t="n">
        <v>130.510875906</v>
      </c>
      <c r="AR1228" t="n">
        <v>114.390467461</v>
      </c>
      <c r="AS1228" t="n">
        <v>131.589034247</v>
      </c>
      <c r="AT1228" t="n">
        <v>98.030134586</v>
      </c>
      <c r="AU1228" t="n">
        <v/>
      </c>
    </row>
    <row r="1229">
      <c r="A1229" s="105" t="n">
        <v>44287</v>
      </c>
      <c r="B1229" t="n">
        <v>119.4</v>
      </c>
      <c r="C1229" t="n">
        <v>128.689275894</v>
      </c>
      <c r="D1229" t="n">
        <v>94.489245228</v>
      </c>
      <c r="E1229" t="n">
        <v>102.684669693</v>
      </c>
      <c r="F1229" t="n">
        <v>127</v>
      </c>
      <c r="G1229" t="n">
        <v/>
      </c>
      <c r="H1229" t="n">
        <v>102.268999186</v>
      </c>
      <c r="I1229" t="n">
        <v>121.789850846</v>
      </c>
      <c r="J1229" t="n">
        <v>116.080653224</v>
      </c>
      <c r="K1229" t="n">
        <v>98.008167347</v>
      </c>
      <c r="L1229" t="n">
        <v>111.2</v>
      </c>
      <c r="M1229" t="n">
        <v>105.891175735</v>
      </c>
      <c r="N1229" t="n">
        <v>104.13608678</v>
      </c>
      <c r="O1229" t="n">
        <v>133.311109259</v>
      </c>
      <c r="P1229" t="n">
        <v/>
      </c>
      <c r="Q1229" t="n">
        <v>111.118519753</v>
      </c>
      <c r="R1229" t="n">
        <v>98.229181423</v>
      </c>
      <c r="S1229" t="n">
        <v>99.95925486500001</v>
      </c>
      <c r="T1229" t="n">
        <v>115.458082773</v>
      </c>
      <c r="U1229" t="n">
        <v/>
      </c>
      <c r="V1229" t="n">
        <v>120.389642827</v>
      </c>
      <c r="W1229" t="n">
        <v>117.209767481</v>
      </c>
      <c r="X1229" t="n">
        <v>115.891885611</v>
      </c>
      <c r="Y1229" t="n">
        <v/>
      </c>
      <c r="Z1229" t="n">
        <v>157.473754374</v>
      </c>
      <c r="AA1229" t="n">
        <v/>
      </c>
      <c r="AB1229" t="n">
        <v>109.601873536</v>
      </c>
      <c r="AC1229" t="n">
        <v>103.891342388</v>
      </c>
      <c r="AD1229" t="n">
        <v>98.491792351</v>
      </c>
      <c r="AE1229" t="n">
        <v>112.9</v>
      </c>
      <c r="AF1229" t="n">
        <v>96.49195900300001</v>
      </c>
      <c r="AG1229" t="n">
        <v>122.8</v>
      </c>
      <c r="AH1229" t="n">
        <v/>
      </c>
      <c r="AI1229" t="n">
        <v>101.991500708</v>
      </c>
      <c r="AJ1229" t="n">
        <v>103.335919317</v>
      </c>
      <c r="AK1229" t="n">
        <v/>
      </c>
      <c r="AL1229" t="n">
        <v>104.447629678</v>
      </c>
      <c r="AM1229" t="n">
        <v>132.8</v>
      </c>
      <c r="AN1229" t="n">
        <v>102.179148507</v>
      </c>
      <c r="AO1229" t="n">
        <v>115.9</v>
      </c>
      <c r="AP1229" t="n">
        <v>115.609634136</v>
      </c>
      <c r="AQ1229" t="n">
        <v>129.11075923</v>
      </c>
      <c r="AR1229" t="n">
        <v>114.390467461</v>
      </c>
      <c r="AS1229" t="n">
        <v>130.789100908</v>
      </c>
      <c r="AT1229" t="n">
        <v>98.19126708100001</v>
      </c>
      <c r="AU1229" t="n">
        <v/>
      </c>
    </row>
    <row r="1230">
      <c r="A1230" s="105" t="n">
        <v>44317</v>
      </c>
      <c r="B1230" t="n">
        <v>118.7</v>
      </c>
      <c r="C1230" t="n">
        <v>128.489292559</v>
      </c>
      <c r="D1230" t="n">
        <v>95.514922181</v>
      </c>
      <c r="E1230" t="n">
        <v>102.713562999</v>
      </c>
      <c r="F1230" t="n">
        <v>122.8</v>
      </c>
      <c r="G1230" t="n">
        <v/>
      </c>
      <c r="H1230" t="n">
        <v>100.433768156</v>
      </c>
      <c r="I1230" t="n">
        <v>119.690025831</v>
      </c>
      <c r="J1230" t="n">
        <v>111.681386436</v>
      </c>
      <c r="K1230" t="n">
        <v>97.00808400699999</v>
      </c>
      <c r="L1230" t="n">
        <v>111.1</v>
      </c>
      <c r="M1230" t="n">
        <v>104.391300725</v>
      </c>
      <c r="N1230" t="n">
        <v>101.926084938</v>
      </c>
      <c r="O1230" t="n">
        <v>131.210934245</v>
      </c>
      <c r="P1230" t="n">
        <v/>
      </c>
      <c r="Q1230" t="n">
        <v>113.818969828</v>
      </c>
      <c r="R1230" t="n">
        <v>98.049182923</v>
      </c>
      <c r="S1230" t="n">
        <v>99.090441029</v>
      </c>
      <c r="T1230" t="n">
        <v>117.155995755</v>
      </c>
      <c r="U1230" t="n">
        <v/>
      </c>
      <c r="V1230" t="n">
        <v>113.895595704</v>
      </c>
      <c r="W1230" t="n">
        <v>120.710059172</v>
      </c>
      <c r="X1230" t="n">
        <v>101.10321678</v>
      </c>
      <c r="Y1230" t="n">
        <v/>
      </c>
      <c r="Z1230" t="n">
        <v>145.875687385</v>
      </c>
      <c r="AA1230" t="n">
        <v/>
      </c>
      <c r="AB1230" t="n">
        <v>106.978922717</v>
      </c>
      <c r="AC1230" t="n">
        <v>102.791434047</v>
      </c>
      <c r="AD1230" t="n">
        <v>92.592283976</v>
      </c>
      <c r="AE1230" t="n">
        <v>112.7</v>
      </c>
      <c r="AF1230" t="n">
        <v>95.392050662</v>
      </c>
      <c r="AG1230" t="n">
        <v>120</v>
      </c>
      <c r="AH1230" t="n">
        <v/>
      </c>
      <c r="AI1230" t="n">
        <v>102.991417382</v>
      </c>
      <c r="AJ1230" t="n">
        <v>102.754072925</v>
      </c>
      <c r="AK1230" t="n">
        <v/>
      </c>
      <c r="AL1230" t="n">
        <v>103.627723779</v>
      </c>
      <c r="AM1230" t="n">
        <v>134.6</v>
      </c>
      <c r="AN1230" t="n">
        <v>97.33918884000001</v>
      </c>
      <c r="AO1230" t="n">
        <v>116.8</v>
      </c>
      <c r="AP1230" t="n">
        <v>110.809234103</v>
      </c>
      <c r="AQ1230" t="n">
        <v>129.010750896</v>
      </c>
      <c r="AR1230" t="n">
        <v>112.790600783</v>
      </c>
      <c r="AS1230" t="n">
        <v>133.688859262</v>
      </c>
      <c r="AT1230" t="n">
        <v>98.938822702</v>
      </c>
      <c r="AU1230" t="n">
        <v/>
      </c>
    </row>
    <row r="1231">
      <c r="A1231" s="105" t="n">
        <v>44348</v>
      </c>
      <c r="B1231" t="n">
        <v>118.6</v>
      </c>
      <c r="C1231" t="n">
        <v>139.588367636</v>
      </c>
      <c r="D1231" t="n">
        <v>95.247625218</v>
      </c>
      <c r="E1231" t="n">
        <v>104.734489244</v>
      </c>
      <c r="F1231" t="n">
        <v>121.8</v>
      </c>
      <c r="G1231" t="n">
        <v/>
      </c>
      <c r="H1231" t="n">
        <v>102.250852984</v>
      </c>
      <c r="I1231" t="n">
        <v>122.189817515</v>
      </c>
      <c r="J1231" t="n">
        <v>111.881353108</v>
      </c>
      <c r="K1231" t="n">
        <v>96.308025669</v>
      </c>
      <c r="L1231" t="n">
        <v>107.1</v>
      </c>
      <c r="M1231" t="n">
        <v>104.59128406</v>
      </c>
      <c r="N1231" t="n">
        <v>100.566083805</v>
      </c>
      <c r="O1231" t="n">
        <v>133.811150929</v>
      </c>
      <c r="P1231" t="n">
        <v/>
      </c>
      <c r="Q1231" t="n">
        <v>111.318553092</v>
      </c>
      <c r="R1231" t="n">
        <v>97.85918450699999</v>
      </c>
      <c r="S1231" t="n">
        <v>100.455577627</v>
      </c>
      <c r="T1231" t="n">
        <v>115.245843651</v>
      </c>
      <c r="U1231" t="n">
        <v/>
      </c>
      <c r="V1231" t="n">
        <v>112.396969445</v>
      </c>
      <c r="W1231" t="n">
        <v>119.809984165</v>
      </c>
      <c r="X1231" t="n">
        <v>110.954936013</v>
      </c>
      <c r="Y1231" t="n">
        <v/>
      </c>
      <c r="Z1231" t="n">
        <v>143.776037327</v>
      </c>
      <c r="AA1231" t="n">
        <v/>
      </c>
      <c r="AB1231" t="n">
        <v>111.850117096</v>
      </c>
      <c r="AC1231" t="n">
        <v>104.891259062</v>
      </c>
      <c r="AD1231" t="n">
        <v>98.691775685</v>
      </c>
      <c r="AE1231" t="n">
        <v>114.3</v>
      </c>
      <c r="AF1231" t="n">
        <v>96.791934005</v>
      </c>
      <c r="AG1231" t="n">
        <v>122.7</v>
      </c>
      <c r="AH1231" t="n">
        <v/>
      </c>
      <c r="AI1231" t="n">
        <v>104.691275727</v>
      </c>
      <c r="AJ1231" t="n">
        <v>104.266873545</v>
      </c>
      <c r="AK1231" t="n">
        <v/>
      </c>
      <c r="AL1231" t="n">
        <v>104.885607557</v>
      </c>
      <c r="AM1231" t="n">
        <v>135.4</v>
      </c>
      <c r="AN1231" t="n">
        <v>95.20920658999999</v>
      </c>
      <c r="AO1231" t="n">
        <v>116.4</v>
      </c>
      <c r="AP1231" t="n">
        <v>112.609384115</v>
      </c>
      <c r="AQ1231" t="n">
        <v>129.710809234</v>
      </c>
      <c r="AR1231" t="n">
        <v>114.290475794</v>
      </c>
      <c r="AS1231" t="n">
        <v>135.588700942</v>
      </c>
      <c r="AT1231" t="n">
        <v>99.349140404</v>
      </c>
      <c r="AU1231" t="n">
        <v/>
      </c>
    </row>
    <row r="1232">
      <c r="A1232" s="105" t="n">
        <v>44378</v>
      </c>
      <c r="B1232" t="n">
        <v>119.5</v>
      </c>
      <c r="C1232" t="n">
        <v>133.088909258</v>
      </c>
      <c r="D1232" t="n">
        <v>93.607191673</v>
      </c>
      <c r="E1232" t="n">
        <v>104.96456557</v>
      </c>
      <c r="F1232" t="n">
        <v>124.3</v>
      </c>
      <c r="G1232" t="n">
        <v/>
      </c>
      <c r="H1232" t="n">
        <v>102.780347385</v>
      </c>
      <c r="I1232" t="n">
        <v>120.789934172</v>
      </c>
      <c r="J1232" t="n">
        <v>113.381103149</v>
      </c>
      <c r="K1232" t="n">
        <v>97.508125677</v>
      </c>
      <c r="L1232" t="n">
        <v>115.9</v>
      </c>
      <c r="M1232" t="n">
        <v>106.891092409</v>
      </c>
      <c r="N1232" t="n">
        <v>100.862084052</v>
      </c>
      <c r="O1232" t="n">
        <v>131.11092591</v>
      </c>
      <c r="P1232" t="n">
        <v/>
      </c>
      <c r="Q1232" t="n">
        <v>113.51891982</v>
      </c>
      <c r="R1232" t="n">
        <v>98.34918042300001</v>
      </c>
      <c r="S1232" t="n">
        <v>100.93647164</v>
      </c>
      <c r="T1232" t="n">
        <v>115.458082773</v>
      </c>
      <c r="U1232" t="n">
        <v/>
      </c>
      <c r="V1232" t="n">
        <v>115.49413038</v>
      </c>
      <c r="W1232" t="n">
        <v>118.909909159</v>
      </c>
      <c r="X1232" t="n">
        <v>117.843570669</v>
      </c>
      <c r="Y1232" t="n">
        <v/>
      </c>
      <c r="Z1232" t="n">
        <v>173.071154808</v>
      </c>
      <c r="AA1232" t="n">
        <v/>
      </c>
      <c r="AB1232" t="n">
        <v>115.316159251</v>
      </c>
      <c r="AC1232" t="n">
        <v>105.691192401</v>
      </c>
      <c r="AD1232" t="n">
        <v>98.191817349</v>
      </c>
      <c r="AE1232" t="n">
        <v>114.7</v>
      </c>
      <c r="AF1232" t="n">
        <v>94.492125656</v>
      </c>
      <c r="AG1232" t="n">
        <v>125</v>
      </c>
      <c r="AH1232" t="n">
        <v/>
      </c>
      <c r="AI1232" t="n">
        <v>105.591200733</v>
      </c>
      <c r="AJ1232" t="n">
        <v>103.685027153</v>
      </c>
      <c r="AK1232" t="n">
        <v/>
      </c>
      <c r="AL1232" t="n">
        <v>105.437282365</v>
      </c>
      <c r="AM1232" t="n">
        <v>136.5</v>
      </c>
      <c r="AN1232" t="n">
        <v>98.649177924</v>
      </c>
      <c r="AO1232" t="n">
        <v>116.5</v>
      </c>
      <c r="AP1232" t="n">
        <v>114.20951746</v>
      </c>
      <c r="AQ1232" t="n">
        <v>127.310609217</v>
      </c>
      <c r="AR1232" t="n">
        <v>114.090492459</v>
      </c>
      <c r="AS1232" t="n">
        <v>133.488875927</v>
      </c>
      <c r="AT1232" t="n">
        <v>100.023517081</v>
      </c>
      <c r="AU1232" t="n">
        <v/>
      </c>
    </row>
    <row r="1233">
      <c r="A1233" s="105" t="n">
        <v>44409</v>
      </c>
      <c r="B1233" t="n">
        <v>119.9</v>
      </c>
      <c r="C1233" t="n">
        <v>130.889092576</v>
      </c>
      <c r="D1233" t="n">
        <v>93.552902139</v>
      </c>
      <c r="E1233" t="n">
        <v>105.280786754</v>
      </c>
      <c r="F1233" t="n">
        <v>123.2</v>
      </c>
      <c r="G1233" t="n">
        <v/>
      </c>
      <c r="H1233" t="n">
        <v>101.758763762</v>
      </c>
      <c r="I1233" t="n">
        <v>119.390050829</v>
      </c>
      <c r="J1233" t="n">
        <v>110.28161973</v>
      </c>
      <c r="K1233" t="n">
        <v>92.907742312</v>
      </c>
      <c r="L1233" t="n">
        <v>119.4</v>
      </c>
      <c r="M1233" t="n">
        <v>103.391384051</v>
      </c>
      <c r="N1233" t="n">
        <v>101.298084415</v>
      </c>
      <c r="O1233" t="n">
        <v>129.710809234</v>
      </c>
      <c r="P1233" t="n">
        <v/>
      </c>
      <c r="Q1233" t="n">
        <v>114.819136523</v>
      </c>
      <c r="R1233" t="n">
        <v>98.29918084000001</v>
      </c>
      <c r="S1233" t="n">
        <v>99.795609631</v>
      </c>
      <c r="T1233" t="n">
        <v>116.094800141</v>
      </c>
      <c r="U1233" t="n">
        <v/>
      </c>
      <c r="V1233" t="n">
        <v>116.792939805</v>
      </c>
      <c r="W1233" t="n">
        <v>115.70964247</v>
      </c>
      <c r="X1233" t="n">
        <v>119.632557431</v>
      </c>
      <c r="Y1233" t="n">
        <v/>
      </c>
      <c r="Z1233" t="n">
        <v>146.375604066</v>
      </c>
      <c r="AA1233" t="n">
        <v/>
      </c>
      <c r="AB1233" t="n">
        <v>110.819672131</v>
      </c>
      <c r="AC1233" t="n">
        <v>103.991334055</v>
      </c>
      <c r="AD1233" t="n">
        <v>95.792017332</v>
      </c>
      <c r="AE1233" t="n">
        <v>115.7</v>
      </c>
      <c r="AF1233" t="n">
        <v>95.892008999</v>
      </c>
      <c r="AG1233" t="n">
        <v>122.3</v>
      </c>
      <c r="AH1233" t="n">
        <v/>
      </c>
      <c r="AI1233" t="n">
        <v>102.69144238</v>
      </c>
      <c r="AJ1233" t="n">
        <v>106.128782002</v>
      </c>
      <c r="AK1233" t="n">
        <v/>
      </c>
      <c r="AL1233" t="n">
        <v>104.592741595</v>
      </c>
      <c r="AM1233" t="n">
        <v>135.8</v>
      </c>
      <c r="AN1233" t="n">
        <v>96.729193923</v>
      </c>
      <c r="AO1233" t="n">
        <v>115.8</v>
      </c>
      <c r="AP1233" t="n">
        <v>109.609134095</v>
      </c>
      <c r="AQ1233" t="n">
        <v>129.310775898</v>
      </c>
      <c r="AR1233" t="n">
        <v>112.990584118</v>
      </c>
      <c r="AS1233" t="n">
        <v>139.688359303</v>
      </c>
      <c r="AT1233" t="n">
        <v>99.988414987</v>
      </c>
      <c r="AU1233" t="n">
        <v/>
      </c>
    </row>
    <row r="1234">
      <c r="A1234" s="105" t="n">
        <v>44440</v>
      </c>
      <c r="B1234" t="n">
        <v>119.8</v>
      </c>
      <c r="C1234" t="n">
        <v>129.18923423</v>
      </c>
      <c r="D1234" t="n">
        <v>93.43096813</v>
      </c>
      <c r="E1234" t="n">
        <v>105.51059555</v>
      </c>
      <c r="F1234" t="n">
        <v>123.4</v>
      </c>
      <c r="G1234" t="n">
        <v/>
      </c>
      <c r="H1234" t="n">
        <v>99.69841497</v>
      </c>
      <c r="I1234" t="n">
        <v>116.590284143</v>
      </c>
      <c r="J1234" t="n">
        <v>107.282119647</v>
      </c>
      <c r="K1234" t="n">
        <v>92.70772564400001</v>
      </c>
      <c r="L1234" t="n">
        <v>110.1</v>
      </c>
      <c r="M1234" t="n">
        <v>103.991334055</v>
      </c>
      <c r="N1234" t="n">
        <v>102.608085507</v>
      </c>
      <c r="O1234" t="n">
        <v>136.31135928</v>
      </c>
      <c r="P1234" t="n">
        <v/>
      </c>
      <c r="Q1234" t="n">
        <v>114.719119853</v>
      </c>
      <c r="R1234" t="n">
        <v>97.229189757</v>
      </c>
      <c r="S1234" t="n">
        <v>98.255504324</v>
      </c>
      <c r="T1234" t="n">
        <v>114.927484966</v>
      </c>
      <c r="U1234" t="n">
        <v/>
      </c>
      <c r="V1234" t="n">
        <v>118.391474482</v>
      </c>
      <c r="W1234" t="n">
        <v>114.809567464</v>
      </c>
      <c r="X1234" t="n">
        <v>117.324508183</v>
      </c>
      <c r="Y1234" t="n">
        <v/>
      </c>
      <c r="Z1234" t="n">
        <v>155.174137644</v>
      </c>
      <c r="AA1234" t="n">
        <v/>
      </c>
      <c r="AB1234" t="n">
        <v>112.693208431</v>
      </c>
      <c r="AC1234" t="n">
        <v>105.291225731</v>
      </c>
      <c r="AD1234" t="n">
        <v>90.092492292</v>
      </c>
      <c r="AE1234" t="n">
        <v>112.8</v>
      </c>
      <c r="AF1234" t="n">
        <v>94.692108991</v>
      </c>
      <c r="AG1234" t="n">
        <v>124.5</v>
      </c>
      <c r="AH1234" t="n">
        <v/>
      </c>
      <c r="AI1234" t="n">
        <v>103.691359053</v>
      </c>
      <c r="AJ1234" t="n">
        <v>109.619860357</v>
      </c>
      <c r="AK1234" t="n">
        <v/>
      </c>
      <c r="AL1234" t="n">
        <v>103.323441244</v>
      </c>
      <c r="AM1234" t="n">
        <v>137.4</v>
      </c>
      <c r="AN1234" t="n">
        <v>98.57917850699999</v>
      </c>
      <c r="AO1234" t="n">
        <v>117.9</v>
      </c>
      <c r="AP1234" t="n">
        <v>108.409034086</v>
      </c>
      <c r="AQ1234" t="n">
        <v>129.410784232</v>
      </c>
      <c r="AR1234" t="n">
        <v>112.790600783</v>
      </c>
      <c r="AS1234" t="n">
        <v>137.588534289</v>
      </c>
      <c r="AT1234" t="n">
        <v>99.009522683</v>
      </c>
      <c r="AU1234" t="n">
        <v/>
      </c>
    </row>
    <row r="1235">
      <c r="A1235" s="105" t="n">
        <v>44470</v>
      </c>
      <c r="B1235" t="n">
        <v>120.7</v>
      </c>
      <c r="C1235" t="n">
        <v>131.789017582</v>
      </c>
      <c r="D1235" t="n">
        <v>92.86794679</v>
      </c>
      <c r="E1235" t="n">
        <v>106.612554142</v>
      </c>
      <c r="F1235" t="n">
        <v>118.2</v>
      </c>
      <c r="G1235" t="n">
        <v/>
      </c>
      <c r="H1235" t="n">
        <v>103.088800857</v>
      </c>
      <c r="I1235" t="n">
        <v>120.989917507</v>
      </c>
      <c r="J1235" t="n">
        <v>108.181969672</v>
      </c>
      <c r="K1235" t="n">
        <v>95.907992333</v>
      </c>
      <c r="L1235" t="n">
        <v>118.3</v>
      </c>
      <c r="M1235" t="n">
        <v>103.691359053</v>
      </c>
      <c r="N1235" t="n">
        <v>103.202086002</v>
      </c>
      <c r="O1235" t="n">
        <v>132.711059255</v>
      </c>
      <c r="P1235" t="n">
        <v/>
      </c>
      <c r="Q1235" t="n">
        <v>116.319386564</v>
      </c>
      <c r="R1235" t="n">
        <v>98.909175757</v>
      </c>
      <c r="S1235" t="n">
        <v>99.836955957</v>
      </c>
      <c r="T1235" t="n">
        <v>113.760169791</v>
      </c>
      <c r="U1235" t="n">
        <v/>
      </c>
      <c r="V1235" t="n">
        <v>120.789276497</v>
      </c>
      <c r="W1235" t="n">
        <v>117.209767481</v>
      </c>
      <c r="X1235" t="n">
        <v>121.342649286</v>
      </c>
      <c r="Y1235" t="n">
        <v/>
      </c>
      <c r="Z1235" t="n">
        <v>121.879686719</v>
      </c>
      <c r="AA1235" t="n">
        <v/>
      </c>
      <c r="AB1235" t="n">
        <v>115.316159251</v>
      </c>
      <c r="AC1235" t="n">
        <v>105.091242396</v>
      </c>
      <c r="AD1235" t="n">
        <v>92.192317307</v>
      </c>
      <c r="AE1235" t="n">
        <v>113.2</v>
      </c>
      <c r="AF1235" t="n">
        <v>94.99208399299999</v>
      </c>
      <c r="AG1235" t="n">
        <v>122.9</v>
      </c>
      <c r="AH1235" t="n">
        <v/>
      </c>
      <c r="AI1235" t="n">
        <v>103.091409049</v>
      </c>
      <c r="AJ1235" t="n">
        <v>104.034134988</v>
      </c>
      <c r="AK1235" t="n">
        <v/>
      </c>
      <c r="AL1235" t="n">
        <v>104.565593337</v>
      </c>
      <c r="AM1235" t="n">
        <v>141</v>
      </c>
      <c r="AN1235" t="n">
        <v>99.01917484000001</v>
      </c>
      <c r="AO1235" t="n">
        <v>119.2</v>
      </c>
      <c r="AP1235" t="n">
        <v>111.809317443</v>
      </c>
      <c r="AQ1235" t="n">
        <v>128.61071756</v>
      </c>
      <c r="AR1235" t="n">
        <v>114.390467461</v>
      </c>
      <c r="AS1235" t="n">
        <v>138.188484293</v>
      </c>
      <c r="AT1235" t="n">
        <v>100.507212043</v>
      </c>
      <c r="AU1235" t="n">
        <v/>
      </c>
    </row>
    <row r="1236">
      <c r="A1236" s="105" t="n">
        <v>44501</v>
      </c>
      <c r="B1236" t="n">
        <v>124.2</v>
      </c>
      <c r="C1236" t="n">
        <v>124.689609199</v>
      </c>
      <c r="D1236" t="n">
        <v>92.975380836</v>
      </c>
      <c r="E1236" t="n">
        <v>105.95202106</v>
      </c>
      <c r="F1236" t="n">
        <v>127.2</v>
      </c>
      <c r="G1236" t="n">
        <v/>
      </c>
      <c r="H1236" t="n">
        <v>102.410128803</v>
      </c>
      <c r="I1236" t="n">
        <v>123.389717524</v>
      </c>
      <c r="J1236" t="n">
        <v>114.480919847</v>
      </c>
      <c r="K1236" t="n">
        <v>96.608050671</v>
      </c>
      <c r="L1236" t="n">
        <v>120</v>
      </c>
      <c r="M1236" t="n">
        <v>105.491209066</v>
      </c>
      <c r="N1236" t="n">
        <v>105.844088203</v>
      </c>
      <c r="O1236" t="n">
        <v>136.411367614</v>
      </c>
      <c r="P1236" t="n">
        <v/>
      </c>
      <c r="Q1236" t="n">
        <v>118.019669945</v>
      </c>
      <c r="R1236" t="n">
        <v>97.42918809</v>
      </c>
      <c r="S1236" t="n">
        <v>101.150751528</v>
      </c>
      <c r="T1236" t="n">
        <v>114.078528475</v>
      </c>
      <c r="U1236" t="n">
        <v/>
      </c>
      <c r="V1236" t="n">
        <v>119.690283906</v>
      </c>
      <c r="W1236" t="n">
        <v>121.110092508</v>
      </c>
      <c r="X1236" t="n">
        <v>116.987741757</v>
      </c>
      <c r="Y1236" t="n">
        <v/>
      </c>
      <c r="Z1236" t="n">
        <v>143.276120647</v>
      </c>
      <c r="AA1236" t="n">
        <v/>
      </c>
      <c r="AB1236" t="n">
        <v>111.100702576</v>
      </c>
      <c r="AC1236" t="n">
        <v>107.191067411</v>
      </c>
      <c r="AD1236" t="n">
        <v>97.091909008</v>
      </c>
      <c r="AE1236" t="n">
        <v>115</v>
      </c>
      <c r="AF1236" t="n">
        <v>95.49204233</v>
      </c>
      <c r="AG1236" t="n">
        <v>120.5</v>
      </c>
      <c r="AH1236" t="n">
        <v/>
      </c>
      <c r="AI1236" t="n">
        <v>104.091325723</v>
      </c>
      <c r="AJ1236" t="n">
        <v>101.823118697</v>
      </c>
      <c r="AK1236" t="n">
        <v/>
      </c>
      <c r="AL1236" t="n">
        <v>106.200230023</v>
      </c>
      <c r="AM1236" t="n">
        <v>146.4</v>
      </c>
      <c r="AN1236" t="n">
        <v>101.039158007</v>
      </c>
      <c r="AO1236" t="n">
        <v>119.9</v>
      </c>
      <c r="AP1236" t="n">
        <v>117.109759147</v>
      </c>
      <c r="AQ1236" t="n">
        <v>134.911242604</v>
      </c>
      <c r="AR1236" t="n">
        <v>115.290392467</v>
      </c>
      <c r="AS1236" t="n">
        <v>142.688109324</v>
      </c>
      <c r="AT1236" t="n">
        <v>101.102956062</v>
      </c>
      <c r="AU1236" t="n">
        <v/>
      </c>
    </row>
    <row r="1237">
      <c r="A1237" s="105" t="n">
        <v>44531</v>
      </c>
      <c r="B1237" t="n">
        <v>125.6</v>
      </c>
      <c r="C1237" t="n">
        <v>127.989334222</v>
      </c>
      <c r="D1237" t="n">
        <v>95.32241508</v>
      </c>
      <c r="E1237" t="n">
        <v>106.201627121</v>
      </c>
      <c r="F1237" t="n">
        <v>125.3</v>
      </c>
      <c r="G1237" t="n">
        <v/>
      </c>
      <c r="H1237" t="n">
        <v>100.787263844</v>
      </c>
      <c r="I1237" t="n">
        <v>118.490125823</v>
      </c>
      <c r="J1237" t="n">
        <v>110.981503083</v>
      </c>
      <c r="K1237" t="n">
        <v>97.80815067899999</v>
      </c>
      <c r="L1237" t="n">
        <v>119.9</v>
      </c>
      <c r="M1237" t="n">
        <v>109.590867428</v>
      </c>
      <c r="N1237" t="n">
        <v>105.259087716</v>
      </c>
      <c r="O1237" t="n">
        <v>138.211517626</v>
      </c>
      <c r="P1237" t="n">
        <v/>
      </c>
      <c r="Q1237" t="n">
        <v>119.919986664</v>
      </c>
      <c r="R1237" t="n">
        <v>97.65918617299999</v>
      </c>
      <c r="S1237" t="n">
        <v>101.115966807</v>
      </c>
      <c r="T1237" t="n">
        <v>114.078528475</v>
      </c>
      <c r="U1237" t="n">
        <v/>
      </c>
      <c r="V1237" t="n">
        <v>120.389642827</v>
      </c>
      <c r="W1237" t="n">
        <v>120.41003417</v>
      </c>
      <c r="X1237" t="n">
        <v>118.586253902</v>
      </c>
      <c r="Y1237" t="n">
        <v/>
      </c>
      <c r="Z1237" t="n">
        <v>201.966338944</v>
      </c>
      <c r="AA1237" t="n">
        <v/>
      </c>
      <c r="AB1237" t="n">
        <v>118.68852459</v>
      </c>
      <c r="AC1237" t="n">
        <v>105.491209066</v>
      </c>
      <c r="AD1237" t="n">
        <v>96.99191734</v>
      </c>
      <c r="AE1237" t="n">
        <v>118.9</v>
      </c>
      <c r="AF1237" t="n">
        <v>96.39196733599999</v>
      </c>
      <c r="AG1237" t="n">
        <v>126.2</v>
      </c>
      <c r="AH1237" t="n">
        <v/>
      </c>
      <c r="AI1237" t="n">
        <v>106.09115907</v>
      </c>
      <c r="AJ1237" t="n">
        <v>104.266873545</v>
      </c>
      <c r="AK1237" t="n">
        <v/>
      </c>
      <c r="AL1237" t="n">
        <v>106.76593647</v>
      </c>
      <c r="AM1237" t="n">
        <v>146</v>
      </c>
      <c r="AN1237" t="n">
        <v>102.369146924</v>
      </c>
      <c r="AO1237" t="n">
        <v>121.7</v>
      </c>
      <c r="AP1237" t="n">
        <v>117.309775815</v>
      </c>
      <c r="AQ1237" t="n">
        <v>143.711975998</v>
      </c>
      <c r="AR1237" t="n">
        <v>115.590367469</v>
      </c>
      <c r="AS1237" t="n">
        <v>144.787934339</v>
      </c>
      <c r="AT1237" t="n">
        <v>100.9023585</v>
      </c>
      <c r="AU1237" t="n">
        <v/>
      </c>
    </row>
    <row r="1238">
      <c r="A1238" s="105" t="n">
        <v>44562</v>
      </c>
      <c r="B1238" t="n">
        <v>127.6</v>
      </c>
      <c r="C1238" t="n">
        <v>129.989167569</v>
      </c>
      <c r="D1238" t="n">
        <v>93.65715434000001</v>
      </c>
      <c r="E1238" t="n">
        <v>105.975563754</v>
      </c>
      <c r="F1238" t="n">
        <v>126.6</v>
      </c>
      <c r="G1238" t="n">
        <v/>
      </c>
      <c r="H1238" t="n">
        <v>99.51992445099999</v>
      </c>
      <c r="I1238" t="n">
        <v>126.789434214</v>
      </c>
      <c r="J1238" t="n">
        <v>115.080819863</v>
      </c>
      <c r="K1238" t="n">
        <v>98.10817568100001</v>
      </c>
      <c r="L1238" t="n">
        <v>121.9</v>
      </c>
      <c r="M1238" t="n">
        <v>107.091075744</v>
      </c>
      <c r="N1238" t="n">
        <v>105.418087848</v>
      </c>
      <c r="O1238" t="n">
        <v>131.010917576</v>
      </c>
      <c r="P1238" t="n">
        <v/>
      </c>
      <c r="Q1238" t="n">
        <v>116.319386564</v>
      </c>
      <c r="R1238" t="n">
        <v>99.659169507</v>
      </c>
      <c r="S1238" t="n">
        <v>100.810362514</v>
      </c>
      <c r="T1238" t="n">
        <v>113.972408914</v>
      </c>
      <c r="U1238" t="n">
        <v/>
      </c>
      <c r="V1238" t="n">
        <v>115.294313546</v>
      </c>
      <c r="W1238" t="n">
        <v>124.010334195</v>
      </c>
      <c r="X1238" t="n">
        <v>119.009911134</v>
      </c>
      <c r="Y1238" t="n">
        <v/>
      </c>
      <c r="Z1238" t="n">
        <v>162.672887852</v>
      </c>
      <c r="AA1238" t="n">
        <v/>
      </c>
      <c r="AB1238" t="n">
        <v>122.62295082</v>
      </c>
      <c r="AC1238" t="n">
        <v>102.191484043</v>
      </c>
      <c r="AD1238" t="n">
        <v>94.892092326</v>
      </c>
      <c r="AE1238" t="n">
        <v>119.4</v>
      </c>
      <c r="AF1238" t="n">
        <v>97.59186734399999</v>
      </c>
      <c r="AG1238" t="n">
        <v>127.4</v>
      </c>
      <c r="AH1238" t="n">
        <v/>
      </c>
      <c r="AI1238" t="n">
        <v>104.891259062</v>
      </c>
      <c r="AJ1238" t="n">
        <v>104.965089216</v>
      </c>
      <c r="AK1238" t="n">
        <v/>
      </c>
      <c r="AL1238" t="n">
        <v>106.401417119</v>
      </c>
      <c r="AM1238" t="n">
        <v>150.7</v>
      </c>
      <c r="AN1238" t="n">
        <v>97.139190507</v>
      </c>
      <c r="AO1238" t="n">
        <v/>
      </c>
      <c r="AP1238" t="n">
        <v>115.409617468</v>
      </c>
      <c r="AQ1238" t="n">
        <v>140.511709309</v>
      </c>
      <c r="AR1238" t="n">
        <v>114.190484126</v>
      </c>
      <c r="AS1238" t="n">
        <v>141.488209316</v>
      </c>
      <c r="AT1238" t="n">
        <v>101.286399211</v>
      </c>
      <c r="AU1238" t="n">
        <v/>
      </c>
    </row>
    <row r="1239">
      <c r="A1239" s="105" t="n">
        <v>44593</v>
      </c>
      <c r="B1239" t="n">
        <v>126.5</v>
      </c>
      <c r="C1239" t="n">
        <v>128.489292559</v>
      </c>
      <c r="D1239" t="n">
        <v>94.244441374</v>
      </c>
      <c r="E1239" t="n">
        <v>106.367763631</v>
      </c>
      <c r="F1239" t="n">
        <v>130.3</v>
      </c>
      <c r="G1239" t="n">
        <v/>
      </c>
      <c r="H1239" t="n">
        <v>99.282577979</v>
      </c>
      <c r="I1239" t="n">
        <v>130.378270288</v>
      </c>
      <c r="J1239" t="n">
        <v>111.381436427</v>
      </c>
      <c r="K1239" t="n">
        <v>98.208184015</v>
      </c>
      <c r="L1239" t="n">
        <v>122.8</v>
      </c>
      <c r="M1239" t="n">
        <v>107.491042413</v>
      </c>
      <c r="N1239" t="n">
        <v>106.325088604</v>
      </c>
      <c r="O1239" t="n">
        <v>130.61088424</v>
      </c>
      <c r="P1239" t="n">
        <v/>
      </c>
      <c r="Q1239" t="n">
        <v>118.119686614</v>
      </c>
      <c r="R1239" t="n">
        <v>97.979183507</v>
      </c>
      <c r="S1239" t="n">
        <v>101.754560914</v>
      </c>
      <c r="T1239" t="n">
        <v>113.547930669</v>
      </c>
      <c r="U1239" t="n">
        <v/>
      </c>
      <c r="V1239" t="n">
        <v>118.291566064</v>
      </c>
      <c r="W1239" t="n">
        <v>125.710475873</v>
      </c>
      <c r="X1239" t="n">
        <v>117.988724047</v>
      </c>
      <c r="Y1239" t="n">
        <v/>
      </c>
      <c r="Z1239" t="n">
        <v>165.572404599</v>
      </c>
      <c r="AA1239" t="n">
        <v/>
      </c>
      <c r="AB1239" t="n">
        <v>126.370023419</v>
      </c>
      <c r="AC1239" t="n">
        <v>106.09115907</v>
      </c>
      <c r="AD1239" t="n">
        <v>97.091909008</v>
      </c>
      <c r="AE1239" t="n">
        <v>119.8</v>
      </c>
      <c r="AF1239" t="n">
        <v>97.491875677</v>
      </c>
      <c r="AG1239" t="n">
        <v>122.7</v>
      </c>
      <c r="AH1239" t="n">
        <v/>
      </c>
      <c r="AI1239" t="n">
        <v>103.291392384</v>
      </c>
      <c r="AJ1239" t="n">
        <v>104.150504267</v>
      </c>
      <c r="AK1239" t="n">
        <v/>
      </c>
      <c r="AL1239" t="n">
        <v>107.352435967</v>
      </c>
      <c r="AM1239" t="n">
        <v>152.7</v>
      </c>
      <c r="AN1239" t="n">
        <v>97.979183507</v>
      </c>
      <c r="AO1239" t="n">
        <v/>
      </c>
      <c r="AP1239" t="n">
        <v>113.409450788</v>
      </c>
      <c r="AQ1239" t="n">
        <v>127.110592549</v>
      </c>
      <c r="AR1239" t="n">
        <v>113.990500792</v>
      </c>
      <c r="AS1239" t="n">
        <v>148.287642696</v>
      </c>
      <c r="AT1239" t="n">
        <v>102.03276493</v>
      </c>
      <c r="AU1239" t="n">
        <v/>
      </c>
    </row>
    <row r="1240">
      <c r="A1240" s="105" t="n">
        <v>44621</v>
      </c>
      <c r="B1240" t="n">
        <v>128</v>
      </c>
      <c r="C1240" t="n">
        <v>128.189317557</v>
      </c>
      <c r="D1240" t="n">
        <v>94.793215977</v>
      </c>
      <c r="E1240" t="n">
        <v>107.418356345</v>
      </c>
      <c r="F1240" t="n">
        <v>130.4</v>
      </c>
      <c r="G1240" t="n">
        <v/>
      </c>
      <c r="H1240" t="n">
        <v>102.513731529</v>
      </c>
      <c r="I1240" t="n">
        <v>125.3</v>
      </c>
      <c r="J1240" t="n">
        <v>113.381103149</v>
      </c>
      <c r="K1240" t="n">
        <v>93.50779231600001</v>
      </c>
      <c r="L1240" t="n">
        <v>127.3</v>
      </c>
      <c r="M1240" t="n">
        <v>106.391134072</v>
      </c>
      <c r="N1240" t="n">
        <v>104.107086756</v>
      </c>
      <c r="O1240" t="n">
        <v>136.911409284</v>
      </c>
      <c r="P1240" t="n">
        <v/>
      </c>
      <c r="Q1240" t="n">
        <v>116.119353226</v>
      </c>
      <c r="R1240" t="n">
        <v>97.48918759</v>
      </c>
      <c r="S1240" t="n">
        <v>101.378454538</v>
      </c>
      <c r="T1240" t="n">
        <v>113.441811107</v>
      </c>
      <c r="U1240" t="n">
        <v/>
      </c>
      <c r="V1240" t="n">
        <v>124.385979519</v>
      </c>
      <c r="W1240" t="n">
        <v>125.510459205</v>
      </c>
      <c r="X1240" t="n">
        <v>119.245587782</v>
      </c>
      <c r="Y1240" t="n">
        <v/>
      </c>
      <c r="Z1240" t="n">
        <v>177.37043826</v>
      </c>
      <c r="AA1240" t="n">
        <v/>
      </c>
      <c r="AB1240" t="n">
        <v>122.529274005</v>
      </c>
      <c r="AC1240" t="n">
        <v>106.191150737</v>
      </c>
      <c r="AD1240" t="n">
        <v>96.691942338</v>
      </c>
      <c r="AE1240" t="n">
        <v>121.2</v>
      </c>
      <c r="AF1240" t="n">
        <v>92.792267311</v>
      </c>
      <c r="AG1240" t="n">
        <v>126.7</v>
      </c>
      <c r="AH1240" t="n">
        <v/>
      </c>
      <c r="AI1240" t="n">
        <v>103.791350721</v>
      </c>
      <c r="AJ1240" t="n">
        <v>106.710628394</v>
      </c>
      <c r="AK1240" t="n">
        <v/>
      </c>
      <c r="AL1240" t="n">
        <v>107.236316372</v>
      </c>
      <c r="AM1240" t="n">
        <v>153.4</v>
      </c>
      <c r="AN1240" t="n">
        <v>102.989141757</v>
      </c>
      <c r="AO1240" t="n">
        <v/>
      </c>
      <c r="AP1240" t="n">
        <v>108.209017418</v>
      </c>
      <c r="AQ1240" t="n">
        <v>135.911325944</v>
      </c>
      <c r="AR1240" t="n">
        <v>115.790350804</v>
      </c>
      <c r="AS1240" t="n">
        <v>144.887926006</v>
      </c>
      <c r="AT1240" t="n">
        <v>102.700101356</v>
      </c>
      <c r="AU1240" t="n">
        <v/>
      </c>
    </row>
    <row r="1241">
      <c r="A1241" s="105" t="n">
        <v>44652</v>
      </c>
      <c r="B1241" t="n">
        <v>128.5</v>
      </c>
      <c r="C1241" t="n">
        <v>126.389467544</v>
      </c>
      <c r="D1241" t="n">
        <v>94.90615494399999</v>
      </c>
      <c r="E1241" t="n">
        <v>108.899673345</v>
      </c>
      <c r="F1241" t="n">
        <v>127.5</v>
      </c>
      <c r="G1241" t="n">
        <v/>
      </c>
      <c r="H1241" t="n">
        <v>99.08664543499999</v>
      </c>
      <c r="I1241" t="n">
        <v/>
      </c>
      <c r="J1241" t="n">
        <v>111.981336444</v>
      </c>
      <c r="K1241" t="n">
        <v>94.907908992</v>
      </c>
      <c r="L1241" t="n">
        <v>128.2</v>
      </c>
      <c r="M1241" t="n">
        <v>105.291225731</v>
      </c>
      <c r="N1241" t="n">
        <v>106.292088577</v>
      </c>
      <c r="O1241" t="n">
        <v>138.611550963</v>
      </c>
      <c r="P1241" t="n">
        <v/>
      </c>
      <c r="Q1241" t="n">
        <v>120.220036673</v>
      </c>
      <c r="R1241" t="n">
        <v>97.199190007</v>
      </c>
      <c r="S1241" t="n">
        <v>101.762974081</v>
      </c>
      <c r="T1241" t="n">
        <v>112.805093739</v>
      </c>
      <c r="U1241" t="n">
        <v/>
      </c>
      <c r="V1241" t="n">
        <v>114.994588294</v>
      </c>
      <c r="W1241" t="n">
        <v>123.210267522</v>
      </c>
      <c r="X1241" t="n">
        <v>123.88628268</v>
      </c>
      <c r="Y1241" t="n">
        <v/>
      </c>
      <c r="Z1241" t="n">
        <v>141.076487252</v>
      </c>
      <c r="AA1241" t="n">
        <v/>
      </c>
      <c r="AB1241" t="n">
        <v>121.31147541</v>
      </c>
      <c r="AC1241" t="n">
        <v>107.491042413</v>
      </c>
      <c r="AD1241" t="n">
        <v>95.392050662</v>
      </c>
      <c r="AE1241" t="n">
        <v>117.3</v>
      </c>
      <c r="AF1241" t="n">
        <v>96.291975669</v>
      </c>
      <c r="AG1241" t="n">
        <v>126.2</v>
      </c>
      <c r="AH1241" t="n">
        <v/>
      </c>
      <c r="AI1241" t="n">
        <v>109.290892426</v>
      </c>
      <c r="AJ1241" t="n">
        <v>106.361520559</v>
      </c>
      <c r="AK1241" t="n">
        <v/>
      </c>
      <c r="AL1241" t="n">
        <v>107.147581296</v>
      </c>
      <c r="AM1241" t="n">
        <v>152.7</v>
      </c>
      <c r="AN1241" t="n">
        <v>100.809159924</v>
      </c>
      <c r="AO1241" t="n">
        <v/>
      </c>
      <c r="AP1241" t="n">
        <v>108.409034086</v>
      </c>
      <c r="AQ1241" t="n">
        <v>129.6108009</v>
      </c>
      <c r="AR1241" t="n">
        <v>113.790517457</v>
      </c>
      <c r="AS1241" t="n">
        <v>145.687859345</v>
      </c>
      <c r="AT1241" t="n">
        <v>103.3934173</v>
      </c>
      <c r="AU1241" t="n">
        <v/>
      </c>
    </row>
    <row r="1242">
      <c r="A1242" s="105" t="n">
        <v>44682</v>
      </c>
      <c r="B1242" t="n">
        <v>129.4</v>
      </c>
      <c r="C1242" t="n">
        <v>127.089409216</v>
      </c>
      <c r="D1242" t="n">
        <v>95.23769434</v>
      </c>
      <c r="E1242" t="n">
        <v>108.383606794</v>
      </c>
      <c r="F1242" t="n">
        <v>129.5</v>
      </c>
      <c r="G1242" t="n">
        <v/>
      </c>
      <c r="H1242" t="n">
        <v>100.619870298</v>
      </c>
      <c r="I1242" t="n">
        <v/>
      </c>
      <c r="J1242" t="n">
        <v>114.380936511</v>
      </c>
      <c r="K1242" t="n">
        <v>95.507958997</v>
      </c>
      <c r="L1242" t="n">
        <v>131.4</v>
      </c>
      <c r="M1242" t="n">
        <v>107.59103408</v>
      </c>
      <c r="N1242" t="n">
        <v>106.306088588</v>
      </c>
      <c r="O1242" t="n">
        <v>136.911409284</v>
      </c>
      <c r="P1242" t="n">
        <v/>
      </c>
      <c r="Q1242" t="n">
        <v>119.619936656</v>
      </c>
      <c r="R1242" t="n">
        <v>97.41918817299999</v>
      </c>
      <c r="S1242" t="n">
        <v>100.423340768</v>
      </c>
      <c r="T1242" t="n">
        <v>112.805093739</v>
      </c>
      <c r="U1242" t="n">
        <v/>
      </c>
      <c r="V1242" t="n">
        <v>118.791108151</v>
      </c>
      <c r="W1242" t="n">
        <v>124.910409201</v>
      </c>
      <c r="X1242" t="n">
        <v>120.85707069</v>
      </c>
      <c r="Y1242" t="n">
        <v/>
      </c>
      <c r="Z1242" t="n">
        <v>182.26962173</v>
      </c>
      <c r="AA1242" t="n">
        <v/>
      </c>
      <c r="AB1242" t="n">
        <v>125.152224824</v>
      </c>
      <c r="AC1242" t="n">
        <v>106.09115907</v>
      </c>
      <c r="AD1242" t="n">
        <v>88.692608949</v>
      </c>
      <c r="AE1242" t="n">
        <v>117.6</v>
      </c>
      <c r="AF1242" t="n">
        <v>94.292142321</v>
      </c>
      <c r="AG1242" t="n">
        <v>126.4</v>
      </c>
      <c r="AH1242" t="n">
        <v/>
      </c>
      <c r="AI1242" t="n">
        <v>107.391050746</v>
      </c>
      <c r="AJ1242" t="n">
        <v>107.176105508</v>
      </c>
      <c r="AK1242" t="n">
        <v/>
      </c>
      <c r="AL1242" t="n">
        <v>106.414027507</v>
      </c>
      <c r="AM1242" t="n">
        <v>151.1</v>
      </c>
      <c r="AN1242" t="n">
        <v>100.329163924</v>
      </c>
      <c r="AO1242" t="n">
        <v/>
      </c>
      <c r="AP1242" t="n">
        <v>111.609300775</v>
      </c>
      <c r="AQ1242" t="n">
        <v>134.111175931</v>
      </c>
      <c r="AR1242" t="n">
        <v>114.290475794</v>
      </c>
      <c r="AS1242" t="n">
        <v>146.187817682</v>
      </c>
      <c r="AT1242" t="n">
        <v>103.288011858</v>
      </c>
      <c r="AU1242" t="n">
        <v/>
      </c>
    </row>
    <row r="1243">
      <c r="A1243" s="105" t="n">
        <v>44713</v>
      </c>
      <c r="B1243" t="n">
        <v>128.6</v>
      </c>
      <c r="C1243" t="n">
        <v>123.989667528</v>
      </c>
      <c r="D1243" t="n">
        <v>94.842903398</v>
      </c>
      <c r="E1243" t="n">
        <v>109.03290359</v>
      </c>
      <c r="F1243" t="n">
        <v>133.2</v>
      </c>
      <c r="G1243" t="n">
        <v/>
      </c>
      <c r="H1243" t="n">
        <v>100.550132203</v>
      </c>
      <c r="I1243" t="n">
        <v/>
      </c>
      <c r="J1243" t="n">
        <v>116.380603233</v>
      </c>
      <c r="K1243" t="n">
        <v>96.808067339</v>
      </c>
      <c r="L1243" t="n">
        <v>133.2</v>
      </c>
      <c r="M1243" t="n">
        <v>109.690859095</v>
      </c>
      <c r="N1243" t="n">
        <v>107.406089505</v>
      </c>
      <c r="O1243" t="n">
        <v>132.811067589</v>
      </c>
      <c r="P1243" t="n">
        <v/>
      </c>
      <c r="Q1243" t="n">
        <v>121.020170028</v>
      </c>
      <c r="R1243" t="n">
        <v>98.609178257</v>
      </c>
      <c r="S1243" t="n">
        <v>101.84888721</v>
      </c>
      <c r="T1243" t="n">
        <v>111.31941988</v>
      </c>
      <c r="U1243" t="n">
        <v/>
      </c>
      <c r="V1243" t="n">
        <v>122.987261677</v>
      </c>
      <c r="W1243" t="n">
        <v>125.510459205</v>
      </c>
      <c r="X1243" t="n">
        <v>125.166519424</v>
      </c>
      <c r="Y1243" t="n">
        <v/>
      </c>
      <c r="Z1243" t="n">
        <v>213.36443926</v>
      </c>
      <c r="AA1243" t="n">
        <v/>
      </c>
      <c r="AB1243" t="n">
        <v>126.838407494</v>
      </c>
      <c r="AC1243" t="n">
        <v>103.991334055</v>
      </c>
      <c r="AD1243" t="n">
        <v>96.49195900300001</v>
      </c>
      <c r="AE1243" t="n">
        <v>119.7</v>
      </c>
      <c r="AF1243" t="n">
        <v>93.492208983</v>
      </c>
      <c r="AG1243" t="n">
        <v>123.4</v>
      </c>
      <c r="AH1243" t="n">
        <v/>
      </c>
      <c r="AI1243" t="n">
        <v>106.291142405</v>
      </c>
      <c r="AJ1243" t="n">
        <v>105.314197052</v>
      </c>
      <c r="AK1243" t="n">
        <v/>
      </c>
      <c r="AL1243" t="n">
        <v>107.809435058</v>
      </c>
      <c r="AM1243" t="n">
        <v>149.7</v>
      </c>
      <c r="AN1243" t="n">
        <v>99.22917309</v>
      </c>
      <c r="AO1243" t="n">
        <v/>
      </c>
      <c r="AP1243" t="n">
        <v>109.109092424</v>
      </c>
      <c r="AQ1243" t="n">
        <v>135.711309276</v>
      </c>
      <c r="AR1243" t="n">
        <v>116.290309141</v>
      </c>
      <c r="AS1243" t="n">
        <v>148.387634364</v>
      </c>
      <c r="AT1243" t="n">
        <v>103.071648101</v>
      </c>
      <c r="AU1243" t="n">
        <v/>
      </c>
    </row>
    <row r="1244">
      <c r="A1244" s="105" t="n">
        <v>44743</v>
      </c>
      <c r="B1244" t="n">
        <v>123.4</v>
      </c>
      <c r="C1244" t="n">
        <v>125.989500875</v>
      </c>
      <c r="D1244" t="n">
        <v>95.329351281</v>
      </c>
      <c r="E1244" t="n">
        <v>109.687550998</v>
      </c>
      <c r="F1244" t="n">
        <v>125.2</v>
      </c>
      <c r="G1244" t="n">
        <v/>
      </c>
      <c r="H1244" t="n">
        <v>98.361339974</v>
      </c>
      <c r="I1244" t="n">
        <v/>
      </c>
      <c r="J1244" t="n">
        <v>115.780703216</v>
      </c>
      <c r="K1244" t="n">
        <v>96.008000667</v>
      </c>
      <c r="L1244" t="n">
        <v>130.3</v>
      </c>
      <c r="M1244" t="n">
        <v>106.09115907</v>
      </c>
      <c r="N1244" t="n">
        <v>106.211088509</v>
      </c>
      <c r="O1244" t="n">
        <v>122.41020085</v>
      </c>
      <c r="P1244" t="n">
        <v/>
      </c>
      <c r="Q1244" t="n">
        <v>117.619603267</v>
      </c>
      <c r="R1244" t="n">
        <v>96.94919209</v>
      </c>
      <c r="S1244" t="n">
        <v>102.055318733</v>
      </c>
      <c r="T1244" t="n">
        <v>110.57658295</v>
      </c>
      <c r="U1244" t="n">
        <v/>
      </c>
      <c r="V1244" t="n">
        <v>124.086254267</v>
      </c>
      <c r="W1244" t="n">
        <v>126.210517543</v>
      </c>
      <c r="X1244" t="n">
        <v>120.576078088</v>
      </c>
      <c r="Y1244" t="n">
        <v/>
      </c>
      <c r="Z1244" t="n">
        <v>164.572571238</v>
      </c>
      <c r="AA1244" t="n">
        <v/>
      </c>
      <c r="AB1244" t="n">
        <v>122.81030445</v>
      </c>
      <c r="AC1244" t="n">
        <v>104.391300725</v>
      </c>
      <c r="AD1244" t="n">
        <v>97.191900675</v>
      </c>
      <c r="AE1244" t="n">
        <v>118.2</v>
      </c>
      <c r="AF1244" t="n">
        <v>94.492125656</v>
      </c>
      <c r="AG1244" t="n">
        <v>121.4</v>
      </c>
      <c r="AH1244" t="n">
        <v/>
      </c>
      <c r="AI1244" t="n">
        <v>106.591117407</v>
      </c>
      <c r="AJ1244" t="n">
        <v>107.525213344</v>
      </c>
      <c r="AK1244" t="n">
        <v/>
      </c>
      <c r="AL1244" t="n">
        <v>107.33943773</v>
      </c>
      <c r="AM1244" t="n">
        <v>150</v>
      </c>
      <c r="AN1244" t="n">
        <v>99.119174007</v>
      </c>
      <c r="AO1244" t="n">
        <v/>
      </c>
      <c r="AP1244" t="n">
        <v>110.209184099</v>
      </c>
      <c r="AQ1244" t="n">
        <v>129.010750896</v>
      </c>
      <c r="AR1244" t="n">
        <v>125.089575869</v>
      </c>
      <c r="AS1244" t="n">
        <v>138.68844263</v>
      </c>
      <c r="AT1244" t="n">
        <v>103.60313744</v>
      </c>
      <c r="AU1244" t="n">
        <v/>
      </c>
    </row>
    <row r="1245">
      <c r="A1245" s="105" t="n">
        <v>44774</v>
      </c>
      <c r="B1245" t="n">
        <v>129</v>
      </c>
      <c r="C1245" t="n">
        <v>121.489875844</v>
      </c>
      <c r="D1245" t="n">
        <v>94.72194926500001</v>
      </c>
      <c r="E1245" t="n">
        <v>109.097645998</v>
      </c>
      <c r="F1245" t="n">
        <v>131.3</v>
      </c>
      <c r="G1245" t="n">
        <v/>
      </c>
      <c r="H1245" t="n">
        <v>96.539625857</v>
      </c>
      <c r="I1245" t="n">
        <v/>
      </c>
      <c r="J1245" t="n">
        <v>116.680553241</v>
      </c>
      <c r="K1245" t="n">
        <v>95.607967331</v>
      </c>
      <c r="L1245" t="n">
        <v>131.5</v>
      </c>
      <c r="M1245" t="n">
        <v>108.690942421</v>
      </c>
      <c r="N1245" t="n">
        <v>106.411088676</v>
      </c>
      <c r="O1245" t="n">
        <v>129.010750896</v>
      </c>
      <c r="P1245" t="n">
        <v/>
      </c>
      <c r="Q1245" t="n">
        <v>118.319719953</v>
      </c>
      <c r="R1245" t="n">
        <v>99.419171507</v>
      </c>
      <c r="S1245" t="n">
        <v>102.584059934</v>
      </c>
      <c r="T1245" t="n">
        <v>108.878669968</v>
      </c>
      <c r="U1245" t="n">
        <v/>
      </c>
      <c r="V1245" t="n">
        <v>122.88735326</v>
      </c>
      <c r="W1245" t="n">
        <v>126.510542545</v>
      </c>
      <c r="X1245" t="n">
        <v>118.469498122</v>
      </c>
      <c r="Y1245" t="n">
        <v/>
      </c>
      <c r="Z1245" t="n">
        <v>197.16713881</v>
      </c>
      <c r="AA1245" t="n">
        <v/>
      </c>
      <c r="AB1245" t="n">
        <v>127.306791569</v>
      </c>
      <c r="AC1245" t="n">
        <v>106.791100742</v>
      </c>
      <c r="AD1245" t="n">
        <v>99.691692359</v>
      </c>
      <c r="AE1245" t="n">
        <v>116.6</v>
      </c>
      <c r="AF1245" t="n">
        <v>94.392133989</v>
      </c>
      <c r="AG1245" t="n">
        <v>121.6</v>
      </c>
      <c r="AH1245" t="n">
        <v/>
      </c>
      <c r="AI1245" t="n">
        <v>104.791267394</v>
      </c>
      <c r="AJ1245" t="n">
        <v>110.89992242</v>
      </c>
      <c r="AK1245" t="n">
        <v/>
      </c>
      <c r="AL1245" t="n">
        <v>107.932193402</v>
      </c>
      <c r="AM1245" t="n">
        <v>151</v>
      </c>
      <c r="AN1245" t="n">
        <v>100.99915834</v>
      </c>
      <c r="AO1245" t="n">
        <v/>
      </c>
      <c r="AP1245" t="n">
        <v>109.809150763</v>
      </c>
      <c r="AQ1245" t="n">
        <v>135.111259272</v>
      </c>
      <c r="AR1245" t="n">
        <v>116.090325806</v>
      </c>
      <c r="AS1245" t="n">
        <v>142.08815932</v>
      </c>
      <c r="AT1245" t="n">
        <v>103.491385857</v>
      </c>
      <c r="AU1245" t="n">
        <v/>
      </c>
    </row>
    <row r="1246">
      <c r="A1246" s="105" t="n">
        <v>44805</v>
      </c>
      <c r="B1246" t="n">
        <v>127.4</v>
      </c>
      <c r="C1246" t="n">
        <v>130.589117574</v>
      </c>
      <c r="D1246" t="n">
        <v>94.06340652900001</v>
      </c>
      <c r="E1246" t="n">
        <v>109.633242284</v>
      </c>
      <c r="F1246" t="n">
        <v>137.6</v>
      </c>
      <c r="G1246" t="n">
        <v/>
      </c>
      <c r="H1246" t="n">
        <v>98.86327767500001</v>
      </c>
      <c r="I1246" t="n">
        <v/>
      </c>
      <c r="J1246" t="n">
        <v>116.780536577</v>
      </c>
      <c r="K1246" t="n">
        <v>96.908075673</v>
      </c>
      <c r="L1246" t="n">
        <v>134.2</v>
      </c>
      <c r="M1246" t="n">
        <v>109.090909091</v>
      </c>
      <c r="N1246" t="n">
        <v>106.0800884</v>
      </c>
      <c r="O1246" t="n">
        <v>125.910492541</v>
      </c>
      <c r="P1246" t="n">
        <v/>
      </c>
      <c r="Q1246" t="n">
        <v>120.420070012</v>
      </c>
      <c r="R1246" t="n">
        <v>98.49917917400001</v>
      </c>
      <c r="S1246" t="n">
        <v>102.429790669</v>
      </c>
      <c r="T1246" t="n">
        <v>108.772550407</v>
      </c>
      <c r="U1246" t="n">
        <v/>
      </c>
      <c r="V1246" t="n">
        <v>116.792939805</v>
      </c>
      <c r="W1246" t="n">
        <v>128.210684224</v>
      </c>
      <c r="X1246" t="n">
        <v>121.359598709</v>
      </c>
      <c r="Y1246" t="n">
        <v/>
      </c>
      <c r="Z1246" t="n">
        <v>201.866355607</v>
      </c>
      <c r="AA1246" t="n">
        <v/>
      </c>
      <c r="AB1246" t="n">
        <v>127.306791569</v>
      </c>
      <c r="AC1246" t="n">
        <v>104.691275727</v>
      </c>
      <c r="AD1246" t="n">
        <v>98.391800683</v>
      </c>
      <c r="AE1246" t="n">
        <v>114.3</v>
      </c>
      <c r="AF1246" t="n">
        <v>95.792017332</v>
      </c>
      <c r="AG1246" t="n">
        <v>120.3</v>
      </c>
      <c r="AH1246" t="n">
        <v/>
      </c>
      <c r="AI1246" t="n">
        <v>106.791100742</v>
      </c>
      <c r="AJ1246" t="n">
        <v>108.339798293</v>
      </c>
      <c r="AK1246" t="n">
        <v/>
      </c>
      <c r="AL1246" t="n">
        <v>107.783001476</v>
      </c>
      <c r="AM1246" t="n">
        <v>151.4</v>
      </c>
      <c r="AN1246" t="n">
        <v>98.95917534</v>
      </c>
      <c r="AO1246" t="n">
        <v/>
      </c>
      <c r="AP1246" t="n">
        <v>109.00908409</v>
      </c>
      <c r="AQ1246" t="n">
        <v>131.210934245</v>
      </c>
      <c r="AR1246" t="n">
        <v>118.290142488</v>
      </c>
      <c r="AS1246" t="n">
        <v>140.088325973</v>
      </c>
      <c r="AT1246" t="n">
        <v>103.658170384</v>
      </c>
      <c r="AU1246" t="n">
        <v/>
      </c>
    </row>
    <row r="1247">
      <c r="A1247" s="105" t="n">
        <v>44835</v>
      </c>
      <c r="B1247" t="n">
        <v>127.7</v>
      </c>
      <c r="C1247" t="n">
        <v>128.08932589</v>
      </c>
      <c r="D1247" t="n">
        <v>94.328446474</v>
      </c>
      <c r="E1247" t="n">
        <v>108.288098366</v>
      </c>
      <c r="F1247" t="n">
        <v>131.7</v>
      </c>
      <c r="G1247" t="n">
        <v/>
      </c>
      <c r="H1247" t="n">
        <v>99.42367950000001</v>
      </c>
      <c r="I1247" t="n">
        <v/>
      </c>
      <c r="J1247" t="n">
        <v>112.481253124</v>
      </c>
      <c r="K1247" t="n">
        <v>96.408034003</v>
      </c>
      <c r="L1247" t="n">
        <v>129.3</v>
      </c>
      <c r="M1247" t="n">
        <v>107.091075744</v>
      </c>
      <c r="N1247" t="n">
        <v>105.786088155</v>
      </c>
      <c r="O1247" t="n">
        <v>124.010334195</v>
      </c>
      <c r="P1247" t="n">
        <v/>
      </c>
      <c r="Q1247" t="n">
        <v>117.719619937</v>
      </c>
      <c r="R1247" t="n">
        <v>96.10919909</v>
      </c>
      <c r="S1247" t="n">
        <v>101.458384302</v>
      </c>
      <c r="T1247" t="n">
        <v>108.98478953</v>
      </c>
      <c r="U1247" t="n">
        <v/>
      </c>
      <c r="V1247" t="n">
        <v>117.292481892</v>
      </c>
      <c r="W1247" t="n">
        <v>123.41028419</v>
      </c>
      <c r="X1247" t="n">
        <v>116.350629824</v>
      </c>
      <c r="Y1247" t="n">
        <v/>
      </c>
      <c r="Z1247" t="n">
        <v>186.868855191</v>
      </c>
      <c r="AA1247" t="n">
        <v/>
      </c>
      <c r="AB1247" t="n">
        <v>120.56206089</v>
      </c>
      <c r="AC1247" t="n">
        <v>103.491375719</v>
      </c>
      <c r="AD1247" t="n">
        <v>95.292058995</v>
      </c>
      <c r="AE1247" t="n">
        <v>110.4</v>
      </c>
      <c r="AF1247" t="n">
        <v>93.192233981</v>
      </c>
      <c r="AG1247" t="n">
        <v>120.2</v>
      </c>
      <c r="AH1247" t="n">
        <v/>
      </c>
      <c r="AI1247" t="n">
        <v>105.491209066</v>
      </c>
      <c r="AJ1247" t="n">
        <v>106.826997673</v>
      </c>
      <c r="AK1247" t="n">
        <v/>
      </c>
      <c r="AL1247" t="n">
        <v>106.598882357</v>
      </c>
      <c r="AM1247" t="n">
        <v>150.8</v>
      </c>
      <c r="AN1247" t="n">
        <v>97.10919075699999</v>
      </c>
      <c r="AO1247" t="n">
        <v/>
      </c>
      <c r="AP1247" t="n">
        <v>109.809150763</v>
      </c>
      <c r="AQ1247" t="n">
        <v>123.510292524</v>
      </c>
      <c r="AR1247" t="n">
        <v>117.09024248</v>
      </c>
      <c r="AS1247" t="n">
        <v>143.388050996</v>
      </c>
      <c r="AT1247" t="n">
        <v>103.539378551</v>
      </c>
      <c r="AU1247" t="n">
        <v/>
      </c>
    </row>
    <row r="1248">
      <c r="A1248" s="105" t="n">
        <v>44866</v>
      </c>
      <c r="B1248" t="n">
        <v>128.6</v>
      </c>
      <c r="C1248" t="n">
        <v>129.289225898</v>
      </c>
      <c r="D1248" t="n">
        <v>94.237527192</v>
      </c>
      <c r="E1248" t="n">
        <v>108.445406366</v>
      </c>
      <c r="F1248" t="n">
        <v>128.4</v>
      </c>
      <c r="G1248" t="n">
        <v/>
      </c>
      <c r="H1248" t="n">
        <v>97.152144204</v>
      </c>
      <c r="I1248" t="n">
        <v/>
      </c>
      <c r="J1248" t="n">
        <v>116.080653224</v>
      </c>
      <c r="K1248" t="n">
        <v>97.108092341</v>
      </c>
      <c r="L1248" t="n">
        <v>132.6</v>
      </c>
      <c r="M1248" t="n">
        <v>108.590950754</v>
      </c>
      <c r="N1248" t="n">
        <v>105.07208756</v>
      </c>
      <c r="O1248" t="n">
        <v>119.009917493</v>
      </c>
      <c r="P1248" t="n">
        <v/>
      </c>
      <c r="Q1248" t="n">
        <v>116.419403234</v>
      </c>
      <c r="R1248" t="n">
        <v>97.929183923</v>
      </c>
      <c r="S1248" t="n">
        <v>101.510119933</v>
      </c>
      <c r="T1248" t="n">
        <v>109.090909091</v>
      </c>
      <c r="U1248" t="n">
        <v/>
      </c>
      <c r="V1248" t="n">
        <v>118.491382899</v>
      </c>
      <c r="W1248" t="n">
        <v>122.41020085</v>
      </c>
      <c r="X1248" t="n">
        <v>125.539084579</v>
      </c>
      <c r="Y1248" t="n">
        <v/>
      </c>
      <c r="Z1248" t="n">
        <v>203.366105649</v>
      </c>
      <c r="AA1248" t="n">
        <v/>
      </c>
      <c r="AB1248" t="n">
        <v>125.058548009</v>
      </c>
      <c r="AC1248" t="n">
        <v>103.391384051</v>
      </c>
      <c r="AD1248" t="n">
        <v>95.992000667</v>
      </c>
      <c r="AE1248" t="n">
        <v>111.1</v>
      </c>
      <c r="AF1248" t="n">
        <v>93.89217565200001</v>
      </c>
      <c r="AG1248" t="n">
        <v>123.5</v>
      </c>
      <c r="AH1248" t="n">
        <v/>
      </c>
      <c r="AI1248" t="n">
        <v>104.19131739</v>
      </c>
      <c r="AJ1248" t="n">
        <v>106.361520559</v>
      </c>
      <c r="AK1248" t="n">
        <v/>
      </c>
      <c r="AL1248" t="n">
        <v>106.67904324</v>
      </c>
      <c r="AM1248" t="n">
        <v>152.9</v>
      </c>
      <c r="AN1248" t="n">
        <v>100.619161507</v>
      </c>
      <c r="AO1248" t="n">
        <v/>
      </c>
      <c r="AP1248" t="n">
        <v>106.50887574</v>
      </c>
      <c r="AQ1248" t="n">
        <v>130.810900908</v>
      </c>
      <c r="AR1248" t="n">
        <v>113.090575785</v>
      </c>
      <c r="AS1248" t="n">
        <v>141.888175985</v>
      </c>
      <c r="AT1248" t="n">
        <v>102.933520368</v>
      </c>
      <c r="AU1248" t="n">
        <v/>
      </c>
    </row>
    <row r="1249">
      <c r="A1249" s="105" t="n">
        <v>44896</v>
      </c>
      <c r="B1249" t="n">
        <v>121.8</v>
      </c>
      <c r="C1249" t="n">
        <v>125.889509208</v>
      </c>
      <c r="D1249" t="n">
        <v>94.259227592</v>
      </c>
      <c r="E1249" t="n">
        <v>106.994587856</v>
      </c>
      <c r="F1249" t="n">
        <v>136.3</v>
      </c>
      <c r="G1249" t="n">
        <v/>
      </c>
      <c r="H1249" t="n">
        <v>99.41156168099999</v>
      </c>
      <c r="I1249" t="n">
        <v/>
      </c>
      <c r="J1249" t="n">
        <v>116.980503249</v>
      </c>
      <c r="K1249" t="n">
        <v>95.607967331</v>
      </c>
      <c r="L1249" t="n">
        <v>150.1</v>
      </c>
      <c r="M1249" t="n">
        <v>107.191067411</v>
      </c>
      <c r="N1249" t="n">
        <v>105.949088291</v>
      </c>
      <c r="O1249" t="n">
        <v>121.510125844</v>
      </c>
      <c r="P1249" t="n">
        <v/>
      </c>
      <c r="Q1249" t="n">
        <v>120.220036673</v>
      </c>
      <c r="R1249" t="n">
        <v>99.419171507</v>
      </c>
      <c r="S1249" t="n">
        <v>100.748559821</v>
      </c>
      <c r="T1249" t="n">
        <v>109.409267775</v>
      </c>
      <c r="U1249" t="n">
        <v/>
      </c>
      <c r="V1249" t="n">
        <v>118.591291316</v>
      </c>
      <c r="W1249" t="n">
        <v>126.810567547</v>
      </c>
      <c r="X1249" t="n">
        <v>124.397146234</v>
      </c>
      <c r="Y1249" t="n">
        <v/>
      </c>
      <c r="Z1249" t="n">
        <v>178.270288285</v>
      </c>
      <c r="AA1249" t="n">
        <v/>
      </c>
      <c r="AB1249" t="n">
        <v>125.058548009</v>
      </c>
      <c r="AC1249" t="n">
        <v>104.59128406</v>
      </c>
      <c r="AD1249" t="n">
        <v>95.992000667</v>
      </c>
      <c r="AE1249" t="n">
        <v>107.9</v>
      </c>
      <c r="AF1249" t="n">
        <v>91.392383968</v>
      </c>
      <c r="AG1249" t="n">
        <v>120.1</v>
      </c>
      <c r="AH1249" t="n">
        <v/>
      </c>
      <c r="AI1249" t="n">
        <v>106.991084076</v>
      </c>
      <c r="AJ1249" t="n">
        <v>106.128782002</v>
      </c>
      <c r="AK1249" t="n">
        <v/>
      </c>
      <c r="AL1249" t="n">
        <v>106.169354857</v>
      </c>
      <c r="AM1249" t="n">
        <v>154.4</v>
      </c>
      <c r="AN1249" t="n">
        <v>104.269131091</v>
      </c>
      <c r="AO1249" t="n">
        <v/>
      </c>
      <c r="AP1249" t="n">
        <v>105.908825735</v>
      </c>
      <c r="AQ1249" t="n">
        <v>132.211017585</v>
      </c>
      <c r="AR1249" t="n">
        <v>113.590534122</v>
      </c>
      <c r="AS1249" t="n">
        <v>144.287976002</v>
      </c>
      <c r="AT1249" t="n">
        <v>101.505142771</v>
      </c>
      <c r="AU1249" t="n">
        <v/>
      </c>
    </row>
    <row r="1250">
      <c r="A1250" s="105" t="n">
        <v>44927</v>
      </c>
      <c r="B1250" t="n">
        <v/>
      </c>
      <c r="C1250" t="n">
        <v>120.689942505</v>
      </c>
      <c r="D1250" t="n">
        <v/>
      </c>
      <c r="E1250" t="n">
        <v/>
      </c>
      <c r="F1250" t="n">
        <v/>
      </c>
      <c r="G1250" t="n">
        <v/>
      </c>
      <c r="H1250" t="n">
        <v>99.78772495699999</v>
      </c>
      <c r="I1250" t="n">
        <v/>
      </c>
      <c r="J1250" t="n">
        <v>113.88101983</v>
      </c>
      <c r="K1250" t="n">
        <v>97.408117343</v>
      </c>
      <c r="L1250" t="n">
        <v>139.4</v>
      </c>
      <c r="M1250" t="n">
        <v>107.891009083</v>
      </c>
      <c r="N1250" t="n">
        <v>104.948087457</v>
      </c>
      <c r="O1250" t="n">
        <v>121.510125844</v>
      </c>
      <c r="P1250" t="n">
        <v/>
      </c>
      <c r="Q1250" t="n">
        <v>121.020170028</v>
      </c>
      <c r="R1250" t="n">
        <v>97.48918759</v>
      </c>
      <c r="S1250" t="n">
        <v>100.030552525</v>
      </c>
      <c r="T1250" t="n">
        <v>109.090909091</v>
      </c>
      <c r="U1250" t="n">
        <v/>
      </c>
      <c r="V1250" t="n">
        <v>117.192573474</v>
      </c>
      <c r="W1250" t="n">
        <v>120.41003417</v>
      </c>
      <c r="X1250" t="n">
        <v>124.851080678</v>
      </c>
      <c r="Y1250" t="n">
        <v/>
      </c>
      <c r="Z1250" t="n">
        <v>194.767538744</v>
      </c>
      <c r="AA1250" t="n">
        <v/>
      </c>
      <c r="AB1250" t="n">
        <v/>
      </c>
      <c r="AC1250" t="n">
        <v>103.891342388</v>
      </c>
      <c r="AD1250" t="n">
        <v>91.29239230100001</v>
      </c>
      <c r="AE1250" t="n">
        <v/>
      </c>
      <c r="AF1250" t="n">
        <v>90.292475627</v>
      </c>
      <c r="AG1250" t="n">
        <v>116.2</v>
      </c>
      <c r="AH1250" t="n">
        <v/>
      </c>
      <c r="AI1250" t="n">
        <v>102.391467378</v>
      </c>
      <c r="AJ1250" t="n">
        <v>97.284716835</v>
      </c>
      <c r="AK1250" t="n">
        <v/>
      </c>
      <c r="AL1250" t="n">
        <v>105.381462446</v>
      </c>
      <c r="AM1250" t="n">
        <v>151.4</v>
      </c>
      <c r="AN1250" t="n">
        <v>101.529153924</v>
      </c>
      <c r="AO1250" t="n">
        <v/>
      </c>
      <c r="AP1250" t="n">
        <v>104.408700725</v>
      </c>
      <c r="AQ1250" t="n">
        <v>133.711142595</v>
      </c>
      <c r="AR1250" t="n">
        <v>119.290059162</v>
      </c>
      <c r="AS1250" t="n">
        <v>146.987751021</v>
      </c>
      <c r="AT1250" t="n">
        <v>101.781894029</v>
      </c>
      <c r="AU1250" t="n">
        <v/>
      </c>
    </row>
    <row r="1251">
      <c r="A1251" s="105" t="n">
        <v>44958</v>
      </c>
      <c r="B1251" t="n">
        <v/>
      </c>
      <c r="C1251" t="n">
        <v/>
      </c>
      <c r="D1251" t="n">
        <v/>
      </c>
      <c r="E1251" t="n">
        <v/>
      </c>
      <c r="F1251" t="n">
        <v/>
      </c>
      <c r="G1251" t="n">
        <v/>
      </c>
      <c r="H1251" t="n">
        <v/>
      </c>
      <c r="I1251" t="n">
        <v/>
      </c>
      <c r="J1251" t="n">
        <v/>
      </c>
      <c r="K1251" t="n">
        <v/>
      </c>
      <c r="L1251" t="n">
        <v/>
      </c>
      <c r="M1251" t="n">
        <v/>
      </c>
      <c r="N1251" t="n">
        <v/>
      </c>
      <c r="O1251" t="n">
        <v/>
      </c>
      <c r="P1251" t="n">
        <v/>
      </c>
      <c r="Q1251" t="n">
        <v/>
      </c>
      <c r="R1251" t="n">
        <v/>
      </c>
      <c r="S1251" t="n">
        <v/>
      </c>
      <c r="T1251" t="n">
        <v/>
      </c>
      <c r="U1251" t="n">
        <v/>
      </c>
      <c r="V1251" t="n">
        <v/>
      </c>
      <c r="W1251" t="n">
        <v/>
      </c>
      <c r="X1251" t="n">
        <v/>
      </c>
      <c r="Y1251" t="n">
        <v/>
      </c>
      <c r="Z1251" t="n">
        <v/>
      </c>
      <c r="AA1251" t="n">
        <v/>
      </c>
      <c r="AB1251" t="n">
        <v/>
      </c>
      <c r="AC1251" t="n">
        <v/>
      </c>
      <c r="AD1251" t="n">
        <v/>
      </c>
      <c r="AE1251" t="n">
        <v/>
      </c>
      <c r="AF1251" t="n">
        <v/>
      </c>
      <c r="AG1251" t="n">
        <v/>
      </c>
      <c r="AH1251" t="n">
        <v/>
      </c>
      <c r="AI1251" t="n">
        <v/>
      </c>
      <c r="AJ1251" t="n">
        <v/>
      </c>
      <c r="AK1251" t="n">
        <v/>
      </c>
      <c r="AL1251" t="n">
        <v/>
      </c>
      <c r="AM1251" t="n">
        <v/>
      </c>
      <c r="AN1251" t="n">
        <v/>
      </c>
      <c r="AO1251" t="n">
        <v/>
      </c>
      <c r="AP1251" t="n">
        <v/>
      </c>
      <c r="AQ1251" t="n">
        <v/>
      </c>
      <c r="AR1251" t="n">
        <v/>
      </c>
      <c r="AS1251" t="n">
        <v/>
      </c>
      <c r="AT1251" t="n">
        <v>101.782191504</v>
      </c>
      <c r="AU1251" t="n">
        <v/>
      </c>
    </row>
    <row r="1252">
      <c r="A1252" s="105" t="n">
        <v>44986</v>
      </c>
      <c r="B1252" t="n">
        <v/>
      </c>
      <c r="C1252" t="n">
        <v/>
      </c>
      <c r="D1252" t="n">
        <v/>
      </c>
      <c r="E1252" t="n">
        <v/>
      </c>
      <c r="F1252" t="n">
        <v/>
      </c>
      <c r="G1252" t="n">
        <v/>
      </c>
      <c r="H1252" t="n">
        <v/>
      </c>
      <c r="I1252" t="n">
        <v/>
      </c>
      <c r="J1252" t="n">
        <v/>
      </c>
      <c r="K1252" t="n">
        <v/>
      </c>
      <c r="L1252" t="n">
        <v/>
      </c>
      <c r="M1252" t="n">
        <v/>
      </c>
      <c r="N1252" t="n">
        <v/>
      </c>
      <c r="O1252" t="n">
        <v/>
      </c>
      <c r="P1252" t="n">
        <v/>
      </c>
      <c r="Q1252" t="n">
        <v/>
      </c>
      <c r="R1252" t="n">
        <v/>
      </c>
      <c r="S1252" t="n">
        <v/>
      </c>
      <c r="T1252" t="n">
        <v/>
      </c>
      <c r="U1252" t="n">
        <v/>
      </c>
      <c r="V1252" t="n">
        <v/>
      </c>
      <c r="W1252" t="n">
        <v/>
      </c>
      <c r="X1252" t="n">
        <v/>
      </c>
      <c r="Y1252" t="n">
        <v/>
      </c>
      <c r="Z1252" t="n">
        <v/>
      </c>
      <c r="AA1252" t="n">
        <v/>
      </c>
      <c r="AB1252" t="n">
        <v/>
      </c>
      <c r="AC1252" t="n">
        <v/>
      </c>
      <c r="AD1252" t="n">
        <v/>
      </c>
      <c r="AE1252" t="n">
        <v/>
      </c>
      <c r="AF1252" t="n">
        <v/>
      </c>
      <c r="AG1252" t="n">
        <v/>
      </c>
      <c r="AH1252" t="n">
        <v/>
      </c>
      <c r="AI1252" t="n">
        <v/>
      </c>
      <c r="AJ1252" t="n">
        <v/>
      </c>
      <c r="AK1252" t="n">
        <v/>
      </c>
      <c r="AL1252" t="n">
        <v/>
      </c>
      <c r="AM1252" t="n">
        <v/>
      </c>
      <c r="AN1252" t="n">
        <v/>
      </c>
      <c r="AO1252" t="n">
        <v/>
      </c>
      <c r="AP1252" t="n">
        <v/>
      </c>
      <c r="AQ1252" t="n">
        <v/>
      </c>
      <c r="AR1252" t="n">
        <v/>
      </c>
      <c r="AS1252" t="n">
        <v/>
      </c>
      <c r="AT1252" t="n">
        <v/>
      </c>
      <c r="AU1252" t="n">
        <v/>
      </c>
    </row>
    <row r="1253">
      <c r="A1253" s="105" t="n">
        <v>45017</v>
      </c>
      <c r="B1253" t="n">
        <v/>
      </c>
      <c r="C1253" t="n">
        <v/>
      </c>
      <c r="D1253" t="n">
        <v/>
      </c>
      <c r="E1253" t="n">
        <v/>
      </c>
      <c r="F1253" t="n">
        <v/>
      </c>
      <c r="G1253" t="n">
        <v/>
      </c>
      <c r="H1253" t="n">
        <v/>
      </c>
      <c r="I1253" t="n">
        <v/>
      </c>
      <c r="J1253" t="n">
        <v/>
      </c>
      <c r="K1253" t="n">
        <v/>
      </c>
      <c r="L1253" t="n">
        <v/>
      </c>
      <c r="M1253" t="n">
        <v/>
      </c>
      <c r="N1253" t="n">
        <v/>
      </c>
      <c r="O1253" t="n">
        <v/>
      </c>
      <c r="P1253" t="n">
        <v/>
      </c>
      <c r="Q1253" t="n">
        <v/>
      </c>
      <c r="R1253" t="n">
        <v/>
      </c>
      <c r="S1253" t="n">
        <v/>
      </c>
      <c r="T1253" t="n">
        <v/>
      </c>
      <c r="U1253" t="n">
        <v/>
      </c>
      <c r="V1253" t="n">
        <v/>
      </c>
      <c r="W1253" t="n">
        <v/>
      </c>
      <c r="X1253" t="n">
        <v/>
      </c>
      <c r="Y1253" t="n">
        <v/>
      </c>
      <c r="Z1253" t="n">
        <v/>
      </c>
      <c r="AA1253" t="n">
        <v/>
      </c>
      <c r="AB1253" t="n">
        <v/>
      </c>
      <c r="AC1253" t="n">
        <v/>
      </c>
      <c r="AD1253" t="n">
        <v/>
      </c>
      <c r="AE1253" t="n">
        <v/>
      </c>
      <c r="AF1253" t="n">
        <v/>
      </c>
      <c r="AG1253" t="n">
        <v/>
      </c>
      <c r="AH1253" t="n">
        <v/>
      </c>
      <c r="AI1253" t="n">
        <v/>
      </c>
      <c r="AJ1253" t="n">
        <v/>
      </c>
      <c r="AK1253" t="n">
        <v/>
      </c>
      <c r="AL1253" t="n">
        <v/>
      </c>
      <c r="AM1253" t="n">
        <v/>
      </c>
      <c r="AN1253" t="n">
        <v/>
      </c>
      <c r="AO1253" t="n">
        <v/>
      </c>
      <c r="AP1253" t="n">
        <v/>
      </c>
      <c r="AQ1253" t="n">
        <v/>
      </c>
      <c r="AR1253" t="n">
        <v/>
      </c>
      <c r="AS1253" t="n">
        <v/>
      </c>
      <c r="AT1253" t="n">
        <v/>
      </c>
      <c r="AU1253" t="n">
        <v/>
      </c>
    </row>
    <row r="1254">
      <c r="A1254" s="105" t="n">
        <v>45047</v>
      </c>
      <c r="B1254" t="n">
        <v/>
      </c>
      <c r="C1254" t="n">
        <v/>
      </c>
      <c r="D1254" t="n">
        <v/>
      </c>
      <c r="E1254" t="n">
        <v/>
      </c>
      <c r="F1254" t="n">
        <v/>
      </c>
      <c r="G1254" t="n">
        <v/>
      </c>
      <c r="H1254" t="n">
        <v/>
      </c>
      <c r="I1254" t="n">
        <v/>
      </c>
      <c r="J1254" t="n">
        <v/>
      </c>
      <c r="K1254" t="n">
        <v/>
      </c>
      <c r="L1254" t="n">
        <v/>
      </c>
      <c r="M1254" t="n">
        <v/>
      </c>
      <c r="N1254" t="n">
        <v/>
      </c>
      <c r="O1254" t="n">
        <v/>
      </c>
      <c r="P1254" t="n">
        <v/>
      </c>
      <c r="Q1254" t="n">
        <v/>
      </c>
      <c r="R1254" t="n">
        <v/>
      </c>
      <c r="S1254" t="n">
        <v/>
      </c>
      <c r="T1254" t="n">
        <v/>
      </c>
      <c r="U1254" t="n">
        <v/>
      </c>
      <c r="V1254" t="n">
        <v/>
      </c>
      <c r="W1254" t="n">
        <v/>
      </c>
      <c r="X1254" t="n">
        <v/>
      </c>
      <c r="Y1254" t="n">
        <v/>
      </c>
      <c r="Z1254" t="n">
        <v/>
      </c>
      <c r="AA1254" t="n">
        <v/>
      </c>
      <c r="AB1254" t="n">
        <v/>
      </c>
      <c r="AC1254" t="n">
        <v/>
      </c>
      <c r="AD1254" t="n">
        <v/>
      </c>
      <c r="AE1254" t="n">
        <v/>
      </c>
      <c r="AF1254" t="n">
        <v/>
      </c>
      <c r="AG1254" t="n">
        <v/>
      </c>
      <c r="AH1254" t="n">
        <v/>
      </c>
      <c r="AI1254" t="n">
        <v/>
      </c>
      <c r="AJ1254" t="n">
        <v/>
      </c>
      <c r="AK1254" t="n">
        <v/>
      </c>
      <c r="AL1254" t="n">
        <v/>
      </c>
      <c r="AM1254" t="n">
        <v/>
      </c>
      <c r="AN1254" t="n">
        <v/>
      </c>
      <c r="AO1254" t="n">
        <v/>
      </c>
      <c r="AP1254" t="n">
        <v/>
      </c>
      <c r="AQ1254" t="n">
        <v/>
      </c>
      <c r="AR1254" t="n">
        <v/>
      </c>
      <c r="AS1254" t="n">
        <v/>
      </c>
      <c r="AT1254" t="n">
        <v/>
      </c>
      <c r="AU1254" t="n">
        <v/>
      </c>
    </row>
    <row r="1255">
      <c r="A1255" s="105" t="n">
        <v>45078</v>
      </c>
      <c r="B1255" t="n">
        <v/>
      </c>
      <c r="C1255" t="n">
        <v/>
      </c>
      <c r="D1255" t="n">
        <v/>
      </c>
      <c r="E1255" t="n">
        <v/>
      </c>
      <c r="F1255" t="n">
        <v/>
      </c>
      <c r="G1255" t="n">
        <v/>
      </c>
      <c r="H1255" t="n">
        <v/>
      </c>
      <c r="I1255" t="n">
        <v/>
      </c>
      <c r="J1255" t="n">
        <v/>
      </c>
      <c r="K1255" t="n">
        <v/>
      </c>
      <c r="L1255" t="n">
        <v/>
      </c>
      <c r="M1255" t="n">
        <v/>
      </c>
      <c r="N1255" t="n">
        <v/>
      </c>
      <c r="O1255" t="n">
        <v/>
      </c>
      <c r="P1255" t="n">
        <v/>
      </c>
      <c r="Q1255" t="n">
        <v/>
      </c>
      <c r="R1255" t="n">
        <v/>
      </c>
      <c r="S1255" t="n">
        <v/>
      </c>
      <c r="T1255" t="n">
        <v/>
      </c>
      <c r="U1255" t="n">
        <v/>
      </c>
      <c r="V1255" t="n">
        <v/>
      </c>
      <c r="W1255" t="n">
        <v/>
      </c>
      <c r="X1255" t="n">
        <v/>
      </c>
      <c r="Y1255" t="n">
        <v/>
      </c>
      <c r="Z1255" t="n">
        <v/>
      </c>
      <c r="AA1255" t="n">
        <v/>
      </c>
      <c r="AB1255" t="n">
        <v/>
      </c>
      <c r="AC1255" t="n">
        <v/>
      </c>
      <c r="AD1255" t="n">
        <v/>
      </c>
      <c r="AE1255" t="n">
        <v/>
      </c>
      <c r="AF1255" t="n">
        <v/>
      </c>
      <c r="AG1255" t="n">
        <v/>
      </c>
      <c r="AH1255" t="n">
        <v/>
      </c>
      <c r="AI1255" t="n">
        <v/>
      </c>
      <c r="AJ1255" t="n">
        <v/>
      </c>
      <c r="AK1255" t="n">
        <v/>
      </c>
      <c r="AL1255" t="n">
        <v/>
      </c>
      <c r="AM1255" t="n">
        <v/>
      </c>
      <c r="AN1255" t="n">
        <v/>
      </c>
      <c r="AO1255" t="n">
        <v/>
      </c>
      <c r="AP1255" t="n">
        <v/>
      </c>
      <c r="AQ1255" t="n">
        <v/>
      </c>
      <c r="AR1255" t="n">
        <v/>
      </c>
      <c r="AS1255" t="n">
        <v/>
      </c>
      <c r="AT1255" t="n">
        <v/>
      </c>
      <c r="AU1255" t="n">
        <v/>
      </c>
    </row>
    <row r="1256">
      <c r="A1256" s="105" t="n">
        <v>45108</v>
      </c>
      <c r="B1256" t="n">
        <v/>
      </c>
      <c r="C1256" t="n">
        <v/>
      </c>
      <c r="D1256" t="n">
        <v/>
      </c>
      <c r="E1256" t="n">
        <v/>
      </c>
      <c r="F1256" t="n">
        <v/>
      </c>
      <c r="G1256" t="n">
        <v/>
      </c>
      <c r="H1256" t="n">
        <v/>
      </c>
      <c r="I1256" t="n">
        <v/>
      </c>
      <c r="J1256" t="n">
        <v/>
      </c>
      <c r="K1256" t="n">
        <v/>
      </c>
      <c r="L1256" t="n">
        <v/>
      </c>
      <c r="M1256" t="n">
        <v/>
      </c>
      <c r="N1256" t="n">
        <v/>
      </c>
      <c r="O1256" t="n">
        <v/>
      </c>
      <c r="P1256" t="n">
        <v/>
      </c>
      <c r="Q1256" t="n">
        <v/>
      </c>
      <c r="R1256" t="n">
        <v/>
      </c>
      <c r="S1256" t="n">
        <v/>
      </c>
      <c r="T1256" t="n">
        <v/>
      </c>
      <c r="U1256" t="n">
        <v/>
      </c>
      <c r="V1256" t="n">
        <v/>
      </c>
      <c r="W1256" t="n">
        <v/>
      </c>
      <c r="X1256" t="n">
        <v/>
      </c>
      <c r="Y1256" t="n">
        <v/>
      </c>
      <c r="Z1256" t="n">
        <v/>
      </c>
      <c r="AA1256" t="n">
        <v/>
      </c>
      <c r="AB1256" t="n">
        <v/>
      </c>
      <c r="AC1256" t="n">
        <v/>
      </c>
      <c r="AD1256" t="n">
        <v/>
      </c>
      <c r="AE1256" t="n">
        <v/>
      </c>
      <c r="AF1256" t="n">
        <v/>
      </c>
      <c r="AG1256" t="n">
        <v/>
      </c>
      <c r="AH1256" t="n">
        <v/>
      </c>
      <c r="AI1256" t="n">
        <v/>
      </c>
      <c r="AJ1256" t="n">
        <v/>
      </c>
      <c r="AK1256" t="n">
        <v/>
      </c>
      <c r="AL1256" t="n">
        <v/>
      </c>
      <c r="AM1256" t="n">
        <v/>
      </c>
      <c r="AN1256" t="n">
        <v/>
      </c>
      <c r="AO1256" t="n">
        <v/>
      </c>
      <c r="AP1256" t="n">
        <v/>
      </c>
      <c r="AQ1256" t="n">
        <v/>
      </c>
      <c r="AR1256" t="n">
        <v/>
      </c>
      <c r="AS1256" t="n">
        <v/>
      </c>
      <c r="AT1256" t="n">
        <v/>
      </c>
      <c r="AU1256" t="n">
        <v/>
      </c>
    </row>
    <row r="1257">
      <c r="A1257" s="105" t="n">
        <v>45139</v>
      </c>
      <c r="B1257" t="n">
        <v/>
      </c>
      <c r="C1257" t="n">
        <v/>
      </c>
      <c r="D1257" t="n">
        <v/>
      </c>
      <c r="E1257" t="n">
        <v/>
      </c>
      <c r="F1257" t="n">
        <v/>
      </c>
      <c r="G1257" t="n">
        <v/>
      </c>
      <c r="H1257" t="n">
        <v/>
      </c>
      <c r="I1257" t="n">
        <v/>
      </c>
      <c r="J1257" t="n">
        <v/>
      </c>
      <c r="K1257" t="n">
        <v/>
      </c>
      <c r="L1257" t="n">
        <v/>
      </c>
      <c r="M1257" t="n">
        <v/>
      </c>
      <c r="N1257" t="n">
        <v/>
      </c>
      <c r="O1257" t="n">
        <v/>
      </c>
      <c r="P1257" t="n">
        <v/>
      </c>
      <c r="Q1257" t="n">
        <v/>
      </c>
      <c r="R1257" t="n">
        <v/>
      </c>
      <c r="S1257" t="n">
        <v/>
      </c>
      <c r="T1257" t="n">
        <v/>
      </c>
      <c r="U1257" t="n">
        <v/>
      </c>
      <c r="V1257" t="n">
        <v/>
      </c>
      <c r="W1257" t="n">
        <v/>
      </c>
      <c r="X1257" t="n">
        <v/>
      </c>
      <c r="Y1257" t="n">
        <v/>
      </c>
      <c r="Z1257" t="n">
        <v/>
      </c>
      <c r="AA1257" t="n">
        <v/>
      </c>
      <c r="AB1257" t="n">
        <v/>
      </c>
      <c r="AC1257" t="n">
        <v/>
      </c>
      <c r="AD1257" t="n">
        <v/>
      </c>
      <c r="AE1257" t="n">
        <v/>
      </c>
      <c r="AF1257" t="n">
        <v/>
      </c>
      <c r="AG1257" t="n">
        <v/>
      </c>
      <c r="AH1257" t="n">
        <v/>
      </c>
      <c r="AI1257" t="n">
        <v/>
      </c>
      <c r="AJ1257" t="n">
        <v/>
      </c>
      <c r="AK1257" t="n">
        <v/>
      </c>
      <c r="AL1257" t="n">
        <v/>
      </c>
      <c r="AM1257" t="n">
        <v/>
      </c>
      <c r="AN1257" t="n">
        <v/>
      </c>
      <c r="AO1257" t="n">
        <v/>
      </c>
      <c r="AP1257" t="n">
        <v/>
      </c>
      <c r="AQ1257" t="n">
        <v/>
      </c>
      <c r="AR1257" t="n">
        <v/>
      </c>
      <c r="AS1257" t="n">
        <v/>
      </c>
      <c r="AT1257" t="n">
        <v/>
      </c>
      <c r="AU1257" t="n">
        <v/>
      </c>
    </row>
    <row r="1258">
      <c r="A1258" s="105" t="n">
        <v>45170</v>
      </c>
      <c r="B1258" t="n">
        <v/>
      </c>
      <c r="C1258" t="n">
        <v/>
      </c>
      <c r="D1258" t="n">
        <v/>
      </c>
      <c r="E1258" t="n">
        <v/>
      </c>
      <c r="F1258" t="n">
        <v/>
      </c>
      <c r="G1258" t="n">
        <v/>
      </c>
      <c r="H1258" t="n">
        <v/>
      </c>
      <c r="I1258" t="n">
        <v/>
      </c>
      <c r="J1258" t="n">
        <v/>
      </c>
      <c r="K1258" t="n">
        <v/>
      </c>
      <c r="L1258" t="n">
        <v/>
      </c>
      <c r="M1258" t="n">
        <v/>
      </c>
      <c r="N1258" t="n">
        <v/>
      </c>
      <c r="O1258" t="n">
        <v/>
      </c>
      <c r="P1258" t="n">
        <v/>
      </c>
      <c r="Q1258" t="n">
        <v/>
      </c>
      <c r="R1258" t="n">
        <v/>
      </c>
      <c r="S1258" t="n">
        <v/>
      </c>
      <c r="T1258" t="n">
        <v/>
      </c>
      <c r="U1258" t="n">
        <v/>
      </c>
      <c r="V1258" t="n">
        <v/>
      </c>
      <c r="W1258" t="n">
        <v/>
      </c>
      <c r="X1258" t="n">
        <v/>
      </c>
      <c r="Y1258" t="n">
        <v/>
      </c>
      <c r="Z1258" t="n">
        <v/>
      </c>
      <c r="AA1258" t="n">
        <v/>
      </c>
      <c r="AB1258" t="n">
        <v/>
      </c>
      <c r="AC1258" t="n">
        <v/>
      </c>
      <c r="AD1258" t="n">
        <v/>
      </c>
      <c r="AE1258" t="n">
        <v/>
      </c>
      <c r="AF1258" t="n">
        <v/>
      </c>
      <c r="AG1258" t="n">
        <v/>
      </c>
      <c r="AH1258" t="n">
        <v/>
      </c>
      <c r="AI1258" t="n">
        <v/>
      </c>
      <c r="AJ1258" t="n">
        <v/>
      </c>
      <c r="AK1258" t="n">
        <v/>
      </c>
      <c r="AL1258" t="n">
        <v/>
      </c>
      <c r="AM1258" t="n">
        <v/>
      </c>
      <c r="AN1258" t="n">
        <v/>
      </c>
      <c r="AO1258" t="n">
        <v/>
      </c>
      <c r="AP1258" t="n">
        <v/>
      </c>
      <c r="AQ1258" t="n">
        <v/>
      </c>
      <c r="AR1258" t="n">
        <v/>
      </c>
      <c r="AS1258" t="n">
        <v/>
      </c>
      <c r="AT1258" t="n">
        <v/>
      </c>
      <c r="AU1258" t="n">
        <v/>
      </c>
    </row>
    <row r="1259">
      <c r="A1259" s="105" t="n">
        <v>45200</v>
      </c>
      <c r="B1259" t="n">
        <v/>
      </c>
      <c r="C1259" t="n">
        <v/>
      </c>
      <c r="D1259" t="n">
        <v/>
      </c>
      <c r="E1259" t="n">
        <v/>
      </c>
      <c r="F1259" t="n">
        <v/>
      </c>
      <c r="G1259" t="n">
        <v/>
      </c>
      <c r="H1259" t="n">
        <v/>
      </c>
      <c r="I1259" t="n">
        <v/>
      </c>
      <c r="J1259" t="n">
        <v/>
      </c>
      <c r="K1259" t="n">
        <v/>
      </c>
      <c r="L1259" t="n">
        <v/>
      </c>
      <c r="M1259" t="n">
        <v/>
      </c>
      <c r="N1259" t="n">
        <v/>
      </c>
      <c r="O1259" t="n">
        <v/>
      </c>
      <c r="P1259" t="n">
        <v/>
      </c>
      <c r="Q1259" t="n">
        <v/>
      </c>
      <c r="R1259" t="n">
        <v/>
      </c>
      <c r="S1259" t="n">
        <v/>
      </c>
      <c r="T1259" t="n">
        <v/>
      </c>
      <c r="U1259" t="n">
        <v/>
      </c>
      <c r="V1259" t="n">
        <v/>
      </c>
      <c r="W1259" t="n">
        <v/>
      </c>
      <c r="X1259" t="n">
        <v/>
      </c>
      <c r="Y1259" t="n">
        <v/>
      </c>
      <c r="Z1259" t="n">
        <v/>
      </c>
      <c r="AA1259" t="n">
        <v/>
      </c>
      <c r="AB1259" t="n">
        <v/>
      </c>
      <c r="AC1259" t="n">
        <v/>
      </c>
      <c r="AD1259" t="n">
        <v/>
      </c>
      <c r="AE1259" t="n">
        <v/>
      </c>
      <c r="AF1259" t="n">
        <v/>
      </c>
      <c r="AG1259" t="n">
        <v/>
      </c>
      <c r="AH1259" t="n">
        <v/>
      </c>
      <c r="AI1259" t="n">
        <v/>
      </c>
      <c r="AJ1259" t="n">
        <v/>
      </c>
      <c r="AK1259" t="n">
        <v/>
      </c>
      <c r="AL1259" t="n">
        <v/>
      </c>
      <c r="AM1259" t="n">
        <v/>
      </c>
      <c r="AN1259" t="n">
        <v/>
      </c>
      <c r="AO1259" t="n">
        <v/>
      </c>
      <c r="AP1259" t="n">
        <v/>
      </c>
      <c r="AQ1259" t="n">
        <v/>
      </c>
      <c r="AR1259" t="n">
        <v/>
      </c>
      <c r="AS1259" t="n">
        <v/>
      </c>
      <c r="AT1259" t="n">
        <v/>
      </c>
      <c r="AU1259" t="n">
        <v/>
      </c>
    </row>
    <row r="1260">
      <c r="A1260" s="105" t="n">
        <v>45231</v>
      </c>
      <c r="B1260" t="n">
        <v/>
      </c>
      <c r="C1260" t="n">
        <v/>
      </c>
      <c r="D1260" t="n">
        <v/>
      </c>
      <c r="E1260" t="n">
        <v/>
      </c>
      <c r="F1260" t="n">
        <v/>
      </c>
      <c r="G1260" t="n">
        <v/>
      </c>
      <c r="H1260" t="n">
        <v/>
      </c>
      <c r="I1260" t="n">
        <v/>
      </c>
      <c r="J1260" t="n">
        <v/>
      </c>
      <c r="K1260" t="n">
        <v/>
      </c>
      <c r="L1260" t="n">
        <v/>
      </c>
      <c r="M1260" t="n">
        <v/>
      </c>
      <c r="N1260" t="n">
        <v/>
      </c>
      <c r="O1260" t="n">
        <v/>
      </c>
      <c r="P1260" t="n">
        <v/>
      </c>
      <c r="Q1260" t="n">
        <v/>
      </c>
      <c r="R1260" t="n">
        <v/>
      </c>
      <c r="S1260" t="n">
        <v/>
      </c>
      <c r="T1260" t="n">
        <v/>
      </c>
      <c r="U1260" t="n">
        <v/>
      </c>
      <c r="V1260" t="n">
        <v/>
      </c>
      <c r="W1260" t="n">
        <v/>
      </c>
      <c r="X1260" t="n">
        <v/>
      </c>
      <c r="Y1260" t="n">
        <v/>
      </c>
      <c r="Z1260" t="n">
        <v/>
      </c>
      <c r="AA1260" t="n">
        <v/>
      </c>
      <c r="AB1260" t="n">
        <v/>
      </c>
      <c r="AC1260" t="n">
        <v/>
      </c>
      <c r="AD1260" t="n">
        <v/>
      </c>
      <c r="AE1260" t="n">
        <v/>
      </c>
      <c r="AF1260" t="n">
        <v/>
      </c>
      <c r="AG1260" t="n">
        <v/>
      </c>
      <c r="AH1260" t="n">
        <v/>
      </c>
      <c r="AI1260" t="n">
        <v/>
      </c>
      <c r="AJ1260" t="n">
        <v/>
      </c>
      <c r="AK1260" t="n">
        <v/>
      </c>
      <c r="AL1260" t="n">
        <v/>
      </c>
      <c r="AM1260" t="n">
        <v/>
      </c>
      <c r="AN1260" t="n">
        <v/>
      </c>
      <c r="AO1260" t="n">
        <v/>
      </c>
      <c r="AP1260" t="n">
        <v/>
      </c>
      <c r="AQ1260" t="n">
        <v/>
      </c>
      <c r="AR1260" t="n">
        <v/>
      </c>
      <c r="AS1260" t="n">
        <v/>
      </c>
      <c r="AT1260" t="n">
        <v/>
      </c>
      <c r="AU1260" t="n">
        <v/>
      </c>
    </row>
    <row r="1261">
      <c r="A1261" s="105" t="n">
        <v>45261</v>
      </c>
      <c r="B1261" t="n">
        <v/>
      </c>
      <c r="C1261" t="n">
        <v/>
      </c>
      <c r="D1261" t="n">
        <v/>
      </c>
      <c r="E1261" t="n">
        <v/>
      </c>
      <c r="F1261" t="n">
        <v/>
      </c>
      <c r="G1261" t="n">
        <v/>
      </c>
      <c r="H1261" t="n">
        <v/>
      </c>
      <c r="I1261" t="n">
        <v/>
      </c>
      <c r="J1261" t="n">
        <v/>
      </c>
      <c r="K1261" t="n">
        <v/>
      </c>
      <c r="L1261" t="n">
        <v/>
      </c>
      <c r="M1261" t="n">
        <v/>
      </c>
      <c r="N1261" t="n">
        <v/>
      </c>
      <c r="O1261" t="n">
        <v/>
      </c>
      <c r="P1261" t="n">
        <v/>
      </c>
      <c r="Q1261" t="n">
        <v/>
      </c>
      <c r="R1261" t="n">
        <v/>
      </c>
      <c r="S1261" t="n">
        <v/>
      </c>
      <c r="T1261" t="n">
        <v/>
      </c>
      <c r="U1261" t="n">
        <v/>
      </c>
      <c r="V1261" t="n">
        <v/>
      </c>
      <c r="W1261" t="n">
        <v/>
      </c>
      <c r="X1261" t="n">
        <v/>
      </c>
      <c r="Y1261" t="n">
        <v/>
      </c>
      <c r="Z1261" t="n">
        <v/>
      </c>
      <c r="AA1261" t="n">
        <v/>
      </c>
      <c r="AB1261" t="n">
        <v/>
      </c>
      <c r="AC1261" t="n">
        <v/>
      </c>
      <c r="AD1261" t="n">
        <v/>
      </c>
      <c r="AE1261" t="n">
        <v/>
      </c>
      <c r="AF1261" t="n">
        <v/>
      </c>
      <c r="AG1261" t="n">
        <v/>
      </c>
      <c r="AH1261" t="n">
        <v/>
      </c>
      <c r="AI1261" t="n">
        <v/>
      </c>
      <c r="AJ1261" t="n">
        <v/>
      </c>
      <c r="AK1261" t="n">
        <v/>
      </c>
      <c r="AL1261" t="n">
        <v/>
      </c>
      <c r="AM1261" t="n">
        <v/>
      </c>
      <c r="AN1261" t="n">
        <v/>
      </c>
      <c r="AO1261" t="n">
        <v/>
      </c>
      <c r="AP1261" t="n">
        <v/>
      </c>
      <c r="AQ1261" t="n">
        <v/>
      </c>
      <c r="AR1261" t="n">
        <v/>
      </c>
      <c r="AS1261" t="n">
        <v/>
      </c>
      <c r="AT1261" t="n">
        <v/>
      </c>
      <c r="AU1261" t="n">
        <v/>
      </c>
    </row>
    <row r="1262">
      <c r="A1262" s="105" t="n">
        <v>45292</v>
      </c>
      <c r="B1262" t="n">
        <v/>
      </c>
      <c r="C1262" t="n">
        <v/>
      </c>
      <c r="D1262" t="n">
        <v/>
      </c>
      <c r="E1262" t="n">
        <v/>
      </c>
      <c r="F1262" t="n">
        <v/>
      </c>
      <c r="G1262" t="n">
        <v/>
      </c>
      <c r="H1262" t="n">
        <v/>
      </c>
      <c r="I1262" t="n">
        <v/>
      </c>
      <c r="J1262" t="n">
        <v/>
      </c>
      <c r="K1262" t="n">
        <v/>
      </c>
      <c r="L1262" t="n">
        <v/>
      </c>
      <c r="M1262" t="n">
        <v/>
      </c>
      <c r="N1262" t="n">
        <v/>
      </c>
      <c r="O1262" t="n">
        <v/>
      </c>
      <c r="P1262" t="n">
        <v/>
      </c>
      <c r="Q1262" t="n">
        <v/>
      </c>
      <c r="R1262" t="n">
        <v/>
      </c>
      <c r="S1262" t="n">
        <v/>
      </c>
      <c r="T1262" t="n">
        <v/>
      </c>
      <c r="U1262" t="n">
        <v/>
      </c>
      <c r="V1262" t="n">
        <v/>
      </c>
      <c r="W1262" t="n">
        <v/>
      </c>
      <c r="X1262" t="n">
        <v/>
      </c>
      <c r="Y1262" t="n">
        <v/>
      </c>
      <c r="Z1262" t="n">
        <v/>
      </c>
      <c r="AA1262" t="n">
        <v/>
      </c>
      <c r="AB1262" t="n">
        <v/>
      </c>
      <c r="AC1262" t="n">
        <v/>
      </c>
      <c r="AD1262" t="n">
        <v/>
      </c>
      <c r="AE1262" t="n">
        <v/>
      </c>
      <c r="AF1262" t="n">
        <v/>
      </c>
      <c r="AG1262" t="n">
        <v/>
      </c>
      <c r="AH1262" t="n">
        <v/>
      </c>
      <c r="AI1262" t="n">
        <v/>
      </c>
      <c r="AJ1262" t="n">
        <v/>
      </c>
      <c r="AK1262" t="n">
        <v/>
      </c>
      <c r="AL1262" t="n">
        <v/>
      </c>
      <c r="AM1262" t="n">
        <v/>
      </c>
      <c r="AN1262" t="n">
        <v/>
      </c>
      <c r="AO1262" t="n">
        <v/>
      </c>
      <c r="AP1262" t="n">
        <v/>
      </c>
      <c r="AQ1262" t="n">
        <v/>
      </c>
      <c r="AR1262" t="n">
        <v/>
      </c>
      <c r="AS1262" t="n">
        <v/>
      </c>
      <c r="AT1262" t="n">
        <v/>
      </c>
      <c r="AU1262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2">
    <tabColor theme="6"/>
    <outlinePr summaryBelow="1" summaryRight="1"/>
    <pageSetUpPr/>
  </sheetPr>
  <dimension ref="A1:D182"/>
  <sheetViews>
    <sheetView zoomScale="150" zoomScaleNormal="150" workbookViewId="0">
      <selection activeCell="A4" sqref="A4"/>
    </sheetView>
  </sheetViews>
  <sheetFormatPr baseColWidth="8" defaultColWidth="10.90625" defaultRowHeight="14.5"/>
  <cols>
    <col width="21.1796875" customWidth="1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23315</v>
      </c>
      <c r="C2" t="n">
        <v>21.1043148117692</v>
      </c>
      <c r="D2" t="inlineStr">
        <is>
          <t>USA</t>
        </is>
      </c>
    </row>
    <row r="3">
      <c r="A3" t="inlineStr">
        <is>
          <t>China</t>
        </is>
      </c>
      <c r="B3" t="n">
        <v>17734</v>
      </c>
      <c r="C3" t="n">
        <v>42.8355494597785</v>
      </c>
      <c r="D3" t="inlineStr">
        <is>
          <t>CHN</t>
        </is>
      </c>
    </row>
    <row r="4">
      <c r="A4" t="inlineStr">
        <is>
          <t>Euro Area</t>
        </is>
      </c>
      <c r="B4" t="n">
        <v>14563</v>
      </c>
    </row>
    <row r="5">
      <c r="A5" t="inlineStr">
        <is>
          <t>Japan</t>
        </is>
      </c>
      <c r="B5" t="n">
        <v>4941</v>
      </c>
      <c r="C5" t="n">
        <v>25.2767237457511</v>
      </c>
      <c r="D5" t="inlineStr">
        <is>
          <t>JPN</t>
        </is>
      </c>
    </row>
    <row r="6">
      <c r="A6" t="inlineStr">
        <is>
          <t>Germany</t>
        </is>
      </c>
      <c r="B6" t="n">
        <v>4260</v>
      </c>
      <c r="C6" t="n">
        <v>23.2903172069133</v>
      </c>
      <c r="D6" t="inlineStr">
        <is>
          <t>DEU</t>
        </is>
      </c>
    </row>
    <row r="7">
      <c r="A7" t="inlineStr">
        <is>
          <t>India</t>
        </is>
      </c>
      <c r="B7" t="n">
        <v>3176</v>
      </c>
      <c r="C7" t="n">
        <v>31.1842772143242</v>
      </c>
      <c r="D7" t="inlineStr">
        <is>
          <t>IND</t>
        </is>
      </c>
    </row>
    <row r="8">
      <c r="A8" t="inlineStr">
        <is>
          <t>United Kingdom</t>
        </is>
      </c>
      <c r="B8" t="n">
        <v>3131</v>
      </c>
      <c r="C8" t="n">
        <v>18.0920756440749</v>
      </c>
      <c r="D8" t="inlineStr">
        <is>
          <t>GBR</t>
        </is>
      </c>
    </row>
    <row r="9">
      <c r="A9" t="inlineStr">
        <is>
          <t>France</t>
        </is>
      </c>
      <c r="B9" t="n">
        <v>2958</v>
      </c>
      <c r="C9" t="n">
        <v>25.0266907116324</v>
      </c>
      <c r="D9" t="inlineStr">
        <is>
          <t>FRA</t>
        </is>
      </c>
    </row>
    <row r="10">
      <c r="A10" t="inlineStr">
        <is>
          <t>Italy</t>
        </is>
      </c>
      <c r="B10" t="n">
        <v>2108</v>
      </c>
      <c r="C10" t="n">
        <v>20.0451457489642</v>
      </c>
      <c r="D10" t="inlineStr">
        <is>
          <t>ITA</t>
        </is>
      </c>
    </row>
    <row r="11">
      <c r="A11" t="inlineStr">
        <is>
          <t>Canada</t>
        </is>
      </c>
      <c r="B11" t="n">
        <v>1988</v>
      </c>
      <c r="C11" t="n">
        <v>23.7401273660529</v>
      </c>
      <c r="D11" t="inlineStr">
        <is>
          <t>CAN</t>
        </is>
      </c>
    </row>
    <row r="12">
      <c r="A12" t="inlineStr">
        <is>
          <t>South Korea</t>
        </is>
      </c>
      <c r="B12" t="n">
        <v>1799</v>
      </c>
      <c r="C12" t="n">
        <v>32.0899829991244</v>
      </c>
      <c r="D12" t="inlineStr">
        <is>
          <t>KOR</t>
        </is>
      </c>
    </row>
    <row r="13">
      <c r="A13" t="inlineStr">
        <is>
          <t>Russia</t>
        </is>
      </c>
      <c r="B13" t="n">
        <v>1776</v>
      </c>
      <c r="C13" t="n">
        <v>22.4219382755098</v>
      </c>
      <c r="D13" t="inlineStr">
        <is>
          <t>RUS</t>
        </is>
      </c>
    </row>
    <row r="14">
      <c r="A14" t="inlineStr">
        <is>
          <t>Brazil</t>
        </is>
      </c>
      <c r="B14" t="n">
        <v>1609</v>
      </c>
      <c r="C14" t="n">
        <v>18.919750156211</v>
      </c>
      <c r="D14" t="inlineStr">
        <is>
          <t>BRA</t>
        </is>
      </c>
    </row>
    <row r="15">
      <c r="A15" t="inlineStr">
        <is>
          <t>Australia</t>
        </is>
      </c>
      <c r="B15" t="n">
        <v>1553</v>
      </c>
      <c r="C15" t="n">
        <v>22.7622897118321</v>
      </c>
      <c r="D15" t="inlineStr">
        <is>
          <t>AUS</t>
        </is>
      </c>
    </row>
    <row r="16">
      <c r="A16" t="inlineStr">
        <is>
          <t>Spain</t>
        </is>
      </c>
      <c r="B16" t="n">
        <v>1427</v>
      </c>
      <c r="C16" t="n">
        <v>20.8413363141157</v>
      </c>
      <c r="D16" t="inlineStr">
        <is>
          <t>ESP</t>
        </is>
      </c>
    </row>
    <row r="17">
      <c r="A17" t="inlineStr">
        <is>
          <t>Mexico</t>
        </is>
      </c>
      <c r="B17" t="n">
        <v>1273</v>
      </c>
      <c r="C17" t="n">
        <v>20.5642915720598</v>
      </c>
      <c r="D17" t="inlineStr">
        <is>
          <t>MEX</t>
        </is>
      </c>
    </row>
    <row r="18">
      <c r="A18" t="inlineStr">
        <is>
          <t>Indonesia</t>
        </is>
      </c>
      <c r="B18" t="n">
        <v>1186</v>
      </c>
      <c r="C18" t="n">
        <v>31.4599211451255</v>
      </c>
      <c r="D18" t="inlineStr">
        <is>
          <t>IDN</t>
        </is>
      </c>
    </row>
    <row r="19">
      <c r="A19" t="inlineStr">
        <is>
          <t>Netherlands</t>
        </is>
      </c>
      <c r="B19" t="n">
        <v>1013</v>
      </c>
      <c r="C19" t="n">
        <v>21.4538112654083</v>
      </c>
      <c r="D19" t="inlineStr">
        <is>
          <t>NLD</t>
        </is>
      </c>
    </row>
    <row r="20">
      <c r="A20" t="inlineStr">
        <is>
          <t>Saudi Arabia</t>
        </is>
      </c>
      <c r="B20" t="n">
        <v>834</v>
      </c>
    </row>
    <row r="21">
      <c r="A21" t="inlineStr">
        <is>
          <t>Turkey</t>
        </is>
      </c>
      <c r="B21" t="n">
        <v>819</v>
      </c>
    </row>
    <row r="22">
      <c r="A22" t="inlineStr">
        <is>
          <t>Switzerland</t>
        </is>
      </c>
      <c r="B22" t="n">
        <v>801</v>
      </c>
    </row>
    <row r="23">
      <c r="A23" t="inlineStr">
        <is>
          <t>Taiwan</t>
        </is>
      </c>
      <c r="B23" t="n">
        <v>775</v>
      </c>
    </row>
    <row r="24">
      <c r="A24" t="inlineStr">
        <is>
          <t>Poland</t>
        </is>
      </c>
      <c r="B24" t="n">
        <v>679</v>
      </c>
    </row>
    <row r="25">
      <c r="A25" t="inlineStr">
        <is>
          <t>Sweden</t>
        </is>
      </c>
      <c r="B25" t="n">
        <v>636</v>
      </c>
    </row>
    <row r="26">
      <c r="A26" t="inlineStr">
        <is>
          <t>Belgium</t>
        </is>
      </c>
      <c r="B26" t="n">
        <v>594</v>
      </c>
    </row>
    <row r="27">
      <c r="A27" t="inlineStr">
        <is>
          <t>Thailand</t>
        </is>
      </c>
      <c r="B27" t="n">
        <v>506</v>
      </c>
    </row>
    <row r="28">
      <c r="A28" t="inlineStr">
        <is>
          <t>Ireland</t>
        </is>
      </c>
      <c r="B28" t="n">
        <v>504</v>
      </c>
    </row>
    <row r="29">
      <c r="A29" t="inlineStr">
        <is>
          <t>Israel</t>
        </is>
      </c>
      <c r="B29" t="n">
        <v>489</v>
      </c>
    </row>
    <row r="30">
      <c r="A30" t="inlineStr">
        <is>
          <t>Argentina</t>
        </is>
      </c>
      <c r="B30" t="n">
        <v>487</v>
      </c>
    </row>
    <row r="31">
      <c r="A31" t="inlineStr">
        <is>
          <t>Norway</t>
        </is>
      </c>
      <c r="B31" t="n">
        <v>482</v>
      </c>
    </row>
    <row r="32">
      <c r="A32" t="inlineStr">
        <is>
          <t>Austria</t>
        </is>
      </c>
      <c r="B32" t="n">
        <v>480</v>
      </c>
    </row>
    <row r="33">
      <c r="A33" t="inlineStr">
        <is>
          <t>Nigeria</t>
        </is>
      </c>
      <c r="B33" t="n">
        <v>441</v>
      </c>
    </row>
    <row r="34">
      <c r="A34" t="inlineStr">
        <is>
          <t>South Africa</t>
        </is>
      </c>
      <c r="B34" t="n">
        <v>419</v>
      </c>
    </row>
    <row r="35">
      <c r="A35" t="inlineStr">
        <is>
          <t>Bangladesh</t>
        </is>
      </c>
      <c r="B35" t="n">
        <v>416</v>
      </c>
    </row>
    <row r="36">
      <c r="A36" t="inlineStr">
        <is>
          <t>United Arab Emirates</t>
        </is>
      </c>
      <c r="B36" t="n">
        <v>415</v>
      </c>
    </row>
    <row r="37">
      <c r="A37" t="inlineStr">
        <is>
          <t>Egypt</t>
        </is>
      </c>
      <c r="B37" t="n">
        <v>404</v>
      </c>
    </row>
    <row r="38">
      <c r="A38" t="inlineStr">
        <is>
          <t>Denmark</t>
        </is>
      </c>
      <c r="B38" t="n">
        <v>398</v>
      </c>
    </row>
    <row r="39">
      <c r="A39" t="inlineStr">
        <is>
          <t>Singapore</t>
        </is>
      </c>
      <c r="B39" t="n">
        <v>397</v>
      </c>
    </row>
    <row r="40">
      <c r="A40" t="inlineStr">
        <is>
          <t>Philippines</t>
        </is>
      </c>
      <c r="B40" t="n">
        <v>394</v>
      </c>
    </row>
    <row r="41">
      <c r="A41" t="inlineStr">
        <is>
          <t>Malaysia</t>
        </is>
      </c>
      <c r="B41" t="n">
        <v>373</v>
      </c>
    </row>
    <row r="42">
      <c r="A42" t="inlineStr">
        <is>
          <t>Hong Kong</t>
        </is>
      </c>
      <c r="B42" t="n">
        <v>368</v>
      </c>
    </row>
    <row r="43">
      <c r="A43" t="inlineStr">
        <is>
          <t>Vietnam</t>
        </is>
      </c>
      <c r="B43" t="n">
        <v>366</v>
      </c>
    </row>
    <row r="44">
      <c r="A44" t="inlineStr">
        <is>
          <t>Pakistan</t>
        </is>
      </c>
      <c r="B44" t="n">
        <v>348</v>
      </c>
    </row>
    <row r="45">
      <c r="A45" t="inlineStr">
        <is>
          <t>Chile</t>
        </is>
      </c>
      <c r="B45" t="n">
        <v>317</v>
      </c>
    </row>
    <row r="46">
      <c r="A46" t="inlineStr">
        <is>
          <t>Colombia</t>
        </is>
      </c>
      <c r="B46" t="n">
        <v>314</v>
      </c>
    </row>
    <row r="47">
      <c r="A47" t="inlineStr">
        <is>
          <t>Finland</t>
        </is>
      </c>
      <c r="B47" t="n">
        <v>297</v>
      </c>
    </row>
    <row r="48">
      <c r="A48" t="inlineStr">
        <is>
          <t>Romania</t>
        </is>
      </c>
      <c r="B48" t="n">
        <v>284</v>
      </c>
    </row>
    <row r="49">
      <c r="A49" t="inlineStr">
        <is>
          <t>Czech Republic</t>
        </is>
      </c>
      <c r="B49" t="n">
        <v>282</v>
      </c>
    </row>
    <row r="50">
      <c r="A50" t="inlineStr">
        <is>
          <t>Portugal</t>
        </is>
      </c>
      <c r="B50" t="n">
        <v>254</v>
      </c>
    </row>
    <row r="51">
      <c r="A51" t="inlineStr">
        <is>
          <t>New Zealand</t>
        </is>
      </c>
      <c r="B51" t="n">
        <v>250</v>
      </c>
    </row>
    <row r="52">
      <c r="A52" t="inlineStr">
        <is>
          <t>Iran</t>
        </is>
      </c>
      <c r="B52" t="n">
        <v>232</v>
      </c>
    </row>
    <row r="53">
      <c r="A53" t="inlineStr">
        <is>
          <t>Peru</t>
        </is>
      </c>
      <c r="B53" t="n">
        <v>223</v>
      </c>
    </row>
    <row r="54">
      <c r="A54" t="inlineStr">
        <is>
          <t>Greece</t>
        </is>
      </c>
      <c r="B54" t="n">
        <v>215</v>
      </c>
    </row>
    <row r="55">
      <c r="A55" t="inlineStr">
        <is>
          <t>Iraq</t>
        </is>
      </c>
      <c r="B55" t="n">
        <v>208</v>
      </c>
    </row>
    <row r="56">
      <c r="A56" t="inlineStr">
        <is>
          <t>Ukraine</t>
        </is>
      </c>
      <c r="B56" t="n">
        <v>200</v>
      </c>
    </row>
    <row r="57">
      <c r="A57" t="inlineStr">
        <is>
          <t>Kazakhstan</t>
        </is>
      </c>
      <c r="B57" t="n">
        <v>197</v>
      </c>
    </row>
    <row r="58">
      <c r="A58" t="inlineStr">
        <is>
          <t>Hungary</t>
        </is>
      </c>
      <c r="B58" t="n">
        <v>182</v>
      </c>
    </row>
    <row r="59">
      <c r="A59" t="inlineStr">
        <is>
          <t>Qatar</t>
        </is>
      </c>
      <c r="B59" t="n">
        <v>180</v>
      </c>
    </row>
    <row r="60">
      <c r="A60" t="inlineStr">
        <is>
          <t>Algeria</t>
        </is>
      </c>
      <c r="B60" t="n">
        <v>163</v>
      </c>
    </row>
    <row r="61">
      <c r="A61" t="inlineStr">
        <is>
          <t>Morocco</t>
        </is>
      </c>
      <c r="B61" t="n">
        <v>143</v>
      </c>
    </row>
    <row r="62">
      <c r="A62" t="inlineStr">
        <is>
          <t>Slovakia</t>
        </is>
      </c>
      <c r="B62" t="n">
        <v>115</v>
      </c>
    </row>
    <row r="63">
      <c r="A63" t="inlineStr">
        <is>
          <t>Venezuela</t>
        </is>
      </c>
      <c r="B63" t="n">
        <v>112</v>
      </c>
    </row>
    <row r="64">
      <c r="A64" t="inlineStr">
        <is>
          <t>Ethiopia</t>
        </is>
      </c>
      <c r="B64" t="n">
        <v>111</v>
      </c>
    </row>
    <row r="65">
      <c r="A65" t="inlineStr">
        <is>
          <t>Kenya</t>
        </is>
      </c>
      <c r="B65" t="n">
        <v>110</v>
      </c>
    </row>
    <row r="66">
      <c r="A66" t="inlineStr">
        <is>
          <t>Puerto Rico</t>
        </is>
      </c>
      <c r="B66" t="n">
        <v>107</v>
      </c>
    </row>
    <row r="67">
      <c r="A67" t="inlineStr">
        <is>
          <t>Cuba</t>
        </is>
      </c>
      <c r="B67" t="n">
        <v>107</v>
      </c>
    </row>
    <row r="68">
      <c r="A68" t="inlineStr">
        <is>
          <t>Ecuador</t>
        </is>
      </c>
      <c r="B68" t="n">
        <v>106</v>
      </c>
    </row>
    <row r="69">
      <c r="A69" t="inlineStr">
        <is>
          <t>Kuwait</t>
        </is>
      </c>
      <c r="B69" t="n">
        <v>106</v>
      </c>
    </row>
    <row r="70">
      <c r="A70" t="inlineStr">
        <is>
          <t>Dominican Republic</t>
        </is>
      </c>
      <c r="B70" t="n">
        <v>94</v>
      </c>
    </row>
    <row r="71">
      <c r="A71" t="inlineStr">
        <is>
          <t>Sri Lanka</t>
        </is>
      </c>
      <c r="B71" t="n">
        <v>89</v>
      </c>
    </row>
    <row r="72">
      <c r="A72" t="inlineStr">
        <is>
          <t>Oman</t>
        </is>
      </c>
      <c r="B72" t="n">
        <v>88</v>
      </c>
    </row>
    <row r="73">
      <c r="A73" t="inlineStr">
        <is>
          <t>Luxembourg</t>
        </is>
      </c>
      <c r="B73" t="n">
        <v>86</v>
      </c>
    </row>
    <row r="74">
      <c r="A74" t="inlineStr">
        <is>
          <t>Guatemala</t>
        </is>
      </c>
      <c r="B74" t="n">
        <v>86</v>
      </c>
    </row>
    <row r="75">
      <c r="A75" t="inlineStr">
        <is>
          <t>Bulgaria</t>
        </is>
      </c>
      <c r="B75" t="n">
        <v>84</v>
      </c>
    </row>
    <row r="76">
      <c r="A76" t="inlineStr">
        <is>
          <t>Ghana</t>
        </is>
      </c>
      <c r="B76" t="n">
        <v>78</v>
      </c>
    </row>
    <row r="77">
      <c r="A77" t="inlineStr">
        <is>
          <t>Ivory Coast</t>
        </is>
      </c>
      <c r="B77" t="n">
        <v>70</v>
      </c>
    </row>
    <row r="78">
      <c r="A78" t="inlineStr">
        <is>
          <t>Croatia</t>
        </is>
      </c>
      <c r="B78" t="n">
        <v>69</v>
      </c>
    </row>
    <row r="79">
      <c r="A79" t="inlineStr">
        <is>
          <t>Uzbekistan</t>
        </is>
      </c>
      <c r="B79" t="n">
        <v>69</v>
      </c>
    </row>
    <row r="80">
      <c r="A80" t="inlineStr">
        <is>
          <t>Tanzania</t>
        </is>
      </c>
      <c r="B80" t="n">
        <v>68</v>
      </c>
    </row>
    <row r="81">
      <c r="A81" t="inlineStr">
        <is>
          <t>Belarus</t>
        </is>
      </c>
      <c r="B81" t="n">
        <v>68</v>
      </c>
    </row>
    <row r="82">
      <c r="A82" t="inlineStr">
        <is>
          <t>Angola</t>
        </is>
      </c>
      <c r="B82" t="n">
        <v>67</v>
      </c>
    </row>
    <row r="83">
      <c r="A83" t="inlineStr">
        <is>
          <t>Lithuania</t>
        </is>
      </c>
      <c r="B83" t="n">
        <v>66</v>
      </c>
    </row>
    <row r="84">
      <c r="A84" t="inlineStr">
        <is>
          <t>Myanmar</t>
        </is>
      </c>
      <c r="B84" t="n">
        <v>65</v>
      </c>
    </row>
    <row r="85">
      <c r="A85" t="inlineStr">
        <is>
          <t>Syria</t>
        </is>
      </c>
      <c r="B85" t="n">
        <v>65</v>
      </c>
    </row>
    <row r="86">
      <c r="A86" t="inlineStr">
        <is>
          <t>Panama</t>
        </is>
      </c>
      <c r="B86" t="n">
        <v>64</v>
      </c>
    </row>
    <row r="87">
      <c r="A87" t="inlineStr">
        <is>
          <t>Costa Rica</t>
        </is>
      </c>
      <c r="B87" t="n">
        <v>64</v>
      </c>
    </row>
    <row r="88">
      <c r="A88" t="inlineStr">
        <is>
          <t>Serbia</t>
        </is>
      </c>
      <c r="B88" t="n">
        <v>63</v>
      </c>
    </row>
    <row r="89">
      <c r="A89" t="inlineStr">
        <is>
          <t>Slovenia</t>
        </is>
      </c>
      <c r="B89" t="n">
        <v>62</v>
      </c>
    </row>
    <row r="90">
      <c r="A90" t="inlineStr">
        <is>
          <t>Uruguay</t>
        </is>
      </c>
      <c r="B90" t="n">
        <v>59</v>
      </c>
    </row>
    <row r="91">
      <c r="A91" t="inlineStr">
        <is>
          <t>Azerbaijan</t>
        </is>
      </c>
      <c r="B91" t="n">
        <v>55</v>
      </c>
    </row>
    <row r="92">
      <c r="A92" t="inlineStr">
        <is>
          <t>Congo</t>
        </is>
      </c>
      <c r="B92" t="n">
        <v>54</v>
      </c>
    </row>
    <row r="93">
      <c r="A93" t="inlineStr">
        <is>
          <t>Tunisia</t>
        </is>
      </c>
      <c r="B93" t="n">
        <v>47</v>
      </c>
    </row>
    <row r="94">
      <c r="A94" t="inlineStr">
        <is>
          <t>Jordan</t>
        </is>
      </c>
      <c r="B94" t="n">
        <v>46</v>
      </c>
    </row>
    <row r="95">
      <c r="A95" t="inlineStr">
        <is>
          <t>Cameroon</t>
        </is>
      </c>
      <c r="B95" t="n">
        <v>45</v>
      </c>
    </row>
    <row r="96">
      <c r="A96" t="inlineStr">
        <is>
          <t>Turkmenistan</t>
        </is>
      </c>
      <c r="B96" t="n">
        <v>45</v>
      </c>
    </row>
    <row r="97">
      <c r="A97" t="inlineStr">
        <is>
          <t>Libya</t>
        </is>
      </c>
      <c r="B97" t="n">
        <v>43</v>
      </c>
    </row>
    <row r="98">
      <c r="A98" t="inlineStr">
        <is>
          <t>Uganda</t>
        </is>
      </c>
      <c r="B98" t="n">
        <v>41</v>
      </c>
    </row>
    <row r="99">
      <c r="A99" t="inlineStr">
        <is>
          <t>Latvia</t>
        </is>
      </c>
      <c r="B99" t="n">
        <v>40</v>
      </c>
    </row>
    <row r="100">
      <c r="A100" t="inlineStr">
        <is>
          <t>Paraguay</t>
        </is>
      </c>
      <c r="B100" t="n">
        <v>40</v>
      </c>
    </row>
    <row r="101">
      <c r="A101" t="inlineStr">
        <is>
          <t>Bolivia</t>
        </is>
      </c>
      <c r="B101" t="n">
        <v>40</v>
      </c>
    </row>
    <row r="102">
      <c r="A102" t="inlineStr">
        <is>
          <t>Bahrain</t>
        </is>
      </c>
      <c r="B102" t="n">
        <v>39</v>
      </c>
    </row>
    <row r="103">
      <c r="A103" t="inlineStr">
        <is>
          <t>Estonia</t>
        </is>
      </c>
      <c r="B103" t="n">
        <v>37</v>
      </c>
    </row>
    <row r="104">
      <c r="A104" t="inlineStr">
        <is>
          <t>Nepal</t>
        </is>
      </c>
      <c r="B104" t="n">
        <v>36</v>
      </c>
    </row>
    <row r="105">
      <c r="A105" t="inlineStr">
        <is>
          <t>Sudan</t>
        </is>
      </c>
      <c r="B105" t="n">
        <v>34</v>
      </c>
    </row>
    <row r="106">
      <c r="A106" t="inlineStr">
        <is>
          <t>Macau</t>
        </is>
      </c>
      <c r="B106" t="n">
        <v>30</v>
      </c>
    </row>
    <row r="107">
      <c r="A107" t="inlineStr">
        <is>
          <t>El Salvador</t>
        </is>
      </c>
      <c r="B107" t="n">
        <v>29</v>
      </c>
    </row>
    <row r="108">
      <c r="A108" t="inlineStr">
        <is>
          <t>Cyprus</t>
        </is>
      </c>
      <c r="B108" t="n">
        <v>28</v>
      </c>
    </row>
    <row r="109">
      <c r="A109" t="inlineStr">
        <is>
          <t>Honduras</t>
        </is>
      </c>
      <c r="B109" t="n">
        <v>28</v>
      </c>
    </row>
    <row r="110">
      <c r="A110" t="inlineStr">
        <is>
          <t>Senegal</t>
        </is>
      </c>
      <c r="B110" t="n">
        <v>28</v>
      </c>
    </row>
    <row r="111">
      <c r="A111" t="inlineStr">
        <is>
          <t>Zimbabwe</t>
        </is>
      </c>
      <c r="B111" t="n">
        <v>28</v>
      </c>
    </row>
    <row r="112">
      <c r="A112" t="inlineStr">
        <is>
          <t>Papua New Guinea</t>
        </is>
      </c>
      <c r="B112" t="n">
        <v>27</v>
      </c>
    </row>
    <row r="113">
      <c r="A113" t="inlineStr">
        <is>
          <t>Cambodia</t>
        </is>
      </c>
      <c r="B113" t="n">
        <v>27</v>
      </c>
    </row>
    <row r="114">
      <c r="A114" t="inlineStr">
        <is>
          <t>Iceland</t>
        </is>
      </c>
      <c r="B114" t="n">
        <v>26</v>
      </c>
    </row>
    <row r="115">
      <c r="A115" t="inlineStr">
        <is>
          <t>Trinidadand Tobago</t>
        </is>
      </c>
      <c r="B115" t="n">
        <v>24</v>
      </c>
    </row>
    <row r="116">
      <c r="A116" t="inlineStr">
        <is>
          <t>Bosniaand Herzegovina</t>
        </is>
      </c>
      <c r="B116" t="n">
        <v>23</v>
      </c>
    </row>
    <row r="117">
      <c r="A117" t="inlineStr">
        <is>
          <t>Lebanon</t>
        </is>
      </c>
      <c r="B117" t="n">
        <v>23</v>
      </c>
    </row>
    <row r="118">
      <c r="A118" t="inlineStr">
        <is>
          <t>Zambia</t>
        </is>
      </c>
      <c r="B118" t="n">
        <v>22</v>
      </c>
    </row>
    <row r="119">
      <c r="A119" t="inlineStr">
        <is>
          <t>Yemen</t>
        </is>
      </c>
      <c r="B119" t="n">
        <v>21</v>
      </c>
    </row>
    <row r="120">
      <c r="A120" t="inlineStr">
        <is>
          <t>Haiti</t>
        </is>
      </c>
      <c r="B120" t="n">
        <v>21</v>
      </c>
    </row>
    <row r="121">
      <c r="A121" t="inlineStr">
        <is>
          <t>Gabon</t>
        </is>
      </c>
      <c r="B121" t="n">
        <v>20</v>
      </c>
    </row>
    <row r="122">
      <c r="A122" t="inlineStr">
        <is>
          <t>Burkina Faso</t>
        </is>
      </c>
      <c r="B122" t="n">
        <v>20</v>
      </c>
    </row>
    <row r="123">
      <c r="A123" t="inlineStr">
        <is>
          <t>Georgia</t>
        </is>
      </c>
      <c r="B123" t="n">
        <v>19</v>
      </c>
    </row>
    <row r="124">
      <c r="A124" t="inlineStr">
        <is>
          <t>Mali</t>
        </is>
      </c>
      <c r="B124" t="n">
        <v>19</v>
      </c>
    </row>
    <row r="125">
      <c r="A125" t="inlineStr">
        <is>
          <t>Laos</t>
        </is>
      </c>
      <c r="B125" t="n">
        <v>19</v>
      </c>
    </row>
    <row r="126">
      <c r="A126" t="inlineStr">
        <is>
          <t>Palestine</t>
        </is>
      </c>
      <c r="B126" t="n">
        <v>18</v>
      </c>
    </row>
    <row r="127">
      <c r="A127" t="inlineStr">
        <is>
          <t>Botswana</t>
        </is>
      </c>
      <c r="B127" t="n">
        <v>18</v>
      </c>
    </row>
    <row r="128">
      <c r="A128" t="inlineStr">
        <is>
          <t>Albania</t>
        </is>
      </c>
      <c r="B128" t="n">
        <v>18</v>
      </c>
    </row>
    <row r="129">
      <c r="A129" t="inlineStr">
        <is>
          <t>Benin</t>
        </is>
      </c>
      <c r="B129" t="n">
        <v>17</v>
      </c>
    </row>
    <row r="130">
      <c r="A130" t="inlineStr">
        <is>
          <t>Malta</t>
        </is>
      </c>
      <c r="B130" t="n">
        <v>17</v>
      </c>
    </row>
    <row r="131">
      <c r="A131" t="inlineStr">
        <is>
          <t>Mozambique</t>
        </is>
      </c>
      <c r="B131" t="n">
        <v>16</v>
      </c>
    </row>
    <row r="132">
      <c r="A132" t="inlineStr">
        <is>
          <t>Guinea</t>
        </is>
      </c>
      <c r="B132" t="n">
        <v>16</v>
      </c>
    </row>
    <row r="133">
      <c r="A133" t="inlineStr">
        <is>
          <t>Afghanistan</t>
        </is>
      </c>
      <c r="B133" t="n">
        <v>15</v>
      </c>
    </row>
    <row r="134">
      <c r="A134" t="inlineStr">
        <is>
          <t>Mongolia</t>
        </is>
      </c>
      <c r="B134" t="n">
        <v>15</v>
      </c>
    </row>
    <row r="135">
      <c r="A135" t="inlineStr">
        <is>
          <t>Niger</t>
        </is>
      </c>
      <c r="B135" t="n">
        <v>15</v>
      </c>
    </row>
    <row r="136">
      <c r="A136" t="inlineStr">
        <is>
          <t>Jamaica</t>
        </is>
      </c>
      <c r="B136" t="n">
        <v>15</v>
      </c>
    </row>
    <row r="137">
      <c r="A137" t="inlineStr">
        <is>
          <t>Moldova</t>
        </is>
      </c>
      <c r="B137" t="n">
        <v>14</v>
      </c>
    </row>
    <row r="138">
      <c r="A138" t="inlineStr">
        <is>
          <t>Macedonia</t>
        </is>
      </c>
      <c r="B138" t="n">
        <v>14</v>
      </c>
    </row>
    <row r="139">
      <c r="A139" t="inlineStr">
        <is>
          <t>Madagascar</t>
        </is>
      </c>
      <c r="B139" t="n">
        <v>14</v>
      </c>
    </row>
    <row r="140">
      <c r="A140" t="inlineStr">
        <is>
          <t>Nicaragua</t>
        </is>
      </c>
      <c r="B140" t="n">
        <v>14</v>
      </c>
    </row>
    <row r="141">
      <c r="A141" t="inlineStr">
        <is>
          <t>Armenia</t>
        </is>
      </c>
      <c r="B141" t="n">
        <v>14</v>
      </c>
    </row>
    <row r="142">
      <c r="A142" t="inlineStr">
        <is>
          <t>Brunei</t>
        </is>
      </c>
      <c r="B142" t="n">
        <v>14</v>
      </c>
    </row>
    <row r="143">
      <c r="A143" t="inlineStr">
        <is>
          <t>Republicofthe Congo</t>
        </is>
      </c>
      <c r="B143" t="n">
        <v>13</v>
      </c>
    </row>
    <row r="144">
      <c r="A144" t="inlineStr">
        <is>
          <t>Malawi</t>
        </is>
      </c>
      <c r="B144" t="n">
        <v>13</v>
      </c>
    </row>
    <row r="145">
      <c r="A145" t="inlineStr">
        <is>
          <t>Mauritius</t>
        </is>
      </c>
      <c r="B145" t="n">
        <v>12</v>
      </c>
    </row>
    <row r="146">
      <c r="A146" t="inlineStr">
        <is>
          <t>Namibia</t>
        </is>
      </c>
      <c r="B146" t="n">
        <v>12</v>
      </c>
    </row>
    <row r="147">
      <c r="A147" t="inlineStr">
        <is>
          <t>Chad</t>
        </is>
      </c>
      <c r="B147" t="n">
        <v>12</v>
      </c>
    </row>
    <row r="148">
      <c r="A148" t="inlineStr">
        <is>
          <t>Equatorial Guinea</t>
        </is>
      </c>
      <c r="B148" t="n">
        <v>12</v>
      </c>
    </row>
    <row r="149">
      <c r="A149" t="inlineStr">
        <is>
          <t>Bahamas</t>
        </is>
      </c>
      <c r="B149" t="n">
        <v>11</v>
      </c>
    </row>
    <row r="150">
      <c r="A150" t="inlineStr">
        <is>
          <t>Rwanda</t>
        </is>
      </c>
      <c r="B150" t="n">
        <v>11</v>
      </c>
    </row>
    <row r="151">
      <c r="A151" t="inlineStr">
        <is>
          <t>Mauritania</t>
        </is>
      </c>
      <c r="B151" t="n">
        <v>10</v>
      </c>
    </row>
    <row r="152">
      <c r="A152" t="inlineStr">
        <is>
          <t>Monaco</t>
        </is>
      </c>
      <c r="B152" t="n">
        <v>9</v>
      </c>
    </row>
    <row r="153">
      <c r="A153" t="inlineStr">
        <is>
          <t>Kyrgyzstan</t>
        </is>
      </c>
      <c r="B153" t="n">
        <v>9</v>
      </c>
    </row>
    <row r="154">
      <c r="A154" t="inlineStr">
        <is>
          <t>Kosovo</t>
        </is>
      </c>
      <c r="B154" t="n">
        <v>9</v>
      </c>
    </row>
    <row r="155">
      <c r="A155" t="inlineStr">
        <is>
          <t>New Caledonia</t>
        </is>
      </c>
      <c r="B155" t="n">
        <v>9</v>
      </c>
    </row>
    <row r="156">
      <c r="A156" t="inlineStr">
        <is>
          <t>Tajikistan</t>
        </is>
      </c>
      <c r="B156" t="n">
        <v>9</v>
      </c>
    </row>
    <row r="157">
      <c r="A157" t="inlineStr">
        <is>
          <t>Togo</t>
        </is>
      </c>
      <c r="B157" t="n">
        <v>8</v>
      </c>
    </row>
    <row r="158">
      <c r="A158" t="inlineStr">
        <is>
          <t>Somalia</t>
        </is>
      </c>
      <c r="B158" t="n">
        <v>8</v>
      </c>
    </row>
    <row r="159">
      <c r="A159" t="inlineStr">
        <is>
          <t>Guyana</t>
        </is>
      </c>
      <c r="B159" t="n">
        <v>8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Montenegro</t>
        </is>
      </c>
      <c r="B161" t="n">
        <v>6</v>
      </c>
    </row>
    <row r="162">
      <c r="A162" t="inlineStr">
        <is>
          <t>Liechtenstein</t>
        </is>
      </c>
      <c r="B162" t="n">
        <v>6</v>
      </c>
    </row>
    <row r="163">
      <c r="A163" t="inlineStr">
        <is>
          <t>Maldives</t>
        </is>
      </c>
      <c r="B163" t="n">
        <v>5</v>
      </c>
    </row>
    <row r="164">
      <c r="A164" t="inlineStr">
        <is>
          <t>Swaziland</t>
        </is>
      </c>
      <c r="B164" t="n">
        <v>5</v>
      </c>
    </row>
    <row r="165">
      <c r="A165" t="inlineStr">
        <is>
          <t>Sierra Leone</t>
        </is>
      </c>
      <c r="B165" t="n">
        <v>4</v>
      </c>
    </row>
    <row r="166">
      <c r="A166" t="inlineStr">
        <is>
          <t>Liberia</t>
        </is>
      </c>
      <c r="B166" t="n">
        <v>4</v>
      </c>
    </row>
    <row r="167">
      <c r="A167" t="inlineStr">
        <is>
          <t>Fiji</t>
        </is>
      </c>
      <c r="B167" t="n">
        <v>4</v>
      </c>
    </row>
    <row r="168">
      <c r="A168" t="inlineStr">
        <is>
          <t>Djibouti</t>
        </is>
      </c>
      <c r="B168" t="n">
        <v>3</v>
      </c>
    </row>
    <row r="169">
      <c r="A169" t="inlineStr">
        <is>
          <t>Central African Republic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Bhutan</t>
        </is>
      </c>
      <c r="B171" t="n">
        <v>3</v>
      </c>
    </row>
    <row r="172">
      <c r="A172" t="inlineStr">
        <is>
          <t>Lesotho</t>
        </is>
      </c>
      <c r="B172" t="n">
        <v>3</v>
      </c>
    </row>
    <row r="173">
      <c r="A173" t="inlineStr">
        <is>
          <t>Suriname</t>
        </is>
      </c>
      <c r="B173" t="n">
        <v>3</v>
      </c>
    </row>
    <row r="174">
      <c r="A174" t="inlineStr">
        <is>
          <t>Cape Verde</t>
        </is>
      </c>
      <c r="B174" t="n">
        <v>2</v>
      </c>
    </row>
    <row r="175">
      <c r="A175" t="inlineStr">
        <is>
          <t>East Timor</t>
        </is>
      </c>
      <c r="B175" t="n">
        <v>2</v>
      </c>
    </row>
    <row r="176">
      <c r="A176" t="inlineStr">
        <is>
          <t>Eritrea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2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Sao Tomeand Principe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Seychelles</t>
        </is>
      </c>
      <c r="B182" t="n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3">
    <tabColor theme="0" tint="-0.3499862666707358"/>
    <outlinePr summaryBelow="1" summaryRight="1"/>
    <pageSetUpPr/>
  </sheetPr>
  <dimension ref="A1:C385"/>
  <sheetViews>
    <sheetView zoomScale="120" zoomScaleNormal="120" workbookViewId="0">
      <pane ySplit="1" topLeftCell="A369" activePane="bottomLeft" state="frozen"/>
      <selection activeCell="E366" sqref="E366"/>
      <selection pane="bottomLeft" activeCell="E366" sqref="E366"/>
    </sheetView>
  </sheetViews>
  <sheetFormatPr baseColWidth="8" defaultColWidth="10.90625" defaultRowHeight="14.5"/>
  <cols>
    <col width="20.1796875" customWidth="1" min="1" max="1"/>
    <col width="19.6328125" customWidth="1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5" t="n">
        <v>32963</v>
      </c>
      <c r="C2" t="n">
        <v>0.05</v>
      </c>
    </row>
    <row r="3">
      <c r="A3" s="105" t="n">
        <v>32993</v>
      </c>
      <c r="C3" t="n">
        <v>0.008</v>
      </c>
    </row>
    <row r="4">
      <c r="A4" s="105" t="n">
        <v>33024</v>
      </c>
      <c r="C4" t="n">
        <v>0.017</v>
      </c>
    </row>
    <row r="5">
      <c r="A5" s="105" t="n">
        <v>33054</v>
      </c>
      <c r="C5" t="n">
        <v>0.033</v>
      </c>
    </row>
    <row r="6">
      <c r="A6" s="105" t="n">
        <v>33085</v>
      </c>
      <c r="C6" t="n">
        <v>0.05</v>
      </c>
    </row>
    <row r="7">
      <c r="A7" s="105" t="n">
        <v>33116</v>
      </c>
      <c r="C7" t="n">
        <v>0.025</v>
      </c>
    </row>
    <row r="8">
      <c r="A8" s="105" t="n">
        <v>33146</v>
      </c>
      <c r="C8" t="n">
        <v>0.042</v>
      </c>
    </row>
    <row r="9">
      <c r="A9" s="105" t="n">
        <v>33177</v>
      </c>
      <c r="C9" t="n">
        <v>0.067</v>
      </c>
    </row>
    <row r="10">
      <c r="A10" s="105" t="n">
        <v>33207</v>
      </c>
      <c r="C10" t="n">
        <v>0.109</v>
      </c>
    </row>
    <row r="11">
      <c r="A11" s="105" t="n">
        <v>33238</v>
      </c>
      <c r="C11" t="n">
        <v>0.126</v>
      </c>
    </row>
    <row r="12">
      <c r="A12" s="105" t="n">
        <v>33269</v>
      </c>
      <c r="C12" t="n">
        <v>0.126</v>
      </c>
    </row>
    <row r="13">
      <c r="A13" s="105" t="n">
        <v>33297</v>
      </c>
      <c r="C13" t="n">
        <v>0.235</v>
      </c>
    </row>
    <row r="14">
      <c r="A14" s="105" t="n">
        <v>33328</v>
      </c>
      <c r="C14" t="n">
        <v>0.092</v>
      </c>
    </row>
    <row r="15">
      <c r="A15" s="105" t="n">
        <v>33358</v>
      </c>
      <c r="C15" t="n">
        <v>0.109</v>
      </c>
    </row>
    <row r="16">
      <c r="A16" s="105" t="n">
        <v>33389</v>
      </c>
      <c r="C16" t="n">
        <v>0.109</v>
      </c>
    </row>
    <row r="17">
      <c r="A17" s="105" t="n">
        <v>33419</v>
      </c>
      <c r="C17" t="n">
        <v>0.109</v>
      </c>
    </row>
    <row r="18">
      <c r="A18" s="105" t="n">
        <v>33450</v>
      </c>
      <c r="C18" t="n">
        <v>0.092</v>
      </c>
    </row>
    <row r="19">
      <c r="A19" s="105" t="n">
        <v>33481</v>
      </c>
      <c r="C19" t="n">
        <v>0.109</v>
      </c>
    </row>
    <row r="20">
      <c r="A20" s="105" t="n">
        <v>33511</v>
      </c>
      <c r="C20" t="n">
        <v>0.118</v>
      </c>
    </row>
    <row r="21">
      <c r="A21" s="105" t="n">
        <v>33542</v>
      </c>
      <c r="C21" t="n">
        <v>0.126</v>
      </c>
    </row>
    <row r="22">
      <c r="A22" s="105" t="n">
        <v>33572</v>
      </c>
      <c r="C22" t="n">
        <v>0.118</v>
      </c>
    </row>
    <row r="23">
      <c r="A23" s="105" t="n">
        <v>33603</v>
      </c>
      <c r="C23" t="n">
        <v>0.076</v>
      </c>
    </row>
    <row r="24">
      <c r="A24" s="105" t="n">
        <v>33634</v>
      </c>
      <c r="C24" t="n">
        <v>0.05</v>
      </c>
    </row>
    <row r="25">
      <c r="A25" s="105" t="n">
        <v>33663</v>
      </c>
      <c r="C25" t="n">
        <v>0.109</v>
      </c>
    </row>
    <row r="26">
      <c r="A26" s="105" t="n">
        <v>33694</v>
      </c>
      <c r="C26" t="n">
        <v>0.185</v>
      </c>
    </row>
    <row r="27">
      <c r="A27" s="105" t="n">
        <v>33724</v>
      </c>
      <c r="C27" t="n">
        <v>0.168</v>
      </c>
    </row>
    <row r="28">
      <c r="A28" s="105" t="n">
        <v>33755</v>
      </c>
      <c r="C28" t="n">
        <v>0.151</v>
      </c>
    </row>
    <row r="29">
      <c r="A29" s="105" t="n">
        <v>33785</v>
      </c>
      <c r="C29" t="n">
        <v>0.143</v>
      </c>
    </row>
    <row r="30">
      <c r="A30" s="105" t="n">
        <v>33816</v>
      </c>
      <c r="C30" t="n">
        <v>0.168</v>
      </c>
    </row>
    <row r="31">
      <c r="A31" s="105" t="n">
        <v>33847</v>
      </c>
      <c r="C31" t="n">
        <v>0.193</v>
      </c>
    </row>
    <row r="32">
      <c r="A32" s="105" t="n">
        <v>33877</v>
      </c>
      <c r="C32" t="n">
        <v>0.176</v>
      </c>
    </row>
    <row r="33">
      <c r="A33" s="105" t="n">
        <v>33908</v>
      </c>
      <c r="C33" t="n">
        <v>0.176</v>
      </c>
    </row>
    <row r="34">
      <c r="A34" s="105" t="n">
        <v>33938</v>
      </c>
      <c r="C34" t="n">
        <v>0.185</v>
      </c>
    </row>
    <row r="35">
      <c r="A35" s="105" t="n">
        <v>33969</v>
      </c>
      <c r="C35" t="n">
        <v>0.218</v>
      </c>
    </row>
    <row r="36">
      <c r="A36" s="105" t="n">
        <v>34000</v>
      </c>
      <c r="C36" t="n">
        <v>0.269</v>
      </c>
    </row>
    <row r="37">
      <c r="A37" s="105" t="n">
        <v>34028</v>
      </c>
      <c r="C37" t="n">
        <v>0.08400000000000001</v>
      </c>
    </row>
    <row r="38">
      <c r="A38" s="105" t="n">
        <v>34059</v>
      </c>
      <c r="C38" t="n">
        <v>0.277</v>
      </c>
    </row>
    <row r="39">
      <c r="A39" s="105" t="n">
        <v>34089</v>
      </c>
      <c r="C39" t="n">
        <v>0.218</v>
      </c>
    </row>
    <row r="40">
      <c r="A40" s="105" t="n">
        <v>34120</v>
      </c>
      <c r="C40" t="n">
        <v>0.21</v>
      </c>
    </row>
    <row r="41">
      <c r="A41" s="105" t="n">
        <v>34150</v>
      </c>
      <c r="C41" t="n">
        <v>0.227</v>
      </c>
    </row>
    <row r="42">
      <c r="A42" s="105" t="n">
        <v>34181</v>
      </c>
      <c r="C42" t="n">
        <v>0.252</v>
      </c>
    </row>
    <row r="43">
      <c r="A43" s="105" t="n">
        <v>34212</v>
      </c>
      <c r="C43" t="n">
        <v>0.21</v>
      </c>
    </row>
    <row r="44">
      <c r="A44" s="105" t="n">
        <v>34242</v>
      </c>
      <c r="C44" t="n">
        <v>0.193</v>
      </c>
    </row>
    <row r="45">
      <c r="A45" s="105" t="n">
        <v>34273</v>
      </c>
      <c r="C45" t="n">
        <v>0.16</v>
      </c>
    </row>
    <row r="46">
      <c r="A46" s="105" t="n">
        <v>34303</v>
      </c>
      <c r="C46" t="n">
        <v>0.134</v>
      </c>
    </row>
    <row r="47">
      <c r="A47" s="105" t="n">
        <v>34334</v>
      </c>
      <c r="C47" t="n">
        <v>0.16</v>
      </c>
    </row>
    <row r="48">
      <c r="A48" s="105" t="n">
        <v>34365</v>
      </c>
      <c r="C48" t="n">
        <v>0.252</v>
      </c>
    </row>
    <row r="49">
      <c r="A49" s="105" t="n">
        <v>34393</v>
      </c>
      <c r="C49" t="n">
        <v>0.277</v>
      </c>
    </row>
    <row r="50">
      <c r="A50" s="105" t="n">
        <v>34424</v>
      </c>
      <c r="C50" t="n">
        <v>0.034</v>
      </c>
    </row>
    <row r="51">
      <c r="A51" s="105" t="n">
        <v>34454</v>
      </c>
      <c r="C51" t="n">
        <v>0.16</v>
      </c>
    </row>
    <row r="52">
      <c r="A52" s="105" t="n">
        <v>34485</v>
      </c>
      <c r="C52" t="n">
        <v>0.168</v>
      </c>
    </row>
    <row r="53">
      <c r="A53" s="105" t="n">
        <v>34515</v>
      </c>
      <c r="C53" t="n">
        <v>0.176</v>
      </c>
    </row>
    <row r="54">
      <c r="A54" s="105" t="n">
        <v>34546</v>
      </c>
      <c r="C54" t="n">
        <v>0.151</v>
      </c>
    </row>
    <row r="55">
      <c r="A55" s="105" t="n">
        <v>34577</v>
      </c>
      <c r="C55" t="n">
        <v>0.151</v>
      </c>
    </row>
    <row r="56">
      <c r="A56" s="105" t="n">
        <v>34607</v>
      </c>
      <c r="C56" t="n">
        <v>0.294</v>
      </c>
    </row>
    <row r="57">
      <c r="A57" s="105" t="n">
        <v>34638</v>
      </c>
      <c r="C57" t="n">
        <v>0.218</v>
      </c>
    </row>
    <row r="58">
      <c r="A58" s="105" t="n">
        <v>34668</v>
      </c>
      <c r="C58" t="n">
        <v>0.244</v>
      </c>
    </row>
    <row r="59">
      <c r="A59" s="105" t="n">
        <v>34699</v>
      </c>
      <c r="C59" t="n">
        <v>0.235</v>
      </c>
    </row>
    <row r="60">
      <c r="A60" s="105" t="n">
        <v>34730</v>
      </c>
      <c r="C60" t="n">
        <v>0.185</v>
      </c>
    </row>
    <row r="61">
      <c r="A61" s="105" t="n">
        <v>34758</v>
      </c>
      <c r="C61" t="n">
        <v>0.114</v>
      </c>
    </row>
    <row r="62">
      <c r="A62" s="105" t="n">
        <v>34789</v>
      </c>
      <c r="C62" t="n">
        <v>0.155</v>
      </c>
    </row>
    <row r="63">
      <c r="A63" s="105" t="n">
        <v>34819</v>
      </c>
      <c r="C63" t="n">
        <v>0.164</v>
      </c>
    </row>
    <row r="64">
      <c r="A64" s="105" t="n">
        <v>34850</v>
      </c>
      <c r="C64" t="n">
        <v>0.154</v>
      </c>
    </row>
    <row r="65">
      <c r="A65" s="105" t="n">
        <v>34880</v>
      </c>
      <c r="C65" t="n">
        <v>0.131</v>
      </c>
    </row>
    <row r="66">
      <c r="A66" s="105" t="n">
        <v>34911</v>
      </c>
      <c r="C66" t="n">
        <v>0.139</v>
      </c>
    </row>
    <row r="67">
      <c r="A67" s="105" t="n">
        <v>34942</v>
      </c>
      <c r="C67" t="n">
        <v>0.136</v>
      </c>
    </row>
    <row r="68">
      <c r="A68" s="105" t="n">
        <v>34972</v>
      </c>
      <c r="C68" t="n">
        <v>0.118</v>
      </c>
    </row>
    <row r="69">
      <c r="A69" s="105" t="n">
        <v>35003</v>
      </c>
      <c r="C69" t="n">
        <v>0.114</v>
      </c>
    </row>
    <row r="70">
      <c r="A70" s="105" t="n">
        <v>35033</v>
      </c>
      <c r="C70" t="n">
        <v>0.129</v>
      </c>
    </row>
    <row r="71">
      <c r="A71" s="105" t="n">
        <v>35064</v>
      </c>
      <c r="C71" t="n">
        <v>0.121</v>
      </c>
    </row>
    <row r="72">
      <c r="A72" s="105" t="n">
        <v>35095</v>
      </c>
      <c r="C72" t="n">
        <v>0.149</v>
      </c>
    </row>
    <row r="73">
      <c r="A73" s="105" t="n">
        <v>35124</v>
      </c>
      <c r="C73" t="n">
        <v>0.169</v>
      </c>
    </row>
    <row r="74">
      <c r="A74" s="105" t="n">
        <v>35155</v>
      </c>
      <c r="C74" t="n">
        <v>0.122</v>
      </c>
    </row>
    <row r="75">
      <c r="A75" s="105" t="n">
        <v>35185</v>
      </c>
      <c r="C75" t="n">
        <v>0.122</v>
      </c>
    </row>
    <row r="76">
      <c r="A76" s="105" t="n">
        <v>35216</v>
      </c>
      <c r="C76" t="n">
        <v>0.137</v>
      </c>
    </row>
    <row r="77">
      <c r="A77" s="105" t="n">
        <v>35246</v>
      </c>
      <c r="C77" t="n">
        <v>0.131</v>
      </c>
    </row>
    <row r="78">
      <c r="A78" s="105" t="n">
        <v>35277</v>
      </c>
      <c r="C78" t="n">
        <v>0.138</v>
      </c>
    </row>
    <row r="79">
      <c r="A79" s="105" t="n">
        <v>35308</v>
      </c>
      <c r="C79" t="n">
        <v>0.122</v>
      </c>
    </row>
    <row r="80">
      <c r="A80" s="105" t="n">
        <v>35338</v>
      </c>
      <c r="C80" t="n">
        <v>0.106</v>
      </c>
    </row>
    <row r="81">
      <c r="A81" s="105" t="n">
        <v>35369</v>
      </c>
      <c r="C81" t="n">
        <v>0.137</v>
      </c>
    </row>
    <row r="82">
      <c r="A82" s="105" t="n">
        <v>35399</v>
      </c>
      <c r="C82" t="n">
        <v>0.133</v>
      </c>
    </row>
    <row r="83">
      <c r="A83" s="105" t="n">
        <v>35430</v>
      </c>
      <c r="C83" t="n">
        <v>0.134</v>
      </c>
    </row>
    <row r="84">
      <c r="A84" s="105" t="n">
        <v>35461</v>
      </c>
      <c r="C84" t="n">
        <v>0.14</v>
      </c>
    </row>
    <row r="85">
      <c r="A85" s="105" t="n">
        <v>35489</v>
      </c>
      <c r="C85" t="n">
        <v>0.103</v>
      </c>
    </row>
    <row r="86">
      <c r="A86" s="105" t="n">
        <v>35520</v>
      </c>
      <c r="C86" t="n">
        <v>0.104</v>
      </c>
    </row>
    <row r="87">
      <c r="A87" s="105" t="n">
        <v>35550</v>
      </c>
      <c r="C87" t="n">
        <v>0.135</v>
      </c>
    </row>
    <row r="88">
      <c r="A88" s="105" t="n">
        <v>35581</v>
      </c>
      <c r="C88" t="n">
        <v>0.119</v>
      </c>
    </row>
    <row r="89">
      <c r="A89" s="105" t="n">
        <v>35611</v>
      </c>
      <c r="C89" t="n">
        <v>0.119</v>
      </c>
    </row>
    <row r="90">
      <c r="A90" s="105" t="n">
        <v>35642</v>
      </c>
      <c r="C90" t="n">
        <v>0.121</v>
      </c>
    </row>
    <row r="91">
      <c r="A91" s="105" t="n">
        <v>35673</v>
      </c>
      <c r="C91" t="n">
        <v>0.08400000000000001</v>
      </c>
    </row>
    <row r="92">
      <c r="A92" s="105" t="n">
        <v>35703</v>
      </c>
      <c r="C92" t="n">
        <v>0.109</v>
      </c>
    </row>
    <row r="93">
      <c r="A93" s="105" t="n">
        <v>35734</v>
      </c>
      <c r="C93" t="n">
        <v>0.111</v>
      </c>
    </row>
    <row r="94">
      <c r="A94" s="105" t="n">
        <v>35764</v>
      </c>
      <c r="C94" t="n">
        <v>0.118</v>
      </c>
    </row>
    <row r="95">
      <c r="A95" s="105" t="n">
        <v>35795</v>
      </c>
      <c r="C95" t="n">
        <v>0.116</v>
      </c>
    </row>
    <row r="96">
      <c r="A96" s="105" t="n">
        <v>35826</v>
      </c>
      <c r="C96" t="n">
        <v>0.092</v>
      </c>
    </row>
    <row r="97">
      <c r="A97" s="105" t="n">
        <v>35854</v>
      </c>
      <c r="C97" t="n">
        <v>0.018</v>
      </c>
    </row>
    <row r="98">
      <c r="A98" s="105" t="n">
        <v>35885</v>
      </c>
      <c r="C98" t="n">
        <v>0.095</v>
      </c>
    </row>
    <row r="99">
      <c r="A99" s="105" t="n">
        <v>35915</v>
      </c>
      <c r="C99" t="n">
        <v>0.09</v>
      </c>
    </row>
    <row r="100">
      <c r="A100" s="105" t="n">
        <v>35946</v>
      </c>
      <c r="C100" t="n">
        <v>0.07199999999999999</v>
      </c>
    </row>
    <row r="101">
      <c r="A101" s="105" t="n">
        <v>35976</v>
      </c>
      <c r="C101" t="n">
        <v>0.08</v>
      </c>
    </row>
    <row r="102">
      <c r="A102" s="105" t="n">
        <v>36007</v>
      </c>
      <c r="C102" t="n">
        <v>0.079</v>
      </c>
    </row>
    <row r="103">
      <c r="A103" s="105" t="n">
        <v>36038</v>
      </c>
      <c r="C103" t="n">
        <v>0.076</v>
      </c>
    </row>
    <row r="104">
      <c r="A104" s="105" t="n">
        <v>36068</v>
      </c>
      <c r="C104" t="n">
        <v>0.079</v>
      </c>
    </row>
    <row r="105">
      <c r="A105" s="105" t="n">
        <v>36099</v>
      </c>
      <c r="C105" t="n">
        <v>0.102</v>
      </c>
    </row>
    <row r="106">
      <c r="A106" s="105" t="n">
        <v>36129</v>
      </c>
      <c r="C106" t="n">
        <v>0.106</v>
      </c>
    </row>
    <row r="107">
      <c r="A107" s="105" t="n">
        <v>36160</v>
      </c>
      <c r="C107" t="n">
        <v>0.11</v>
      </c>
    </row>
    <row r="108">
      <c r="A108" s="105" t="n">
        <v>36191</v>
      </c>
      <c r="C108" t="n">
        <v>0.115</v>
      </c>
    </row>
    <row r="109">
      <c r="A109" s="105" t="n">
        <v>36219</v>
      </c>
      <c r="C109" t="n">
        <v>0.179</v>
      </c>
    </row>
    <row r="110">
      <c r="A110" s="105" t="n">
        <v>36250</v>
      </c>
      <c r="C110" t="n">
        <v>0.021</v>
      </c>
    </row>
    <row r="111">
      <c r="A111" s="105" t="n">
        <v>36280</v>
      </c>
      <c r="C111" t="n">
        <v>0.09</v>
      </c>
    </row>
    <row r="112">
      <c r="A112" s="105" t="n">
        <v>36311</v>
      </c>
      <c r="C112" t="n">
        <v>0.091</v>
      </c>
    </row>
    <row r="113">
      <c r="A113" s="105" t="n">
        <v>36341</v>
      </c>
      <c r="C113" t="n">
        <v>0.089</v>
      </c>
    </row>
    <row r="114">
      <c r="A114" s="105" t="n">
        <v>36372</v>
      </c>
      <c r="C114" t="n">
        <v>0.091</v>
      </c>
    </row>
    <row r="115">
      <c r="A115" s="105" t="n">
        <v>36403</v>
      </c>
      <c r="C115" t="n">
        <v>0.093</v>
      </c>
    </row>
    <row r="116">
      <c r="A116" s="105" t="n">
        <v>36433</v>
      </c>
      <c r="C116" t="n">
        <v>0.095</v>
      </c>
    </row>
    <row r="117">
      <c r="A117" s="105" t="n">
        <v>36464</v>
      </c>
      <c r="C117" t="n">
        <v>0.082</v>
      </c>
    </row>
    <row r="118">
      <c r="A118" s="105" t="n">
        <v>36494</v>
      </c>
      <c r="C118" t="n">
        <v>0.07000000000000001</v>
      </c>
    </row>
    <row r="119">
      <c r="A119" s="105" t="n">
        <v>36525</v>
      </c>
      <c r="C119" t="n">
        <v>0.076</v>
      </c>
    </row>
    <row r="120">
      <c r="A120" s="105" t="n">
        <v>36556</v>
      </c>
      <c r="C120" t="n">
        <v>0.074</v>
      </c>
    </row>
    <row r="121">
      <c r="A121" s="105" t="n">
        <v>36585</v>
      </c>
      <c r="C121" t="n">
        <v>0.089</v>
      </c>
    </row>
    <row r="122">
      <c r="A122" s="105" t="n">
        <v>36616</v>
      </c>
      <c r="C122" t="n">
        <v>0.12</v>
      </c>
    </row>
    <row r="123">
      <c r="A123" s="105" t="n">
        <v>36646</v>
      </c>
      <c r="C123" t="n">
        <v>0.119</v>
      </c>
    </row>
    <row r="124">
      <c r="A124" s="105" t="n">
        <v>36677</v>
      </c>
      <c r="C124" t="n">
        <v>0.114</v>
      </c>
    </row>
    <row r="125">
      <c r="A125" s="105" t="n">
        <v>36707</v>
      </c>
      <c r="C125" t="n">
        <v>0.115</v>
      </c>
    </row>
    <row r="126">
      <c r="A126" s="105" t="n">
        <v>36738</v>
      </c>
      <c r="C126" t="n">
        <v>0.122</v>
      </c>
    </row>
    <row r="127">
      <c r="A127" s="105" t="n">
        <v>36769</v>
      </c>
      <c r="C127" t="n">
        <v>0.128</v>
      </c>
    </row>
    <row r="128">
      <c r="A128" s="105" t="n">
        <v>36799</v>
      </c>
      <c r="C128" t="n">
        <v>0.128</v>
      </c>
    </row>
    <row r="129">
      <c r="A129" s="105" t="n">
        <v>36830</v>
      </c>
      <c r="C129" t="n">
        <v>0.12</v>
      </c>
    </row>
    <row r="130">
      <c r="A130" s="105" t="n">
        <v>36860</v>
      </c>
      <c r="C130" t="n">
        <v>0.114</v>
      </c>
    </row>
    <row r="131">
      <c r="A131" s="105" t="n">
        <v>36891</v>
      </c>
      <c r="C131" t="n">
        <v>0.106</v>
      </c>
    </row>
    <row r="132">
      <c r="A132" s="105" t="n">
        <v>36922</v>
      </c>
      <c r="C132" t="n">
        <v>0.104</v>
      </c>
    </row>
    <row r="133">
      <c r="A133" s="105" t="n">
        <v>36950</v>
      </c>
      <c r="C133" t="n">
        <v>0.023</v>
      </c>
    </row>
    <row r="134">
      <c r="A134" s="105" t="n">
        <v>36981</v>
      </c>
      <c r="C134" t="n">
        <v>0.19</v>
      </c>
    </row>
    <row r="135">
      <c r="A135" s="105" t="n">
        <v>37011</v>
      </c>
      <c r="C135" t="n">
        <v>0.121</v>
      </c>
    </row>
    <row r="136">
      <c r="A136" s="105" t="n">
        <v>37042</v>
      </c>
      <c r="C136" t="n">
        <v>0.115</v>
      </c>
    </row>
    <row r="137">
      <c r="A137" s="105" t="n">
        <v>37072</v>
      </c>
      <c r="C137" t="n">
        <v>0.102</v>
      </c>
    </row>
    <row r="138">
      <c r="A138" s="105" t="n">
        <v>37103</v>
      </c>
      <c r="C138" t="n">
        <v>0.101</v>
      </c>
    </row>
    <row r="139">
      <c r="A139" s="105" t="n">
        <v>37134</v>
      </c>
      <c r="C139" t="n">
        <v>0.081</v>
      </c>
    </row>
    <row r="140">
      <c r="A140" s="105" t="n">
        <v>37164</v>
      </c>
      <c r="C140" t="n">
        <v>0.081</v>
      </c>
    </row>
    <row r="141">
      <c r="A141" s="105" t="n">
        <v>37195</v>
      </c>
      <c r="C141" t="n">
        <v>0.095</v>
      </c>
    </row>
    <row r="142">
      <c r="A142" s="105" t="n">
        <v>37225</v>
      </c>
      <c r="C142" t="n">
        <v>0.08799999999999999</v>
      </c>
    </row>
    <row r="143">
      <c r="A143" s="105" t="n">
        <v>37256</v>
      </c>
      <c r="C143" t="n">
        <v>0.079</v>
      </c>
    </row>
    <row r="144">
      <c r="A144" s="105" t="n">
        <v>37287</v>
      </c>
      <c r="C144" t="n">
        <v>0.08699999999999999</v>
      </c>
    </row>
    <row r="145">
      <c r="A145" s="105" t="n">
        <v>37315</v>
      </c>
      <c r="C145" t="n">
        <v>0.186</v>
      </c>
    </row>
    <row r="146">
      <c r="A146" s="105" t="n">
        <v>37346</v>
      </c>
      <c r="C146" t="n">
        <v>0.027</v>
      </c>
    </row>
    <row r="147">
      <c r="A147" s="105" t="n">
        <v>37376</v>
      </c>
      <c r="C147" t="n">
        <v>0.109</v>
      </c>
    </row>
    <row r="148">
      <c r="A148" s="105" t="n">
        <v>37407</v>
      </c>
      <c r="C148" t="n">
        <v>0.121</v>
      </c>
    </row>
    <row r="149">
      <c r="A149" s="105" t="n">
        <v>37437</v>
      </c>
      <c r="C149" t="n">
        <v>0.129</v>
      </c>
    </row>
    <row r="150">
      <c r="A150" s="105" t="n">
        <v>37468</v>
      </c>
      <c r="C150" t="n">
        <v>0.124</v>
      </c>
    </row>
    <row r="151">
      <c r="A151" s="105" t="n">
        <v>37499</v>
      </c>
      <c r="C151" t="n">
        <v>0.128</v>
      </c>
    </row>
    <row r="152">
      <c r="A152" s="105" t="n">
        <v>37529</v>
      </c>
      <c r="C152" t="n">
        <v>0.127</v>
      </c>
    </row>
    <row r="153">
      <c r="A153" s="105" t="n">
        <v>37560</v>
      </c>
      <c r="C153" t="n">
        <v>0.138</v>
      </c>
    </row>
    <row r="154">
      <c r="A154" s="105" t="n">
        <v>37590</v>
      </c>
      <c r="C154" t="n">
        <v>0.142</v>
      </c>
    </row>
    <row r="155">
      <c r="A155" s="105" t="n">
        <v>37621</v>
      </c>
      <c r="C155" t="n">
        <v>0.145</v>
      </c>
    </row>
    <row r="156">
      <c r="A156" s="105" t="n">
        <v>37652</v>
      </c>
      <c r="C156" t="n">
        <v>0.149</v>
      </c>
    </row>
    <row r="157">
      <c r="A157" s="105" t="n">
        <v>37680</v>
      </c>
      <c r="C157" t="n">
        <v>0.148</v>
      </c>
    </row>
    <row r="158">
      <c r="A158" s="105" t="n">
        <v>37711</v>
      </c>
      <c r="C158" t="n">
        <v>0.198</v>
      </c>
    </row>
    <row r="159">
      <c r="A159" s="105" t="n">
        <v>37741</v>
      </c>
      <c r="C159" t="n">
        <v>0.169</v>
      </c>
    </row>
    <row r="160">
      <c r="A160" s="105" t="n">
        <v>37772</v>
      </c>
      <c r="C160" t="n">
        <v>0.149</v>
      </c>
    </row>
    <row r="161">
      <c r="A161" s="105" t="n">
        <v>37802</v>
      </c>
      <c r="C161" t="n">
        <v>0.137</v>
      </c>
    </row>
    <row r="162">
      <c r="A162" s="105" t="n">
        <v>37833</v>
      </c>
      <c r="C162" t="n">
        <v>0.169</v>
      </c>
    </row>
    <row r="163">
      <c r="A163" s="105" t="n">
        <v>37864</v>
      </c>
      <c r="C163" t="n">
        <v>0.165</v>
      </c>
    </row>
    <row r="164">
      <c r="A164" s="105" t="n">
        <v>37894</v>
      </c>
      <c r="C164" t="n">
        <v>0.171</v>
      </c>
    </row>
    <row r="165">
      <c r="A165" s="105" t="n">
        <v>37925</v>
      </c>
      <c r="C165" t="n">
        <v>0.163</v>
      </c>
    </row>
    <row r="166">
      <c r="A166" s="105" t="n">
        <v>37955</v>
      </c>
      <c r="C166" t="n">
        <v>0.172</v>
      </c>
    </row>
    <row r="167">
      <c r="A167" s="105" t="n">
        <v>37986</v>
      </c>
      <c r="C167" t="n">
        <v>0.179</v>
      </c>
    </row>
    <row r="168">
      <c r="A168" s="105" t="n">
        <v>38017</v>
      </c>
      <c r="C168" t="n">
        <v>0.181</v>
      </c>
    </row>
    <row r="169">
      <c r="A169" s="105" t="n">
        <v>38046</v>
      </c>
      <c r="C169" t="n">
        <v>0.07199999999999999</v>
      </c>
    </row>
    <row r="170">
      <c r="A170" s="105" t="n">
        <v>38077</v>
      </c>
      <c r="C170" t="n">
        <v>0.232</v>
      </c>
    </row>
    <row r="171">
      <c r="A171" s="105" t="n">
        <v>38107</v>
      </c>
      <c r="C171" t="n">
        <v>0.194</v>
      </c>
    </row>
    <row r="172">
      <c r="A172" s="105" t="n">
        <v>38138</v>
      </c>
      <c r="C172" t="n">
        <v>0.191</v>
      </c>
    </row>
    <row r="173">
      <c r="A173" s="105" t="n">
        <v>38168</v>
      </c>
      <c r="C173" t="n">
        <v>0.175</v>
      </c>
    </row>
    <row r="174">
      <c r="A174" s="105" t="n">
        <v>38199</v>
      </c>
      <c r="C174" t="n">
        <v>0.162</v>
      </c>
    </row>
    <row r="175">
      <c r="A175" s="105" t="n">
        <v>38230</v>
      </c>
      <c r="C175" t="n">
        <v>0.155</v>
      </c>
    </row>
    <row r="176">
      <c r="A176" s="105" t="n">
        <v>38260</v>
      </c>
      <c r="C176" t="n">
        <v>0.159</v>
      </c>
    </row>
    <row r="177">
      <c r="A177" s="105" t="n">
        <v>38291</v>
      </c>
      <c r="C177" t="n">
        <v>0.161</v>
      </c>
    </row>
    <row r="178">
      <c r="A178" s="105" t="n">
        <v>38321</v>
      </c>
      <c r="C178" t="n">
        <v>0.157</v>
      </c>
    </row>
    <row r="179">
      <c r="A179" s="105" t="n">
        <v>38352</v>
      </c>
      <c r="C179" t="n">
        <v>0.148</v>
      </c>
    </row>
    <row r="180">
      <c r="A180" s="105" t="n">
        <v>38383</v>
      </c>
      <c r="B180" t="n">
        <v>52.1</v>
      </c>
      <c r="C180" t="n">
        <v>0.144</v>
      </c>
    </row>
    <row r="181">
      <c r="A181" s="105" t="n">
        <v>38411</v>
      </c>
      <c r="B181" t="n">
        <v>52.9</v>
      </c>
      <c r="C181" t="n">
        <v>0.209</v>
      </c>
    </row>
    <row r="182">
      <c r="A182" s="105" t="n">
        <v>38442</v>
      </c>
      <c r="B182" t="n">
        <v>55.2</v>
      </c>
      <c r="C182" t="n">
        <v>0.076</v>
      </c>
    </row>
    <row r="183">
      <c r="A183" s="105" t="n">
        <v>38472</v>
      </c>
      <c r="B183" t="n">
        <v>54.4</v>
      </c>
      <c r="C183" t="n">
        <v>0.151</v>
      </c>
    </row>
    <row r="184">
      <c r="A184" s="105" t="n">
        <v>38503</v>
      </c>
      <c r="B184" t="n">
        <v>53.3</v>
      </c>
      <c r="C184" t="n">
        <v>0.16</v>
      </c>
    </row>
    <row r="185">
      <c r="A185" s="105" t="n">
        <v>38533</v>
      </c>
      <c r="B185" t="n">
        <v>51</v>
      </c>
      <c r="C185" t="n">
        <v>0.166</v>
      </c>
    </row>
    <row r="186">
      <c r="A186" s="105" t="n">
        <v>38564</v>
      </c>
      <c r="B186" t="n">
        <v>51.5</v>
      </c>
      <c r="C186" t="n">
        <v>0.168</v>
      </c>
    </row>
    <row r="187">
      <c r="A187" s="105" t="n">
        <v>38595</v>
      </c>
      <c r="B187" t="n">
        <v>50.6</v>
      </c>
      <c r="C187" t="n">
        <v>0.161</v>
      </c>
    </row>
    <row r="188">
      <c r="A188" s="105" t="n">
        <v>38625</v>
      </c>
      <c r="B188" t="n">
        <v>50.9</v>
      </c>
      <c r="C188" t="n">
        <v>0.16</v>
      </c>
    </row>
    <row r="189">
      <c r="A189" s="105" t="n">
        <v>38656</v>
      </c>
      <c r="B189" t="n">
        <v>50.1</v>
      </c>
      <c r="C189" t="n">
        <v>0.165</v>
      </c>
    </row>
    <row r="190">
      <c r="A190" s="105" t="n">
        <v>38686</v>
      </c>
      <c r="B190" t="n">
        <v>49.8</v>
      </c>
      <c r="C190" t="n">
        <v>0.161</v>
      </c>
    </row>
    <row r="191">
      <c r="A191" s="105" t="n">
        <v>38717</v>
      </c>
      <c r="B191" t="n">
        <v>50.1</v>
      </c>
      <c r="C191" t="n">
        <v>0.166</v>
      </c>
    </row>
    <row r="192">
      <c r="A192" s="105" t="n">
        <v>38776</v>
      </c>
      <c r="B192" t="n">
        <v>50.7</v>
      </c>
      <c r="C192" t="n">
        <v>0.165</v>
      </c>
    </row>
    <row r="193">
      <c r="A193" s="105" t="n">
        <v>38807</v>
      </c>
      <c r="B193" t="n">
        <v>51</v>
      </c>
      <c r="C193" t="n">
        <v>0.201</v>
      </c>
    </row>
    <row r="194">
      <c r="A194" s="105" t="n">
        <v>38837</v>
      </c>
      <c r="B194" t="n">
        <v>52.7</v>
      </c>
      <c r="C194" t="n">
        <v>0.178</v>
      </c>
    </row>
    <row r="195">
      <c r="A195" s="105" t="n">
        <v>38868</v>
      </c>
      <c r="B195" t="n">
        <v>52.8</v>
      </c>
      <c r="C195" t="n">
        <v>0.166</v>
      </c>
    </row>
    <row r="196">
      <c r="A196" s="105" t="n">
        <v>38898</v>
      </c>
      <c r="B196" t="n">
        <v>52.9</v>
      </c>
      <c r="C196" t="n">
        <v>0.179</v>
      </c>
    </row>
    <row r="197">
      <c r="A197" s="105" t="n">
        <v>38929</v>
      </c>
      <c r="B197" t="n">
        <v>53</v>
      </c>
      <c r="C197" t="n">
        <v>0.195</v>
      </c>
    </row>
    <row r="198">
      <c r="A198" s="105" t="n">
        <v>38960</v>
      </c>
      <c r="B198" t="n">
        <v>52.6</v>
      </c>
      <c r="C198" t="n">
        <v>0.167</v>
      </c>
    </row>
    <row r="199">
      <c r="A199" s="105" t="n">
        <v>38990</v>
      </c>
      <c r="B199" t="n">
        <v>52.4</v>
      </c>
      <c r="C199" t="n">
        <v>0.157</v>
      </c>
    </row>
    <row r="200">
      <c r="A200" s="105" t="n">
        <v>39021</v>
      </c>
      <c r="B200" t="n">
        <v>52.1</v>
      </c>
      <c r="C200" t="n">
        <v>0.161</v>
      </c>
    </row>
    <row r="201">
      <c r="A201" s="105" t="n">
        <v>39051</v>
      </c>
      <c r="B201" t="n">
        <v>53</v>
      </c>
      <c r="C201" t="n">
        <v>0.147</v>
      </c>
    </row>
    <row r="202">
      <c r="A202" s="105" t="n">
        <v>39082</v>
      </c>
      <c r="B202" t="n">
        <v>52.4</v>
      </c>
      <c r="C202" t="n">
        <v>0.149</v>
      </c>
    </row>
    <row r="203">
      <c r="A203" s="105" t="n">
        <v>39141</v>
      </c>
      <c r="B203" t="n">
        <v>53</v>
      </c>
      <c r="C203" t="n">
        <v>0.147</v>
      </c>
    </row>
    <row r="204">
      <c r="A204" s="105" t="n">
        <v>39172</v>
      </c>
      <c r="B204" t="n">
        <v>52.3</v>
      </c>
      <c r="C204" t="n">
        <v>0.126</v>
      </c>
    </row>
    <row r="205">
      <c r="A205" s="105" t="n">
        <v>39202</v>
      </c>
      <c r="B205" t="n">
        <v>53.3</v>
      </c>
      <c r="C205" t="n">
        <v>0.176</v>
      </c>
    </row>
    <row r="206">
      <c r="A206" s="105" t="n">
        <v>39233</v>
      </c>
      <c r="B206" t="n">
        <v>54.1</v>
      </c>
      <c r="C206" t="n">
        <v>0.174</v>
      </c>
    </row>
    <row r="207">
      <c r="A207" s="105" t="n">
        <v>39263</v>
      </c>
      <c r="B207" t="n">
        <v>55</v>
      </c>
      <c r="C207" t="n">
        <v>0.181</v>
      </c>
    </row>
    <row r="208">
      <c r="A208" s="105" t="n">
        <v>39294</v>
      </c>
      <c r="B208" t="n">
        <v>53.2</v>
      </c>
      <c r="C208" t="n">
        <v>0.194</v>
      </c>
    </row>
    <row r="209">
      <c r="A209" s="105" t="n">
        <v>39325</v>
      </c>
      <c r="B209" t="n">
        <v>53.4</v>
      </c>
      <c r="C209" t="n">
        <v>0.18</v>
      </c>
    </row>
    <row r="210">
      <c r="A210" s="105" t="n">
        <v>39355</v>
      </c>
      <c r="B210" t="n">
        <v>55</v>
      </c>
      <c r="C210" t="n">
        <v>0.175</v>
      </c>
    </row>
    <row r="211">
      <c r="A211" s="105" t="n">
        <v>39386</v>
      </c>
      <c r="B211" t="n">
        <v>55.2</v>
      </c>
      <c r="C211" t="n">
        <v>0.189</v>
      </c>
    </row>
    <row r="212">
      <c r="A212" s="105" t="n">
        <v>39416</v>
      </c>
      <c r="B212" t="n">
        <v>52.8</v>
      </c>
      <c r="C212" t="n">
        <v>0.179</v>
      </c>
    </row>
    <row r="213">
      <c r="A213" s="105" t="n">
        <v>39447</v>
      </c>
      <c r="B213" t="n">
        <v>53.3</v>
      </c>
      <c r="C213" t="n">
        <v>0.173</v>
      </c>
    </row>
    <row r="214">
      <c r="A214" s="105" t="n">
        <v>39507</v>
      </c>
      <c r="B214" t="n">
        <v>52.8</v>
      </c>
      <c r="C214" t="n">
        <v>0.174</v>
      </c>
    </row>
    <row r="215">
      <c r="A215" s="105" t="n">
        <v>39538</v>
      </c>
      <c r="B215" t="n">
        <v>54.4</v>
      </c>
      <c r="C215" t="n">
        <v>0.154</v>
      </c>
    </row>
    <row r="216">
      <c r="A216" s="105" t="n">
        <v>39568</v>
      </c>
      <c r="B216" t="n">
        <v>55.4</v>
      </c>
      <c r="C216" t="n">
        <v>0.178</v>
      </c>
    </row>
    <row r="217">
      <c r="A217" s="105" t="n">
        <v>39599</v>
      </c>
      <c r="B217" t="n">
        <v>54.7</v>
      </c>
      <c r="C217" t="n">
        <v>0.157</v>
      </c>
    </row>
    <row r="218">
      <c r="A218" s="105" t="n">
        <v>39629</v>
      </c>
      <c r="B218" t="n">
        <v>53.3</v>
      </c>
      <c r="C218" t="n">
        <v>0.16</v>
      </c>
    </row>
    <row r="219">
      <c r="A219" s="105" t="n">
        <v>39660</v>
      </c>
      <c r="B219" t="n">
        <v>53.3</v>
      </c>
      <c r="C219" t="n">
        <v>0.16</v>
      </c>
    </row>
    <row r="220">
      <c r="A220" s="105" t="n">
        <v>39691</v>
      </c>
      <c r="B220" t="n">
        <v>49.2</v>
      </c>
      <c r="C220" t="n">
        <v>0.147</v>
      </c>
    </row>
    <row r="221">
      <c r="A221" s="105" t="n">
        <v>39721</v>
      </c>
      <c r="B221" t="n">
        <v>47.7</v>
      </c>
      <c r="C221" t="n">
        <v>0.128</v>
      </c>
    </row>
    <row r="222">
      <c r="A222" s="105" t="n">
        <v>39752</v>
      </c>
      <c r="B222" t="n">
        <v>45.2</v>
      </c>
      <c r="C222" t="n">
        <v>0.114</v>
      </c>
    </row>
    <row r="223">
      <c r="A223" s="105" t="n">
        <v>39782</v>
      </c>
      <c r="B223" t="n">
        <v>40.9</v>
      </c>
      <c r="C223" t="n">
        <v>0.082</v>
      </c>
    </row>
    <row r="224">
      <c r="A224" s="105" t="n">
        <v>39813</v>
      </c>
      <c r="B224" t="n">
        <v>41.2</v>
      </c>
      <c r="C224" t="n">
        <v>0.054</v>
      </c>
    </row>
    <row r="225">
      <c r="A225" s="105" t="n">
        <v>39872</v>
      </c>
      <c r="B225" t="n">
        <v>45.1</v>
      </c>
      <c r="C225" t="n">
        <v>0.057</v>
      </c>
    </row>
    <row r="226">
      <c r="A226" s="105" t="n">
        <v>39903</v>
      </c>
      <c r="B226" t="n">
        <v>44.8</v>
      </c>
      <c r="C226" t="n">
        <v>0.11</v>
      </c>
    </row>
    <row r="227">
      <c r="A227" s="105" t="n">
        <v>39933</v>
      </c>
      <c r="B227" t="n">
        <v>50.1</v>
      </c>
      <c r="C227" t="n">
        <v>0.083</v>
      </c>
    </row>
    <row r="228">
      <c r="A228" s="105" t="n">
        <v>39964</v>
      </c>
      <c r="B228" t="n">
        <v>51.2</v>
      </c>
      <c r="C228" t="n">
        <v>0.073</v>
      </c>
    </row>
    <row r="229">
      <c r="A229" s="105" t="n">
        <v>39994</v>
      </c>
      <c r="B229" t="n">
        <v>51.8</v>
      </c>
      <c r="C229" t="n">
        <v>0.089</v>
      </c>
    </row>
    <row r="230">
      <c r="A230" s="105" t="n">
        <v>40025</v>
      </c>
      <c r="B230" t="n">
        <v>52.8</v>
      </c>
      <c r="C230" t="n">
        <v>0.107</v>
      </c>
    </row>
    <row r="231">
      <c r="A231" s="105" t="n">
        <v>40056</v>
      </c>
      <c r="B231" t="n">
        <v>55.1</v>
      </c>
      <c r="C231" t="n">
        <v>0.108</v>
      </c>
    </row>
    <row r="232">
      <c r="A232" s="105" t="n">
        <v>40086</v>
      </c>
      <c r="B232" t="n">
        <v>55</v>
      </c>
      <c r="C232" t="n">
        <v>0.123</v>
      </c>
    </row>
    <row r="233">
      <c r="A233" s="105" t="n">
        <v>40117</v>
      </c>
      <c r="B233" t="n">
        <v>55.4</v>
      </c>
      <c r="C233" t="n">
        <v>0.139</v>
      </c>
    </row>
    <row r="234">
      <c r="A234" s="105" t="n">
        <v>40147</v>
      </c>
      <c r="B234" t="n">
        <v>55.7</v>
      </c>
      <c r="C234" t="n">
        <v>0.161</v>
      </c>
    </row>
    <row r="235">
      <c r="A235" s="105" t="n">
        <v>40178</v>
      </c>
      <c r="B235" t="n">
        <v>56.1</v>
      </c>
      <c r="C235" t="n">
        <v>0.192</v>
      </c>
    </row>
    <row r="236">
      <c r="A236" s="105" t="n">
        <v>40237</v>
      </c>
      <c r="B236" t="n">
        <v>55.8</v>
      </c>
      <c r="C236" t="n">
        <v>0.185</v>
      </c>
    </row>
    <row r="237">
      <c r="A237" s="105" t="n">
        <v>40268</v>
      </c>
      <c r="B237" t="n">
        <v>57</v>
      </c>
      <c r="C237" t="n">
        <v>0.128</v>
      </c>
    </row>
    <row r="238">
      <c r="A238" s="105" t="n">
        <v>40298</v>
      </c>
      <c r="B238" t="n">
        <v>55.4</v>
      </c>
      <c r="C238" t="n">
        <v>0.181</v>
      </c>
    </row>
    <row r="239">
      <c r="A239" s="105" t="n">
        <v>40329</v>
      </c>
      <c r="B239" t="n">
        <v>52.7</v>
      </c>
      <c r="C239" t="n">
        <v>0.178</v>
      </c>
    </row>
    <row r="240">
      <c r="A240" s="105" t="n">
        <v>40359</v>
      </c>
      <c r="B240" t="n">
        <v>50.4</v>
      </c>
      <c r="C240" t="n">
        <v>0.165</v>
      </c>
    </row>
    <row r="241">
      <c r="A241" s="105" t="n">
        <v>40390</v>
      </c>
      <c r="B241" t="n">
        <v>49.4</v>
      </c>
      <c r="C241" t="n">
        <v>0.137</v>
      </c>
    </row>
    <row r="242">
      <c r="A242" s="105" t="n">
        <v>40421</v>
      </c>
      <c r="B242" t="n">
        <v>51.9</v>
      </c>
      <c r="C242" t="n">
        <v>0.134</v>
      </c>
    </row>
    <row r="243">
      <c r="A243" s="105" t="n">
        <v>40451</v>
      </c>
      <c r="B243" t="n">
        <v>52.9</v>
      </c>
      <c r="C243" t="n">
        <v>0.139</v>
      </c>
    </row>
    <row r="244">
      <c r="A244" s="105" t="n">
        <v>40482</v>
      </c>
      <c r="B244" t="n">
        <v>54.8</v>
      </c>
      <c r="C244" t="n">
        <v>0.133</v>
      </c>
    </row>
    <row r="245">
      <c r="A245" s="105" t="n">
        <v>40512</v>
      </c>
      <c r="B245" t="n">
        <v>55.3</v>
      </c>
      <c r="C245" t="n">
        <v>0.131</v>
      </c>
    </row>
    <row r="246">
      <c r="A246" s="105" t="n">
        <v>40543</v>
      </c>
      <c r="B246" t="n">
        <v>54.4</v>
      </c>
      <c r="C246" t="n">
        <v>0.133</v>
      </c>
    </row>
    <row r="247">
      <c r="A247" s="105" t="n">
        <v>40602</v>
      </c>
      <c r="B247" t="n">
        <v>51.7</v>
      </c>
      <c r="C247" t="n">
        <v>0.135</v>
      </c>
    </row>
    <row r="248">
      <c r="A248" s="105" t="n">
        <v>40633</v>
      </c>
      <c r="B248" t="n">
        <v>51.8</v>
      </c>
      <c r="C248" t="n">
        <v>0.141</v>
      </c>
    </row>
    <row r="249">
      <c r="A249" s="105" t="n">
        <v>40663</v>
      </c>
      <c r="B249" t="n">
        <v>51.8</v>
      </c>
      <c r="C249" t="n">
        <v>0.148</v>
      </c>
    </row>
    <row r="250">
      <c r="A250" s="105" t="n">
        <v>40694</v>
      </c>
      <c r="B250" t="n">
        <v>51.6</v>
      </c>
      <c r="C250" t="n">
        <v>0.134</v>
      </c>
    </row>
    <row r="251">
      <c r="A251" s="105" t="n">
        <v>40724</v>
      </c>
      <c r="B251" t="n">
        <v>50.1</v>
      </c>
      <c r="C251" t="n">
        <v>0.133</v>
      </c>
    </row>
    <row r="252">
      <c r="A252" s="105" t="n">
        <v>40755</v>
      </c>
      <c r="B252" t="n">
        <v>49.3</v>
      </c>
      <c r="C252" t="n">
        <v>0.151</v>
      </c>
    </row>
    <row r="253">
      <c r="A253" s="105" t="n">
        <v>40786</v>
      </c>
      <c r="B253" t="n">
        <v>49.9</v>
      </c>
      <c r="C253" t="n">
        <v>0.14</v>
      </c>
    </row>
    <row r="254">
      <c r="A254" s="105" t="n">
        <v>40816</v>
      </c>
      <c r="B254" t="n">
        <v>49.9</v>
      </c>
      <c r="C254" t="n">
        <v>0.135</v>
      </c>
    </row>
    <row r="255">
      <c r="A255" s="105" t="n">
        <v>40847</v>
      </c>
      <c r="B255" t="n">
        <v>51</v>
      </c>
      <c r="C255" t="n">
        <v>0.138</v>
      </c>
    </row>
    <row r="256">
      <c r="A256" s="105" t="n">
        <v>40877</v>
      </c>
      <c r="B256" t="n">
        <v>47.7</v>
      </c>
      <c r="C256" t="n">
        <v>0.132</v>
      </c>
    </row>
    <row r="257">
      <c r="A257" s="105" t="n">
        <v>40908</v>
      </c>
      <c r="B257" t="n">
        <v>48.7</v>
      </c>
      <c r="C257" t="n">
        <v>0.124</v>
      </c>
    </row>
    <row r="258">
      <c r="A258" s="105" t="n">
        <v>40968</v>
      </c>
      <c r="B258" t="n">
        <v>49.6</v>
      </c>
      <c r="C258" t="n">
        <v>0.128</v>
      </c>
    </row>
    <row r="259">
      <c r="A259" s="105" t="n">
        <v>40999</v>
      </c>
      <c r="B259" t="n">
        <v>48.3</v>
      </c>
      <c r="C259" t="n">
        <v>0.114</v>
      </c>
    </row>
    <row r="260">
      <c r="A260" s="105" t="n">
        <v>41029</v>
      </c>
      <c r="B260" t="n">
        <v>49.3</v>
      </c>
      <c r="C260" t="n">
        <v>0.119</v>
      </c>
    </row>
    <row r="261">
      <c r="A261" s="105" t="n">
        <v>41060</v>
      </c>
      <c r="B261" t="n">
        <v>48.4</v>
      </c>
      <c r="C261" t="n">
        <v>0.093</v>
      </c>
    </row>
    <row r="262">
      <c r="A262" s="105" t="n">
        <v>41090</v>
      </c>
      <c r="B262" t="n">
        <v>48.2</v>
      </c>
      <c r="C262" t="n">
        <v>0.096</v>
      </c>
    </row>
    <row r="263">
      <c r="A263" s="105" t="n">
        <v>41121</v>
      </c>
      <c r="B263" t="n">
        <v>49.3</v>
      </c>
      <c r="C263" t="n">
        <v>0.095</v>
      </c>
    </row>
    <row r="264">
      <c r="A264" s="105" t="n">
        <v>41152</v>
      </c>
      <c r="B264" t="n">
        <v>47.7</v>
      </c>
      <c r="C264" t="n">
        <v>0.092</v>
      </c>
    </row>
    <row r="265">
      <c r="A265" s="105" t="n">
        <v>41182</v>
      </c>
      <c r="B265" t="n">
        <v>47.9</v>
      </c>
      <c r="C265" t="n">
        <v>0.089</v>
      </c>
    </row>
    <row r="266">
      <c r="A266" s="105" t="n">
        <v>41213</v>
      </c>
      <c r="B266" t="n">
        <v>49.5</v>
      </c>
      <c r="C266" t="n">
        <v>0.092</v>
      </c>
    </row>
    <row r="267">
      <c r="A267" s="105" t="n">
        <v>41243</v>
      </c>
      <c r="B267" t="n">
        <v>50.5</v>
      </c>
      <c r="C267" t="n">
        <v>0.096</v>
      </c>
    </row>
    <row r="268">
      <c r="A268" s="105" t="n">
        <v>41274</v>
      </c>
      <c r="B268" t="n">
        <v>51.5</v>
      </c>
      <c r="C268" t="n">
        <v>0.101</v>
      </c>
    </row>
    <row r="269">
      <c r="A269" s="105" t="n">
        <v>41333</v>
      </c>
      <c r="B269" t="n">
        <v>50.4</v>
      </c>
      <c r="C269" t="n">
        <v>0.103</v>
      </c>
    </row>
    <row r="270">
      <c r="A270" s="105" t="n">
        <v>41364</v>
      </c>
      <c r="B270" t="n">
        <v>51.6</v>
      </c>
      <c r="C270" t="n">
        <v>0.099</v>
      </c>
    </row>
    <row r="271">
      <c r="A271" s="105" t="n">
        <v>41394</v>
      </c>
      <c r="B271" t="n">
        <v>50.4</v>
      </c>
      <c r="C271" t="n">
        <v>0.089</v>
      </c>
    </row>
    <row r="272">
      <c r="A272" s="105" t="n">
        <v>41425</v>
      </c>
      <c r="B272" t="n">
        <v>49.2</v>
      </c>
      <c r="C272" t="n">
        <v>0.093</v>
      </c>
    </row>
    <row r="273">
      <c r="A273" s="105" t="n">
        <v>41455</v>
      </c>
      <c r="B273" t="n">
        <v>48.2</v>
      </c>
      <c r="C273" t="n">
        <v>0.092</v>
      </c>
    </row>
    <row r="274">
      <c r="A274" s="105" t="n">
        <v>41486</v>
      </c>
      <c r="B274" t="n">
        <v>47.7</v>
      </c>
      <c r="C274" t="n">
        <v>0.089</v>
      </c>
    </row>
    <row r="275">
      <c r="A275" s="105" t="n">
        <v>41517</v>
      </c>
      <c r="B275" t="n">
        <v>50.1</v>
      </c>
      <c r="C275" t="n">
        <v>0.097</v>
      </c>
    </row>
    <row r="276">
      <c r="A276" s="105" t="n">
        <v>41547</v>
      </c>
      <c r="B276" t="n">
        <v>50.2</v>
      </c>
      <c r="C276" t="n">
        <v>0.104</v>
      </c>
    </row>
    <row r="277">
      <c r="A277" s="105" t="n">
        <v>41578</v>
      </c>
      <c r="B277" t="n">
        <v>50.9</v>
      </c>
      <c r="C277" t="n">
        <v>0.102</v>
      </c>
    </row>
    <row r="278">
      <c r="A278" s="105" t="n">
        <v>41608</v>
      </c>
      <c r="B278" t="n">
        <v>50.8</v>
      </c>
      <c r="C278" t="n">
        <v>0.103</v>
      </c>
    </row>
    <row r="279">
      <c r="A279" s="105" t="n">
        <v>41639</v>
      </c>
      <c r="B279" t="n">
        <v>50.5</v>
      </c>
      <c r="C279" t="n">
        <v>0.1</v>
      </c>
    </row>
    <row r="280">
      <c r="A280" s="105" t="n">
        <v>41698</v>
      </c>
      <c r="B280" t="n">
        <v>48.5</v>
      </c>
      <c r="C280" t="n">
        <v>0.097</v>
      </c>
    </row>
    <row r="281">
      <c r="A281" s="105" t="n">
        <v>41729</v>
      </c>
      <c r="B281" t="n">
        <v>48</v>
      </c>
      <c r="C281" t="n">
        <v>0.08599999999999999</v>
      </c>
    </row>
    <row r="282">
      <c r="A282" s="105" t="n">
        <v>41759</v>
      </c>
      <c r="B282" t="n">
        <v>48.1</v>
      </c>
      <c r="C282" t="n">
        <v>0.08799999999999999</v>
      </c>
    </row>
    <row r="283">
      <c r="A283" s="105" t="n">
        <v>41790</v>
      </c>
      <c r="B283" t="n">
        <v>49.4</v>
      </c>
      <c r="C283" t="n">
        <v>0.08699999999999999</v>
      </c>
    </row>
    <row r="284">
      <c r="A284" s="105" t="n">
        <v>41820</v>
      </c>
      <c r="B284" t="n">
        <v>50.7</v>
      </c>
      <c r="C284" t="n">
        <v>0.08799999999999999</v>
      </c>
    </row>
    <row r="285">
      <c r="A285" s="105" t="n">
        <v>41851</v>
      </c>
      <c r="B285" t="n">
        <v>51.7</v>
      </c>
      <c r="C285" t="n">
        <v>0.092</v>
      </c>
    </row>
    <row r="286">
      <c r="A286" s="105" t="n">
        <v>41882</v>
      </c>
      <c r="B286" t="n">
        <v>50.2</v>
      </c>
      <c r="C286" t="n">
        <v>0.09</v>
      </c>
    </row>
    <row r="287">
      <c r="A287" s="105" t="n">
        <v>41912</v>
      </c>
      <c r="B287" t="n">
        <v>51.1</v>
      </c>
      <c r="C287" t="n">
        <v>0.06900000000000001</v>
      </c>
    </row>
    <row r="288">
      <c r="A288" s="105" t="n">
        <v>41943</v>
      </c>
      <c r="B288" t="n">
        <v>50.8</v>
      </c>
      <c r="C288" t="n">
        <v>0.08</v>
      </c>
    </row>
    <row r="289">
      <c r="A289" s="105" t="n">
        <v>41973</v>
      </c>
      <c r="B289" t="n">
        <v>50.3</v>
      </c>
      <c r="C289" t="n">
        <v>0.077</v>
      </c>
    </row>
    <row r="290">
      <c r="A290" s="105" t="n">
        <v>42004</v>
      </c>
      <c r="B290" t="n">
        <v>50.1</v>
      </c>
      <c r="C290" t="n">
        <v>0.07199999999999999</v>
      </c>
    </row>
    <row r="291">
      <c r="A291" s="105" t="n">
        <v>42063</v>
      </c>
      <c r="B291" t="n">
        <v>49.9</v>
      </c>
      <c r="C291" t="n">
        <v>0.079</v>
      </c>
    </row>
    <row r="292">
      <c r="A292" s="105" t="n">
        <v>42094</v>
      </c>
      <c r="B292" t="n">
        <v>50.1</v>
      </c>
      <c r="C292" t="n">
        <v>0.068</v>
      </c>
    </row>
    <row r="293">
      <c r="A293" s="105" t="n">
        <v>42124</v>
      </c>
      <c r="B293" t="n">
        <v>50.1</v>
      </c>
      <c r="C293" t="n">
        <v>0.056</v>
      </c>
    </row>
    <row r="294">
      <c r="A294" s="105" t="n">
        <v>42155</v>
      </c>
      <c r="B294" t="n">
        <v>50.2</v>
      </c>
      <c r="C294" t="n">
        <v>0.059</v>
      </c>
    </row>
    <row r="295">
      <c r="A295" s="105" t="n">
        <v>42185</v>
      </c>
      <c r="B295" t="n">
        <v>50.2</v>
      </c>
      <c r="C295" t="n">
        <v>0.061</v>
      </c>
    </row>
    <row r="296">
      <c r="A296" s="105" t="n">
        <v>42216</v>
      </c>
      <c r="B296" t="n">
        <v>50</v>
      </c>
      <c r="C296" t="n">
        <v>0.068</v>
      </c>
    </row>
    <row r="297">
      <c r="A297" s="105" t="n">
        <v>42247</v>
      </c>
      <c r="B297" t="n">
        <v>47.3</v>
      </c>
      <c r="C297" t="n">
        <v>0.06</v>
      </c>
    </row>
    <row r="298">
      <c r="A298" s="105" t="n">
        <v>42277</v>
      </c>
      <c r="B298" t="n">
        <v>47.2</v>
      </c>
      <c r="C298" t="n">
        <v>0.061</v>
      </c>
    </row>
    <row r="299">
      <c r="A299" s="105" t="n">
        <v>42308</v>
      </c>
      <c r="B299" t="n">
        <v>48.3</v>
      </c>
      <c r="C299" t="n">
        <v>0.057</v>
      </c>
    </row>
    <row r="300">
      <c r="A300" s="105" t="n">
        <v>42338</v>
      </c>
      <c r="B300" t="n">
        <v>48.6</v>
      </c>
      <c r="C300" t="n">
        <v>0.056</v>
      </c>
    </row>
    <row r="301">
      <c r="A301" s="105" t="n">
        <v>42369</v>
      </c>
      <c r="B301" t="n">
        <v>48.2</v>
      </c>
      <c r="C301" t="n">
        <v>0.062</v>
      </c>
    </row>
    <row r="302">
      <c r="A302" s="105" t="n">
        <v>42400</v>
      </c>
      <c r="B302" t="n">
        <v>48.4</v>
      </c>
      <c r="C302" t="n">
        <v>0.059</v>
      </c>
    </row>
    <row r="303">
      <c r="A303" s="105" t="n">
        <v>42460</v>
      </c>
      <c r="B303" t="n">
        <v>49.7</v>
      </c>
      <c r="C303" t="n">
        <v>0.054</v>
      </c>
    </row>
    <row r="304">
      <c r="A304" s="105" t="n">
        <v>42490</v>
      </c>
      <c r="B304" t="n">
        <v>49.4</v>
      </c>
      <c r="C304" t="n">
        <v>0.068</v>
      </c>
    </row>
    <row r="305">
      <c r="A305" s="105" t="n">
        <v>42521</v>
      </c>
      <c r="B305" t="n">
        <v>49.2</v>
      </c>
      <c r="C305" t="n">
        <v>0.06</v>
      </c>
    </row>
    <row r="306">
      <c r="A306" s="105" t="n">
        <v>42551</v>
      </c>
      <c r="B306" t="n">
        <v>48.6</v>
      </c>
      <c r="C306" t="n">
        <v>0.06</v>
      </c>
    </row>
    <row r="307">
      <c r="A307" s="105" t="n">
        <v>42582</v>
      </c>
      <c r="B307" t="n">
        <v>50.6</v>
      </c>
      <c r="C307" t="n">
        <v>0.062</v>
      </c>
    </row>
    <row r="308">
      <c r="A308" s="105" t="n">
        <v>42613</v>
      </c>
      <c r="B308" t="n">
        <v>50</v>
      </c>
      <c r="C308" t="n">
        <v>0.06</v>
      </c>
    </row>
    <row r="309">
      <c r="A309" s="105" t="n">
        <v>42643</v>
      </c>
      <c r="B309" t="n">
        <v>50.1</v>
      </c>
      <c r="C309" t="n">
        <v>0.063</v>
      </c>
    </row>
    <row r="310">
      <c r="A310" s="105" t="n">
        <v>42674</v>
      </c>
      <c r="B310" t="n">
        <v>51.2</v>
      </c>
      <c r="C310" t="n">
        <v>0.061</v>
      </c>
    </row>
    <row r="311">
      <c r="A311" s="105" t="n">
        <v>42704</v>
      </c>
      <c r="B311" t="n">
        <v>50.9</v>
      </c>
      <c r="C311" t="n">
        <v>0.061</v>
      </c>
    </row>
    <row r="312">
      <c r="A312" s="105" t="n">
        <v>42735</v>
      </c>
      <c r="B312" t="n">
        <v>51.9</v>
      </c>
      <c r="C312" t="n">
        <v>0.062</v>
      </c>
    </row>
    <row r="313">
      <c r="A313" s="105" t="n">
        <v>42766</v>
      </c>
      <c r="B313" t="n">
        <v>51</v>
      </c>
      <c r="C313" t="n">
        <v>0.06</v>
      </c>
    </row>
    <row r="314">
      <c r="A314" s="105" t="n">
        <v>42825</v>
      </c>
      <c r="B314" t="n">
        <v>51.2</v>
      </c>
      <c r="C314" t="n">
        <v>0.063</v>
      </c>
    </row>
    <row r="315">
      <c r="A315" s="105" t="n">
        <v>42855</v>
      </c>
      <c r="B315" t="n">
        <v>50.3</v>
      </c>
      <c r="C315" t="n">
        <v>0.076</v>
      </c>
    </row>
    <row r="316">
      <c r="A316" s="105" t="n">
        <v>42886</v>
      </c>
      <c r="B316" t="n">
        <v>49.6</v>
      </c>
      <c r="C316" t="n">
        <v>0.065</v>
      </c>
    </row>
    <row r="317">
      <c r="A317" s="105" t="n">
        <v>42916</v>
      </c>
      <c r="B317" t="n">
        <v>50.4</v>
      </c>
      <c r="C317" t="n">
        <v>0.065</v>
      </c>
    </row>
    <row r="318">
      <c r="A318" s="105" t="n">
        <v>42947</v>
      </c>
      <c r="B318" t="n">
        <v>51.1</v>
      </c>
      <c r="C318" t="n">
        <v>0.076</v>
      </c>
    </row>
    <row r="319">
      <c r="A319" s="105" t="n">
        <v>42978</v>
      </c>
      <c r="B319" t="n">
        <v>51.6</v>
      </c>
      <c r="C319" t="n">
        <v>0.064</v>
      </c>
    </row>
    <row r="320">
      <c r="A320" s="105" t="n">
        <v>43008</v>
      </c>
      <c r="B320" t="n">
        <v>51</v>
      </c>
      <c r="C320" t="n">
        <v>0.06</v>
      </c>
    </row>
    <row r="321">
      <c r="A321" s="105" t="n">
        <v>43039</v>
      </c>
      <c r="B321" t="n">
        <v>51</v>
      </c>
      <c r="C321" t="n">
        <v>0.066</v>
      </c>
    </row>
    <row r="322">
      <c r="A322" s="105" t="n">
        <v>43069</v>
      </c>
      <c r="B322" t="n">
        <v>50.8</v>
      </c>
      <c r="C322" t="n">
        <v>0.062</v>
      </c>
    </row>
    <row r="323">
      <c r="A323" s="105" t="n">
        <v>43100</v>
      </c>
      <c r="B323" t="n">
        <v>51.5</v>
      </c>
      <c r="C323" t="n">
        <v>0.061</v>
      </c>
    </row>
    <row r="324">
      <c r="A324" s="105" t="n">
        <v>43159</v>
      </c>
      <c r="B324" t="n">
        <v>51.5</v>
      </c>
      <c r="C324" t="n">
        <v>0.062</v>
      </c>
    </row>
    <row r="325">
      <c r="A325" s="105" t="n">
        <v>43190</v>
      </c>
      <c r="B325" t="n">
        <v>51</v>
      </c>
      <c r="C325" t="n">
        <v>0.07199999999999999</v>
      </c>
    </row>
    <row r="326">
      <c r="A326" s="105" t="n">
        <v>43220</v>
      </c>
      <c r="B326" t="n">
        <v>51.1</v>
      </c>
      <c r="C326" t="n">
        <v>0.06</v>
      </c>
    </row>
    <row r="327">
      <c r="A327" s="105" t="n">
        <v>43251</v>
      </c>
      <c r="B327" t="n">
        <v>51.1</v>
      </c>
      <c r="C327" t="n">
        <v>0.07000000000000001</v>
      </c>
    </row>
    <row r="328">
      <c r="A328" s="105" t="n">
        <v>43281</v>
      </c>
      <c r="B328" t="n">
        <v>51</v>
      </c>
      <c r="C328" t="n">
        <v>0.068</v>
      </c>
    </row>
    <row r="329">
      <c r="A329" s="105" t="n">
        <v>43312</v>
      </c>
      <c r="B329" t="n">
        <v>50.8</v>
      </c>
      <c r="C329" t="n">
        <v>0.06</v>
      </c>
    </row>
    <row r="330">
      <c r="A330" s="105" t="n">
        <v>43343</v>
      </c>
      <c r="B330" t="n">
        <v>50.6</v>
      </c>
      <c r="C330" t="n">
        <v>0.06</v>
      </c>
    </row>
    <row r="331">
      <c r="A331" s="105" t="n">
        <v>43373</v>
      </c>
      <c r="B331" t="n">
        <v>50</v>
      </c>
      <c r="C331" t="n">
        <v>0.061</v>
      </c>
    </row>
    <row r="332">
      <c r="A332" s="105" t="n">
        <v>43404</v>
      </c>
      <c r="B332" t="n">
        <v>50.1</v>
      </c>
      <c r="C332" t="n">
        <v>0.058</v>
      </c>
    </row>
    <row r="333">
      <c r="A333" s="105" t="n">
        <v>43434</v>
      </c>
      <c r="B333" t="n">
        <v>50.2</v>
      </c>
      <c r="C333" t="n">
        <v>0.059</v>
      </c>
    </row>
    <row r="334">
      <c r="A334" s="105" t="n">
        <v>43465</v>
      </c>
      <c r="B334" t="n">
        <v>49.7</v>
      </c>
      <c r="C334" t="n">
        <v>0.054</v>
      </c>
    </row>
    <row r="335">
      <c r="A335" s="105" t="n">
        <v>43496</v>
      </c>
      <c r="B335" t="n">
        <v>48.3</v>
      </c>
      <c r="C335" t="n">
        <v>0.057</v>
      </c>
    </row>
    <row r="336">
      <c r="A336" s="105" t="n">
        <v>43524</v>
      </c>
      <c r="B336" t="n">
        <v>49.9</v>
      </c>
      <c r="C336" t="n">
        <v>0.053</v>
      </c>
    </row>
    <row r="337">
      <c r="A337" s="105" t="n">
        <v>43555</v>
      </c>
      <c r="B337" t="n">
        <v>50.8</v>
      </c>
      <c r="C337" t="n">
        <v>0.08500000000000001</v>
      </c>
    </row>
    <row r="338">
      <c r="A338" s="105" t="n">
        <v>43585</v>
      </c>
      <c r="B338" t="n">
        <v>50.2</v>
      </c>
      <c r="C338" t="n">
        <v>0.054</v>
      </c>
    </row>
    <row r="339">
      <c r="A339" s="105" t="n">
        <v>43616</v>
      </c>
      <c r="B339" t="n">
        <v>50.2</v>
      </c>
      <c r="C339" t="n">
        <v>0.054</v>
      </c>
    </row>
    <row r="340">
      <c r="A340" s="105" t="n">
        <v>43646</v>
      </c>
      <c r="B340" t="n">
        <v>49.4</v>
      </c>
      <c r="C340" t="n">
        <v>0.05</v>
      </c>
    </row>
    <row r="341">
      <c r="A341" s="105" t="n">
        <v>43677</v>
      </c>
      <c r="B341" t="n">
        <v>49.9</v>
      </c>
      <c r="C341" t="n">
        <v>0.063</v>
      </c>
    </row>
    <row r="342">
      <c r="A342" s="105" t="n">
        <v>43708</v>
      </c>
      <c r="B342" t="n">
        <v>50.4</v>
      </c>
      <c r="C342" t="n">
        <v>0.048</v>
      </c>
    </row>
    <row r="343">
      <c r="A343" s="105" t="n">
        <v>43738</v>
      </c>
      <c r="B343" t="n">
        <v>51.4</v>
      </c>
      <c r="C343" t="n">
        <v>0.044</v>
      </c>
    </row>
    <row r="344">
      <c r="A344" s="105" t="n">
        <v>43769</v>
      </c>
      <c r="B344" t="n">
        <v>51.7</v>
      </c>
      <c r="C344" t="n">
        <v>0.058</v>
      </c>
    </row>
    <row r="345">
      <c r="A345" s="105" t="n">
        <v>43799</v>
      </c>
      <c r="B345" t="n">
        <v>51.8</v>
      </c>
      <c r="C345" t="n">
        <v>0.047</v>
      </c>
    </row>
    <row r="346">
      <c r="A346" s="105" t="n">
        <v>43830</v>
      </c>
      <c r="B346" t="n">
        <v>51.5</v>
      </c>
      <c r="C346" t="n">
        <v>0.062</v>
      </c>
    </row>
    <row r="347">
      <c r="A347" s="105" t="n">
        <v>43890</v>
      </c>
      <c r="B347" t="n">
        <v>51.1</v>
      </c>
      <c r="C347" t="n">
        <v>0.06900000000000001</v>
      </c>
    </row>
    <row r="348">
      <c r="A348" s="105" t="n">
        <v>43921</v>
      </c>
      <c r="B348" t="n">
        <v>40.3</v>
      </c>
      <c r="C348" t="n">
        <v>-0.135</v>
      </c>
    </row>
    <row r="349">
      <c r="A349" s="105" t="n">
        <v>43951</v>
      </c>
      <c r="B349" t="n">
        <v>50.1</v>
      </c>
      <c r="C349" t="n">
        <v>-0.011</v>
      </c>
    </row>
    <row r="350" ht="16" customHeight="1">
      <c r="A350" s="105" t="n">
        <v>43982</v>
      </c>
      <c r="B350" t="n">
        <v>49.4</v>
      </c>
      <c r="C350" t="n">
        <v>0.039</v>
      </c>
    </row>
    <row r="351" ht="16" customHeight="1">
      <c r="A351" s="105" t="n">
        <v>44012</v>
      </c>
      <c r="B351" t="n">
        <v>50.7</v>
      </c>
      <c r="C351" t="n">
        <v>0.044</v>
      </c>
    </row>
    <row r="352" ht="16" customHeight="1">
      <c r="A352" s="105" t="n">
        <v>44043</v>
      </c>
      <c r="B352" t="n">
        <v>51.2</v>
      </c>
      <c r="C352" t="n">
        <v>0.048</v>
      </c>
    </row>
    <row r="353" ht="16" customHeight="1">
      <c r="A353" s="105" t="n">
        <v>44074</v>
      </c>
      <c r="B353" t="n">
        <v>52.8</v>
      </c>
      <c r="C353" t="n">
        <v>0.048</v>
      </c>
    </row>
    <row r="354" ht="16" customHeight="1">
      <c r="A354" s="105" t="n">
        <v>44104</v>
      </c>
      <c r="B354" t="n">
        <v>53.1</v>
      </c>
      <c r="C354" t="n">
        <v>0.056</v>
      </c>
    </row>
    <row r="355" ht="16" customHeight="1">
      <c r="A355" s="105" t="n">
        <v>44135</v>
      </c>
      <c r="B355" t="n">
        <v>53</v>
      </c>
      <c r="C355" t="n">
        <v>0.06900000000000001</v>
      </c>
    </row>
    <row r="356" ht="16" customHeight="1">
      <c r="A356" s="105" t="n">
        <v>44165</v>
      </c>
      <c r="B356" t="n">
        <v>53.6</v>
      </c>
      <c r="C356" t="n">
        <v>0.06900000000000001</v>
      </c>
    </row>
    <row r="357" ht="16" customHeight="1">
      <c r="A357" s="105" t="n">
        <v>44196</v>
      </c>
      <c r="B357" t="n">
        <v>49.9</v>
      </c>
      <c r="C357" t="n">
        <v>0.07000000000000001</v>
      </c>
    </row>
    <row r="358" ht="16" customHeight="1">
      <c r="A358" s="105" t="n">
        <v>44227</v>
      </c>
      <c r="B358" t="n">
        <v>51.5</v>
      </c>
      <c r="C358" t="n">
        <v>0.038</v>
      </c>
    </row>
    <row r="359" ht="16" customHeight="1">
      <c r="A359" s="105" t="n">
        <v>44255</v>
      </c>
      <c r="B359" t="n">
        <v>50.9</v>
      </c>
      <c r="C359" t="n">
        <v>0.351</v>
      </c>
    </row>
    <row r="360" ht="16" customHeight="1">
      <c r="A360" s="105" t="n">
        <v>44286</v>
      </c>
      <c r="B360" t="n">
        <v>50.6</v>
      </c>
      <c r="C360" t="n">
        <v>0.141</v>
      </c>
    </row>
    <row r="361">
      <c r="A361" s="105" t="n">
        <v>44316</v>
      </c>
      <c r="B361" t="n">
        <v>51.9</v>
      </c>
      <c r="C361" t="n">
        <v>0.098</v>
      </c>
    </row>
    <row r="362">
      <c r="A362" s="105" t="n">
        <v>44347</v>
      </c>
      <c r="B362" t="n">
        <v>52</v>
      </c>
      <c r="C362" t="n">
        <v>0.08799999999999999</v>
      </c>
    </row>
    <row r="363">
      <c r="A363" s="105" t="n">
        <v>44377</v>
      </c>
      <c r="B363" t="n">
        <v>51.3</v>
      </c>
      <c r="C363" t="n">
        <v>0.083</v>
      </c>
    </row>
    <row r="364">
      <c r="A364" s="105" t="n">
        <v>44408</v>
      </c>
      <c r="B364" t="n">
        <v>50.3</v>
      </c>
      <c r="C364" t="n">
        <v>0.064</v>
      </c>
    </row>
    <row r="365">
      <c r="A365" s="105" t="n">
        <v>44439</v>
      </c>
      <c r="B365" t="n">
        <v>49.2</v>
      </c>
      <c r="C365" t="n">
        <v>0.053</v>
      </c>
    </row>
    <row r="366">
      <c r="A366" s="105" t="n">
        <v>44468</v>
      </c>
      <c r="B366" t="n">
        <v>50</v>
      </c>
      <c r="C366" t="n">
        <v>0.053</v>
      </c>
    </row>
    <row r="367">
      <c r="A367" s="105" t="n">
        <v>44469</v>
      </c>
      <c r="B367" t="n">
        <v>50</v>
      </c>
      <c r="C367" t="n">
        <v>0.031</v>
      </c>
    </row>
    <row r="368">
      <c r="A368" s="105" t="n">
        <v>44500</v>
      </c>
      <c r="B368" t="n">
        <v>50.6</v>
      </c>
      <c r="C368" t="n">
        <v>0.035</v>
      </c>
    </row>
    <row r="369">
      <c r="A369" s="105" t="n">
        <v>44530</v>
      </c>
      <c r="B369" t="n">
        <v>49.9</v>
      </c>
      <c r="C369" t="n">
        <v>0.038</v>
      </c>
    </row>
    <row r="370">
      <c r="A370" s="105" t="n">
        <v>44561</v>
      </c>
      <c r="B370" t="n">
        <v>50.9</v>
      </c>
      <c r="C370" t="n">
        <v>0.043</v>
      </c>
    </row>
    <row r="371">
      <c r="A371" s="105" t="n">
        <v>44590</v>
      </c>
      <c r="B371" t="n">
        <v>49.1</v>
      </c>
      <c r="C371" t="n">
        <v>0.075</v>
      </c>
    </row>
    <row r="372">
      <c r="A372" s="105" t="n">
        <v>44620</v>
      </c>
      <c r="B372" t="n">
        <v>50.4</v>
      </c>
      <c r="C372" t="n">
        <v>0.075</v>
      </c>
    </row>
    <row r="373">
      <c r="A373" s="105" t="n">
        <v>44651</v>
      </c>
      <c r="B373" t="n">
        <v>48.1</v>
      </c>
      <c r="C373" t="n">
        <v>0.05</v>
      </c>
    </row>
    <row r="374">
      <c r="A374" s="105" t="n">
        <v>44680</v>
      </c>
      <c r="B374" t="n">
        <v>46</v>
      </c>
      <c r="C374" t="n">
        <v>-0.029</v>
      </c>
    </row>
    <row r="375">
      <c r="A375" s="105" t="n">
        <v>44712</v>
      </c>
      <c r="B375" t="n">
        <v>48.1</v>
      </c>
      <c r="C375" t="n">
        <v>0.006999999999999999</v>
      </c>
    </row>
    <row r="376">
      <c r="A376" s="105" t="n">
        <v>44742</v>
      </c>
      <c r="B376" t="n">
        <v>51.7</v>
      </c>
      <c r="C376" t="n">
        <v>0.039</v>
      </c>
    </row>
    <row r="377">
      <c r="A377" s="105" t="n">
        <v>44773</v>
      </c>
      <c r="B377" t="n">
        <v>50.4</v>
      </c>
      <c r="C377" t="n">
        <v>0.038</v>
      </c>
    </row>
    <row r="378">
      <c r="A378" s="105" t="n">
        <v>44804</v>
      </c>
      <c r="B378" t="n">
        <v>49.5</v>
      </c>
      <c r="C378" t="n">
        <v>0.042</v>
      </c>
    </row>
    <row r="379">
      <c r="A379" s="105" t="n">
        <v>44833</v>
      </c>
      <c r="B379" t="n">
        <v>48.1</v>
      </c>
      <c r="C379" t="n">
        <v>0.063</v>
      </c>
    </row>
    <row r="380">
      <c r="A380" s="105" t="n">
        <v>44834</v>
      </c>
      <c r="B380" t="n">
        <v>48.1</v>
      </c>
      <c r="C380" t="n">
        <v>0.063</v>
      </c>
    </row>
    <row r="381">
      <c r="A381" s="105" t="n">
        <v>44865</v>
      </c>
      <c r="B381" t="n">
        <v>49.2</v>
      </c>
      <c r="C381" t="n">
        <v>0.05</v>
      </c>
    </row>
    <row r="382">
      <c r="A382" s="105" t="n">
        <v>44895</v>
      </c>
      <c r="B382" t="n">
        <v>49.4</v>
      </c>
      <c r="C382" t="n">
        <v>0.022</v>
      </c>
    </row>
    <row r="383">
      <c r="A383" s="105" t="n">
        <v>44926</v>
      </c>
      <c r="B383" t="n">
        <v>49</v>
      </c>
      <c r="C383" t="n">
        <v>0.013</v>
      </c>
    </row>
    <row r="384">
      <c r="A384" s="105" t="n">
        <v>44957</v>
      </c>
      <c r="B384" t="n">
        <v>49.2</v>
      </c>
      <c r="C384" t="n">
        <v>0.024</v>
      </c>
    </row>
    <row r="385">
      <c r="A385" s="105" t="n">
        <v>44985</v>
      </c>
      <c r="B385" t="n">
        <v>51.6</v>
      </c>
      <c r="C385" t="n">
        <v>0.024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topLeftCell="A6" zoomScaleNormal="100" workbookViewId="0">
      <selection activeCell="H22" sqref="H22"/>
    </sheetView>
  </sheetViews>
  <sheetFormatPr baseColWidth="8" defaultColWidth="9.1796875" defaultRowHeight="14.5"/>
  <cols>
    <col width="9.1796875" customWidth="1" style="86" min="1" max="1"/>
    <col width="2.1796875" customWidth="1" style="86" min="2" max="2"/>
    <col width="27.36328125" customWidth="1" style="86" min="3" max="3"/>
    <col width="32.6328125" customWidth="1" style="101" min="4" max="6"/>
    <col width="9.1796875" customWidth="1" style="86" min="7" max="67"/>
    <col width="9.1796875" customWidth="1" style="86" min="68" max="16384"/>
  </cols>
  <sheetData>
    <row r="1">
      <c r="B1" s="100" t="inlineStr">
        <is>
          <t>https://www.theglobaleconomy.com/rankings/Capital_investment/</t>
        </is>
      </c>
    </row>
    <row r="2" ht="16" customHeight="1" thickBot="1">
      <c r="B2" s="88" t="n"/>
      <c r="C2" s="88" t="n"/>
      <c r="D2" s="88" t="n"/>
      <c r="E2" s="88" t="n"/>
      <c r="F2" s="88" t="n"/>
    </row>
    <row r="3" ht="16" customHeight="1" thickBot="1">
      <c r="B3" s="89" t="inlineStr">
        <is>
          <t>Global Industrial Production</t>
        </is>
      </c>
      <c r="C3" s="90" t="n"/>
      <c r="D3" s="90" t="n"/>
      <c r="E3" s="90" t="n"/>
      <c r="F3" s="91" t="n"/>
    </row>
    <row r="7" ht="20" customHeight="1">
      <c r="D7" s="65" t="inlineStr">
        <is>
          <t>% World GDP</t>
        </is>
      </c>
      <c r="E7" s="65" t="inlineStr">
        <is>
          <t>Investment as % of GDP</t>
        </is>
      </c>
      <c r="F7" s="65" t="inlineStr">
        <is>
          <t>Industrial Production yoy %</t>
        </is>
      </c>
    </row>
    <row r="8" ht="19" customHeight="1">
      <c r="C8" s="66" t="inlineStr">
        <is>
          <t>United States</t>
        </is>
      </c>
      <c r="D8" s="11">
        <f>VLOOKUP(C8,'Data World GDP'!A:D,2,FALSE)/$D$28</f>
        <v/>
      </c>
      <c r="E8" s="12">
        <f>VLOOKUP(C8,'Data World GDP'!A:D,3,FALSE)</f>
        <v/>
      </c>
      <c r="F8" s="12">
        <f>VLOOKUP(C8,'World Production data'!$A$2:$C$115,2,)</f>
        <v/>
      </c>
    </row>
    <row r="9" ht="19" customHeight="1">
      <c r="C9" s="66" t="inlineStr">
        <is>
          <t>Euro Area</t>
        </is>
      </c>
      <c r="D9" s="11">
        <f>VLOOKUP(C9,'Data World GDP'!A:D,2,FALSE)/$D$28</f>
        <v/>
      </c>
      <c r="E9" s="12">
        <f>VLOOKUP(C9,'Data World GDP'!A:D,3,FALSE)</f>
        <v/>
      </c>
      <c r="F9" s="12">
        <f>VLOOKUP(C9,'World Production data'!$A$2:$C$115,2,)</f>
        <v/>
      </c>
    </row>
    <row r="10" ht="19" customHeight="1">
      <c r="C10" s="66" t="inlineStr">
        <is>
          <t>China</t>
        </is>
      </c>
      <c r="D10" s="11">
        <f>VLOOKUP(C10,'Data World GDP'!A:D,2,FALSE)/$D$28</f>
        <v/>
      </c>
      <c r="E10" s="12">
        <f>VLOOKUP(C10,'Data World GDP'!A:D,3,FALSE)</f>
        <v/>
      </c>
      <c r="F10" s="12">
        <f>VLOOKUP(C10,'World Production data'!$A$2:$C$115,2,)</f>
        <v/>
      </c>
    </row>
    <row r="11" ht="19" customHeight="1">
      <c r="C11" s="66" t="inlineStr">
        <is>
          <t>Japan</t>
        </is>
      </c>
      <c r="D11" s="11">
        <f>VLOOKUP(C11,'Data World GDP'!A:D,2,FALSE)/$D$28</f>
        <v/>
      </c>
      <c r="E11" s="12">
        <f>VLOOKUP(C11,'Data World GDP'!A:D,3,FALSE)</f>
        <v/>
      </c>
      <c r="F11" s="12">
        <f>VLOOKUP(C11,'World Production data'!$A$2:$C$115,2,)</f>
        <v/>
      </c>
    </row>
    <row r="12" ht="19" customHeight="1">
      <c r="C12" s="66" t="inlineStr">
        <is>
          <t>Germany</t>
        </is>
      </c>
      <c r="D12" s="11">
        <f>VLOOKUP(C12,'Data World GDP'!A:D,2,FALSE)/$D$28</f>
        <v/>
      </c>
      <c r="E12" s="12">
        <f>VLOOKUP(C12,'Data World GDP'!A:D,3,FALSE)</f>
        <v/>
      </c>
      <c r="F12" s="12">
        <f>VLOOKUP(C12,'World Production data'!$A$2:$C$115,2,)</f>
        <v/>
      </c>
    </row>
    <row r="13" ht="19" customHeight="1">
      <c r="C13" s="66" t="inlineStr">
        <is>
          <t>United Kingdom</t>
        </is>
      </c>
      <c r="D13" s="11">
        <f>VLOOKUP(C13,'Data World GDP'!A:D,2,FALSE)/$D$28</f>
        <v/>
      </c>
      <c r="E13" s="12">
        <f>VLOOKUP(C13,'Data World GDP'!A:D,3,FALSE)</f>
        <v/>
      </c>
      <c r="F13" s="12">
        <f>VLOOKUP(C13,'World Production data'!$A$2:$C$115,2,)</f>
        <v/>
      </c>
    </row>
    <row r="14" ht="19" customHeight="1">
      <c r="C14" s="66" t="inlineStr">
        <is>
          <t>India</t>
        </is>
      </c>
      <c r="D14" s="11">
        <f>VLOOKUP(C14,'Data World GDP'!A:D,2,FALSE)/$D$28</f>
        <v/>
      </c>
      <c r="E14" s="12">
        <f>VLOOKUP(C14,'Data World GDP'!A:D,3,FALSE)</f>
        <v/>
      </c>
      <c r="F14" s="12">
        <f>VLOOKUP(C14,'World Production data'!$A$2:$C$115,2,)</f>
        <v/>
      </c>
    </row>
    <row r="15" ht="19" customHeight="1">
      <c r="C15" s="66" t="inlineStr">
        <is>
          <t>France</t>
        </is>
      </c>
      <c r="D15" s="11">
        <f>VLOOKUP(C15,'Data World GDP'!A:D,2,FALSE)/$D$28</f>
        <v/>
      </c>
      <c r="E15" s="12">
        <f>VLOOKUP(C15,'Data World GDP'!A:D,3,FALSE)</f>
        <v/>
      </c>
      <c r="F15" s="12">
        <f>VLOOKUP(C15,'World Production data'!$A$2:$C$115,2,)</f>
        <v/>
      </c>
    </row>
    <row r="16" ht="19" customHeight="1">
      <c r="C16" s="66" t="inlineStr">
        <is>
          <t>Brazil</t>
        </is>
      </c>
      <c r="D16" s="11">
        <f>VLOOKUP(C16,'Data World GDP'!A:D,2,FALSE)/$D$28</f>
        <v/>
      </c>
      <c r="E16" s="12">
        <f>VLOOKUP(C16,'Data World GDP'!A:D,3,FALSE)</f>
        <v/>
      </c>
      <c r="F16" s="12">
        <f>VLOOKUP(C16,'World Production data'!$A$2:$C$115,2,)</f>
        <v/>
      </c>
    </row>
    <row r="17" ht="19" customHeight="1">
      <c r="C17" s="66" t="inlineStr">
        <is>
          <t>Italy</t>
        </is>
      </c>
      <c r="D17" s="11">
        <f>VLOOKUP(C17,'Data World GDP'!A:D,2,FALSE)/$D$28</f>
        <v/>
      </c>
      <c r="E17" s="12">
        <f>VLOOKUP(C17,'Data World GDP'!A:D,3,FALSE)</f>
        <v/>
      </c>
      <c r="F17" s="12">
        <f>VLOOKUP(C17,'World Production data'!$A$2:$C$115,2,)</f>
        <v/>
      </c>
    </row>
    <row r="18" ht="19" customHeight="1">
      <c r="C18" s="66" t="inlineStr">
        <is>
          <t>Canada</t>
        </is>
      </c>
      <c r="D18" s="11">
        <f>VLOOKUP(C18,'Data World GDP'!A:D,2,FALSE)/$D$28</f>
        <v/>
      </c>
      <c r="E18" s="12">
        <f>VLOOKUP(C18,'Data World GDP'!A:D,3,FALSE)</f>
        <v/>
      </c>
      <c r="F18" s="12">
        <f>VLOOKUP(C18,'World Production data'!$A$2:$C$115,2,)</f>
        <v/>
      </c>
    </row>
    <row r="19" ht="19" customHeight="1">
      <c r="C19" s="66" t="inlineStr">
        <is>
          <t>Russia</t>
        </is>
      </c>
      <c r="D19" s="11">
        <f>VLOOKUP(C19,'Data World GDP'!A:D,2,FALSE)/$D$28</f>
        <v/>
      </c>
      <c r="E19" s="12">
        <f>VLOOKUP(C19,'Data World GDP'!A:D,3,FALSE)</f>
        <v/>
      </c>
      <c r="F19" s="12">
        <f>VLOOKUP(C19,'World Production data'!$A$2:$C$115,2,)</f>
        <v/>
      </c>
    </row>
    <row r="20" ht="19" customHeight="1">
      <c r="C20" s="66" t="inlineStr">
        <is>
          <t>South Korea</t>
        </is>
      </c>
      <c r="D20" s="11">
        <f>VLOOKUP(C20,'Data World GDP'!A:D,2,FALSE)/$D$28</f>
        <v/>
      </c>
      <c r="E20" s="12">
        <f>VLOOKUP(C20,'Data World GDP'!A:D,3,FALSE)</f>
        <v/>
      </c>
      <c r="F20" s="12">
        <f>VLOOKUP(C20,'World Production data'!$A$2:$C$115,2,)</f>
        <v/>
      </c>
    </row>
    <row r="21" ht="19" customHeight="1">
      <c r="C21" s="66" t="inlineStr">
        <is>
          <t>Australia</t>
        </is>
      </c>
      <c r="D21" s="11">
        <f>VLOOKUP(C21,'Data World GDP'!A:D,2,FALSE)/$D$28</f>
        <v/>
      </c>
      <c r="E21" s="12">
        <f>VLOOKUP(C21,'Data World GDP'!A:D,3,FALSE)</f>
        <v/>
      </c>
      <c r="F21" s="12">
        <f>VLOOKUP(C21,'World Production data'!$A$2:$C$115,2,)</f>
        <v/>
      </c>
    </row>
    <row r="22" ht="19" customHeight="1">
      <c r="C22" s="66" t="inlineStr">
        <is>
          <t>Spain</t>
        </is>
      </c>
      <c r="D22" s="11">
        <f>VLOOKUP(C22,'Data World GDP'!A:D,2,FALSE)/$D$28</f>
        <v/>
      </c>
      <c r="E22" s="12">
        <f>VLOOKUP(C22,'Data World GDP'!A:D,3,FALSE)</f>
        <v/>
      </c>
      <c r="F22" s="12">
        <f>VLOOKUP(C22,'World Production data'!$A$2:$C$115,2,)</f>
        <v/>
      </c>
    </row>
    <row r="23" ht="19" customHeight="1">
      <c r="C23" s="66" t="inlineStr">
        <is>
          <t>Mexico</t>
        </is>
      </c>
      <c r="D23" s="11">
        <f>VLOOKUP(C23,'Data World GDP'!A:D,2,FALSE)/$D$28</f>
        <v/>
      </c>
      <c r="E23" s="12">
        <f>VLOOKUP(C23,'Data World GDP'!A:D,3,FALSE)</f>
        <v/>
      </c>
      <c r="F23" s="12">
        <f>VLOOKUP(C23,'World Production data'!$A$2:$C$115,2,)</f>
        <v/>
      </c>
    </row>
    <row r="24" ht="19" customHeight="1">
      <c r="C24" s="66" t="inlineStr">
        <is>
          <t>Indonesia</t>
        </is>
      </c>
      <c r="D24" s="11">
        <f>VLOOKUP(C24,'Data World GDP'!A:D,2,FALSE)/$D$28</f>
        <v/>
      </c>
      <c r="E24" s="12">
        <f>VLOOKUP(C24,'Data World GDP'!A:D,3,FALSE)</f>
        <v/>
      </c>
      <c r="F24" s="12">
        <f>VLOOKUP(C24,'World Production data'!$A$2:$C$115,2,)</f>
        <v/>
      </c>
    </row>
    <row r="25" ht="19" customHeight="1">
      <c r="C25" s="66" t="inlineStr">
        <is>
          <t>Turkey</t>
        </is>
      </c>
      <c r="D25" s="11">
        <f>VLOOKUP(C25,'Data World GDP'!A:D,2,FALSE)/$D$28</f>
        <v/>
      </c>
      <c r="E25" s="12">
        <f>VLOOKUP(C25,'Data World GDP'!A:D,3,FALSE)</f>
        <v/>
      </c>
      <c r="F25" s="12">
        <f>VLOOKUP(C25,'World Production data'!$A$2:$C$115,2,)</f>
        <v/>
      </c>
    </row>
    <row r="26" ht="19" customHeight="1">
      <c r="C26" s="66" t="inlineStr">
        <is>
          <t>Netherlands</t>
        </is>
      </c>
      <c r="D26" s="11">
        <f>VLOOKUP(C26,'Data World GDP'!A:D,2,FALSE)/$D$28</f>
        <v/>
      </c>
      <c r="E26" s="12">
        <f>VLOOKUP(C26,'Data World GDP'!A:D,3,FALSE)</f>
        <v/>
      </c>
      <c r="F26" s="12">
        <f>VLOOKUP(C26,'World Production data'!$A$2:$C$115,2,)</f>
        <v/>
      </c>
    </row>
    <row r="28">
      <c r="C28" s="63" t="inlineStr">
        <is>
          <t>World GDP</t>
        </is>
      </c>
      <c r="D28" s="103">
        <f>SUM('Data World GDP'!B2:B178)</f>
        <v/>
      </c>
      <c r="E28" s="69" t="n"/>
      <c r="F28" s="69" t="n"/>
    </row>
    <row r="29">
      <c r="C29" s="63" t="inlineStr">
        <is>
          <t>Euro GDP</t>
        </is>
      </c>
      <c r="D29" s="86">
        <f>D28-VLOOKUP("Euro Area",'Data World GDP'!$A:$D,2,)</f>
        <v/>
      </c>
    </row>
    <row r="30">
      <c r="C30" s="102" t="n"/>
      <c r="D30" s="103" t="n"/>
      <c r="E30" s="101" t="n"/>
      <c r="F30" s="101" t="n"/>
      <c r="G30" s="86" t="n"/>
      <c r="H30" s="86" t="n"/>
      <c r="I30" s="86" t="n"/>
      <c r="J30" s="86" t="n"/>
      <c r="K30" s="86" t="n"/>
      <c r="L30" s="86" t="n"/>
      <c r="M30" s="86" t="n"/>
    </row>
    <row r="31"/>
    <row r="92">
      <c r="F92" s="70" t="n"/>
    </row>
    <row r="94">
      <c r="F94" s="71" t="n"/>
    </row>
    <row r="96">
      <c r="F96" s="71" t="n"/>
    </row>
    <row r="97">
      <c r="F97" s="71" t="n"/>
      <c r="G97" s="71" t="n"/>
      <c r="J97" s="71" t="n"/>
      <c r="K97" s="71" t="n"/>
      <c r="L97" s="71" t="n"/>
    </row>
    <row r="101">
      <c r="F101" s="70" t="n"/>
    </row>
    <row r="103">
      <c r="F103" s="71" t="n"/>
    </row>
    <row r="104">
      <c r="F104" s="71" t="n"/>
    </row>
    <row r="108">
      <c r="F108" s="71" t="n"/>
      <c r="G108" s="71" t="n"/>
    </row>
    <row r="111">
      <c r="F111" s="70" t="n"/>
    </row>
    <row r="112">
      <c r="F112" s="71" t="n"/>
    </row>
    <row r="113">
      <c r="F113" s="71" t="n"/>
    </row>
    <row r="120">
      <c r="F120" s="71" t="n"/>
    </row>
    <row r="123">
      <c r="F123" s="71" t="n"/>
      <c r="G123" s="71" t="n"/>
    </row>
    <row r="124">
      <c r="F124" s="71" t="n"/>
    </row>
    <row r="126">
      <c r="F126" s="70" t="n"/>
    </row>
    <row r="132">
      <c r="F132" s="71" t="n"/>
    </row>
    <row r="134">
      <c r="F134" s="71" t="n"/>
    </row>
    <row r="139">
      <c r="F139" s="71" t="n"/>
    </row>
    <row r="141">
      <c r="F141" s="71" t="n"/>
    </row>
    <row r="144">
      <c r="F144" s="71" t="n"/>
    </row>
    <row r="145">
      <c r="F145" s="70" t="n"/>
    </row>
    <row r="147">
      <c r="F147" s="70" t="n"/>
    </row>
    <row r="148">
      <c r="F148" s="71" t="n"/>
    </row>
    <row r="149">
      <c r="F149" s="71" t="n"/>
    </row>
    <row r="150">
      <c r="F150" s="71" t="n"/>
    </row>
    <row r="151">
      <c r="F151" s="71" t="n"/>
    </row>
    <row r="152">
      <c r="F152" s="71" t="n"/>
      <c r="K152" s="71" t="n"/>
    </row>
    <row r="153">
      <c r="F153" s="71" t="n"/>
    </row>
    <row r="155">
      <c r="F155" s="71" t="n"/>
    </row>
    <row r="156">
      <c r="F156" s="71" t="n"/>
    </row>
    <row r="157">
      <c r="F157" s="71" t="n"/>
    </row>
    <row r="159">
      <c r="F159" s="71" t="n"/>
      <c r="G159" s="71" t="n"/>
    </row>
    <row r="162">
      <c r="F162" s="71" t="n"/>
    </row>
    <row r="167">
      <c r="F167" s="71" t="n"/>
      <c r="G167" s="70" t="n"/>
    </row>
    <row r="169">
      <c r="F169" s="71" t="n"/>
    </row>
    <row r="170">
      <c r="F170" s="71" t="n"/>
    </row>
    <row r="176">
      <c r="F176" s="71" t="n"/>
    </row>
    <row r="177">
      <c r="F177" s="71" t="n"/>
    </row>
    <row r="178">
      <c r="F178" s="71" t="n"/>
    </row>
    <row r="179">
      <c r="F179" s="71" t="n"/>
    </row>
    <row r="181">
      <c r="E181" s="70" t="n"/>
      <c r="F181" s="71" t="n"/>
      <c r="J181" s="71" t="n"/>
      <c r="K181" s="71" t="n"/>
      <c r="L181" s="71" t="n"/>
    </row>
    <row r="182">
      <c r="F182" s="71" t="n"/>
    </row>
    <row r="183">
      <c r="F183" s="71" t="n"/>
    </row>
    <row r="184">
      <c r="F184" s="71" t="n"/>
      <c r="G184" s="71" t="n"/>
      <c r="K184" s="70" t="n"/>
    </row>
    <row r="185">
      <c r="F185" s="71" t="n"/>
    </row>
    <row r="186">
      <c r="F186" s="71" t="n"/>
    </row>
    <row r="187">
      <c r="F187" s="71" t="n"/>
      <c r="G187" s="71" t="n"/>
      <c r="H187" s="71" t="n"/>
      <c r="I187" s="71" t="n"/>
      <c r="J187" s="71" t="n"/>
      <c r="K187" s="71" t="n"/>
      <c r="L187" s="71" t="n"/>
    </row>
    <row r="188">
      <c r="F188" s="71" t="n"/>
      <c r="G188" s="71" t="n"/>
      <c r="I188" s="70" t="n"/>
      <c r="J188" s="71" t="n"/>
      <c r="K188" s="71" t="n"/>
      <c r="L188" s="71" t="n"/>
    </row>
    <row r="189">
      <c r="F189" s="71" t="n"/>
      <c r="G189" s="71" t="n"/>
    </row>
    <row r="190">
      <c r="F190" s="71" t="n"/>
      <c r="G190" s="71" t="n"/>
    </row>
    <row r="191">
      <c r="F191" s="71" t="n"/>
      <c r="J191" s="70" t="n"/>
      <c r="K191" s="70" t="n"/>
    </row>
    <row r="192">
      <c r="F192" s="71" t="n"/>
      <c r="G192" s="71" t="n"/>
    </row>
    <row r="193">
      <c r="F193" s="71" t="n"/>
      <c r="G193" s="71" t="n"/>
      <c r="I193" s="71" t="n"/>
      <c r="J193" s="71" t="n"/>
      <c r="K193" s="71" t="n"/>
      <c r="L193" s="71" t="n"/>
    </row>
    <row r="194">
      <c r="F194" s="71" t="n"/>
    </row>
    <row r="195">
      <c r="F195" s="71" t="n"/>
    </row>
    <row r="196">
      <c r="F196" s="71" t="n"/>
    </row>
    <row r="197">
      <c r="F197" s="71" t="n"/>
    </row>
    <row r="198">
      <c r="F198" s="71" t="n"/>
    </row>
    <row r="199">
      <c r="F199" s="71" t="n"/>
    </row>
    <row r="200">
      <c r="F200" s="71" t="n"/>
    </row>
    <row r="201">
      <c r="F201" s="71" t="n"/>
    </row>
    <row r="202">
      <c r="F202" s="71" t="n"/>
    </row>
    <row r="203">
      <c r="F203" s="70" t="n"/>
    </row>
    <row r="204">
      <c r="F204" s="71" t="n"/>
    </row>
    <row r="205">
      <c r="F205" s="71" t="n"/>
    </row>
    <row r="206">
      <c r="F206" s="71" t="n"/>
      <c r="G206" s="71" t="n"/>
      <c r="K206" s="71" t="n"/>
    </row>
    <row r="207">
      <c r="F207" s="71" t="n"/>
    </row>
    <row r="208">
      <c r="F208" s="71" t="n"/>
    </row>
    <row r="209">
      <c r="F209" s="71" t="n"/>
    </row>
    <row r="211">
      <c r="F211" s="71" t="n"/>
      <c r="G211" s="70" t="n"/>
      <c r="J211" s="71" t="n"/>
      <c r="K211" s="71" t="n"/>
      <c r="L211" s="71" t="n"/>
    </row>
    <row r="212">
      <c r="F212" s="71" t="n"/>
    </row>
    <row r="213">
      <c r="E213" s="69" t="n"/>
      <c r="F213" s="69" t="n"/>
    </row>
    <row r="214">
      <c r="E214" s="69" t="n"/>
      <c r="F214" s="69" t="n"/>
    </row>
    <row r="215">
      <c r="E215" s="69" t="n"/>
      <c r="F215" s="69" t="n"/>
    </row>
    <row r="216">
      <c r="E216" s="69" t="n"/>
      <c r="F216" s="69" t="n"/>
    </row>
    <row r="217">
      <c r="E217" s="69" t="n"/>
      <c r="F217" s="69" t="n"/>
    </row>
    <row r="218">
      <c r="E218" s="69" t="n"/>
      <c r="F218" s="69" t="n"/>
    </row>
    <row r="219">
      <c r="E219" s="69" t="n"/>
      <c r="F219" s="69" t="n"/>
    </row>
    <row r="220">
      <c r="E220" s="69" t="n"/>
      <c r="F220" s="69" t="n"/>
    </row>
    <row r="221">
      <c r="E221" s="69" t="n"/>
      <c r="F221" s="69" t="n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20"/>
  <sheetViews>
    <sheetView zoomScale="110" zoomScaleNormal="110" workbookViewId="0">
      <pane xSplit="2" ySplit="9" topLeftCell="D407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AA415" sqref="AA415"/>
    </sheetView>
  </sheetViews>
  <sheetFormatPr baseColWidth="8" defaultColWidth="8.81640625" defaultRowHeight="14.5"/>
  <cols>
    <col width="10.6328125" bestFit="1" customWidth="1" style="86" min="1" max="1"/>
    <col width="13.6328125" customWidth="1" min="2" max="2"/>
    <col width="7.1796875" customWidth="1" min="3" max="3"/>
    <col width="7" customWidth="1" min="4" max="4"/>
    <col width="6.1796875" customWidth="1" min="5" max="6"/>
    <col width="6.81640625" bestFit="1" customWidth="1" min="7" max="11"/>
    <col hidden="1" width="6.36328125" customWidth="1" min="12" max="13"/>
    <col width="8.1796875" customWidth="1" min="14" max="14"/>
    <col width="7.6328125" customWidth="1" min="15" max="15"/>
    <col width="6.1796875" customWidth="1" min="16" max="16"/>
    <col width="7" customWidth="1" min="17" max="17"/>
    <col width="6.1796875" customWidth="1" min="18" max="20"/>
    <col width="6.6328125" customWidth="1" min="21" max="21"/>
    <col width="6.1796875" customWidth="1" min="22" max="22"/>
    <col width="6.1796875" customWidth="1" style="86" min="23" max="23"/>
    <col width="15.36328125" customWidth="1" style="86" min="24" max="25"/>
    <col width="10.6328125" bestFit="1" customWidth="1" style="86" min="26" max="26"/>
    <col width="9.1796875" customWidth="1" style="86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6" thickBot="1">
      <c r="Y2" s="86" t="inlineStr">
        <is>
          <t>Last month</t>
        </is>
      </c>
      <c r="Z2" s="14" t="n">
        <v>44896</v>
      </c>
    </row>
    <row r="3" ht="75.75" customHeight="1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MAX(OFFSET(C$24,COUNT(C$24:C$435),0,-13,1))</f>
        <v/>
      </c>
      <c r="D4" s="3">
        <f>MAX(OFFSET(D$24,COUNT(D$24:D$435),0,-13,1))</f>
        <v/>
      </c>
      <c r="E4" s="3">
        <f>MAX(OFFSET(E$24,COUNT(E$24:E$435),0,-13,1))</f>
        <v/>
      </c>
      <c r="F4" s="3">
        <f>MAX(OFFSET(F$24,COUNT(F$24:F$435),0,-13,1))</f>
        <v/>
      </c>
      <c r="G4" s="3">
        <f>MAX(OFFSET(G$24,COUNT(G$24:G$435),0,-13,1))</f>
        <v/>
      </c>
      <c r="H4" s="3">
        <f>MAX(OFFSET(H$24,COUNT(H$24:H$435),0,-13,1))</f>
        <v/>
      </c>
      <c r="I4" s="3">
        <f>MAX(OFFSET(I$24,COUNT(I$24:I$435),0,-13,1))</f>
        <v/>
      </c>
      <c r="J4" s="3">
        <f>MAX(OFFSET(J$24,COUNT(J$24:J$435),0,-13,1))</f>
        <v/>
      </c>
      <c r="K4" s="3">
        <f>MAX(OFFSET(K$24,COUNT(K$24:K$435),0,-13,1))</f>
        <v/>
      </c>
      <c r="L4" s="3">
        <f>MAX(OFFSET(L$24,COUNT(L$24:L$435),0,-13,1))</f>
        <v/>
      </c>
      <c r="M4" s="3">
        <f>MAX(OFFSET(M$24,COUNT(M$24:M$435),0,-13,1))</f>
        <v/>
      </c>
      <c r="N4" s="3">
        <f>MAX(OFFSET(N$24,COUNT(N$24:N$435),0,-13,1))</f>
        <v/>
      </c>
      <c r="O4" s="3">
        <f>MAX(OFFSET(O$24,COUNT(O$24:O$435),0,-13,1))</f>
        <v/>
      </c>
      <c r="P4" s="3">
        <f>MAX(OFFSET(P$24,COUNT(P$24:P$435),0,-13,1))</f>
        <v/>
      </c>
      <c r="Q4" s="3">
        <f>MAX(OFFSET(Q$24,COUNT(Q$24:Q$435),0,-13,1))</f>
        <v/>
      </c>
      <c r="R4" s="3">
        <f>MAX(OFFSET(R$24,COUNT(R$24:R$435),0,-13,1))</f>
        <v/>
      </c>
      <c r="S4" s="3">
        <f>MAX(OFFSET(S$24,COUNT(S$24:S$435),0,-13,1))</f>
        <v/>
      </c>
      <c r="T4" s="3">
        <f>MAX(OFFSET(T$24,COUNT(T$24:T$435),0,-13,1))</f>
        <v/>
      </c>
      <c r="U4" s="3">
        <f>MAX(OFFSET(U$24,COUNT(U$24:U$435),0,-13,1))</f>
        <v/>
      </c>
      <c r="V4" s="3">
        <f>MAX(OFFSET(V$24,COUNT(V$24:V$435),0,-13,1))</f>
        <v/>
      </c>
      <c r="Z4" s="16">
        <f>EDATE(Z2,-12)</f>
        <v/>
      </c>
    </row>
    <row r="5">
      <c r="B5" s="55" t="inlineStr">
        <is>
          <t>min 1y</t>
        </is>
      </c>
      <c r="C5" s="3">
        <f>MIN(OFFSET(C$24,COUNT(C$24:C$435),0,-13,1))</f>
        <v/>
      </c>
      <c r="D5" s="3">
        <f>MIN(OFFSET(D$24,COUNT(D$24:D$435),0,-13,1))</f>
        <v/>
      </c>
      <c r="E5" s="3">
        <f>MIN(OFFSET(E$24,COUNT(E$24:E$435),0,-13,1))</f>
        <v/>
      </c>
      <c r="F5" s="3">
        <f>MIN(OFFSET(F$24,COUNT(F$24:F$435),0,-13,1))</f>
        <v/>
      </c>
      <c r="G5" s="3">
        <f>MIN(OFFSET(G$24,COUNT(G$24:G$435),0,-13,1))</f>
        <v/>
      </c>
      <c r="H5" s="3">
        <f>MIN(OFFSET(H$24,COUNT(H$24:H$435),0,-13,1))</f>
        <v/>
      </c>
      <c r="I5" s="3">
        <f>MIN(OFFSET(I$24,COUNT(I$24:I$435),0,-13,1))</f>
        <v/>
      </c>
      <c r="J5" s="3">
        <f>MIN(OFFSET(J$24,COUNT(J$24:J$435),0,-13,1))</f>
        <v/>
      </c>
      <c r="K5" s="3">
        <f>MIN(OFFSET(K$24,COUNT(K$24:K$435),0,-13,1))</f>
        <v/>
      </c>
      <c r="L5" s="3">
        <f>MIN(OFFSET(L$24,COUNT(L$24:L$435),0,-13,1))</f>
        <v/>
      </c>
      <c r="M5" s="3">
        <f>MIN(OFFSET(M$24,COUNT(M$24:M$435),0,-13,1))</f>
        <v/>
      </c>
      <c r="N5" s="3">
        <f>MIN(OFFSET(N$24,COUNT(N$24:N$435),0,-13,1))</f>
        <v/>
      </c>
      <c r="O5" s="3">
        <f>MIN(OFFSET(O$24,COUNT(O$24:O$435),0,-13,1))</f>
        <v/>
      </c>
      <c r="P5" s="3">
        <f>MIN(OFFSET(P$24,COUNT(P$24:P$435),0,-13,1))</f>
        <v/>
      </c>
      <c r="Q5" s="3">
        <f>MIN(OFFSET(Q$24,COUNT(Q$24:Q$435),0,-13,1))</f>
        <v/>
      </c>
      <c r="R5" s="3">
        <f>MIN(OFFSET(R$24,COUNT(R$24:R$435),0,-13,1))</f>
        <v/>
      </c>
      <c r="S5" s="3">
        <f>MIN(OFFSET(S$24,COUNT(S$24:S$435),0,-13,1))</f>
        <v/>
      </c>
      <c r="T5" s="3">
        <f>MIN(OFFSET(T$24,COUNT(T$24:T$435),0,-13,1))</f>
        <v/>
      </c>
      <c r="U5" s="3">
        <f>MIN(OFFSET(U$24,COUNT(U$24:U$435),0,-13,1))</f>
        <v/>
      </c>
      <c r="V5" s="3">
        <f>MIN(OFFSET(V$24,COUNT(V$24:V$435),0,-13,1))</f>
        <v/>
      </c>
    </row>
    <row r="6">
      <c r="B6" s="55" t="inlineStr">
        <is>
          <t>1y avg</t>
        </is>
      </c>
      <c r="C6" s="3">
        <f>AVERAGE(OFFSET(C$24,COUNT(C$24:C$435),0,-13,1))</f>
        <v/>
      </c>
      <c r="D6" s="3">
        <f>AVERAGE(OFFSET(D$24,COUNT(D$24:D$435),0,-13,1))</f>
        <v/>
      </c>
      <c r="E6" s="3">
        <f>AVERAGE(OFFSET(E$24,COUNT(E$24:E$435),0,-13,1))</f>
        <v/>
      </c>
      <c r="F6" s="3">
        <f>AVERAGE(OFFSET(F$24,COUNT(F$24:F$435),0,-13,1))</f>
        <v/>
      </c>
      <c r="G6" s="3">
        <f>AVERAGE(OFFSET(G$24,COUNT(G$24:G$435),0,-13,1))</f>
        <v/>
      </c>
      <c r="H6" s="3">
        <f>AVERAGE(OFFSET(H$24,COUNT(H$24:H$435),0,-13,1))</f>
        <v/>
      </c>
      <c r="I6" s="3">
        <f>AVERAGE(OFFSET(I$24,COUNT(I$24:I$435),0,-13,1))</f>
        <v/>
      </c>
      <c r="J6" s="3">
        <f>AVERAGE(OFFSET(J$24,COUNT(J$24:J$435),0,-13,1))</f>
        <v/>
      </c>
      <c r="K6" s="3">
        <f>AVERAGE(OFFSET(K$24,COUNT(K$24:K$435),0,-13,1))</f>
        <v/>
      </c>
      <c r="L6" s="3">
        <f>AVERAGE(OFFSET(L$24,COUNT(L$24:L$435),0,-13,1))</f>
        <v/>
      </c>
      <c r="M6" s="3">
        <f>AVERAGE(OFFSET(M$24,COUNT(M$24:M$435),0,-13,1))</f>
        <v/>
      </c>
      <c r="N6" s="3">
        <f>AVERAGE(OFFSET(N$24,COUNT(N$24:N$435),0,-13,1))</f>
        <v/>
      </c>
      <c r="O6" s="3">
        <f>AVERAGE(OFFSET(O$24,COUNT(O$24:O$435),0,-13,1))</f>
        <v/>
      </c>
      <c r="P6" s="3">
        <f>AVERAGE(OFFSET(P$24,COUNT(P$24:P$435),0,-13,1))</f>
        <v/>
      </c>
      <c r="Q6" s="3">
        <f>AVERAGE(OFFSET(Q$24,COUNT(Q$24:Q$435),0,-13,1))</f>
        <v/>
      </c>
      <c r="R6" s="3">
        <f>AVERAGE(OFFSET(R$24,COUNT(R$24:R$435),0,-13,1))</f>
        <v/>
      </c>
      <c r="S6" s="3">
        <f>AVERAGE(OFFSET(S$24,COUNT(S$24:S$435),0,-13,1))</f>
        <v/>
      </c>
      <c r="T6" s="3">
        <f>AVERAGE(OFFSET(T$24,COUNT(T$24:T$435),0,-13,1))</f>
        <v/>
      </c>
      <c r="U6" s="3">
        <f>AVERAGE(OFFSET(U$24,COUNT(U$24:U$435),0,-13,1))</f>
        <v/>
      </c>
      <c r="V6" s="3">
        <f>AVERAGE(OFFSET(V$24,COUNT(V$24:V$435),0,-13,1))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6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7">
        <f>VLOOKUP($Z$2,$B:$V,MATCH(V3,$B$3:$V$3,),)-VLOOKUP($Z$4,$B:$V,MATCH(V3,$B$3:$V$3,),)</f>
        <v/>
      </c>
    </row>
    <row r="9" ht="16" customHeight="1" thickBot="1">
      <c r="B9" s="58" t="inlineStr">
        <is>
          <t>M/M</t>
        </is>
      </c>
      <c r="C9" s="59">
        <f>VLOOKUP($Z$2,$B:$V,MATCH(C3,$B$3:$V$3,),)-VLOOKUP($Z$3,$B:$V,MATCH(C3,$B$3:$V$3,),)</f>
        <v/>
      </c>
      <c r="D9" s="59">
        <f>VLOOKUP($Z$2,$B:$V,MATCH(D3,$B$3:$V$3,),)-VLOOKUP($Z$3,$B:$V,MATCH(D3,$B$3:$V$3,),)</f>
        <v/>
      </c>
      <c r="E9" s="59">
        <f>VLOOKUP($Z$2,$B:$V,MATCH(E3,$B$3:$V$3,),)-VLOOKUP($Z$3,$B:$V,MATCH(E3,$B$3:$V$3,),)</f>
        <v/>
      </c>
      <c r="F9" s="59">
        <f>VLOOKUP($Z$2,$B:$V,MATCH(F3,$B$3:$V$3,),)-VLOOKUP($Z$3,$B:$V,MATCH(F3,$B$3:$V$3,),)</f>
        <v/>
      </c>
      <c r="G9" s="59">
        <f>VLOOKUP($Z$2,$B:$V,MATCH(G3,$B$3:$V$3,),)-VLOOKUP($Z$3,$B:$V,MATCH(G3,$B$3:$V$3,),)</f>
        <v/>
      </c>
      <c r="H9" s="59">
        <f>VLOOKUP($Z$2,$B:$V,MATCH(H3,$B$3:$V$3,),)-VLOOKUP($Z$3,$B:$V,MATCH(H3,$B$3:$V$3,),)</f>
        <v/>
      </c>
      <c r="I9" s="59">
        <f>VLOOKUP($Z$2,$B:$V,MATCH(I3,$B$3:$V$3,),)-VLOOKUP($Z$3,$B:$V,MATCH(I3,$B$3:$V$3,),)</f>
        <v/>
      </c>
      <c r="J9" s="59">
        <f>VLOOKUP($Z$2,$B:$V,MATCH(J3,$B$3:$V$3,),)-VLOOKUP($Z$3,$B:$V,MATCH(J3,$B$3:$V$3,),)</f>
        <v/>
      </c>
      <c r="K9" s="59">
        <f>VLOOKUP($Z$2,$B:$V,MATCH(K3,$B$3:$V$3,),)-VLOOKUP($Z$3,$B:$V,MATCH(K3,$B$3:$V$3,),)</f>
        <v/>
      </c>
      <c r="L9" s="59">
        <f>VLOOKUP($Z$2,$B:$V,MATCH(L3,$B$3:$V$3,),)-VLOOKUP($Z$3,$B:$V,MATCH(L3,$B$3:$V$3,),)</f>
        <v/>
      </c>
      <c r="M9" s="59">
        <f>VLOOKUP($Z$2,$B:$V,MATCH(M3,$B$3:$V$3,),)-VLOOKUP($Z$3,$B:$V,MATCH(M3,$B$3:$V$3,),)</f>
        <v/>
      </c>
      <c r="N9" s="59">
        <f>VLOOKUP($Z$2,$B:$V,MATCH(N3,$B$3:$V$3,),)-VLOOKUP($Z$3,$B:$V,MATCH(N3,$B$3:$V$3,),)</f>
        <v/>
      </c>
      <c r="O9" s="59">
        <f>VLOOKUP($Z$2,$B:$V,MATCH(O3,$B$3:$V$3,),)-VLOOKUP($Z$3,$B:$V,MATCH(O3,$B$3:$V$3,),)</f>
        <v/>
      </c>
      <c r="P9" s="59">
        <f>VLOOKUP($Z$2,$B:$V,MATCH(P3,$B$3:$V$3,),)-VLOOKUP($Z$3,$B:$V,MATCH(P3,$B$3:$V$3,),)</f>
        <v/>
      </c>
      <c r="Q9" s="59">
        <f>VLOOKUP($Z$2,$B:$V,MATCH(Q3,$B$3:$V$3,),)-VLOOKUP($Z$3,$B:$V,MATCH(Q3,$B$3:$V$3,),)</f>
        <v/>
      </c>
      <c r="R9" s="59">
        <f>VLOOKUP($Z$2,$B:$V,MATCH(R3,$B$3:$V$3,),)-VLOOKUP($Z$3,$B:$V,MATCH(R3,$B$3:$V$3,),)</f>
        <v/>
      </c>
      <c r="S9" s="59">
        <f>VLOOKUP($Z$2,$B:$V,MATCH(S3,$B$3:$V$3,),)-VLOOKUP($Z$3,$B:$V,MATCH(S3,$B$3:$V$3,),)</f>
        <v/>
      </c>
      <c r="T9" s="59">
        <f>VLOOKUP($Z$2,$B:$V,MATCH(T3,$B$3:$V$3,),)-VLOOKUP($Z$3,$B:$V,MATCH(T3,$B$3:$V$3,),)</f>
        <v/>
      </c>
      <c r="U9" s="59">
        <f>VLOOKUP($Z$2,$B:$V,MATCH(U3,$B$3:$V$3,),)-VLOOKUP($Z$3,$B:$V,MATCH(U3,$B$3:$V$3,),)</f>
        <v/>
      </c>
      <c r="V9" s="60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6">
      <c r="A24" s="43" t="n"/>
      <c r="B24" s="75" t="n">
        <v>32874</v>
      </c>
      <c r="C24" s="13">
        <f>IF(VLOOKUP(B24,Database!$A:$AU,MATCH($C$1,Database!$A$1:$AU$1,),)=0,"#N/A",((((VLOOKUP(B24,Database!$A:$AU,MATCH($C$1,Database!$A$1:$AU$1,),))))-(((VLOOKUP(EDATE(B24,-12),Database!$A:$AU,MATCH($C$1,Database!$A$1:$AU$1,),)))))/(((VLOOKUP(EDATE(B24,-12),Database!$A:$AU,MATCH($C$1,Database!$A$1:$AU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6">
      <c r="A25" s="43" t="n"/>
      <c r="B25" s="75" t="n">
        <v>32905</v>
      </c>
      <c r="C25" s="13">
        <f>IF(VLOOKUP(B25,Database!$A:$AU,MATCH($C$1,Database!$A$1:$AU$1,),)=0,"#N/A",((((VLOOKUP(B25,Database!$A:$AU,MATCH($C$1,Database!$A$1:$AU$1,),))))-(((VLOOKUP(EDATE(B25,-12),Database!$A:$AU,MATCH($C$1,Database!$A$1:$AU$1,),)))))/(((VLOOKUP(EDATE(B25,-12),Database!$A:$AU,MATCH($C$1,Database!$A$1:$AU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6">
      <c r="A26" s="43" t="n"/>
      <c r="B26" s="75" t="n">
        <v>32933</v>
      </c>
      <c r="C26" s="13">
        <f>IF(VLOOKUP(B26,Database!$A:$AU,MATCH($C$1,Database!$A$1:$AU$1,),)=0,"#N/A",((((VLOOKUP(B26,Database!$A:$AU,MATCH($C$1,Database!$A$1:$AU$1,),))))-(((VLOOKUP(EDATE(B26,-12),Database!$A:$AU,MATCH($C$1,Database!$A$1:$AU$1,),)))))/(((VLOOKUP(EDATE(B26,-12),Database!$A:$AU,MATCH($C$1,Database!$A$1:$AU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6">
      <c r="A27" s="43" t="n"/>
      <c r="B27" s="75" t="n">
        <v>32964</v>
      </c>
      <c r="C27" s="13">
        <f>IF(VLOOKUP(B27,Database!$A:$AU,MATCH($C$1,Database!$A$1:$AU$1,),)=0,"#N/A",((((VLOOKUP(B27,Database!$A:$AU,MATCH($C$1,Database!$A$1:$AU$1,),))))-(((VLOOKUP(EDATE(B27,-12),Database!$A:$AU,MATCH($C$1,Database!$A$1:$AU$1,),)))))/(((VLOOKUP(EDATE(B27,-12),Database!$A:$AU,MATCH($C$1,Database!$A$1:$AU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6">
      <c r="A28" s="43" t="n"/>
      <c r="B28" s="75" t="n">
        <v>32994</v>
      </c>
      <c r="C28" s="13">
        <f>IF(VLOOKUP(B28,Database!$A:$AU,MATCH($C$1,Database!$A$1:$AU$1,),)=0,"#N/A",((((VLOOKUP(B28,Database!$A:$AU,MATCH($C$1,Database!$A$1:$AU$1,),))))-(((VLOOKUP(EDATE(B28,-12),Database!$A:$AU,MATCH($C$1,Database!$A$1:$AU$1,),)))))/(((VLOOKUP(EDATE(B28,-12),Database!$A:$AU,MATCH($C$1,Database!$A$1:$AU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6">
      <c r="A29" s="43" t="n"/>
      <c r="B29" s="75" t="n">
        <v>33025</v>
      </c>
      <c r="C29" s="13">
        <f>IF(VLOOKUP(B29,Database!$A:$AU,MATCH($C$1,Database!$A$1:$AU$1,),)=0,"#N/A",((((VLOOKUP(B29,Database!$A:$AU,MATCH($C$1,Database!$A$1:$AU$1,),))))-(((VLOOKUP(EDATE(B29,-12),Database!$A:$AU,MATCH($C$1,Database!$A$1:$AU$1,),)))))/(((VLOOKUP(EDATE(B29,-12),Database!$A:$AU,MATCH($C$1,Database!$A$1:$AU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6">
      <c r="A30" s="43" t="n"/>
      <c r="B30" s="75" t="n">
        <v>33055</v>
      </c>
      <c r="C30" s="13">
        <f>IF(VLOOKUP(B30,Database!$A:$AU,MATCH($C$1,Database!$A$1:$AU$1,),)=0,"#N/A",((((VLOOKUP(B30,Database!$A:$AU,MATCH($C$1,Database!$A$1:$AU$1,),))))-(((VLOOKUP(EDATE(B30,-12),Database!$A:$AU,MATCH($C$1,Database!$A$1:$AU$1,),)))))/(((VLOOKUP(EDATE(B30,-12),Database!$A:$AU,MATCH($C$1,Database!$A$1:$AU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6">
      <c r="A31" s="43" t="n"/>
      <c r="B31" s="75" t="n">
        <v>33086</v>
      </c>
      <c r="C31" s="13">
        <f>IF(VLOOKUP(B31,Database!$A:$AU,MATCH($C$1,Database!$A$1:$AU$1,),)=0,"#N/A",((((VLOOKUP(B31,Database!$A:$AU,MATCH($C$1,Database!$A$1:$AU$1,),))))-(((VLOOKUP(EDATE(B31,-12),Database!$A:$AU,MATCH($C$1,Database!$A$1:$AU$1,),)))))/(((VLOOKUP(EDATE(B31,-12),Database!$A:$AU,MATCH($C$1,Database!$A$1:$AU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6">
      <c r="A32" s="43" t="n"/>
      <c r="B32" s="75" t="n">
        <v>33117</v>
      </c>
      <c r="C32" s="13">
        <f>IF(VLOOKUP(B32,Database!$A:$AU,MATCH($C$1,Database!$A$1:$AU$1,),)=0,"#N/A",((((VLOOKUP(B32,Database!$A:$AU,MATCH($C$1,Database!$A$1:$AU$1,),))))-(((VLOOKUP(EDATE(B32,-12),Database!$A:$AU,MATCH($C$1,Database!$A$1:$AU$1,),)))))/(((VLOOKUP(EDATE(B32,-12),Database!$A:$AU,MATCH($C$1,Database!$A$1:$AU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6">
      <c r="A33" s="43" t="n"/>
      <c r="B33" s="75" t="n">
        <v>33147</v>
      </c>
      <c r="C33" s="13">
        <f>IF(VLOOKUP(B33,Database!$A:$AU,MATCH($C$1,Database!$A$1:$AU$1,),)=0,"#N/A",((((VLOOKUP(B33,Database!$A:$AU,MATCH($C$1,Database!$A$1:$AU$1,),))))-(((VLOOKUP(EDATE(B33,-12),Database!$A:$AU,MATCH($C$1,Database!$A$1:$AU$1,),)))))/(((VLOOKUP(EDATE(B33,-12),Database!$A:$AU,MATCH($C$1,Database!$A$1:$AU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6">
      <c r="A34" s="43" t="n"/>
      <c r="B34" s="75" t="n">
        <v>33178</v>
      </c>
      <c r="C34" s="13">
        <f>IF(VLOOKUP(B34,Database!$A:$AU,MATCH($C$1,Database!$A$1:$AU$1,),)=0,"#N/A",((((VLOOKUP(B34,Database!$A:$AU,MATCH($C$1,Database!$A$1:$AU$1,),))))-(((VLOOKUP(EDATE(B34,-12),Database!$A:$AU,MATCH($C$1,Database!$A$1:$AU$1,),)))))/(((VLOOKUP(EDATE(B34,-12),Database!$A:$AU,MATCH($C$1,Database!$A$1:$AU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6">
      <c r="A35" s="43" t="n"/>
      <c r="B35" s="75" t="n">
        <v>33208</v>
      </c>
      <c r="C35" s="13">
        <f>IF(VLOOKUP(B35,Database!$A:$AU,MATCH($C$1,Database!$A$1:$AU$1,),)=0,"#N/A",((((VLOOKUP(B35,Database!$A:$AU,MATCH($C$1,Database!$A$1:$AU$1,),))))-(((VLOOKUP(EDATE(B35,-12),Database!$A:$AU,MATCH($C$1,Database!$A$1:$AU$1,),)))))/(((VLOOKUP(EDATE(B35,-12),Database!$A:$AU,MATCH($C$1,Database!$A$1:$AU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6">
      <c r="A36" s="43" t="n"/>
      <c r="B36" s="75" t="n">
        <v>33239</v>
      </c>
      <c r="C36" s="13">
        <f>IF(VLOOKUP(B36,Database!$A:$AU,MATCH($C$1,Database!$A$1:$AU$1,),)=0,"#N/A",((((VLOOKUP(B36,Database!$A:$AU,MATCH($C$1,Database!$A$1:$AU$1,),))))-(((VLOOKUP(EDATE(B36,-12),Database!$A:$AU,MATCH($C$1,Database!$A$1:$AU$1,),)))))/(((VLOOKUP(EDATE(B36,-12),Database!$A:$AU,MATCH($C$1,Database!$A$1:$AU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6">
      <c r="A37" s="43" t="n"/>
      <c r="B37" s="75" t="n">
        <v>33270</v>
      </c>
      <c r="C37" s="13">
        <f>IF(VLOOKUP(B37,Database!$A:$AU,MATCH($C$1,Database!$A$1:$AU$1,),)=0,"#N/A",((((VLOOKUP(B37,Database!$A:$AU,MATCH($C$1,Database!$A$1:$AU$1,),))))-(((VLOOKUP(EDATE(B37,-12),Database!$A:$AU,MATCH($C$1,Database!$A$1:$AU$1,),)))))/(((VLOOKUP(EDATE(B37,-12),Database!$A:$AU,MATCH($C$1,Database!$A$1:$AU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6">
      <c r="A38" s="43" t="n"/>
      <c r="B38" s="75" t="n">
        <v>33298</v>
      </c>
      <c r="C38" s="13">
        <f>IF(VLOOKUP(B38,Database!$A:$AU,MATCH($C$1,Database!$A$1:$AU$1,),)=0,"#N/A",((((VLOOKUP(B38,Database!$A:$AU,MATCH($C$1,Database!$A$1:$AU$1,),))))-(((VLOOKUP(EDATE(B38,-12),Database!$A:$AU,MATCH($C$1,Database!$A$1:$AU$1,),)))))/(((VLOOKUP(EDATE(B38,-12),Database!$A:$AU,MATCH($C$1,Database!$A$1:$AU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6">
      <c r="A39" s="43" t="n"/>
      <c r="B39" s="75" t="n">
        <v>33329</v>
      </c>
      <c r="C39" s="13">
        <f>IF(VLOOKUP(B39,Database!$A:$AU,MATCH($C$1,Database!$A$1:$AU$1,),)=0,"#N/A",((((VLOOKUP(B39,Database!$A:$AU,MATCH($C$1,Database!$A$1:$AU$1,),))))-(((VLOOKUP(EDATE(B39,-12),Database!$A:$AU,MATCH($C$1,Database!$A$1:$AU$1,),)))))/(((VLOOKUP(EDATE(B39,-12),Database!$A:$AU,MATCH($C$1,Database!$A$1:$AU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6">
      <c r="A40" s="43" t="n"/>
      <c r="B40" s="75" t="n">
        <v>33359</v>
      </c>
      <c r="C40" s="13">
        <f>IF(VLOOKUP(B40,Database!$A:$AU,MATCH($C$1,Database!$A$1:$AU$1,),)=0,"#N/A",((((VLOOKUP(B40,Database!$A:$AU,MATCH($C$1,Database!$A$1:$AU$1,),))))-(((VLOOKUP(EDATE(B40,-12),Database!$A:$AU,MATCH($C$1,Database!$A$1:$AU$1,),)))))/(((VLOOKUP(EDATE(B40,-12),Database!$A:$AU,MATCH($C$1,Database!$A$1:$AU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6">
      <c r="A41" s="43" t="n"/>
      <c r="B41" s="75" t="n">
        <v>33390</v>
      </c>
      <c r="C41" s="13">
        <f>IF(VLOOKUP(B41,Database!$A:$AU,MATCH($C$1,Database!$A$1:$AU$1,),)=0,"#N/A",((((VLOOKUP(B41,Database!$A:$AU,MATCH($C$1,Database!$A$1:$AU$1,),))))-(((VLOOKUP(EDATE(B41,-12),Database!$A:$AU,MATCH($C$1,Database!$A$1:$AU$1,),)))))/(((VLOOKUP(EDATE(B41,-12),Database!$A:$AU,MATCH($C$1,Database!$A$1:$AU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6">
      <c r="A42" s="43" t="n"/>
      <c r="B42" s="75" t="n">
        <v>33420</v>
      </c>
      <c r="C42" s="13">
        <f>IF(VLOOKUP(B42,Database!$A:$AU,MATCH($C$1,Database!$A$1:$AU$1,),)=0,"#N/A",((((VLOOKUP(B42,Database!$A:$AU,MATCH($C$1,Database!$A$1:$AU$1,),))))-(((VLOOKUP(EDATE(B42,-12),Database!$A:$AU,MATCH($C$1,Database!$A$1:$AU$1,),)))))/(((VLOOKUP(EDATE(B42,-12),Database!$A:$AU,MATCH($C$1,Database!$A$1:$AU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6">
      <c r="A43" s="43" t="n"/>
      <c r="B43" s="75" t="n">
        <v>33451</v>
      </c>
      <c r="C43" s="13">
        <f>IF(VLOOKUP(B43,Database!$A:$AU,MATCH($C$1,Database!$A$1:$AU$1,),)=0,"#N/A",((((VLOOKUP(B43,Database!$A:$AU,MATCH($C$1,Database!$A$1:$AU$1,),))))-(((VLOOKUP(EDATE(B43,-12),Database!$A:$AU,MATCH($C$1,Database!$A$1:$AU$1,),)))))/(((VLOOKUP(EDATE(B43,-12),Database!$A:$AU,MATCH($C$1,Database!$A$1:$AU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6">
      <c r="A44" s="43" t="n"/>
      <c r="B44" s="75" t="n">
        <v>33482</v>
      </c>
      <c r="C44" s="13">
        <f>IF(VLOOKUP(B44,Database!$A:$AU,MATCH($C$1,Database!$A$1:$AU$1,),)=0,"#N/A",((((VLOOKUP(B44,Database!$A:$AU,MATCH($C$1,Database!$A$1:$AU$1,),))))-(((VLOOKUP(EDATE(B44,-12),Database!$A:$AU,MATCH($C$1,Database!$A$1:$AU$1,),)))))/(((VLOOKUP(EDATE(B44,-12),Database!$A:$AU,MATCH($C$1,Database!$A$1:$AU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6">
      <c r="A45" s="43" t="n"/>
      <c r="B45" s="75" t="n">
        <v>33512</v>
      </c>
      <c r="C45" s="13">
        <f>IF(VLOOKUP(B45,Database!$A:$AU,MATCH($C$1,Database!$A$1:$AU$1,),)=0,"#N/A",((((VLOOKUP(B45,Database!$A:$AU,MATCH($C$1,Database!$A$1:$AU$1,),))))-(((VLOOKUP(EDATE(B45,-12),Database!$A:$AU,MATCH($C$1,Database!$A$1:$AU$1,),)))))/(((VLOOKUP(EDATE(B45,-12),Database!$A:$AU,MATCH($C$1,Database!$A$1:$AU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6">
      <c r="A46" s="43" t="n"/>
      <c r="B46" s="75" t="n">
        <v>33543</v>
      </c>
      <c r="C46" s="13">
        <f>IF(VLOOKUP(B46,Database!$A:$AU,MATCH($C$1,Database!$A$1:$AU$1,),)=0,"#N/A",((((VLOOKUP(B46,Database!$A:$AU,MATCH($C$1,Database!$A$1:$AU$1,),))))-(((VLOOKUP(EDATE(B46,-12),Database!$A:$AU,MATCH($C$1,Database!$A$1:$AU$1,),)))))/(((VLOOKUP(EDATE(B46,-12),Database!$A:$AU,MATCH($C$1,Database!$A$1:$AU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6">
      <c r="A47" s="43" t="n"/>
      <c r="B47" s="75" t="n">
        <v>33573</v>
      </c>
      <c r="C47" s="13">
        <f>IF(VLOOKUP(B47,Database!$A:$AU,MATCH($C$1,Database!$A$1:$AU$1,),)=0,"#N/A",((((VLOOKUP(B47,Database!$A:$AU,MATCH($C$1,Database!$A$1:$AU$1,),))))-(((VLOOKUP(EDATE(B47,-12),Database!$A:$AU,MATCH($C$1,Database!$A$1:$AU$1,),)))))/(((VLOOKUP(EDATE(B47,-12),Database!$A:$AU,MATCH($C$1,Database!$A$1:$AU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6">
      <c r="A48" s="43" t="n"/>
      <c r="B48" s="75" t="n">
        <v>33604</v>
      </c>
      <c r="C48" s="13">
        <f>IF(VLOOKUP(B48,Database!$A:$AU,MATCH($C$1,Database!$A$1:$AU$1,),)=0,"#N/A",((((VLOOKUP(B48,Database!$A:$AU,MATCH($C$1,Database!$A$1:$AU$1,),))))-(((VLOOKUP(EDATE(B48,-12),Database!$A:$AU,MATCH($C$1,Database!$A$1:$AU$1,),)))))/(((VLOOKUP(EDATE(B48,-12),Database!$A:$AU,MATCH($C$1,Database!$A$1:$AU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6">
      <c r="A49" s="43" t="n"/>
      <c r="B49" s="75" t="n">
        <v>33635</v>
      </c>
      <c r="C49" s="13">
        <f>IF(VLOOKUP(B49,Database!$A:$AU,MATCH($C$1,Database!$A$1:$AU$1,),)=0,"#N/A",((((VLOOKUP(B49,Database!$A:$AU,MATCH($C$1,Database!$A$1:$AU$1,),))))-(((VLOOKUP(EDATE(B49,-12),Database!$A:$AU,MATCH($C$1,Database!$A$1:$AU$1,),)))))/(((VLOOKUP(EDATE(B49,-12),Database!$A:$AU,MATCH($C$1,Database!$A$1:$AU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6">
      <c r="A50" s="43" t="n"/>
      <c r="B50" s="75" t="n">
        <v>33664</v>
      </c>
      <c r="C50" s="13">
        <f>IF(VLOOKUP(B50,Database!$A:$AU,MATCH($C$1,Database!$A$1:$AU$1,),)=0,"#N/A",((((VLOOKUP(B50,Database!$A:$AU,MATCH($C$1,Database!$A$1:$AU$1,),))))-(((VLOOKUP(EDATE(B50,-12),Database!$A:$AU,MATCH($C$1,Database!$A$1:$AU$1,),)))))/(((VLOOKUP(EDATE(B50,-12),Database!$A:$AU,MATCH($C$1,Database!$A$1:$AU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6">
      <c r="A51" s="43" t="n"/>
      <c r="B51" s="75" t="n">
        <v>33695</v>
      </c>
      <c r="C51" s="13">
        <f>IF(VLOOKUP(B51,Database!$A:$AU,MATCH($C$1,Database!$A$1:$AU$1,),)=0,"#N/A",((((VLOOKUP(B51,Database!$A:$AU,MATCH($C$1,Database!$A$1:$AU$1,),))))-(((VLOOKUP(EDATE(B51,-12),Database!$A:$AU,MATCH($C$1,Database!$A$1:$AU$1,),)))))/(((VLOOKUP(EDATE(B51,-12),Database!$A:$AU,MATCH($C$1,Database!$A$1:$AU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6">
      <c r="A52" s="43" t="n"/>
      <c r="B52" s="75" t="n">
        <v>33725</v>
      </c>
      <c r="C52" s="13">
        <f>IF(VLOOKUP(B52,Database!$A:$AU,MATCH($C$1,Database!$A$1:$AU$1,),)=0,"#N/A",((((VLOOKUP(B52,Database!$A:$AU,MATCH($C$1,Database!$A$1:$AU$1,),))))-(((VLOOKUP(EDATE(B52,-12),Database!$A:$AU,MATCH($C$1,Database!$A$1:$AU$1,),)))))/(((VLOOKUP(EDATE(B52,-12),Database!$A:$AU,MATCH($C$1,Database!$A$1:$AU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6">
      <c r="A53" s="43" t="n"/>
      <c r="B53" s="75" t="n">
        <v>33756</v>
      </c>
      <c r="C53" s="13">
        <f>IF(VLOOKUP(B53,Database!$A:$AU,MATCH($C$1,Database!$A$1:$AU$1,),)=0,"#N/A",((((VLOOKUP(B53,Database!$A:$AU,MATCH($C$1,Database!$A$1:$AU$1,),))))-(((VLOOKUP(EDATE(B53,-12),Database!$A:$AU,MATCH($C$1,Database!$A$1:$AU$1,),)))))/(((VLOOKUP(EDATE(B53,-12),Database!$A:$AU,MATCH($C$1,Database!$A$1:$AU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6">
      <c r="A54" s="43" t="n"/>
      <c r="B54" s="75" t="n">
        <v>33786</v>
      </c>
      <c r="C54" s="13">
        <f>IF(VLOOKUP(B54,Database!$A:$AU,MATCH($C$1,Database!$A$1:$AU$1,),)=0,"#N/A",((((VLOOKUP(B54,Database!$A:$AU,MATCH($C$1,Database!$A$1:$AU$1,),))))-(((VLOOKUP(EDATE(B54,-12),Database!$A:$AU,MATCH($C$1,Database!$A$1:$AU$1,),)))))/(((VLOOKUP(EDATE(B54,-12),Database!$A:$AU,MATCH($C$1,Database!$A$1:$AU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6">
      <c r="A55" s="43" t="n"/>
      <c r="B55" s="75" t="n">
        <v>33817</v>
      </c>
      <c r="C55" s="13">
        <f>IF(VLOOKUP(B55,Database!$A:$AU,MATCH($C$1,Database!$A$1:$AU$1,),)=0,"#N/A",((((VLOOKUP(B55,Database!$A:$AU,MATCH($C$1,Database!$A$1:$AU$1,),))))-(((VLOOKUP(EDATE(B55,-12),Database!$A:$AU,MATCH($C$1,Database!$A$1:$AU$1,),)))))/(((VLOOKUP(EDATE(B55,-12),Database!$A:$AU,MATCH($C$1,Database!$A$1:$AU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6">
      <c r="A56" s="43" t="n"/>
      <c r="B56" s="75" t="n">
        <v>33848</v>
      </c>
      <c r="C56" s="13">
        <f>IF(VLOOKUP(B56,Database!$A:$AU,MATCH($C$1,Database!$A$1:$AU$1,),)=0,"#N/A",((((VLOOKUP(B56,Database!$A:$AU,MATCH($C$1,Database!$A$1:$AU$1,),))))-(((VLOOKUP(EDATE(B56,-12),Database!$A:$AU,MATCH($C$1,Database!$A$1:$AU$1,),)))))/(((VLOOKUP(EDATE(B56,-12),Database!$A:$AU,MATCH($C$1,Database!$A$1:$AU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6">
      <c r="A57" s="43" t="n"/>
      <c r="B57" s="75" t="n">
        <v>33878</v>
      </c>
      <c r="C57" s="13">
        <f>IF(VLOOKUP(B57,Database!$A:$AU,MATCH($C$1,Database!$A$1:$AU$1,),)=0,"#N/A",((((VLOOKUP(B57,Database!$A:$AU,MATCH($C$1,Database!$A$1:$AU$1,),))))-(((VLOOKUP(EDATE(B57,-12),Database!$A:$AU,MATCH($C$1,Database!$A$1:$AU$1,),)))))/(((VLOOKUP(EDATE(B57,-12),Database!$A:$AU,MATCH($C$1,Database!$A$1:$AU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6">
      <c r="A58" s="43" t="n"/>
      <c r="B58" s="75" t="n">
        <v>33909</v>
      </c>
      <c r="C58" s="13">
        <f>IF(VLOOKUP(B58,Database!$A:$AU,MATCH($C$1,Database!$A$1:$AU$1,),)=0,"#N/A",((((VLOOKUP(B58,Database!$A:$AU,MATCH($C$1,Database!$A$1:$AU$1,),))))-(((VLOOKUP(EDATE(B58,-12),Database!$A:$AU,MATCH($C$1,Database!$A$1:$AU$1,),)))))/(((VLOOKUP(EDATE(B58,-12),Database!$A:$AU,MATCH($C$1,Database!$A$1:$AU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6">
      <c r="A59" s="43" t="n"/>
      <c r="B59" s="75" t="n">
        <v>33939</v>
      </c>
      <c r="C59" s="13">
        <f>IF(VLOOKUP(B59,Database!$A:$AU,MATCH($C$1,Database!$A$1:$AU$1,),)=0,"#N/A",((((VLOOKUP(B59,Database!$A:$AU,MATCH($C$1,Database!$A$1:$AU$1,),))))-(((VLOOKUP(EDATE(B59,-12),Database!$A:$AU,MATCH($C$1,Database!$A$1:$AU$1,),)))))/(((VLOOKUP(EDATE(B59,-12),Database!$A:$AU,MATCH($C$1,Database!$A$1:$AU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6">
      <c r="A60" s="43" t="n"/>
      <c r="B60" s="75" t="n">
        <v>33970</v>
      </c>
      <c r="C60" s="13">
        <f>IF(VLOOKUP(B60,Database!$A:$AU,MATCH($C$1,Database!$A$1:$AU$1,),)=0,"#N/A",((((VLOOKUP(B60,Database!$A:$AU,MATCH($C$1,Database!$A$1:$AU$1,),))))-(((VLOOKUP(EDATE(B60,-12),Database!$A:$AU,MATCH($C$1,Database!$A$1:$AU$1,),)))))/(((VLOOKUP(EDATE(B60,-12),Database!$A:$AU,MATCH($C$1,Database!$A$1:$AU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6">
      <c r="A61" s="43" t="n"/>
      <c r="B61" s="75" t="n">
        <v>34001</v>
      </c>
      <c r="C61" s="13">
        <f>IF(VLOOKUP(B61,Database!$A:$AU,MATCH($C$1,Database!$A$1:$AU$1,),)=0,"#N/A",((((VLOOKUP(B61,Database!$A:$AU,MATCH($C$1,Database!$A$1:$AU$1,),))))-(((VLOOKUP(EDATE(B61,-12),Database!$A:$AU,MATCH($C$1,Database!$A$1:$AU$1,),)))))/(((VLOOKUP(EDATE(B61,-12),Database!$A:$AU,MATCH($C$1,Database!$A$1:$AU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6">
      <c r="A62" s="43" t="n"/>
      <c r="B62" s="75" t="n">
        <v>34029</v>
      </c>
      <c r="C62" s="13">
        <f>IF(VLOOKUP(B62,Database!$A:$AU,MATCH($C$1,Database!$A$1:$AU$1,),)=0,"#N/A",((((VLOOKUP(B62,Database!$A:$AU,MATCH($C$1,Database!$A$1:$AU$1,),))))-(((VLOOKUP(EDATE(B62,-12),Database!$A:$AU,MATCH($C$1,Database!$A$1:$AU$1,),)))))/(((VLOOKUP(EDATE(B62,-12),Database!$A:$AU,MATCH($C$1,Database!$A$1:$AU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6">
      <c r="A63" s="43" t="n"/>
      <c r="B63" s="75" t="n">
        <v>34060</v>
      </c>
      <c r="C63" s="13">
        <f>IF(VLOOKUP(B63,Database!$A:$AU,MATCH($C$1,Database!$A$1:$AU$1,),)=0,"#N/A",((((VLOOKUP(B63,Database!$A:$AU,MATCH($C$1,Database!$A$1:$AU$1,),))))-(((VLOOKUP(EDATE(B63,-12),Database!$A:$AU,MATCH($C$1,Database!$A$1:$AU$1,),)))))/(((VLOOKUP(EDATE(B63,-12),Database!$A:$AU,MATCH($C$1,Database!$A$1:$AU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6">
      <c r="A64" s="43" t="n"/>
      <c r="B64" s="75" t="n">
        <v>34090</v>
      </c>
      <c r="C64" s="13">
        <f>IF(VLOOKUP(B64,Database!$A:$AU,MATCH($C$1,Database!$A$1:$AU$1,),)=0,"#N/A",((((VLOOKUP(B64,Database!$A:$AU,MATCH($C$1,Database!$A$1:$AU$1,),))))-(((VLOOKUP(EDATE(B64,-12),Database!$A:$AU,MATCH($C$1,Database!$A$1:$AU$1,),)))))/(((VLOOKUP(EDATE(B64,-12),Database!$A:$AU,MATCH($C$1,Database!$A$1:$AU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6">
      <c r="A65" s="43" t="n"/>
      <c r="B65" s="75" t="n">
        <v>34121</v>
      </c>
      <c r="C65" s="13">
        <f>IF(VLOOKUP(B65,Database!$A:$AU,MATCH($C$1,Database!$A$1:$AU$1,),)=0,"#N/A",((((VLOOKUP(B65,Database!$A:$AU,MATCH($C$1,Database!$A$1:$AU$1,),))))-(((VLOOKUP(EDATE(B65,-12),Database!$A:$AU,MATCH($C$1,Database!$A$1:$AU$1,),)))))/(((VLOOKUP(EDATE(B65,-12),Database!$A:$AU,MATCH($C$1,Database!$A$1:$AU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6">
      <c r="A66" s="43" t="n"/>
      <c r="B66" s="75" t="n">
        <v>34151</v>
      </c>
      <c r="C66" s="13">
        <f>IF(VLOOKUP(B66,Database!$A:$AU,MATCH($C$1,Database!$A$1:$AU$1,),)=0,"#N/A",((((VLOOKUP(B66,Database!$A:$AU,MATCH($C$1,Database!$A$1:$AU$1,),))))-(((VLOOKUP(EDATE(B66,-12),Database!$A:$AU,MATCH($C$1,Database!$A$1:$AU$1,),)))))/(((VLOOKUP(EDATE(B66,-12),Database!$A:$AU,MATCH($C$1,Database!$A$1:$AU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6">
      <c r="A67" s="43" t="n"/>
      <c r="B67" s="75" t="n">
        <v>34182</v>
      </c>
      <c r="C67" s="13">
        <f>IF(VLOOKUP(B67,Database!$A:$AU,MATCH($C$1,Database!$A$1:$AU$1,),)=0,"#N/A",((((VLOOKUP(B67,Database!$A:$AU,MATCH($C$1,Database!$A$1:$AU$1,),))))-(((VLOOKUP(EDATE(B67,-12),Database!$A:$AU,MATCH($C$1,Database!$A$1:$AU$1,),)))))/(((VLOOKUP(EDATE(B67,-12),Database!$A:$AU,MATCH($C$1,Database!$A$1:$AU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6">
      <c r="A68" s="43" t="n"/>
      <c r="B68" s="75" t="n">
        <v>34213</v>
      </c>
      <c r="C68" s="13">
        <f>IF(VLOOKUP(B68,Database!$A:$AU,MATCH($C$1,Database!$A$1:$AU$1,),)=0,"#N/A",((((VLOOKUP(B68,Database!$A:$AU,MATCH($C$1,Database!$A$1:$AU$1,),))))-(((VLOOKUP(EDATE(B68,-12),Database!$A:$AU,MATCH($C$1,Database!$A$1:$AU$1,),)))))/(((VLOOKUP(EDATE(B68,-12),Database!$A:$AU,MATCH($C$1,Database!$A$1:$AU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6">
      <c r="A69" s="43" t="n"/>
      <c r="B69" s="75" t="n">
        <v>34243</v>
      </c>
      <c r="C69" s="13">
        <f>IF(VLOOKUP(B69,Database!$A:$AU,MATCH($C$1,Database!$A$1:$AU$1,),)=0,"#N/A",((((VLOOKUP(B69,Database!$A:$AU,MATCH($C$1,Database!$A$1:$AU$1,),))))-(((VLOOKUP(EDATE(B69,-12),Database!$A:$AU,MATCH($C$1,Database!$A$1:$AU$1,),)))))/(((VLOOKUP(EDATE(B69,-12),Database!$A:$AU,MATCH($C$1,Database!$A$1:$AU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6">
      <c r="A70" s="43" t="n"/>
      <c r="B70" s="75" t="n">
        <v>34274</v>
      </c>
      <c r="C70" s="13">
        <f>IF(VLOOKUP(B70,Database!$A:$AU,MATCH($C$1,Database!$A$1:$AU$1,),)=0,"#N/A",((((VLOOKUP(B70,Database!$A:$AU,MATCH($C$1,Database!$A$1:$AU$1,),))))-(((VLOOKUP(EDATE(B70,-12),Database!$A:$AU,MATCH($C$1,Database!$A$1:$AU$1,),)))))/(((VLOOKUP(EDATE(B70,-12),Database!$A:$AU,MATCH($C$1,Database!$A$1:$AU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6">
      <c r="A71" s="43" t="n"/>
      <c r="B71" s="75" t="n">
        <v>34304</v>
      </c>
      <c r="C71" s="13">
        <f>IF(VLOOKUP(B71,Database!$A:$AU,MATCH($C$1,Database!$A$1:$AU$1,),)=0,"#N/A",((((VLOOKUP(B71,Database!$A:$AU,MATCH($C$1,Database!$A$1:$AU$1,),))))-(((VLOOKUP(EDATE(B71,-12),Database!$A:$AU,MATCH($C$1,Database!$A$1:$AU$1,),)))))/(((VLOOKUP(EDATE(B71,-12),Database!$A:$AU,MATCH($C$1,Database!$A$1:$AU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6">
      <c r="A72" s="43" t="n"/>
      <c r="B72" s="75" t="n">
        <v>34335</v>
      </c>
      <c r="C72" s="13">
        <f>IF(VLOOKUP(B72,Database!$A:$AU,MATCH($C$1,Database!$A$1:$AU$1,),)=0,"#N/A",((((VLOOKUP(B72,Database!$A:$AU,MATCH($C$1,Database!$A$1:$AU$1,),))))-(((VLOOKUP(EDATE(B72,-12),Database!$A:$AU,MATCH($C$1,Database!$A$1:$AU$1,),)))))/(((VLOOKUP(EDATE(B72,-12),Database!$A:$AU,MATCH($C$1,Database!$A$1:$AU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6">
      <c r="A73" s="43" t="n"/>
      <c r="B73" s="75" t="n">
        <v>34366</v>
      </c>
      <c r="C73" s="13">
        <f>IF(VLOOKUP(B73,Database!$A:$AU,MATCH($C$1,Database!$A$1:$AU$1,),)=0,"#N/A",((((VLOOKUP(B73,Database!$A:$AU,MATCH($C$1,Database!$A$1:$AU$1,),))))-(((VLOOKUP(EDATE(B73,-12),Database!$A:$AU,MATCH($C$1,Database!$A$1:$AU$1,),)))))/(((VLOOKUP(EDATE(B73,-12),Database!$A:$AU,MATCH($C$1,Database!$A$1:$AU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6">
      <c r="A74" s="43" t="n"/>
      <c r="B74" s="75" t="n">
        <v>34394</v>
      </c>
      <c r="C74" s="13">
        <f>IF(VLOOKUP(B74,Database!$A:$AU,MATCH($C$1,Database!$A$1:$AU$1,),)=0,"#N/A",((((VLOOKUP(B74,Database!$A:$AU,MATCH($C$1,Database!$A$1:$AU$1,),))))-(((VLOOKUP(EDATE(B74,-12),Database!$A:$AU,MATCH($C$1,Database!$A$1:$AU$1,),)))))/(((VLOOKUP(EDATE(B74,-12),Database!$A:$AU,MATCH($C$1,Database!$A$1:$AU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6">
      <c r="A75" s="43" t="n"/>
      <c r="B75" s="75" t="n">
        <v>34425</v>
      </c>
      <c r="C75" s="13">
        <f>IF(VLOOKUP(B75,Database!$A:$AU,MATCH($C$1,Database!$A$1:$AU$1,),)=0,"#N/A",((((VLOOKUP(B75,Database!$A:$AU,MATCH($C$1,Database!$A$1:$AU$1,),))))-(((VLOOKUP(EDATE(B75,-12),Database!$A:$AU,MATCH($C$1,Database!$A$1:$AU$1,),)))))/(((VLOOKUP(EDATE(B75,-12),Database!$A:$AU,MATCH($C$1,Database!$A$1:$AU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6">
      <c r="A76" s="43" t="n"/>
      <c r="B76" s="75" t="n">
        <v>34455</v>
      </c>
      <c r="C76" s="13">
        <f>IF(VLOOKUP(B76,Database!$A:$AU,MATCH($C$1,Database!$A$1:$AU$1,),)=0,"#N/A",((((VLOOKUP(B76,Database!$A:$AU,MATCH($C$1,Database!$A$1:$AU$1,),))))-(((VLOOKUP(EDATE(B76,-12),Database!$A:$AU,MATCH($C$1,Database!$A$1:$AU$1,),)))))/(((VLOOKUP(EDATE(B76,-12),Database!$A:$AU,MATCH($C$1,Database!$A$1:$AU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6">
      <c r="A77" s="43" t="n"/>
      <c r="B77" s="75" t="n">
        <v>34486</v>
      </c>
      <c r="C77" s="13">
        <f>IF(VLOOKUP(B77,Database!$A:$AU,MATCH($C$1,Database!$A$1:$AU$1,),)=0,"#N/A",((((VLOOKUP(B77,Database!$A:$AU,MATCH($C$1,Database!$A$1:$AU$1,),))))-(((VLOOKUP(EDATE(B77,-12),Database!$A:$AU,MATCH($C$1,Database!$A$1:$AU$1,),)))))/(((VLOOKUP(EDATE(B77,-12),Database!$A:$AU,MATCH($C$1,Database!$A$1:$AU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6">
      <c r="A78" s="43" t="n"/>
      <c r="B78" s="75" t="n">
        <v>34516</v>
      </c>
      <c r="C78" s="13">
        <f>IF(VLOOKUP(B78,Database!$A:$AU,MATCH($C$1,Database!$A$1:$AU$1,),)=0,"#N/A",((((VLOOKUP(B78,Database!$A:$AU,MATCH($C$1,Database!$A$1:$AU$1,),))))-(((VLOOKUP(EDATE(B78,-12),Database!$A:$AU,MATCH($C$1,Database!$A$1:$AU$1,),)))))/(((VLOOKUP(EDATE(B78,-12),Database!$A:$AU,MATCH($C$1,Database!$A$1:$AU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6">
      <c r="A79" s="43" t="n"/>
      <c r="B79" s="75" t="n">
        <v>34547</v>
      </c>
      <c r="C79" s="13">
        <f>IF(VLOOKUP(B79,Database!$A:$AU,MATCH($C$1,Database!$A$1:$AU$1,),)=0,"#N/A",((((VLOOKUP(B79,Database!$A:$AU,MATCH($C$1,Database!$A$1:$AU$1,),))))-(((VLOOKUP(EDATE(B79,-12),Database!$A:$AU,MATCH($C$1,Database!$A$1:$AU$1,),)))))/(((VLOOKUP(EDATE(B79,-12),Database!$A:$AU,MATCH($C$1,Database!$A$1:$AU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6">
      <c r="A80" s="43" t="n"/>
      <c r="B80" s="75" t="n">
        <v>34578</v>
      </c>
      <c r="C80" s="13">
        <f>IF(VLOOKUP(B80,Database!$A:$AU,MATCH($C$1,Database!$A$1:$AU$1,),)=0,"#N/A",((((VLOOKUP(B80,Database!$A:$AU,MATCH($C$1,Database!$A$1:$AU$1,),))))-(((VLOOKUP(EDATE(B80,-12),Database!$A:$AU,MATCH($C$1,Database!$A$1:$AU$1,),)))))/(((VLOOKUP(EDATE(B80,-12),Database!$A:$AU,MATCH($C$1,Database!$A$1:$AU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6">
      <c r="A81" s="43" t="n"/>
      <c r="B81" s="75" t="n">
        <v>34608</v>
      </c>
      <c r="C81" s="13">
        <f>IF(VLOOKUP(B81,Database!$A:$AU,MATCH($C$1,Database!$A$1:$AU$1,),)=0,"#N/A",((((VLOOKUP(B81,Database!$A:$AU,MATCH($C$1,Database!$A$1:$AU$1,),))))-(((VLOOKUP(EDATE(B81,-12),Database!$A:$AU,MATCH($C$1,Database!$A$1:$AU$1,),)))))/(((VLOOKUP(EDATE(B81,-12),Database!$A:$AU,MATCH($C$1,Database!$A$1:$AU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6">
      <c r="A82" s="43" t="n"/>
      <c r="B82" s="75" t="n">
        <v>34639</v>
      </c>
      <c r="C82" s="13">
        <f>IF(VLOOKUP(B82,Database!$A:$AU,MATCH($C$1,Database!$A$1:$AU$1,),)=0,"#N/A",((((VLOOKUP(B82,Database!$A:$AU,MATCH($C$1,Database!$A$1:$AU$1,),))))-(((VLOOKUP(EDATE(B82,-12),Database!$A:$AU,MATCH($C$1,Database!$A$1:$AU$1,),)))))/(((VLOOKUP(EDATE(B82,-12),Database!$A:$AU,MATCH($C$1,Database!$A$1:$AU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6">
      <c r="A83" s="43" t="n"/>
      <c r="B83" s="75" t="n">
        <v>34669</v>
      </c>
      <c r="C83" s="13">
        <f>IF(VLOOKUP(B83,Database!$A:$AU,MATCH($C$1,Database!$A$1:$AU$1,),)=0,"#N/A",((((VLOOKUP(B83,Database!$A:$AU,MATCH($C$1,Database!$A$1:$AU$1,),))))-(((VLOOKUP(EDATE(B83,-12),Database!$A:$AU,MATCH($C$1,Database!$A$1:$AU$1,),)))))/(((VLOOKUP(EDATE(B83,-12),Database!$A:$AU,MATCH($C$1,Database!$A$1:$AU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6">
      <c r="A84" s="43" t="n"/>
      <c r="B84" s="75" t="n">
        <v>34700</v>
      </c>
      <c r="C84" s="13">
        <f>IF(VLOOKUP(B84,Database!$A:$AU,MATCH($C$1,Database!$A$1:$AU$1,),)=0,"#N/A",((((VLOOKUP(B84,Database!$A:$AU,MATCH($C$1,Database!$A$1:$AU$1,),))))-(((VLOOKUP(EDATE(B84,-12),Database!$A:$AU,MATCH($C$1,Database!$A$1:$AU$1,),)))))/(((VLOOKUP(EDATE(B84,-12),Database!$A:$AU,MATCH($C$1,Database!$A$1:$AU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6">
      <c r="A85" s="43" t="n"/>
      <c r="B85" s="75" t="n">
        <v>34731</v>
      </c>
      <c r="C85" s="13">
        <f>IF(VLOOKUP(B85,Database!$A:$AU,MATCH($C$1,Database!$A$1:$AU$1,),)=0,"#N/A",((((VLOOKUP(B85,Database!$A:$AU,MATCH($C$1,Database!$A$1:$AU$1,),))))-(((VLOOKUP(EDATE(B85,-12),Database!$A:$AU,MATCH($C$1,Database!$A$1:$AU$1,),)))))/(((VLOOKUP(EDATE(B85,-12),Database!$A:$AU,MATCH($C$1,Database!$A$1:$AU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6">
      <c r="A86" s="43" t="n"/>
      <c r="B86" s="75" t="n">
        <v>34759</v>
      </c>
      <c r="C86" s="13">
        <f>IF(VLOOKUP(B86,Database!$A:$AU,MATCH($C$1,Database!$A$1:$AU$1,),)=0,"#N/A",((((VLOOKUP(B86,Database!$A:$AU,MATCH($C$1,Database!$A$1:$AU$1,),))))-(((VLOOKUP(EDATE(B86,-12),Database!$A:$AU,MATCH($C$1,Database!$A$1:$AU$1,),)))))/(((VLOOKUP(EDATE(B86,-12),Database!$A:$AU,MATCH($C$1,Database!$A$1:$AU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6">
      <c r="A87" s="43" t="n"/>
      <c r="B87" s="75" t="n">
        <v>34790</v>
      </c>
      <c r="C87" s="13">
        <f>IF(VLOOKUP(B87,Database!$A:$AU,MATCH($C$1,Database!$A$1:$AU$1,),)=0,"#N/A",((((VLOOKUP(B87,Database!$A:$AU,MATCH($C$1,Database!$A$1:$AU$1,),))))-(((VLOOKUP(EDATE(B87,-12),Database!$A:$AU,MATCH($C$1,Database!$A$1:$AU$1,),)))))/(((VLOOKUP(EDATE(B87,-12),Database!$A:$AU,MATCH($C$1,Database!$A$1:$AU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6">
      <c r="A88" s="43" t="n"/>
      <c r="B88" s="75" t="n">
        <v>34820</v>
      </c>
      <c r="C88" s="13">
        <f>IF(VLOOKUP(B88,Database!$A:$AU,MATCH($C$1,Database!$A$1:$AU$1,),)=0,"#N/A",((((VLOOKUP(B88,Database!$A:$AU,MATCH($C$1,Database!$A$1:$AU$1,),))))-(((VLOOKUP(EDATE(B88,-12),Database!$A:$AU,MATCH($C$1,Database!$A$1:$AU$1,),)))))/(((VLOOKUP(EDATE(B88,-12),Database!$A:$AU,MATCH($C$1,Database!$A$1:$AU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6">
      <c r="A89" s="43" t="n"/>
      <c r="B89" s="75" t="n">
        <v>34851</v>
      </c>
      <c r="C89" s="13">
        <f>IF(VLOOKUP(B89,Database!$A:$AU,MATCH($C$1,Database!$A$1:$AU$1,),)=0,"#N/A",((((VLOOKUP(B89,Database!$A:$AU,MATCH($C$1,Database!$A$1:$AU$1,),))))-(((VLOOKUP(EDATE(B89,-12),Database!$A:$AU,MATCH($C$1,Database!$A$1:$AU$1,),)))))/(((VLOOKUP(EDATE(B89,-12),Database!$A:$AU,MATCH($C$1,Database!$A$1:$AU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6">
      <c r="A90" s="43" t="n"/>
      <c r="B90" s="75" t="n">
        <v>34881</v>
      </c>
      <c r="C90" s="13">
        <f>IF(VLOOKUP(B90,Database!$A:$AU,MATCH($C$1,Database!$A$1:$AU$1,),)=0,"#N/A",((((VLOOKUP(B90,Database!$A:$AU,MATCH($C$1,Database!$A$1:$AU$1,),))))-(((VLOOKUP(EDATE(B90,-12),Database!$A:$AU,MATCH($C$1,Database!$A$1:$AU$1,),)))))/(((VLOOKUP(EDATE(B90,-12),Database!$A:$AU,MATCH($C$1,Database!$A$1:$AU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6">
      <c r="A91" s="43" t="n"/>
      <c r="B91" s="75" t="n">
        <v>34912</v>
      </c>
      <c r="C91" s="13">
        <f>IF(VLOOKUP(B91,Database!$A:$AU,MATCH($C$1,Database!$A$1:$AU$1,),)=0,"#N/A",((((VLOOKUP(B91,Database!$A:$AU,MATCH($C$1,Database!$A$1:$AU$1,),))))-(((VLOOKUP(EDATE(B91,-12),Database!$A:$AU,MATCH($C$1,Database!$A$1:$AU$1,),)))))/(((VLOOKUP(EDATE(B91,-12),Database!$A:$AU,MATCH($C$1,Database!$A$1:$AU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6">
      <c r="A92" s="43" t="n"/>
      <c r="B92" s="75" t="n">
        <v>34943</v>
      </c>
      <c r="C92" s="13">
        <f>IF(VLOOKUP(B92,Database!$A:$AU,MATCH($C$1,Database!$A$1:$AU$1,),)=0,"#N/A",((((VLOOKUP(B92,Database!$A:$AU,MATCH($C$1,Database!$A$1:$AU$1,),))))-(((VLOOKUP(EDATE(B92,-12),Database!$A:$AU,MATCH($C$1,Database!$A$1:$AU$1,),)))))/(((VLOOKUP(EDATE(B92,-12),Database!$A:$AU,MATCH($C$1,Database!$A$1:$AU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6">
      <c r="A93" s="43" t="n"/>
      <c r="B93" s="75" t="n">
        <v>34973</v>
      </c>
      <c r="C93" s="13">
        <f>IF(VLOOKUP(B93,Database!$A:$AU,MATCH($C$1,Database!$A$1:$AU$1,),)=0,"#N/A",((((VLOOKUP(B93,Database!$A:$AU,MATCH($C$1,Database!$A$1:$AU$1,),))))-(((VLOOKUP(EDATE(B93,-12),Database!$A:$AU,MATCH($C$1,Database!$A$1:$AU$1,),)))))/(((VLOOKUP(EDATE(B93,-12),Database!$A:$AU,MATCH($C$1,Database!$A$1:$AU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6">
      <c r="A94" s="43" t="n"/>
      <c r="B94" s="75" t="n">
        <v>35004</v>
      </c>
      <c r="C94" s="13">
        <f>IF(VLOOKUP(B94,Database!$A:$AU,MATCH($C$1,Database!$A$1:$AU$1,),)=0,"#N/A",((((VLOOKUP(B94,Database!$A:$AU,MATCH($C$1,Database!$A$1:$AU$1,),))))-(((VLOOKUP(EDATE(B94,-12),Database!$A:$AU,MATCH($C$1,Database!$A$1:$AU$1,),)))))/(((VLOOKUP(EDATE(B94,-12),Database!$A:$AU,MATCH($C$1,Database!$A$1:$AU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6">
      <c r="A95" s="43" t="n"/>
      <c r="B95" s="75" t="n">
        <v>35034</v>
      </c>
      <c r="C95" s="13">
        <f>IF(VLOOKUP(B95,Database!$A:$AU,MATCH($C$1,Database!$A$1:$AU$1,),)=0,"#N/A",((((VLOOKUP(B95,Database!$A:$AU,MATCH($C$1,Database!$A$1:$AU$1,),))))-(((VLOOKUP(EDATE(B95,-12),Database!$A:$AU,MATCH($C$1,Database!$A$1:$AU$1,),)))))/(((VLOOKUP(EDATE(B95,-12),Database!$A:$AU,MATCH($C$1,Database!$A$1:$AU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6">
      <c r="A96" s="43" t="n"/>
      <c r="B96" s="75" t="n">
        <v>35065</v>
      </c>
      <c r="C96" s="13">
        <f>IF(VLOOKUP(B96,Database!$A:$AU,MATCH($C$1,Database!$A$1:$AU$1,),)=0,"#N/A",((((VLOOKUP(B96,Database!$A:$AU,MATCH($C$1,Database!$A$1:$AU$1,),))))-(((VLOOKUP(EDATE(B96,-12),Database!$A:$AU,MATCH($C$1,Database!$A$1:$AU$1,),)))))/(((VLOOKUP(EDATE(B96,-12),Database!$A:$AU,MATCH($C$1,Database!$A$1:$AU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6">
      <c r="A97" s="43" t="n"/>
      <c r="B97" s="75" t="n">
        <v>35096</v>
      </c>
      <c r="C97" s="13">
        <f>IF(VLOOKUP(B97,Database!$A:$AU,MATCH($C$1,Database!$A$1:$AU$1,),)=0,"#N/A",((((VLOOKUP(B97,Database!$A:$AU,MATCH($C$1,Database!$A$1:$AU$1,),))))-(((VLOOKUP(EDATE(B97,-12),Database!$A:$AU,MATCH($C$1,Database!$A$1:$AU$1,),)))))/(((VLOOKUP(EDATE(B97,-12),Database!$A:$AU,MATCH($C$1,Database!$A$1:$AU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6">
      <c r="A98" s="43" t="n"/>
      <c r="B98" s="75" t="n">
        <v>35125</v>
      </c>
      <c r="C98" s="13">
        <f>IF(VLOOKUP(B98,Database!$A:$AU,MATCH($C$1,Database!$A$1:$AU$1,),)=0,"#N/A",((((VLOOKUP(B98,Database!$A:$AU,MATCH($C$1,Database!$A$1:$AU$1,),))))-(((VLOOKUP(EDATE(B98,-12),Database!$A:$AU,MATCH($C$1,Database!$A$1:$AU$1,),)))))/(((VLOOKUP(EDATE(B98,-12),Database!$A:$AU,MATCH($C$1,Database!$A$1:$AU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6">
      <c r="A99" s="43" t="n"/>
      <c r="B99" s="75" t="n">
        <v>35156</v>
      </c>
      <c r="C99" s="13">
        <f>IF(VLOOKUP(B99,Database!$A:$AU,MATCH($C$1,Database!$A$1:$AU$1,),)=0,"#N/A",((((VLOOKUP(B99,Database!$A:$AU,MATCH($C$1,Database!$A$1:$AU$1,),))))-(((VLOOKUP(EDATE(B99,-12),Database!$A:$AU,MATCH($C$1,Database!$A$1:$AU$1,),)))))/(((VLOOKUP(EDATE(B99,-12),Database!$A:$AU,MATCH($C$1,Database!$A$1:$AU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6">
      <c r="A100" s="43" t="n"/>
      <c r="B100" s="75" t="n">
        <v>35186</v>
      </c>
      <c r="C100" s="13">
        <f>IF(VLOOKUP(B100,Database!$A:$AU,MATCH($C$1,Database!$A$1:$AU$1,),)=0,"#N/A",((((VLOOKUP(B100,Database!$A:$AU,MATCH($C$1,Database!$A$1:$AU$1,),))))-(((VLOOKUP(EDATE(B100,-12),Database!$A:$AU,MATCH($C$1,Database!$A$1:$AU$1,),)))))/(((VLOOKUP(EDATE(B100,-12),Database!$A:$AU,MATCH($C$1,Database!$A$1:$AU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6">
      <c r="A101" s="43" t="n"/>
      <c r="B101" s="75" t="n">
        <v>35217</v>
      </c>
      <c r="C101" s="13">
        <f>IF(VLOOKUP(B101,Database!$A:$AU,MATCH($C$1,Database!$A$1:$AU$1,),)=0,"#N/A",((((VLOOKUP(B101,Database!$A:$AU,MATCH($C$1,Database!$A$1:$AU$1,),))))-(((VLOOKUP(EDATE(B101,-12),Database!$A:$AU,MATCH($C$1,Database!$A$1:$AU$1,),)))))/(((VLOOKUP(EDATE(B101,-12),Database!$A:$AU,MATCH($C$1,Database!$A$1:$AU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6">
      <c r="A102" s="43" t="n"/>
      <c r="B102" s="75" t="n">
        <v>35247</v>
      </c>
      <c r="C102" s="13">
        <f>IF(VLOOKUP(B102,Database!$A:$AU,MATCH($C$1,Database!$A$1:$AU$1,),)=0,"#N/A",((((VLOOKUP(B102,Database!$A:$AU,MATCH($C$1,Database!$A$1:$AU$1,),))))-(((VLOOKUP(EDATE(B102,-12),Database!$A:$AU,MATCH($C$1,Database!$A$1:$AU$1,),)))))/(((VLOOKUP(EDATE(B102,-12),Database!$A:$AU,MATCH($C$1,Database!$A$1:$AU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6">
      <c r="A103" s="43" t="n"/>
      <c r="B103" s="75" t="n">
        <v>35278</v>
      </c>
      <c r="C103" s="13">
        <f>IF(VLOOKUP(B103,Database!$A:$AU,MATCH($C$1,Database!$A$1:$AU$1,),)=0,"#N/A",((((VLOOKUP(B103,Database!$A:$AU,MATCH($C$1,Database!$A$1:$AU$1,),))))-(((VLOOKUP(EDATE(B103,-12),Database!$A:$AU,MATCH($C$1,Database!$A$1:$AU$1,),)))))/(((VLOOKUP(EDATE(B103,-12),Database!$A:$AU,MATCH($C$1,Database!$A$1:$AU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6">
      <c r="A104" s="43" t="n"/>
      <c r="B104" s="75" t="n">
        <v>35309</v>
      </c>
      <c r="C104" s="13">
        <f>IF(VLOOKUP(B104,Database!$A:$AU,MATCH($C$1,Database!$A$1:$AU$1,),)=0,"#N/A",((((VLOOKUP(B104,Database!$A:$AU,MATCH($C$1,Database!$A$1:$AU$1,),))))-(((VLOOKUP(EDATE(B104,-12),Database!$A:$AU,MATCH($C$1,Database!$A$1:$AU$1,),)))))/(((VLOOKUP(EDATE(B104,-12),Database!$A:$AU,MATCH($C$1,Database!$A$1:$AU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6">
      <c r="A105" s="43" t="n"/>
      <c r="B105" s="75" t="n">
        <v>35339</v>
      </c>
      <c r="C105" s="13">
        <f>IF(VLOOKUP(B105,Database!$A:$AU,MATCH($C$1,Database!$A$1:$AU$1,),)=0,"#N/A",((((VLOOKUP(B105,Database!$A:$AU,MATCH($C$1,Database!$A$1:$AU$1,),))))-(((VLOOKUP(EDATE(B105,-12),Database!$A:$AU,MATCH($C$1,Database!$A$1:$AU$1,),)))))/(((VLOOKUP(EDATE(B105,-12),Database!$A:$AU,MATCH($C$1,Database!$A$1:$AU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6">
      <c r="A106" s="43" t="n"/>
      <c r="B106" s="75" t="n">
        <v>35370</v>
      </c>
      <c r="C106" s="13">
        <f>IF(VLOOKUP(B106,Database!$A:$AU,MATCH($C$1,Database!$A$1:$AU$1,),)=0,"#N/A",((((VLOOKUP(B106,Database!$A:$AU,MATCH($C$1,Database!$A$1:$AU$1,),))))-(((VLOOKUP(EDATE(B106,-12),Database!$A:$AU,MATCH($C$1,Database!$A$1:$AU$1,),)))))/(((VLOOKUP(EDATE(B106,-12),Database!$A:$AU,MATCH($C$1,Database!$A$1:$AU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6">
      <c r="A107" s="43" t="n"/>
      <c r="B107" s="75" t="n">
        <v>35400</v>
      </c>
      <c r="C107" s="13">
        <f>IF(VLOOKUP(B107,Database!$A:$AU,MATCH($C$1,Database!$A$1:$AU$1,),)=0,"#N/A",((((VLOOKUP(B107,Database!$A:$AU,MATCH($C$1,Database!$A$1:$AU$1,),))))-(((VLOOKUP(EDATE(B107,-12),Database!$A:$AU,MATCH($C$1,Database!$A$1:$AU$1,),)))))/(((VLOOKUP(EDATE(B107,-12),Database!$A:$AU,MATCH($C$1,Database!$A$1:$AU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6">
      <c r="A108" s="43" t="n"/>
      <c r="B108" s="75" t="n">
        <v>35431</v>
      </c>
      <c r="C108" s="13">
        <f>IF(VLOOKUP(B108,Database!$A:$AU,MATCH($C$1,Database!$A$1:$AU$1,),)=0,"#N/A",((((VLOOKUP(B108,Database!$A:$AU,MATCH($C$1,Database!$A$1:$AU$1,),))))-(((VLOOKUP(EDATE(B108,-12),Database!$A:$AU,MATCH($C$1,Database!$A$1:$AU$1,),)))))/(((VLOOKUP(EDATE(B108,-12),Database!$A:$AU,MATCH($C$1,Database!$A$1:$AU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6">
      <c r="A109" s="43" t="n"/>
      <c r="B109" s="75" t="n">
        <v>35462</v>
      </c>
      <c r="C109" s="13">
        <f>IF(VLOOKUP(B109,Database!$A:$AU,MATCH($C$1,Database!$A$1:$AU$1,),)=0,"#N/A",((((VLOOKUP(B109,Database!$A:$AU,MATCH($C$1,Database!$A$1:$AU$1,),))))-(((VLOOKUP(EDATE(B109,-12),Database!$A:$AU,MATCH($C$1,Database!$A$1:$AU$1,),)))))/(((VLOOKUP(EDATE(B109,-12),Database!$A:$AU,MATCH($C$1,Database!$A$1:$AU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6">
      <c r="A110" s="43" t="n"/>
      <c r="B110" s="75" t="n">
        <v>35490</v>
      </c>
      <c r="C110" s="13">
        <f>IF(VLOOKUP(B110,Database!$A:$AU,MATCH($C$1,Database!$A$1:$AU$1,),)=0,"#N/A",((((VLOOKUP(B110,Database!$A:$AU,MATCH($C$1,Database!$A$1:$AU$1,),))))-(((VLOOKUP(EDATE(B110,-12),Database!$A:$AU,MATCH($C$1,Database!$A$1:$AU$1,),)))))/(((VLOOKUP(EDATE(B110,-12),Database!$A:$AU,MATCH($C$1,Database!$A$1:$AU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6">
      <c r="A111" s="43" t="n"/>
      <c r="B111" s="75" t="n">
        <v>35521</v>
      </c>
      <c r="C111" s="13">
        <f>IF(VLOOKUP(B111,Database!$A:$AU,MATCH($C$1,Database!$A$1:$AU$1,),)=0,"#N/A",((((VLOOKUP(B111,Database!$A:$AU,MATCH($C$1,Database!$A$1:$AU$1,),))))-(((VLOOKUP(EDATE(B111,-12),Database!$A:$AU,MATCH($C$1,Database!$A$1:$AU$1,),)))))/(((VLOOKUP(EDATE(B111,-12),Database!$A:$AU,MATCH($C$1,Database!$A$1:$AU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6">
      <c r="A112" s="43" t="n"/>
      <c r="B112" s="75" t="n">
        <v>35551</v>
      </c>
      <c r="C112" s="13">
        <f>IF(VLOOKUP(B112,Database!$A:$AU,MATCH($C$1,Database!$A$1:$AU$1,),)=0,"#N/A",((((VLOOKUP(B112,Database!$A:$AU,MATCH($C$1,Database!$A$1:$AU$1,),))))-(((VLOOKUP(EDATE(B112,-12),Database!$A:$AU,MATCH($C$1,Database!$A$1:$AU$1,),)))))/(((VLOOKUP(EDATE(B112,-12),Database!$A:$AU,MATCH($C$1,Database!$A$1:$AU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6">
      <c r="A113" s="43" t="n"/>
      <c r="B113" s="75" t="n">
        <v>35582</v>
      </c>
      <c r="C113" s="13">
        <f>IF(VLOOKUP(B113,Database!$A:$AU,MATCH($C$1,Database!$A$1:$AU$1,),)=0,"#N/A",((((VLOOKUP(B113,Database!$A:$AU,MATCH($C$1,Database!$A$1:$AU$1,),))))-(((VLOOKUP(EDATE(B113,-12),Database!$A:$AU,MATCH($C$1,Database!$A$1:$AU$1,),)))))/(((VLOOKUP(EDATE(B113,-12),Database!$A:$AU,MATCH($C$1,Database!$A$1:$AU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6">
      <c r="A114" s="43" t="n"/>
      <c r="B114" s="75" t="n">
        <v>35612</v>
      </c>
      <c r="C114" s="13">
        <f>IF(VLOOKUP(B114,Database!$A:$AU,MATCH($C$1,Database!$A$1:$AU$1,),)=0,"#N/A",((((VLOOKUP(B114,Database!$A:$AU,MATCH($C$1,Database!$A$1:$AU$1,),))))-(((VLOOKUP(EDATE(B114,-12),Database!$A:$AU,MATCH($C$1,Database!$A$1:$AU$1,),)))))/(((VLOOKUP(EDATE(B114,-12),Database!$A:$AU,MATCH($C$1,Database!$A$1:$AU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6">
      <c r="A115" s="43" t="n"/>
      <c r="B115" s="75" t="n">
        <v>35643</v>
      </c>
      <c r="C115" s="13">
        <f>IF(VLOOKUP(B115,Database!$A:$AU,MATCH($C$1,Database!$A$1:$AU$1,),)=0,"#N/A",((((VLOOKUP(B115,Database!$A:$AU,MATCH($C$1,Database!$A$1:$AU$1,),))))-(((VLOOKUP(EDATE(B115,-12),Database!$A:$AU,MATCH($C$1,Database!$A$1:$AU$1,),)))))/(((VLOOKUP(EDATE(B115,-12),Database!$A:$AU,MATCH($C$1,Database!$A$1:$AU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6">
      <c r="A116" s="43" t="n"/>
      <c r="B116" s="75" t="n">
        <v>35674</v>
      </c>
      <c r="C116" s="13">
        <f>IF(VLOOKUP(B116,Database!$A:$AU,MATCH($C$1,Database!$A$1:$AU$1,),)=0,"#N/A",((((VLOOKUP(B116,Database!$A:$AU,MATCH($C$1,Database!$A$1:$AU$1,),))))-(((VLOOKUP(EDATE(B116,-12),Database!$A:$AU,MATCH($C$1,Database!$A$1:$AU$1,),)))))/(((VLOOKUP(EDATE(B116,-12),Database!$A:$AU,MATCH($C$1,Database!$A$1:$AU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6">
      <c r="A117" s="43" t="n"/>
      <c r="B117" s="75" t="n">
        <v>35704</v>
      </c>
      <c r="C117" s="13">
        <f>IF(VLOOKUP(B117,Database!$A:$AU,MATCH($C$1,Database!$A$1:$AU$1,),)=0,"#N/A",((((VLOOKUP(B117,Database!$A:$AU,MATCH($C$1,Database!$A$1:$AU$1,),))))-(((VLOOKUP(EDATE(B117,-12),Database!$A:$AU,MATCH($C$1,Database!$A$1:$AU$1,),)))))/(((VLOOKUP(EDATE(B117,-12),Database!$A:$AU,MATCH($C$1,Database!$A$1:$AU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6">
      <c r="A118" s="43" t="n"/>
      <c r="B118" s="75" t="n">
        <v>35735</v>
      </c>
      <c r="C118" s="13">
        <f>IF(VLOOKUP(B118,Database!$A:$AU,MATCH($C$1,Database!$A$1:$AU$1,),)=0,"#N/A",((((VLOOKUP(B118,Database!$A:$AU,MATCH($C$1,Database!$A$1:$AU$1,),))))-(((VLOOKUP(EDATE(B118,-12),Database!$A:$AU,MATCH($C$1,Database!$A$1:$AU$1,),)))))/(((VLOOKUP(EDATE(B118,-12),Database!$A:$AU,MATCH($C$1,Database!$A$1:$AU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6">
      <c r="A119" s="43" t="n"/>
      <c r="B119" s="75" t="n">
        <v>35765</v>
      </c>
      <c r="C119" s="13">
        <f>IF(VLOOKUP(B119,Database!$A:$AU,MATCH($C$1,Database!$A$1:$AU$1,),)=0,"#N/A",((((VLOOKUP(B119,Database!$A:$AU,MATCH($C$1,Database!$A$1:$AU$1,),))))-(((VLOOKUP(EDATE(B119,-12),Database!$A:$AU,MATCH($C$1,Database!$A$1:$AU$1,),)))))/(((VLOOKUP(EDATE(B119,-12),Database!$A:$AU,MATCH($C$1,Database!$A$1:$AU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6">
      <c r="A120" s="43" t="n"/>
      <c r="B120" s="75" t="n">
        <v>35796</v>
      </c>
      <c r="C120" s="13">
        <f>IF(VLOOKUP(B120,Database!$A:$AU,MATCH($C$1,Database!$A$1:$AU$1,),)=0,"#N/A",((((VLOOKUP(B120,Database!$A:$AU,MATCH($C$1,Database!$A$1:$AU$1,),))))-(((VLOOKUP(EDATE(B120,-12),Database!$A:$AU,MATCH($C$1,Database!$A$1:$AU$1,),)))))/(((VLOOKUP(EDATE(B120,-12),Database!$A:$AU,MATCH($C$1,Database!$A$1:$AU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6">
      <c r="A121" s="43" t="n"/>
      <c r="B121" s="75" t="n">
        <v>35827</v>
      </c>
      <c r="C121" s="13">
        <f>IF(VLOOKUP(B121,Database!$A:$AU,MATCH($C$1,Database!$A$1:$AU$1,),)=0,"#N/A",((((VLOOKUP(B121,Database!$A:$AU,MATCH($C$1,Database!$A$1:$AU$1,),))))-(((VLOOKUP(EDATE(B121,-12),Database!$A:$AU,MATCH($C$1,Database!$A$1:$AU$1,),)))))/(((VLOOKUP(EDATE(B121,-12),Database!$A:$AU,MATCH($C$1,Database!$A$1:$AU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6">
      <c r="A122" s="43" t="n"/>
      <c r="B122" s="75" t="n">
        <v>35855</v>
      </c>
      <c r="C122" s="13">
        <f>IF(VLOOKUP(B122,Database!$A:$AU,MATCH($C$1,Database!$A$1:$AU$1,),)=0,"#N/A",((((VLOOKUP(B122,Database!$A:$AU,MATCH($C$1,Database!$A$1:$AU$1,),))))-(((VLOOKUP(EDATE(B122,-12),Database!$A:$AU,MATCH($C$1,Database!$A$1:$AU$1,),)))))/(((VLOOKUP(EDATE(B122,-12),Database!$A:$AU,MATCH($C$1,Database!$A$1:$AU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6">
      <c r="A123" s="43" t="n"/>
      <c r="B123" s="75" t="n">
        <v>35886</v>
      </c>
      <c r="C123" s="13">
        <f>IF(VLOOKUP(B123,Database!$A:$AU,MATCH($C$1,Database!$A$1:$AU$1,),)=0,"#N/A",((((VLOOKUP(B123,Database!$A:$AU,MATCH($C$1,Database!$A$1:$AU$1,),))))-(((VLOOKUP(EDATE(B123,-12),Database!$A:$AU,MATCH($C$1,Database!$A$1:$AU$1,),)))))/(((VLOOKUP(EDATE(B123,-12),Database!$A:$AU,MATCH($C$1,Database!$A$1:$AU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6">
      <c r="A124" s="43" t="n"/>
      <c r="B124" s="75" t="n">
        <v>35916</v>
      </c>
      <c r="C124" s="13">
        <f>IF(VLOOKUP(B124,Database!$A:$AU,MATCH($C$1,Database!$A$1:$AU$1,),)=0,"#N/A",((((VLOOKUP(B124,Database!$A:$AU,MATCH($C$1,Database!$A$1:$AU$1,),))))-(((VLOOKUP(EDATE(B124,-12),Database!$A:$AU,MATCH($C$1,Database!$A$1:$AU$1,),)))))/(((VLOOKUP(EDATE(B124,-12),Database!$A:$AU,MATCH($C$1,Database!$A$1:$AU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6">
      <c r="A125" s="43" t="n"/>
      <c r="B125" s="75" t="n">
        <v>35947</v>
      </c>
      <c r="C125" s="13">
        <f>IF(VLOOKUP(B125,Database!$A:$AU,MATCH($C$1,Database!$A$1:$AU$1,),)=0,"#N/A",((((VLOOKUP(B125,Database!$A:$AU,MATCH($C$1,Database!$A$1:$AU$1,),))))-(((VLOOKUP(EDATE(B125,-12),Database!$A:$AU,MATCH($C$1,Database!$A$1:$AU$1,),)))))/(((VLOOKUP(EDATE(B125,-12),Database!$A:$AU,MATCH($C$1,Database!$A$1:$AU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6">
      <c r="A126" s="43" t="n"/>
      <c r="B126" s="75" t="n">
        <v>35977</v>
      </c>
      <c r="C126" s="13">
        <f>IF(VLOOKUP(B126,Database!$A:$AU,MATCH($C$1,Database!$A$1:$AU$1,),)=0,"#N/A",((((VLOOKUP(B126,Database!$A:$AU,MATCH($C$1,Database!$A$1:$AU$1,),))))-(((VLOOKUP(EDATE(B126,-12),Database!$A:$AU,MATCH($C$1,Database!$A$1:$AU$1,),)))))/(((VLOOKUP(EDATE(B126,-12),Database!$A:$AU,MATCH($C$1,Database!$A$1:$AU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6">
      <c r="A127" s="43" t="n"/>
      <c r="B127" s="75" t="n">
        <v>36008</v>
      </c>
      <c r="C127" s="13">
        <f>IF(VLOOKUP(B127,Database!$A:$AU,MATCH($C$1,Database!$A$1:$AU$1,),)=0,"#N/A",((((VLOOKUP(B127,Database!$A:$AU,MATCH($C$1,Database!$A$1:$AU$1,),))))-(((VLOOKUP(EDATE(B127,-12),Database!$A:$AU,MATCH($C$1,Database!$A$1:$AU$1,),)))))/(((VLOOKUP(EDATE(B127,-12),Database!$A:$AU,MATCH($C$1,Database!$A$1:$AU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6">
      <c r="A128" s="43" t="n"/>
      <c r="B128" s="75" t="n">
        <v>36039</v>
      </c>
      <c r="C128" s="13">
        <f>IF(VLOOKUP(B128,Database!$A:$AU,MATCH($C$1,Database!$A$1:$AU$1,),)=0,"#N/A",((((VLOOKUP(B128,Database!$A:$AU,MATCH($C$1,Database!$A$1:$AU$1,),))))-(((VLOOKUP(EDATE(B128,-12),Database!$A:$AU,MATCH($C$1,Database!$A$1:$AU$1,),)))))/(((VLOOKUP(EDATE(B128,-12),Database!$A:$AU,MATCH($C$1,Database!$A$1:$AU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6">
      <c r="A129" s="43" t="n"/>
      <c r="B129" s="75" t="n">
        <v>36069</v>
      </c>
      <c r="C129" s="13">
        <f>IF(VLOOKUP(B129,Database!$A:$AU,MATCH($C$1,Database!$A$1:$AU$1,),)=0,"#N/A",((((VLOOKUP(B129,Database!$A:$AU,MATCH($C$1,Database!$A$1:$AU$1,),))))-(((VLOOKUP(EDATE(B129,-12),Database!$A:$AU,MATCH($C$1,Database!$A$1:$AU$1,),)))))/(((VLOOKUP(EDATE(B129,-12),Database!$A:$AU,MATCH($C$1,Database!$A$1:$AU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6">
      <c r="A130" s="43" t="n"/>
      <c r="B130" s="75" t="n">
        <v>36100</v>
      </c>
      <c r="C130" s="13">
        <f>IF(VLOOKUP(B130,Database!$A:$AU,MATCH($C$1,Database!$A$1:$AU$1,),)=0,"#N/A",((((VLOOKUP(B130,Database!$A:$AU,MATCH($C$1,Database!$A$1:$AU$1,),))))-(((VLOOKUP(EDATE(B130,-12),Database!$A:$AU,MATCH($C$1,Database!$A$1:$AU$1,),)))))/(((VLOOKUP(EDATE(B130,-12),Database!$A:$AU,MATCH($C$1,Database!$A$1:$AU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6">
      <c r="A131" s="43" t="n"/>
      <c r="B131" s="75" t="n">
        <v>36130</v>
      </c>
      <c r="C131" s="13">
        <f>IF(VLOOKUP(B131,Database!$A:$AU,MATCH($C$1,Database!$A$1:$AU$1,),)=0,"#N/A",((((VLOOKUP(B131,Database!$A:$AU,MATCH($C$1,Database!$A$1:$AU$1,),))))-(((VLOOKUP(EDATE(B131,-12),Database!$A:$AU,MATCH($C$1,Database!$A$1:$AU$1,),)))))/(((VLOOKUP(EDATE(B131,-12),Database!$A:$AU,MATCH($C$1,Database!$A$1:$AU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6">
      <c r="A132" s="43" t="n"/>
      <c r="B132" s="75" t="n">
        <v>36161</v>
      </c>
      <c r="C132" s="13">
        <f>IF(VLOOKUP(B132,Database!$A:$AU,MATCH($C$1,Database!$A$1:$AU$1,),)=0,"#N/A",((((VLOOKUP(B132,Database!$A:$AU,MATCH($C$1,Database!$A$1:$AU$1,),))))-(((VLOOKUP(EDATE(B132,-12),Database!$A:$AU,MATCH($C$1,Database!$A$1:$AU$1,),)))))/(((VLOOKUP(EDATE(B132,-12),Database!$A:$AU,MATCH($C$1,Database!$A$1:$AU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6">
      <c r="A133" s="43" t="n"/>
      <c r="B133" s="75" t="n">
        <v>36192</v>
      </c>
      <c r="C133" s="13">
        <f>IF(VLOOKUP(B133,Database!$A:$AU,MATCH($C$1,Database!$A$1:$AU$1,),)=0,"#N/A",((((VLOOKUP(B133,Database!$A:$AU,MATCH($C$1,Database!$A$1:$AU$1,),))))-(((VLOOKUP(EDATE(B133,-12),Database!$A:$AU,MATCH($C$1,Database!$A$1:$AU$1,),)))))/(((VLOOKUP(EDATE(B133,-12),Database!$A:$AU,MATCH($C$1,Database!$A$1:$AU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6">
      <c r="A134" s="43" t="n"/>
      <c r="B134" s="75" t="n">
        <v>36220</v>
      </c>
      <c r="C134" s="13">
        <f>IF(VLOOKUP(B134,Database!$A:$AU,MATCH($C$1,Database!$A$1:$AU$1,),)=0,"#N/A",((((VLOOKUP(B134,Database!$A:$AU,MATCH($C$1,Database!$A$1:$AU$1,),))))-(((VLOOKUP(EDATE(B134,-12),Database!$A:$AU,MATCH($C$1,Database!$A$1:$AU$1,),)))))/(((VLOOKUP(EDATE(B134,-12),Database!$A:$AU,MATCH($C$1,Database!$A$1:$AU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6">
      <c r="A135" s="43" t="n"/>
      <c r="B135" s="75" t="n">
        <v>36251</v>
      </c>
      <c r="C135" s="13">
        <f>IF(VLOOKUP(B135,Database!$A:$AU,MATCH($C$1,Database!$A$1:$AU$1,),)=0,"#N/A",((((VLOOKUP(B135,Database!$A:$AU,MATCH($C$1,Database!$A$1:$AU$1,),))))-(((VLOOKUP(EDATE(B135,-12),Database!$A:$AU,MATCH($C$1,Database!$A$1:$AU$1,),)))))/(((VLOOKUP(EDATE(B135,-12),Database!$A:$AU,MATCH($C$1,Database!$A$1:$AU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6">
      <c r="A136" s="43" t="n"/>
      <c r="B136" s="75" t="n">
        <v>36281</v>
      </c>
      <c r="C136" s="13">
        <f>IF(VLOOKUP(B136,Database!$A:$AU,MATCH($C$1,Database!$A$1:$AU$1,),)=0,"#N/A",((((VLOOKUP(B136,Database!$A:$AU,MATCH($C$1,Database!$A$1:$AU$1,),))))-(((VLOOKUP(EDATE(B136,-12),Database!$A:$AU,MATCH($C$1,Database!$A$1:$AU$1,),)))))/(((VLOOKUP(EDATE(B136,-12),Database!$A:$AU,MATCH($C$1,Database!$A$1:$AU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6">
      <c r="A137" s="43" t="n"/>
      <c r="B137" s="75" t="n">
        <v>36312</v>
      </c>
      <c r="C137" s="13">
        <f>IF(VLOOKUP(B137,Database!$A:$AU,MATCH($C$1,Database!$A$1:$AU$1,),)=0,"#N/A",((((VLOOKUP(B137,Database!$A:$AU,MATCH($C$1,Database!$A$1:$AU$1,),))))-(((VLOOKUP(EDATE(B137,-12),Database!$A:$AU,MATCH($C$1,Database!$A$1:$AU$1,),)))))/(((VLOOKUP(EDATE(B137,-12),Database!$A:$AU,MATCH($C$1,Database!$A$1:$AU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6">
      <c r="A138" s="43" t="n"/>
      <c r="B138" s="75" t="n">
        <v>36342</v>
      </c>
      <c r="C138" s="13">
        <f>IF(VLOOKUP(B138,Database!$A:$AU,MATCH($C$1,Database!$A$1:$AU$1,),)=0,"#N/A",((((VLOOKUP(B138,Database!$A:$AU,MATCH($C$1,Database!$A$1:$AU$1,),))))-(((VLOOKUP(EDATE(B138,-12),Database!$A:$AU,MATCH($C$1,Database!$A$1:$AU$1,),)))))/(((VLOOKUP(EDATE(B138,-12),Database!$A:$AU,MATCH($C$1,Database!$A$1:$AU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6">
      <c r="A139" s="43" t="n"/>
      <c r="B139" s="75" t="n">
        <v>36373</v>
      </c>
      <c r="C139" s="13">
        <f>IF(VLOOKUP(B139,Database!$A:$AU,MATCH($C$1,Database!$A$1:$AU$1,),)=0,"#N/A",((((VLOOKUP(B139,Database!$A:$AU,MATCH($C$1,Database!$A$1:$AU$1,),))))-(((VLOOKUP(EDATE(B139,-12),Database!$A:$AU,MATCH($C$1,Database!$A$1:$AU$1,),)))))/(((VLOOKUP(EDATE(B139,-12),Database!$A:$AU,MATCH($C$1,Database!$A$1:$AU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6">
      <c r="A140" s="43" t="n"/>
      <c r="B140" s="75" t="n">
        <v>36404</v>
      </c>
      <c r="C140" s="13">
        <f>IF(VLOOKUP(B140,Database!$A:$AU,MATCH($C$1,Database!$A$1:$AU$1,),)=0,"#N/A",((((VLOOKUP(B140,Database!$A:$AU,MATCH($C$1,Database!$A$1:$AU$1,),))))-(((VLOOKUP(EDATE(B140,-12),Database!$A:$AU,MATCH($C$1,Database!$A$1:$AU$1,),)))))/(((VLOOKUP(EDATE(B140,-12),Database!$A:$AU,MATCH($C$1,Database!$A$1:$AU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6">
      <c r="A141" s="43" t="n"/>
      <c r="B141" s="75" t="n">
        <v>36434</v>
      </c>
      <c r="C141" s="13">
        <f>IF(VLOOKUP(B141,Database!$A:$AU,MATCH($C$1,Database!$A$1:$AU$1,),)=0,"#N/A",((((VLOOKUP(B141,Database!$A:$AU,MATCH($C$1,Database!$A$1:$AU$1,),))))-(((VLOOKUP(EDATE(B141,-12),Database!$A:$AU,MATCH($C$1,Database!$A$1:$AU$1,),)))))/(((VLOOKUP(EDATE(B141,-12),Database!$A:$AU,MATCH($C$1,Database!$A$1:$AU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6">
      <c r="A142" s="43" t="n"/>
      <c r="B142" s="75" t="n">
        <v>36465</v>
      </c>
      <c r="C142" s="13">
        <f>IF(VLOOKUP(B142,Database!$A:$AU,MATCH($C$1,Database!$A$1:$AU$1,),)=0,"#N/A",((((VLOOKUP(B142,Database!$A:$AU,MATCH($C$1,Database!$A$1:$AU$1,),))))-(((VLOOKUP(EDATE(B142,-12),Database!$A:$AU,MATCH($C$1,Database!$A$1:$AU$1,),)))))/(((VLOOKUP(EDATE(B142,-12),Database!$A:$AU,MATCH($C$1,Database!$A$1:$AU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6">
      <c r="A143" s="43" t="n"/>
      <c r="B143" s="75" t="n">
        <v>36495</v>
      </c>
      <c r="C143" s="13">
        <f>IF(VLOOKUP(B143,Database!$A:$AU,MATCH($C$1,Database!$A$1:$AU$1,),)=0,"#N/A",((((VLOOKUP(B143,Database!$A:$AU,MATCH($C$1,Database!$A$1:$AU$1,),))))-(((VLOOKUP(EDATE(B143,-12),Database!$A:$AU,MATCH($C$1,Database!$A$1:$AU$1,),)))))/(((VLOOKUP(EDATE(B143,-12),Database!$A:$AU,MATCH($C$1,Database!$A$1:$AU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6">
      <c r="A144" s="43" t="n"/>
      <c r="B144" s="75" t="n">
        <v>36526</v>
      </c>
      <c r="C144" s="13">
        <f>IF(VLOOKUP(B144,Database!$A:$AU,MATCH($C$1,Database!$A$1:$AU$1,),)=0,"#N/A",((((VLOOKUP(B144,Database!$A:$AU,MATCH($C$1,Database!$A$1:$AU$1,),))))-(((VLOOKUP(EDATE(B144,-12),Database!$A:$AU,MATCH($C$1,Database!$A$1:$AU$1,),)))))/(((VLOOKUP(EDATE(B144,-12),Database!$A:$AU,MATCH($C$1,Database!$A$1:$AU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6">
      <c r="A145" s="43" t="n"/>
      <c r="B145" s="75" t="n">
        <v>36557</v>
      </c>
      <c r="C145" s="13">
        <f>IF(VLOOKUP(B145,Database!$A:$AU,MATCH($C$1,Database!$A$1:$AU$1,),)=0,"#N/A",((((VLOOKUP(B145,Database!$A:$AU,MATCH($C$1,Database!$A$1:$AU$1,),))))-(((VLOOKUP(EDATE(B145,-12),Database!$A:$AU,MATCH($C$1,Database!$A$1:$AU$1,),)))))/(((VLOOKUP(EDATE(B145,-12),Database!$A:$AU,MATCH($C$1,Database!$A$1:$AU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6">
      <c r="A146" s="43" t="n"/>
      <c r="B146" s="75" t="n">
        <v>36586</v>
      </c>
      <c r="C146" s="13">
        <f>IF(VLOOKUP(B146,Database!$A:$AU,MATCH($C$1,Database!$A$1:$AU$1,),)=0,"#N/A",((((VLOOKUP(B146,Database!$A:$AU,MATCH($C$1,Database!$A$1:$AU$1,),))))-(((VLOOKUP(EDATE(B146,-12),Database!$A:$AU,MATCH($C$1,Database!$A$1:$AU$1,),)))))/(((VLOOKUP(EDATE(B146,-12),Database!$A:$AU,MATCH($C$1,Database!$A$1:$AU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6">
      <c r="A147" s="43" t="n"/>
      <c r="B147" s="75" t="n">
        <v>36617</v>
      </c>
      <c r="C147" s="13">
        <f>IF(VLOOKUP(B147,Database!$A:$AU,MATCH($C$1,Database!$A$1:$AU$1,),)=0,"#N/A",((((VLOOKUP(B147,Database!$A:$AU,MATCH($C$1,Database!$A$1:$AU$1,),))))-(((VLOOKUP(EDATE(B147,-12),Database!$A:$AU,MATCH($C$1,Database!$A$1:$AU$1,),)))))/(((VLOOKUP(EDATE(B147,-12),Database!$A:$AU,MATCH($C$1,Database!$A$1:$AU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6">
      <c r="A148" s="43" t="n"/>
      <c r="B148" s="75" t="n">
        <v>36647</v>
      </c>
      <c r="C148" s="13">
        <f>IF(VLOOKUP(B148,Database!$A:$AU,MATCH($C$1,Database!$A$1:$AU$1,),)=0,"#N/A",((((VLOOKUP(B148,Database!$A:$AU,MATCH($C$1,Database!$A$1:$AU$1,),))))-(((VLOOKUP(EDATE(B148,-12),Database!$A:$AU,MATCH($C$1,Database!$A$1:$AU$1,),)))))/(((VLOOKUP(EDATE(B148,-12),Database!$A:$AU,MATCH($C$1,Database!$A$1:$AU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6">
      <c r="A149" s="43" t="n"/>
      <c r="B149" s="75" t="n">
        <v>36678</v>
      </c>
      <c r="C149" s="13">
        <f>IF(VLOOKUP(B149,Database!$A:$AU,MATCH($C$1,Database!$A$1:$AU$1,),)=0,"#N/A",((((VLOOKUP(B149,Database!$A:$AU,MATCH($C$1,Database!$A$1:$AU$1,),))))-(((VLOOKUP(EDATE(B149,-12),Database!$A:$AU,MATCH($C$1,Database!$A$1:$AU$1,),)))))/(((VLOOKUP(EDATE(B149,-12),Database!$A:$AU,MATCH($C$1,Database!$A$1:$AU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6">
      <c r="A150" s="43" t="n"/>
      <c r="B150" s="75" t="n">
        <v>36708</v>
      </c>
      <c r="C150" s="13">
        <f>IF(VLOOKUP(B150,Database!$A:$AU,MATCH($C$1,Database!$A$1:$AU$1,),)=0,"#N/A",((((VLOOKUP(B150,Database!$A:$AU,MATCH($C$1,Database!$A$1:$AU$1,),))))-(((VLOOKUP(EDATE(B150,-12),Database!$A:$AU,MATCH($C$1,Database!$A$1:$AU$1,),)))))/(((VLOOKUP(EDATE(B150,-12),Database!$A:$AU,MATCH($C$1,Database!$A$1:$AU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6">
      <c r="A151" s="43" t="n"/>
      <c r="B151" s="75" t="n">
        <v>36739</v>
      </c>
      <c r="C151" s="13">
        <f>IF(VLOOKUP(B151,Database!$A:$AU,MATCH($C$1,Database!$A$1:$AU$1,),)=0,"#N/A",((((VLOOKUP(B151,Database!$A:$AU,MATCH($C$1,Database!$A$1:$AU$1,),))))-(((VLOOKUP(EDATE(B151,-12),Database!$A:$AU,MATCH($C$1,Database!$A$1:$AU$1,),)))))/(((VLOOKUP(EDATE(B151,-12),Database!$A:$AU,MATCH($C$1,Database!$A$1:$AU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6">
      <c r="A152" s="43" t="n"/>
      <c r="B152" s="75" t="n">
        <v>36770</v>
      </c>
      <c r="C152" s="13">
        <f>IF(VLOOKUP(B152,Database!$A:$AU,MATCH($C$1,Database!$A$1:$AU$1,),)=0,"#N/A",((((VLOOKUP(B152,Database!$A:$AU,MATCH($C$1,Database!$A$1:$AU$1,),))))-(((VLOOKUP(EDATE(B152,-12),Database!$A:$AU,MATCH($C$1,Database!$A$1:$AU$1,),)))))/(((VLOOKUP(EDATE(B152,-12),Database!$A:$AU,MATCH($C$1,Database!$A$1:$AU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6">
      <c r="A153" s="43" t="n"/>
      <c r="B153" s="75" t="n">
        <v>36800</v>
      </c>
      <c r="C153" s="13">
        <f>IF(VLOOKUP(B153,Database!$A:$AU,MATCH($C$1,Database!$A$1:$AU$1,),)=0,"#N/A",((((VLOOKUP(B153,Database!$A:$AU,MATCH($C$1,Database!$A$1:$AU$1,),))))-(((VLOOKUP(EDATE(B153,-12),Database!$A:$AU,MATCH($C$1,Database!$A$1:$AU$1,),)))))/(((VLOOKUP(EDATE(B153,-12),Database!$A:$AU,MATCH($C$1,Database!$A$1:$AU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6">
      <c r="A154" s="43" t="n"/>
      <c r="B154" s="75" t="n">
        <v>36831</v>
      </c>
      <c r="C154" s="13">
        <f>IF(VLOOKUP(B154,Database!$A:$AU,MATCH($C$1,Database!$A$1:$AU$1,),)=0,"#N/A",((((VLOOKUP(B154,Database!$A:$AU,MATCH($C$1,Database!$A$1:$AU$1,),))))-(((VLOOKUP(EDATE(B154,-12),Database!$A:$AU,MATCH($C$1,Database!$A$1:$AU$1,),)))))/(((VLOOKUP(EDATE(B154,-12),Database!$A:$AU,MATCH($C$1,Database!$A$1:$AU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6">
      <c r="A155" s="43" t="n"/>
      <c r="B155" s="75" t="n">
        <v>36861</v>
      </c>
      <c r="C155" s="13">
        <f>IF(VLOOKUP(B155,Database!$A:$AU,MATCH($C$1,Database!$A$1:$AU$1,),)=0,"#N/A",((((VLOOKUP(B155,Database!$A:$AU,MATCH($C$1,Database!$A$1:$AU$1,),))))-(((VLOOKUP(EDATE(B155,-12),Database!$A:$AU,MATCH($C$1,Database!$A$1:$AU$1,),)))))/(((VLOOKUP(EDATE(B155,-12),Database!$A:$AU,MATCH($C$1,Database!$A$1:$AU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6">
      <c r="A156" s="43" t="n"/>
      <c r="B156" s="75" t="n">
        <v>36892</v>
      </c>
      <c r="C156" s="13">
        <f>IF(VLOOKUP(B156,Database!$A:$AU,MATCH($C$1,Database!$A$1:$AU$1,),)=0,"#N/A",((((VLOOKUP(B156,Database!$A:$AU,MATCH($C$1,Database!$A$1:$AU$1,),))))-(((VLOOKUP(EDATE(B156,-12),Database!$A:$AU,MATCH($C$1,Database!$A$1:$AU$1,),)))))/(((VLOOKUP(EDATE(B156,-12),Database!$A:$AU,MATCH($C$1,Database!$A$1:$AU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6">
      <c r="A157" s="43" t="n"/>
      <c r="B157" s="75" t="n">
        <v>36923</v>
      </c>
      <c r="C157" s="13">
        <f>IF(VLOOKUP(B157,Database!$A:$AU,MATCH($C$1,Database!$A$1:$AU$1,),)=0,"#N/A",((((VLOOKUP(B157,Database!$A:$AU,MATCH($C$1,Database!$A$1:$AU$1,),))))-(((VLOOKUP(EDATE(B157,-12),Database!$A:$AU,MATCH($C$1,Database!$A$1:$AU$1,),)))))/(((VLOOKUP(EDATE(B157,-12),Database!$A:$AU,MATCH($C$1,Database!$A$1:$AU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6">
      <c r="A158" s="43" t="n"/>
      <c r="B158" s="75" t="n">
        <v>36951</v>
      </c>
      <c r="C158" s="13">
        <f>IF(VLOOKUP(B158,Database!$A:$AU,MATCH($C$1,Database!$A$1:$AU$1,),)=0,"#N/A",((((VLOOKUP(B158,Database!$A:$AU,MATCH($C$1,Database!$A$1:$AU$1,),))))-(((VLOOKUP(EDATE(B158,-12),Database!$A:$AU,MATCH($C$1,Database!$A$1:$AU$1,),)))))/(((VLOOKUP(EDATE(B158,-12),Database!$A:$AU,MATCH($C$1,Database!$A$1:$AU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6">
      <c r="A159" s="43" t="n"/>
      <c r="B159" s="75" t="n">
        <v>36982</v>
      </c>
      <c r="C159" s="13">
        <f>IF(VLOOKUP(B159,Database!$A:$AU,MATCH($C$1,Database!$A$1:$AU$1,),)=0,"#N/A",((((VLOOKUP(B159,Database!$A:$AU,MATCH($C$1,Database!$A$1:$AU$1,),))))-(((VLOOKUP(EDATE(B159,-12),Database!$A:$AU,MATCH($C$1,Database!$A$1:$AU$1,),)))))/(((VLOOKUP(EDATE(B159,-12),Database!$A:$AU,MATCH($C$1,Database!$A$1:$AU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6">
      <c r="A160" s="43" t="n"/>
      <c r="B160" s="75" t="n">
        <v>37012</v>
      </c>
      <c r="C160" s="13">
        <f>IF(VLOOKUP(B160,Database!$A:$AU,MATCH($C$1,Database!$A$1:$AU$1,),)=0,"#N/A",((((VLOOKUP(B160,Database!$A:$AU,MATCH($C$1,Database!$A$1:$AU$1,),))))-(((VLOOKUP(EDATE(B160,-12),Database!$A:$AU,MATCH($C$1,Database!$A$1:$AU$1,),)))))/(((VLOOKUP(EDATE(B160,-12),Database!$A:$AU,MATCH($C$1,Database!$A$1:$AU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6">
      <c r="A161" s="43" t="n"/>
      <c r="B161" s="75" t="n">
        <v>37043</v>
      </c>
      <c r="C161" s="13">
        <f>IF(VLOOKUP(B161,Database!$A:$AU,MATCH($C$1,Database!$A$1:$AU$1,),)=0,"#N/A",((((VLOOKUP(B161,Database!$A:$AU,MATCH($C$1,Database!$A$1:$AU$1,),))))-(((VLOOKUP(EDATE(B161,-12),Database!$A:$AU,MATCH($C$1,Database!$A$1:$AU$1,),)))))/(((VLOOKUP(EDATE(B161,-12),Database!$A:$AU,MATCH($C$1,Database!$A$1:$AU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6">
      <c r="A162" s="43" t="n"/>
      <c r="B162" s="75" t="n">
        <v>37073</v>
      </c>
      <c r="C162" s="13">
        <f>IF(VLOOKUP(B162,Database!$A:$AU,MATCH($C$1,Database!$A$1:$AU$1,),)=0,"#N/A",((((VLOOKUP(B162,Database!$A:$AU,MATCH($C$1,Database!$A$1:$AU$1,),))))-(((VLOOKUP(EDATE(B162,-12),Database!$A:$AU,MATCH($C$1,Database!$A$1:$AU$1,),)))))/(((VLOOKUP(EDATE(B162,-12),Database!$A:$AU,MATCH($C$1,Database!$A$1:$AU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6">
      <c r="A163" s="43" t="n"/>
      <c r="B163" s="75" t="n">
        <v>37104</v>
      </c>
      <c r="C163" s="13">
        <f>IF(VLOOKUP(B163,Database!$A:$AU,MATCH($C$1,Database!$A$1:$AU$1,),)=0,"#N/A",((((VLOOKUP(B163,Database!$A:$AU,MATCH($C$1,Database!$A$1:$AU$1,),))))-(((VLOOKUP(EDATE(B163,-12),Database!$A:$AU,MATCH($C$1,Database!$A$1:$AU$1,),)))))/(((VLOOKUP(EDATE(B163,-12),Database!$A:$AU,MATCH($C$1,Database!$A$1:$AU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6">
      <c r="A164" s="43" t="n"/>
      <c r="B164" s="75" t="n">
        <v>37135</v>
      </c>
      <c r="C164" s="13">
        <f>IF(VLOOKUP(B164,Database!$A:$AU,MATCH($C$1,Database!$A$1:$AU$1,),)=0,"#N/A",((((VLOOKUP(B164,Database!$A:$AU,MATCH($C$1,Database!$A$1:$AU$1,),))))-(((VLOOKUP(EDATE(B164,-12),Database!$A:$AU,MATCH($C$1,Database!$A$1:$AU$1,),)))))/(((VLOOKUP(EDATE(B164,-12),Database!$A:$AU,MATCH($C$1,Database!$A$1:$AU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6">
      <c r="A165" s="43" t="n"/>
      <c r="B165" s="75" t="n">
        <v>37165</v>
      </c>
      <c r="C165" s="13">
        <f>IF(VLOOKUP(B165,Database!$A:$AU,MATCH($C$1,Database!$A$1:$AU$1,),)=0,"#N/A",((((VLOOKUP(B165,Database!$A:$AU,MATCH($C$1,Database!$A$1:$AU$1,),))))-(((VLOOKUP(EDATE(B165,-12),Database!$A:$AU,MATCH($C$1,Database!$A$1:$AU$1,),)))))/(((VLOOKUP(EDATE(B165,-12),Database!$A:$AU,MATCH($C$1,Database!$A$1:$AU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6">
      <c r="A166" s="43" t="n"/>
      <c r="B166" s="75" t="n">
        <v>37196</v>
      </c>
      <c r="C166" s="13">
        <f>IF(VLOOKUP(B166,Database!$A:$AU,MATCH($C$1,Database!$A$1:$AU$1,),)=0,"#N/A",((((VLOOKUP(B166,Database!$A:$AU,MATCH($C$1,Database!$A$1:$AU$1,),))))-(((VLOOKUP(EDATE(B166,-12),Database!$A:$AU,MATCH($C$1,Database!$A$1:$AU$1,),)))))/(((VLOOKUP(EDATE(B166,-12),Database!$A:$AU,MATCH($C$1,Database!$A$1:$AU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6">
      <c r="A167" s="43" t="n"/>
      <c r="B167" s="75" t="n">
        <v>37226</v>
      </c>
      <c r="C167" s="13">
        <f>IF(VLOOKUP(B167,Database!$A:$AU,MATCH($C$1,Database!$A$1:$AU$1,),)=0,"#N/A",((((VLOOKUP(B167,Database!$A:$AU,MATCH($C$1,Database!$A$1:$AU$1,),))))-(((VLOOKUP(EDATE(B167,-12),Database!$A:$AU,MATCH($C$1,Database!$A$1:$AU$1,),)))))/(((VLOOKUP(EDATE(B167,-12),Database!$A:$AU,MATCH($C$1,Database!$A$1:$AU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6">
      <c r="A168" s="43" t="n"/>
      <c r="B168" s="75" t="n">
        <v>37257</v>
      </c>
      <c r="C168" s="13">
        <f>IF(VLOOKUP(B168,Database!$A:$AU,MATCH($C$1,Database!$A$1:$AU$1,),)=0,"#N/A",((((VLOOKUP(B168,Database!$A:$AU,MATCH($C$1,Database!$A$1:$AU$1,),))))-(((VLOOKUP(EDATE(B168,-12),Database!$A:$AU,MATCH($C$1,Database!$A$1:$AU$1,),)))))/(((VLOOKUP(EDATE(B168,-12),Database!$A:$AU,MATCH($C$1,Database!$A$1:$AU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6">
      <c r="A169" s="43" t="n"/>
      <c r="B169" s="75" t="n">
        <v>37288</v>
      </c>
      <c r="C169" s="13">
        <f>IF(VLOOKUP(B169,Database!$A:$AU,MATCH($C$1,Database!$A$1:$AU$1,),)=0,"#N/A",((((VLOOKUP(B169,Database!$A:$AU,MATCH($C$1,Database!$A$1:$AU$1,),))))-(((VLOOKUP(EDATE(B169,-12),Database!$A:$AU,MATCH($C$1,Database!$A$1:$AU$1,),)))))/(((VLOOKUP(EDATE(B169,-12),Database!$A:$AU,MATCH($C$1,Database!$A$1:$AU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6">
      <c r="A170" s="43" t="n"/>
      <c r="B170" s="75" t="n">
        <v>37316</v>
      </c>
      <c r="C170" s="13">
        <f>IF(VLOOKUP(B170,Database!$A:$AU,MATCH($C$1,Database!$A$1:$AU$1,),)=0,"#N/A",((((VLOOKUP(B170,Database!$A:$AU,MATCH($C$1,Database!$A$1:$AU$1,),))))-(((VLOOKUP(EDATE(B170,-12),Database!$A:$AU,MATCH($C$1,Database!$A$1:$AU$1,),)))))/(((VLOOKUP(EDATE(B170,-12),Database!$A:$AU,MATCH($C$1,Database!$A$1:$AU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6">
      <c r="A171" s="43" t="n"/>
      <c r="B171" s="75" t="n">
        <v>37347</v>
      </c>
      <c r="C171" s="13">
        <f>IF(VLOOKUP(B171,Database!$A:$AU,MATCH($C$1,Database!$A$1:$AU$1,),)=0,"#N/A",((((VLOOKUP(B171,Database!$A:$AU,MATCH($C$1,Database!$A$1:$AU$1,),))))-(((VLOOKUP(EDATE(B171,-12),Database!$A:$AU,MATCH($C$1,Database!$A$1:$AU$1,),)))))/(((VLOOKUP(EDATE(B171,-12),Database!$A:$AU,MATCH($C$1,Database!$A$1:$AU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6">
      <c r="A172" s="43" t="n"/>
      <c r="B172" s="75" t="n">
        <v>37377</v>
      </c>
      <c r="C172" s="13">
        <f>IF(VLOOKUP(B172,Database!$A:$AU,MATCH($C$1,Database!$A$1:$AU$1,),)=0,"#N/A",((((VLOOKUP(B172,Database!$A:$AU,MATCH($C$1,Database!$A$1:$AU$1,),))))-(((VLOOKUP(EDATE(B172,-12),Database!$A:$AU,MATCH($C$1,Database!$A$1:$AU$1,),)))))/(((VLOOKUP(EDATE(B172,-12),Database!$A:$AU,MATCH($C$1,Database!$A$1:$AU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6">
      <c r="A173" s="43" t="n"/>
      <c r="B173" s="75" t="n">
        <v>37408</v>
      </c>
      <c r="C173" s="13">
        <f>IF(VLOOKUP(B173,Database!$A:$AU,MATCH($C$1,Database!$A$1:$AU$1,),)=0,"#N/A",((((VLOOKUP(B173,Database!$A:$AU,MATCH($C$1,Database!$A$1:$AU$1,),))))-(((VLOOKUP(EDATE(B173,-12),Database!$A:$AU,MATCH($C$1,Database!$A$1:$AU$1,),)))))/(((VLOOKUP(EDATE(B173,-12),Database!$A:$AU,MATCH($C$1,Database!$A$1:$AU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6">
      <c r="A174" s="43" t="n"/>
      <c r="B174" s="75" t="n">
        <v>37438</v>
      </c>
      <c r="C174" s="13">
        <f>IF(VLOOKUP(B174,Database!$A:$AU,MATCH($C$1,Database!$A$1:$AU$1,),)=0,"#N/A",((((VLOOKUP(B174,Database!$A:$AU,MATCH($C$1,Database!$A$1:$AU$1,),))))-(((VLOOKUP(EDATE(B174,-12),Database!$A:$AU,MATCH($C$1,Database!$A$1:$AU$1,),)))))/(((VLOOKUP(EDATE(B174,-12),Database!$A:$AU,MATCH($C$1,Database!$A$1:$AU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6">
      <c r="A175" s="43" t="n"/>
      <c r="B175" s="75" t="n">
        <v>37469</v>
      </c>
      <c r="C175" s="13">
        <f>IF(VLOOKUP(B175,Database!$A:$AU,MATCH($C$1,Database!$A$1:$AU$1,),)=0,"#N/A",((((VLOOKUP(B175,Database!$A:$AU,MATCH($C$1,Database!$A$1:$AU$1,),))))-(((VLOOKUP(EDATE(B175,-12),Database!$A:$AU,MATCH($C$1,Database!$A$1:$AU$1,),)))))/(((VLOOKUP(EDATE(B175,-12),Database!$A:$AU,MATCH($C$1,Database!$A$1:$AU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6">
      <c r="A176" s="43" t="n"/>
      <c r="B176" s="75" t="n">
        <v>37500</v>
      </c>
      <c r="C176" s="13">
        <f>IF(VLOOKUP(B176,Database!$A:$AU,MATCH($C$1,Database!$A$1:$AU$1,),)=0,"#N/A",((((VLOOKUP(B176,Database!$A:$AU,MATCH($C$1,Database!$A$1:$AU$1,),))))-(((VLOOKUP(EDATE(B176,-12),Database!$A:$AU,MATCH($C$1,Database!$A$1:$AU$1,),)))))/(((VLOOKUP(EDATE(B176,-12),Database!$A:$AU,MATCH($C$1,Database!$A$1:$AU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6">
      <c r="A177" s="43" t="n"/>
      <c r="B177" s="75" t="n">
        <v>37530</v>
      </c>
      <c r="C177" s="13">
        <f>IF(VLOOKUP(B177,Database!$A:$AU,MATCH($C$1,Database!$A$1:$AU$1,),)=0,"#N/A",((((VLOOKUP(B177,Database!$A:$AU,MATCH($C$1,Database!$A$1:$AU$1,),))))-(((VLOOKUP(EDATE(B177,-12),Database!$A:$AU,MATCH($C$1,Database!$A$1:$AU$1,),)))))/(((VLOOKUP(EDATE(B177,-12),Database!$A:$AU,MATCH($C$1,Database!$A$1:$AU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6">
      <c r="A178" s="43" t="n"/>
      <c r="B178" s="75" t="n">
        <v>37561</v>
      </c>
      <c r="C178" s="13">
        <f>IF(VLOOKUP(B178,Database!$A:$AU,MATCH($C$1,Database!$A$1:$AU$1,),)=0,"#N/A",((((VLOOKUP(B178,Database!$A:$AU,MATCH($C$1,Database!$A$1:$AU$1,),))))-(((VLOOKUP(EDATE(B178,-12),Database!$A:$AU,MATCH($C$1,Database!$A$1:$AU$1,),)))))/(((VLOOKUP(EDATE(B178,-12),Database!$A:$AU,MATCH($C$1,Database!$A$1:$AU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6">
      <c r="A179" s="43" t="n"/>
      <c r="B179" s="75" t="n">
        <v>37591</v>
      </c>
      <c r="C179" s="13">
        <f>IF(VLOOKUP(B179,Database!$A:$AU,MATCH($C$1,Database!$A$1:$AU$1,),)=0,"#N/A",((((VLOOKUP(B179,Database!$A:$AU,MATCH($C$1,Database!$A$1:$AU$1,),))))-(((VLOOKUP(EDATE(B179,-12),Database!$A:$AU,MATCH($C$1,Database!$A$1:$AU$1,),)))))/(((VLOOKUP(EDATE(B179,-12),Database!$A:$AU,MATCH($C$1,Database!$A$1:$AU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6">
      <c r="A180" s="43" t="n"/>
      <c r="B180" s="75" t="n">
        <v>37622</v>
      </c>
      <c r="C180" s="13">
        <f>IF(VLOOKUP(B180,Database!$A:$AU,MATCH($C$1,Database!$A$1:$AU$1,),)=0,"#N/A",((((VLOOKUP(B180,Database!$A:$AU,MATCH($C$1,Database!$A$1:$AU$1,),))))-(((VLOOKUP(EDATE(B180,-12),Database!$A:$AU,MATCH($C$1,Database!$A$1:$AU$1,),)))))/(((VLOOKUP(EDATE(B180,-12),Database!$A:$AU,MATCH($C$1,Database!$A$1:$AU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6">
      <c r="A181" s="43" t="n"/>
      <c r="B181" s="75" t="n">
        <v>37653</v>
      </c>
      <c r="C181" s="13">
        <f>IF(VLOOKUP(B181,Database!$A:$AU,MATCH($C$1,Database!$A$1:$AU$1,),)=0,"#N/A",((((VLOOKUP(B181,Database!$A:$AU,MATCH($C$1,Database!$A$1:$AU$1,),))))-(((VLOOKUP(EDATE(B181,-12),Database!$A:$AU,MATCH($C$1,Database!$A$1:$AU$1,),)))))/(((VLOOKUP(EDATE(B181,-12),Database!$A:$AU,MATCH($C$1,Database!$A$1:$AU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6">
      <c r="A182" s="43" t="n"/>
      <c r="B182" s="75" t="n">
        <v>37681</v>
      </c>
      <c r="C182" s="13">
        <f>IF(VLOOKUP(B182,Database!$A:$AU,MATCH($C$1,Database!$A$1:$AU$1,),)=0,"#N/A",((((VLOOKUP(B182,Database!$A:$AU,MATCH($C$1,Database!$A$1:$AU$1,),))))-(((VLOOKUP(EDATE(B182,-12),Database!$A:$AU,MATCH($C$1,Database!$A$1:$AU$1,),)))))/(((VLOOKUP(EDATE(B182,-12),Database!$A:$AU,MATCH($C$1,Database!$A$1:$AU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6">
      <c r="A183" s="43" t="n"/>
      <c r="B183" s="75" t="n">
        <v>37712</v>
      </c>
      <c r="C183" s="13">
        <f>IF(VLOOKUP(B183,Database!$A:$AU,MATCH($C$1,Database!$A$1:$AU$1,),)=0,"#N/A",((((VLOOKUP(B183,Database!$A:$AU,MATCH($C$1,Database!$A$1:$AU$1,),))))-(((VLOOKUP(EDATE(B183,-12),Database!$A:$AU,MATCH($C$1,Database!$A$1:$AU$1,),)))))/(((VLOOKUP(EDATE(B183,-12),Database!$A:$AU,MATCH($C$1,Database!$A$1:$AU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6">
      <c r="A184" s="43" t="n"/>
      <c r="B184" s="75" t="n">
        <v>37742</v>
      </c>
      <c r="C184" s="13">
        <f>IF(VLOOKUP(B184,Database!$A:$AU,MATCH($C$1,Database!$A$1:$AU$1,),)=0,"#N/A",((((VLOOKUP(B184,Database!$A:$AU,MATCH($C$1,Database!$A$1:$AU$1,),))))-(((VLOOKUP(EDATE(B184,-12),Database!$A:$AU,MATCH($C$1,Database!$A$1:$AU$1,),)))))/(((VLOOKUP(EDATE(B184,-12),Database!$A:$AU,MATCH($C$1,Database!$A$1:$AU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6">
      <c r="A185" s="43" t="n"/>
      <c r="B185" s="75" t="n">
        <v>37773</v>
      </c>
      <c r="C185" s="13">
        <f>IF(VLOOKUP(B185,Database!$A:$AU,MATCH($C$1,Database!$A$1:$AU$1,),)=0,"#N/A",((((VLOOKUP(B185,Database!$A:$AU,MATCH($C$1,Database!$A$1:$AU$1,),))))-(((VLOOKUP(EDATE(B185,-12),Database!$A:$AU,MATCH($C$1,Database!$A$1:$AU$1,),)))))/(((VLOOKUP(EDATE(B185,-12),Database!$A:$AU,MATCH($C$1,Database!$A$1:$AU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6">
      <c r="A186" s="43" t="n"/>
      <c r="B186" s="75" t="n">
        <v>37803</v>
      </c>
      <c r="C186" s="13">
        <f>IF(VLOOKUP(B186,Database!$A:$AU,MATCH($C$1,Database!$A$1:$AU$1,),)=0,"#N/A",((((VLOOKUP(B186,Database!$A:$AU,MATCH($C$1,Database!$A$1:$AU$1,),))))-(((VLOOKUP(EDATE(B186,-12),Database!$A:$AU,MATCH($C$1,Database!$A$1:$AU$1,),)))))/(((VLOOKUP(EDATE(B186,-12),Database!$A:$AU,MATCH($C$1,Database!$A$1:$AU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6">
      <c r="A187" s="43" t="n"/>
      <c r="B187" s="75" t="n">
        <v>37834</v>
      </c>
      <c r="C187" s="13">
        <f>IF(VLOOKUP(B187,Database!$A:$AU,MATCH($C$1,Database!$A$1:$AU$1,),)=0,"#N/A",((((VLOOKUP(B187,Database!$A:$AU,MATCH($C$1,Database!$A$1:$AU$1,),))))-(((VLOOKUP(EDATE(B187,-12),Database!$A:$AU,MATCH($C$1,Database!$A$1:$AU$1,),)))))/(((VLOOKUP(EDATE(B187,-12),Database!$A:$AU,MATCH($C$1,Database!$A$1:$AU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6">
      <c r="A188" s="43" t="n"/>
      <c r="B188" s="75" t="n">
        <v>37865</v>
      </c>
      <c r="C188" s="13">
        <f>IF(VLOOKUP(B188,Database!$A:$AU,MATCH($C$1,Database!$A$1:$AU$1,),)=0,"#N/A",((((VLOOKUP(B188,Database!$A:$AU,MATCH($C$1,Database!$A$1:$AU$1,),))))-(((VLOOKUP(EDATE(B188,-12),Database!$A:$AU,MATCH($C$1,Database!$A$1:$AU$1,),)))))/(((VLOOKUP(EDATE(B188,-12),Database!$A:$AU,MATCH($C$1,Database!$A$1:$AU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6">
      <c r="A189" s="43" t="n"/>
      <c r="B189" s="75" t="n">
        <v>37895</v>
      </c>
      <c r="C189" s="13">
        <f>IF(VLOOKUP(B189,Database!$A:$AU,MATCH($C$1,Database!$A$1:$AU$1,),)=0,"#N/A",((((VLOOKUP(B189,Database!$A:$AU,MATCH($C$1,Database!$A$1:$AU$1,),))))-(((VLOOKUP(EDATE(B189,-12),Database!$A:$AU,MATCH($C$1,Database!$A$1:$AU$1,),)))))/(((VLOOKUP(EDATE(B189,-12),Database!$A:$AU,MATCH($C$1,Database!$A$1:$AU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6">
      <c r="A190" s="43" t="n"/>
      <c r="B190" s="75" t="n">
        <v>37926</v>
      </c>
      <c r="C190" s="13">
        <f>IF(VLOOKUP(B190,Database!$A:$AU,MATCH($C$1,Database!$A$1:$AU$1,),)=0,"#N/A",((((VLOOKUP(B190,Database!$A:$AU,MATCH($C$1,Database!$A$1:$AU$1,),))))-(((VLOOKUP(EDATE(B190,-12),Database!$A:$AU,MATCH($C$1,Database!$A$1:$AU$1,),)))))/(((VLOOKUP(EDATE(B190,-12),Database!$A:$AU,MATCH($C$1,Database!$A$1:$AU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6">
      <c r="A191" s="43" t="n"/>
      <c r="B191" s="75" t="n">
        <v>37956</v>
      </c>
      <c r="C191" s="13">
        <f>IF(VLOOKUP(B191,Database!$A:$AU,MATCH($C$1,Database!$A$1:$AU$1,),)=0,"#N/A",((((VLOOKUP(B191,Database!$A:$AU,MATCH($C$1,Database!$A$1:$AU$1,),))))-(((VLOOKUP(EDATE(B191,-12),Database!$A:$AU,MATCH($C$1,Database!$A$1:$AU$1,),)))))/(((VLOOKUP(EDATE(B191,-12),Database!$A:$AU,MATCH($C$1,Database!$A$1:$AU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6">
      <c r="A192" s="43" t="n"/>
      <c r="B192" s="75" t="n">
        <v>37987</v>
      </c>
      <c r="C192" s="13">
        <f>IF(VLOOKUP(B192,Database!$A:$AU,MATCH($C$1,Database!$A$1:$AU$1,),)=0,"#N/A",((((VLOOKUP(B192,Database!$A:$AU,MATCH($C$1,Database!$A$1:$AU$1,),))))-(((VLOOKUP(EDATE(B192,-12),Database!$A:$AU,MATCH($C$1,Database!$A$1:$AU$1,),)))))/(((VLOOKUP(EDATE(B192,-12),Database!$A:$AU,MATCH($C$1,Database!$A$1:$AU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6">
      <c r="A193" s="43" t="n"/>
      <c r="B193" s="75" t="n">
        <v>38018</v>
      </c>
      <c r="C193" s="13">
        <f>IF(VLOOKUP(B193,Database!$A:$AU,MATCH($C$1,Database!$A$1:$AU$1,),)=0,"#N/A",((((VLOOKUP(B193,Database!$A:$AU,MATCH($C$1,Database!$A$1:$AU$1,),))))-(((VLOOKUP(EDATE(B193,-12),Database!$A:$AU,MATCH($C$1,Database!$A$1:$AU$1,),)))))/(((VLOOKUP(EDATE(B193,-12),Database!$A:$AU,MATCH($C$1,Database!$A$1:$AU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6">
      <c r="A194" s="43" t="n"/>
      <c r="B194" s="75" t="n">
        <v>38047</v>
      </c>
      <c r="C194" s="13">
        <f>IF(VLOOKUP(B194,Database!$A:$AU,MATCH($C$1,Database!$A$1:$AU$1,),)=0,"#N/A",((((VLOOKUP(B194,Database!$A:$AU,MATCH($C$1,Database!$A$1:$AU$1,),))))-(((VLOOKUP(EDATE(B194,-12),Database!$A:$AU,MATCH($C$1,Database!$A$1:$AU$1,),)))))/(((VLOOKUP(EDATE(B194,-12),Database!$A:$AU,MATCH($C$1,Database!$A$1:$AU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6">
      <c r="A195" s="43" t="n"/>
      <c r="B195" s="75" t="n">
        <v>38078</v>
      </c>
      <c r="C195" s="13">
        <f>IF(VLOOKUP(B195,Database!$A:$AU,MATCH($C$1,Database!$A$1:$AU$1,),)=0,"#N/A",((((VLOOKUP(B195,Database!$A:$AU,MATCH($C$1,Database!$A$1:$AU$1,),))))-(((VLOOKUP(EDATE(B195,-12),Database!$A:$AU,MATCH($C$1,Database!$A$1:$AU$1,),)))))/(((VLOOKUP(EDATE(B195,-12),Database!$A:$AU,MATCH($C$1,Database!$A$1:$AU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6">
      <c r="A196" s="43" t="n"/>
      <c r="B196" s="75" t="n">
        <v>38108</v>
      </c>
      <c r="C196" s="13">
        <f>IF(VLOOKUP(B196,Database!$A:$AU,MATCH($C$1,Database!$A$1:$AU$1,),)=0,"#N/A",((((VLOOKUP(B196,Database!$A:$AU,MATCH($C$1,Database!$A$1:$AU$1,),))))-(((VLOOKUP(EDATE(B196,-12),Database!$A:$AU,MATCH($C$1,Database!$A$1:$AU$1,),)))))/(((VLOOKUP(EDATE(B196,-12),Database!$A:$AU,MATCH($C$1,Database!$A$1:$AU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6">
      <c r="A197" s="43" t="n"/>
      <c r="B197" s="75" t="n">
        <v>38139</v>
      </c>
      <c r="C197" s="13">
        <f>IF(VLOOKUP(B197,Database!$A:$AU,MATCH($C$1,Database!$A$1:$AU$1,),)=0,"#N/A",((((VLOOKUP(B197,Database!$A:$AU,MATCH($C$1,Database!$A$1:$AU$1,),))))-(((VLOOKUP(EDATE(B197,-12),Database!$A:$AU,MATCH($C$1,Database!$A$1:$AU$1,),)))))/(((VLOOKUP(EDATE(B197,-12),Database!$A:$AU,MATCH($C$1,Database!$A$1:$AU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6">
      <c r="A198" s="43" t="n"/>
      <c r="B198" s="75" t="n">
        <v>38169</v>
      </c>
      <c r="C198" s="13">
        <f>IF(VLOOKUP(B198,Database!$A:$AU,MATCH($C$1,Database!$A$1:$AU$1,),)=0,"#N/A",((((VLOOKUP(B198,Database!$A:$AU,MATCH($C$1,Database!$A$1:$AU$1,),))))-(((VLOOKUP(EDATE(B198,-12),Database!$A:$AU,MATCH($C$1,Database!$A$1:$AU$1,),)))))/(((VLOOKUP(EDATE(B198,-12),Database!$A:$AU,MATCH($C$1,Database!$A$1:$AU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6">
      <c r="A199" s="43" t="n"/>
      <c r="B199" s="75" t="n">
        <v>38200</v>
      </c>
      <c r="C199" s="13">
        <f>IF(VLOOKUP(B199,Database!$A:$AU,MATCH($C$1,Database!$A$1:$AU$1,),)=0,"#N/A",((((VLOOKUP(B199,Database!$A:$AU,MATCH($C$1,Database!$A$1:$AU$1,),))))-(((VLOOKUP(EDATE(B199,-12),Database!$A:$AU,MATCH($C$1,Database!$A$1:$AU$1,),)))))/(((VLOOKUP(EDATE(B199,-12),Database!$A:$AU,MATCH($C$1,Database!$A$1:$AU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6">
      <c r="A200" s="43" t="n"/>
      <c r="B200" s="75" t="n">
        <v>38231</v>
      </c>
      <c r="C200" s="13">
        <f>IF(VLOOKUP(B200,Database!$A:$AU,MATCH($C$1,Database!$A$1:$AU$1,),)=0,"#N/A",((((VLOOKUP(B200,Database!$A:$AU,MATCH($C$1,Database!$A$1:$AU$1,),))))-(((VLOOKUP(EDATE(B200,-12),Database!$A:$AU,MATCH($C$1,Database!$A$1:$AU$1,),)))))/(((VLOOKUP(EDATE(B200,-12),Database!$A:$AU,MATCH($C$1,Database!$A$1:$AU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6">
      <c r="A201" s="43" t="n"/>
      <c r="B201" s="75" t="n">
        <v>38261</v>
      </c>
      <c r="C201" s="13">
        <f>IF(VLOOKUP(B201,Database!$A:$AU,MATCH($C$1,Database!$A$1:$AU$1,),)=0,"#N/A",((((VLOOKUP(B201,Database!$A:$AU,MATCH($C$1,Database!$A$1:$AU$1,),))))-(((VLOOKUP(EDATE(B201,-12),Database!$A:$AU,MATCH($C$1,Database!$A$1:$AU$1,),)))))/(((VLOOKUP(EDATE(B201,-12),Database!$A:$AU,MATCH($C$1,Database!$A$1:$AU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6">
      <c r="A202" s="43" t="n"/>
      <c r="B202" s="75" t="n">
        <v>38292</v>
      </c>
      <c r="C202" s="13">
        <f>IF(VLOOKUP(B202,Database!$A:$AU,MATCH($C$1,Database!$A$1:$AU$1,),)=0,"#N/A",((((VLOOKUP(B202,Database!$A:$AU,MATCH($C$1,Database!$A$1:$AU$1,),))))-(((VLOOKUP(EDATE(B202,-12),Database!$A:$AU,MATCH($C$1,Database!$A$1:$AU$1,),)))))/(((VLOOKUP(EDATE(B202,-12),Database!$A:$AU,MATCH($C$1,Database!$A$1:$AU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6">
      <c r="A203" s="43" t="n"/>
      <c r="B203" s="75" t="n">
        <v>38322</v>
      </c>
      <c r="C203" s="13">
        <f>IF(VLOOKUP(B203,Database!$A:$AU,MATCH($C$1,Database!$A$1:$AU$1,),)=0,"#N/A",((((VLOOKUP(B203,Database!$A:$AU,MATCH($C$1,Database!$A$1:$AU$1,),))))-(((VLOOKUP(EDATE(B203,-12),Database!$A:$AU,MATCH($C$1,Database!$A$1:$AU$1,),)))))/(((VLOOKUP(EDATE(B203,-12),Database!$A:$AU,MATCH($C$1,Database!$A$1:$AU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6">
      <c r="A204" s="43" t="n"/>
      <c r="B204" s="75" t="n">
        <v>38353</v>
      </c>
      <c r="C204" s="13">
        <f>IF(VLOOKUP(B204,Database!$A:$AU,MATCH($C$1,Database!$A$1:$AU$1,),)=0,"#N/A",((((VLOOKUP(B204,Database!$A:$AU,MATCH($C$1,Database!$A$1:$AU$1,),))))-(((VLOOKUP(EDATE(B204,-12),Database!$A:$AU,MATCH($C$1,Database!$A$1:$AU$1,),)))))/(((VLOOKUP(EDATE(B204,-12),Database!$A:$AU,MATCH($C$1,Database!$A$1:$AU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6">
      <c r="A205" s="43" t="n"/>
      <c r="B205" s="75" t="n">
        <v>38384</v>
      </c>
      <c r="C205" s="13">
        <f>IF(VLOOKUP(B205,Database!$A:$AU,MATCH($C$1,Database!$A$1:$AU$1,),)=0,"#N/A",((((VLOOKUP(B205,Database!$A:$AU,MATCH($C$1,Database!$A$1:$AU$1,),))))-(((VLOOKUP(EDATE(B205,-12),Database!$A:$AU,MATCH($C$1,Database!$A$1:$AU$1,),)))))/(((VLOOKUP(EDATE(B205,-12),Database!$A:$AU,MATCH($C$1,Database!$A$1:$AU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6">
      <c r="A206" s="43" t="n"/>
      <c r="B206" s="75" t="n">
        <v>38412</v>
      </c>
      <c r="C206" s="13">
        <f>IF(VLOOKUP(B206,Database!$A:$AU,MATCH($C$1,Database!$A$1:$AU$1,),)=0,"#N/A",((((VLOOKUP(B206,Database!$A:$AU,MATCH($C$1,Database!$A$1:$AU$1,),))))-(((VLOOKUP(EDATE(B206,-12),Database!$A:$AU,MATCH($C$1,Database!$A$1:$AU$1,),)))))/(((VLOOKUP(EDATE(B206,-12),Database!$A:$AU,MATCH($C$1,Database!$A$1:$AU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6">
      <c r="A207" s="43" t="n"/>
      <c r="B207" s="75" t="n">
        <v>38443</v>
      </c>
      <c r="C207" s="13">
        <f>IF(VLOOKUP(B207,Database!$A:$AU,MATCH($C$1,Database!$A$1:$AU$1,),)=0,"#N/A",((((VLOOKUP(B207,Database!$A:$AU,MATCH($C$1,Database!$A$1:$AU$1,),))))-(((VLOOKUP(EDATE(B207,-12),Database!$A:$AU,MATCH($C$1,Database!$A$1:$AU$1,),)))))/(((VLOOKUP(EDATE(B207,-12),Database!$A:$AU,MATCH($C$1,Database!$A$1:$AU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6">
      <c r="A208" s="43" t="n"/>
      <c r="B208" s="75" t="n">
        <v>38473</v>
      </c>
      <c r="C208" s="13">
        <f>IF(VLOOKUP(B208,Database!$A:$AU,MATCH($C$1,Database!$A$1:$AU$1,),)=0,"#N/A",((((VLOOKUP(B208,Database!$A:$AU,MATCH($C$1,Database!$A$1:$AU$1,),))))-(((VLOOKUP(EDATE(B208,-12),Database!$A:$AU,MATCH($C$1,Database!$A$1:$AU$1,),)))))/(((VLOOKUP(EDATE(B208,-12),Database!$A:$AU,MATCH($C$1,Database!$A$1:$AU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6">
      <c r="A209" s="43" t="n"/>
      <c r="B209" s="75" t="n">
        <v>38504</v>
      </c>
      <c r="C209" s="13">
        <f>IF(VLOOKUP(B209,Database!$A:$AU,MATCH($C$1,Database!$A$1:$AU$1,),)=0,"#N/A",((((VLOOKUP(B209,Database!$A:$AU,MATCH($C$1,Database!$A$1:$AU$1,),))))-(((VLOOKUP(EDATE(B209,-12),Database!$A:$AU,MATCH($C$1,Database!$A$1:$AU$1,),)))))/(((VLOOKUP(EDATE(B209,-12),Database!$A:$AU,MATCH($C$1,Database!$A$1:$AU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6">
      <c r="A210" s="43" t="n"/>
      <c r="B210" s="75" t="n">
        <v>38534</v>
      </c>
      <c r="C210" s="13">
        <f>IF(VLOOKUP(B210,Database!$A:$AU,MATCH($C$1,Database!$A$1:$AU$1,),)=0,"#N/A",((((VLOOKUP(B210,Database!$A:$AU,MATCH($C$1,Database!$A$1:$AU$1,),))))-(((VLOOKUP(EDATE(B210,-12),Database!$A:$AU,MATCH($C$1,Database!$A$1:$AU$1,),)))))/(((VLOOKUP(EDATE(B210,-12),Database!$A:$AU,MATCH($C$1,Database!$A$1:$AU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6">
      <c r="A211" s="43" t="n"/>
      <c r="B211" s="75" t="n">
        <v>38565</v>
      </c>
      <c r="C211" s="13">
        <f>IF(VLOOKUP(B211,Database!$A:$AU,MATCH($C$1,Database!$A$1:$AU$1,),)=0,"#N/A",((((VLOOKUP(B211,Database!$A:$AU,MATCH($C$1,Database!$A$1:$AU$1,),))))-(((VLOOKUP(EDATE(B211,-12),Database!$A:$AU,MATCH($C$1,Database!$A$1:$AU$1,),)))))/(((VLOOKUP(EDATE(B211,-12),Database!$A:$AU,MATCH($C$1,Database!$A$1:$AU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6">
      <c r="A212" s="43" t="n"/>
      <c r="B212" s="75" t="n">
        <v>38596</v>
      </c>
      <c r="C212" s="13">
        <f>IF(VLOOKUP(B212,Database!$A:$AU,MATCH($C$1,Database!$A$1:$AU$1,),)=0,"#N/A",((((VLOOKUP(B212,Database!$A:$AU,MATCH($C$1,Database!$A$1:$AU$1,),))))-(((VLOOKUP(EDATE(B212,-12),Database!$A:$AU,MATCH($C$1,Database!$A$1:$AU$1,),)))))/(((VLOOKUP(EDATE(B212,-12),Database!$A:$AU,MATCH($C$1,Database!$A$1:$AU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6">
      <c r="A213" s="43" t="n"/>
      <c r="B213" s="75" t="n">
        <v>38626</v>
      </c>
      <c r="C213" s="13">
        <f>IF(VLOOKUP(B213,Database!$A:$AU,MATCH($C$1,Database!$A$1:$AU$1,),)=0,"#N/A",((((VLOOKUP(B213,Database!$A:$AU,MATCH($C$1,Database!$A$1:$AU$1,),))))-(((VLOOKUP(EDATE(B213,-12),Database!$A:$AU,MATCH($C$1,Database!$A$1:$AU$1,),)))))/(((VLOOKUP(EDATE(B213,-12),Database!$A:$AU,MATCH($C$1,Database!$A$1:$AU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6">
      <c r="A214" s="43" t="n"/>
      <c r="B214" s="75" t="n">
        <v>38657</v>
      </c>
      <c r="C214" s="13">
        <f>IF(VLOOKUP(B214,Database!$A:$AU,MATCH($C$1,Database!$A$1:$AU$1,),)=0,"#N/A",((((VLOOKUP(B214,Database!$A:$AU,MATCH($C$1,Database!$A$1:$AU$1,),))))-(((VLOOKUP(EDATE(B214,-12),Database!$A:$AU,MATCH($C$1,Database!$A$1:$AU$1,),)))))/(((VLOOKUP(EDATE(B214,-12),Database!$A:$AU,MATCH($C$1,Database!$A$1:$AU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6">
      <c r="A215" s="43" t="n"/>
      <c r="B215" s="75" t="n">
        <v>38687</v>
      </c>
      <c r="C215" s="13">
        <f>IF(VLOOKUP(B215,Database!$A:$AU,MATCH($C$1,Database!$A$1:$AU$1,),)=0,"#N/A",((((VLOOKUP(B215,Database!$A:$AU,MATCH($C$1,Database!$A$1:$AU$1,),))))-(((VLOOKUP(EDATE(B215,-12),Database!$A:$AU,MATCH($C$1,Database!$A$1:$AU$1,),)))))/(((VLOOKUP(EDATE(B215,-12),Database!$A:$AU,MATCH($C$1,Database!$A$1:$AU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6">
      <c r="A216" s="43" t="n"/>
      <c r="B216" s="75" t="n">
        <v>38718</v>
      </c>
      <c r="C216" s="13">
        <f>IF(VLOOKUP(B216,Database!$A:$AU,MATCH($C$1,Database!$A$1:$AU$1,),)=0,"#N/A",((((VLOOKUP(B216,Database!$A:$AU,MATCH($C$1,Database!$A$1:$AU$1,),))))-(((VLOOKUP(EDATE(B216,-12),Database!$A:$AU,MATCH($C$1,Database!$A$1:$AU$1,),)))))/(((VLOOKUP(EDATE(B216,-12),Database!$A:$AU,MATCH($C$1,Database!$A$1:$AU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6">
      <c r="A217" s="43" t="n"/>
      <c r="B217" s="75" t="n">
        <v>38749</v>
      </c>
      <c r="C217" s="13">
        <f>IF(VLOOKUP(B217,Database!$A:$AU,MATCH($C$1,Database!$A$1:$AU$1,),)=0,"#N/A",((((VLOOKUP(B217,Database!$A:$AU,MATCH($C$1,Database!$A$1:$AU$1,),))))-(((VLOOKUP(EDATE(B217,-12),Database!$A:$AU,MATCH($C$1,Database!$A$1:$AU$1,),)))))/(((VLOOKUP(EDATE(B217,-12),Database!$A:$AU,MATCH($C$1,Database!$A$1:$AU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6">
      <c r="A218" s="43" t="n"/>
      <c r="B218" s="75" t="n">
        <v>38777</v>
      </c>
      <c r="C218" s="13">
        <f>IF(VLOOKUP(B218,Database!$A:$AU,MATCH($C$1,Database!$A$1:$AU$1,),)=0,"#N/A",((((VLOOKUP(B218,Database!$A:$AU,MATCH($C$1,Database!$A$1:$AU$1,),))))-(((VLOOKUP(EDATE(B218,-12),Database!$A:$AU,MATCH($C$1,Database!$A$1:$AU$1,),)))))/(((VLOOKUP(EDATE(B218,-12),Database!$A:$AU,MATCH($C$1,Database!$A$1:$AU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6">
      <c r="A219" s="43" t="n"/>
      <c r="B219" s="75" t="n">
        <v>38808</v>
      </c>
      <c r="C219" s="13">
        <f>IF(VLOOKUP(B219,Database!$A:$AU,MATCH($C$1,Database!$A$1:$AU$1,),)=0,"#N/A",((((VLOOKUP(B219,Database!$A:$AU,MATCH($C$1,Database!$A$1:$AU$1,),))))-(((VLOOKUP(EDATE(B219,-12),Database!$A:$AU,MATCH($C$1,Database!$A$1:$AU$1,),)))))/(((VLOOKUP(EDATE(B219,-12),Database!$A:$AU,MATCH($C$1,Database!$A$1:$AU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6">
      <c r="A220" s="43" t="n"/>
      <c r="B220" s="75" t="n">
        <v>38838</v>
      </c>
      <c r="C220" s="13">
        <f>IF(VLOOKUP(B220,Database!$A:$AU,MATCH($C$1,Database!$A$1:$AU$1,),)=0,"#N/A",((((VLOOKUP(B220,Database!$A:$AU,MATCH($C$1,Database!$A$1:$AU$1,),))))-(((VLOOKUP(EDATE(B220,-12),Database!$A:$AU,MATCH($C$1,Database!$A$1:$AU$1,),)))))/(((VLOOKUP(EDATE(B220,-12),Database!$A:$AU,MATCH($C$1,Database!$A$1:$AU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6">
      <c r="A221" s="43" t="n"/>
      <c r="B221" s="75" t="n">
        <v>38869</v>
      </c>
      <c r="C221" s="13">
        <f>IF(VLOOKUP(B221,Database!$A:$AU,MATCH($C$1,Database!$A$1:$AU$1,),)=0,"#N/A",((((VLOOKUP(B221,Database!$A:$AU,MATCH($C$1,Database!$A$1:$AU$1,),))))-(((VLOOKUP(EDATE(B221,-12),Database!$A:$AU,MATCH($C$1,Database!$A$1:$AU$1,),)))))/(((VLOOKUP(EDATE(B221,-12),Database!$A:$AU,MATCH($C$1,Database!$A$1:$AU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6">
      <c r="A222" s="43" t="n"/>
      <c r="B222" s="75" t="n">
        <v>38899</v>
      </c>
      <c r="C222" s="13">
        <f>IF(VLOOKUP(B222,Database!$A:$AU,MATCH($C$1,Database!$A$1:$AU$1,),)=0,"#N/A",((((VLOOKUP(B222,Database!$A:$AU,MATCH($C$1,Database!$A$1:$AU$1,),))))-(((VLOOKUP(EDATE(B222,-12),Database!$A:$AU,MATCH($C$1,Database!$A$1:$AU$1,),)))))/(((VLOOKUP(EDATE(B222,-12),Database!$A:$AU,MATCH($C$1,Database!$A$1:$AU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6">
      <c r="A223" s="43" t="n"/>
      <c r="B223" s="75" t="n">
        <v>38930</v>
      </c>
      <c r="C223" s="13">
        <f>IF(VLOOKUP(B223,Database!$A:$AU,MATCH($C$1,Database!$A$1:$AU$1,),)=0,"#N/A",((((VLOOKUP(B223,Database!$A:$AU,MATCH($C$1,Database!$A$1:$AU$1,),))))-(((VLOOKUP(EDATE(B223,-12),Database!$A:$AU,MATCH($C$1,Database!$A$1:$AU$1,),)))))/(((VLOOKUP(EDATE(B223,-12),Database!$A:$AU,MATCH($C$1,Database!$A$1:$AU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6">
      <c r="A224" s="43" t="n"/>
      <c r="B224" s="75" t="n">
        <v>38961</v>
      </c>
      <c r="C224" s="13">
        <f>IF(VLOOKUP(B224,Database!$A:$AU,MATCH($C$1,Database!$A$1:$AU$1,),)=0,"#N/A",((((VLOOKUP(B224,Database!$A:$AU,MATCH($C$1,Database!$A$1:$AU$1,),))))-(((VLOOKUP(EDATE(B224,-12),Database!$A:$AU,MATCH($C$1,Database!$A$1:$AU$1,),)))))/(((VLOOKUP(EDATE(B224,-12),Database!$A:$AU,MATCH($C$1,Database!$A$1:$AU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6">
      <c r="A225" s="43" t="n"/>
      <c r="B225" s="75" t="n">
        <v>38991</v>
      </c>
      <c r="C225" s="13">
        <f>IF(VLOOKUP(B225,Database!$A:$AU,MATCH($C$1,Database!$A$1:$AU$1,),)=0,"#N/A",((((VLOOKUP(B225,Database!$A:$AU,MATCH($C$1,Database!$A$1:$AU$1,),))))-(((VLOOKUP(EDATE(B225,-12),Database!$A:$AU,MATCH($C$1,Database!$A$1:$AU$1,),)))))/(((VLOOKUP(EDATE(B225,-12),Database!$A:$AU,MATCH($C$1,Database!$A$1:$AU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6">
      <c r="A226" s="43" t="n"/>
      <c r="B226" s="75" t="n">
        <v>39022</v>
      </c>
      <c r="C226" s="13">
        <f>IF(VLOOKUP(B226,Database!$A:$AU,MATCH($C$1,Database!$A$1:$AU$1,),)=0,"#N/A",((((VLOOKUP(B226,Database!$A:$AU,MATCH($C$1,Database!$A$1:$AU$1,),))))-(((VLOOKUP(EDATE(B226,-12),Database!$A:$AU,MATCH($C$1,Database!$A$1:$AU$1,),)))))/(((VLOOKUP(EDATE(B226,-12),Database!$A:$AU,MATCH($C$1,Database!$A$1:$AU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6">
      <c r="A227" s="43" t="n"/>
      <c r="B227" s="75" t="n">
        <v>39052</v>
      </c>
      <c r="C227" s="13">
        <f>IF(VLOOKUP(B227,Database!$A:$AU,MATCH($C$1,Database!$A$1:$AU$1,),)=0,"#N/A",((((VLOOKUP(B227,Database!$A:$AU,MATCH($C$1,Database!$A$1:$AU$1,),))))-(((VLOOKUP(EDATE(B227,-12),Database!$A:$AU,MATCH($C$1,Database!$A$1:$AU$1,),)))))/(((VLOOKUP(EDATE(B227,-12),Database!$A:$AU,MATCH($C$1,Database!$A$1:$AU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6">
      <c r="A228" s="43" t="n"/>
      <c r="B228" s="75" t="n">
        <v>39083</v>
      </c>
      <c r="C228" s="13">
        <f>IF(VLOOKUP(B228,Database!$A:$AU,MATCH($C$1,Database!$A$1:$AU$1,),)=0,"#N/A",((((VLOOKUP(B228,Database!$A:$AU,MATCH($C$1,Database!$A$1:$AU$1,),))))-(((VLOOKUP(EDATE(B228,-12),Database!$A:$AU,MATCH($C$1,Database!$A$1:$AU$1,),)))))/(((VLOOKUP(EDATE(B228,-12),Database!$A:$AU,MATCH($C$1,Database!$A$1:$AU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6">
      <c r="A229" s="43" t="n"/>
      <c r="B229" s="75" t="n">
        <v>39114</v>
      </c>
      <c r="C229" s="13">
        <f>IF(VLOOKUP(B229,Database!$A:$AU,MATCH($C$1,Database!$A$1:$AU$1,),)=0,"#N/A",((((VLOOKUP(B229,Database!$A:$AU,MATCH($C$1,Database!$A$1:$AU$1,),))))-(((VLOOKUP(EDATE(B229,-12),Database!$A:$AU,MATCH($C$1,Database!$A$1:$AU$1,),)))))/(((VLOOKUP(EDATE(B229,-12),Database!$A:$AU,MATCH($C$1,Database!$A$1:$AU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6">
      <c r="A230" s="43" t="n"/>
      <c r="B230" s="75" t="n">
        <v>39142</v>
      </c>
      <c r="C230" s="13">
        <f>IF(VLOOKUP(B230,Database!$A:$AU,MATCH($C$1,Database!$A$1:$AU$1,),)=0,"#N/A",((((VLOOKUP(B230,Database!$A:$AU,MATCH($C$1,Database!$A$1:$AU$1,),))))-(((VLOOKUP(EDATE(B230,-12),Database!$A:$AU,MATCH($C$1,Database!$A$1:$AU$1,),)))))/(((VLOOKUP(EDATE(B230,-12),Database!$A:$AU,MATCH($C$1,Database!$A$1:$AU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6">
      <c r="A231" s="43" t="n"/>
      <c r="B231" s="75" t="n">
        <v>39173</v>
      </c>
      <c r="C231" s="13">
        <f>IF(VLOOKUP(B231,Database!$A:$AU,MATCH($C$1,Database!$A$1:$AU$1,),)=0,"#N/A",((((VLOOKUP(B231,Database!$A:$AU,MATCH($C$1,Database!$A$1:$AU$1,),))))-(((VLOOKUP(EDATE(B231,-12),Database!$A:$AU,MATCH($C$1,Database!$A$1:$AU$1,),)))))/(((VLOOKUP(EDATE(B231,-12),Database!$A:$AU,MATCH($C$1,Database!$A$1:$AU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6">
      <c r="A232" s="43" t="n"/>
      <c r="B232" s="75" t="n">
        <v>39203</v>
      </c>
      <c r="C232" s="13">
        <f>IF(VLOOKUP(B232,Database!$A:$AU,MATCH($C$1,Database!$A$1:$AU$1,),)=0,"#N/A",((((VLOOKUP(B232,Database!$A:$AU,MATCH($C$1,Database!$A$1:$AU$1,),))))-(((VLOOKUP(EDATE(B232,-12),Database!$A:$AU,MATCH($C$1,Database!$A$1:$AU$1,),)))))/(((VLOOKUP(EDATE(B232,-12),Database!$A:$AU,MATCH($C$1,Database!$A$1:$AU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6">
      <c r="A233" s="43" t="n"/>
      <c r="B233" s="75" t="n">
        <v>39234</v>
      </c>
      <c r="C233" s="13">
        <f>IF(VLOOKUP(B233,Database!$A:$AU,MATCH($C$1,Database!$A$1:$AU$1,),)=0,"#N/A",((((VLOOKUP(B233,Database!$A:$AU,MATCH($C$1,Database!$A$1:$AU$1,),))))-(((VLOOKUP(EDATE(B233,-12),Database!$A:$AU,MATCH($C$1,Database!$A$1:$AU$1,),)))))/(((VLOOKUP(EDATE(B233,-12),Database!$A:$AU,MATCH($C$1,Database!$A$1:$AU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6">
      <c r="A234" s="43" t="n"/>
      <c r="B234" s="75" t="n">
        <v>39264</v>
      </c>
      <c r="C234" s="13">
        <f>IF(VLOOKUP(B234,Database!$A:$AU,MATCH($C$1,Database!$A$1:$AU$1,),)=0,"#N/A",((((VLOOKUP(B234,Database!$A:$AU,MATCH($C$1,Database!$A$1:$AU$1,),))))-(((VLOOKUP(EDATE(B234,-12),Database!$A:$AU,MATCH($C$1,Database!$A$1:$AU$1,),)))))/(((VLOOKUP(EDATE(B234,-12),Database!$A:$AU,MATCH($C$1,Database!$A$1:$AU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6">
      <c r="A235" s="43" t="n"/>
      <c r="B235" s="75" t="n">
        <v>39295</v>
      </c>
      <c r="C235" s="13">
        <f>IF(VLOOKUP(B235,Database!$A:$AU,MATCH($C$1,Database!$A$1:$AU$1,),)=0,"#N/A",((((VLOOKUP(B235,Database!$A:$AU,MATCH($C$1,Database!$A$1:$AU$1,),))))-(((VLOOKUP(EDATE(B235,-12),Database!$A:$AU,MATCH($C$1,Database!$A$1:$AU$1,),)))))/(((VLOOKUP(EDATE(B235,-12),Database!$A:$AU,MATCH($C$1,Database!$A$1:$AU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6">
      <c r="A236" s="43" t="n"/>
      <c r="B236" s="75" t="n">
        <v>39326</v>
      </c>
      <c r="C236" s="13">
        <f>IF(VLOOKUP(B236,Database!$A:$AU,MATCH($C$1,Database!$A$1:$AU$1,),)=0,"#N/A",((((VLOOKUP(B236,Database!$A:$AU,MATCH($C$1,Database!$A$1:$AU$1,),))))-(((VLOOKUP(EDATE(B236,-12),Database!$A:$AU,MATCH($C$1,Database!$A$1:$AU$1,),)))))/(((VLOOKUP(EDATE(B236,-12),Database!$A:$AU,MATCH($C$1,Database!$A$1:$AU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6">
      <c r="A237" s="43" t="n"/>
      <c r="B237" s="75" t="n">
        <v>39356</v>
      </c>
      <c r="C237" s="13">
        <f>IF(VLOOKUP(B237,Database!$A:$AU,MATCH($C$1,Database!$A$1:$AU$1,),)=0,"#N/A",((((VLOOKUP(B237,Database!$A:$AU,MATCH($C$1,Database!$A$1:$AU$1,),))))-(((VLOOKUP(EDATE(B237,-12),Database!$A:$AU,MATCH($C$1,Database!$A$1:$AU$1,),)))))/(((VLOOKUP(EDATE(B237,-12),Database!$A:$AU,MATCH($C$1,Database!$A$1:$AU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6">
      <c r="A238" s="43" t="n"/>
      <c r="B238" s="75" t="n">
        <v>39387</v>
      </c>
      <c r="C238" s="13">
        <f>IF(VLOOKUP(B238,Database!$A:$AU,MATCH($C$1,Database!$A$1:$AU$1,),)=0,"#N/A",((((VLOOKUP(B238,Database!$A:$AU,MATCH($C$1,Database!$A$1:$AU$1,),))))-(((VLOOKUP(EDATE(B238,-12),Database!$A:$AU,MATCH($C$1,Database!$A$1:$AU$1,),)))))/(((VLOOKUP(EDATE(B238,-12),Database!$A:$AU,MATCH($C$1,Database!$A$1:$AU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6">
      <c r="A239" s="43" t="n"/>
      <c r="B239" s="75" t="n">
        <v>39417</v>
      </c>
      <c r="C239" s="13">
        <f>IF(VLOOKUP(B239,Database!$A:$AU,MATCH($C$1,Database!$A$1:$AU$1,),)=0,"#N/A",((((VLOOKUP(B239,Database!$A:$AU,MATCH($C$1,Database!$A$1:$AU$1,),))))-(((VLOOKUP(EDATE(B239,-12),Database!$A:$AU,MATCH($C$1,Database!$A$1:$AU$1,),)))))/(((VLOOKUP(EDATE(B239,-12),Database!$A:$AU,MATCH($C$1,Database!$A$1:$AU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6">
      <c r="A240" s="43" t="n"/>
      <c r="B240" s="75" t="n">
        <v>39448</v>
      </c>
      <c r="C240" s="13">
        <f>IF(VLOOKUP(B240,Database!$A:$AU,MATCH($C$1,Database!$A$1:$AU$1,),)=0,"#N/A",((((VLOOKUP(B240,Database!$A:$AU,MATCH($C$1,Database!$A$1:$AU$1,),))))-(((VLOOKUP(EDATE(B240,-12),Database!$A:$AU,MATCH($C$1,Database!$A$1:$AU$1,),)))))/(((VLOOKUP(EDATE(B240,-12),Database!$A:$AU,MATCH($C$1,Database!$A$1:$AU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6">
      <c r="A241" s="43" t="n"/>
      <c r="B241" s="75" t="n">
        <v>39479</v>
      </c>
      <c r="C241" s="13">
        <f>IF(VLOOKUP(B241,Database!$A:$AU,MATCH($C$1,Database!$A$1:$AU$1,),)=0,"#N/A",((((VLOOKUP(B241,Database!$A:$AU,MATCH($C$1,Database!$A$1:$AU$1,),))))-(((VLOOKUP(EDATE(B241,-12),Database!$A:$AU,MATCH($C$1,Database!$A$1:$AU$1,),)))))/(((VLOOKUP(EDATE(B241,-12),Database!$A:$AU,MATCH($C$1,Database!$A$1:$AU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6">
      <c r="A242" s="43" t="n"/>
      <c r="B242" s="75" t="n">
        <v>39508</v>
      </c>
      <c r="C242" s="13">
        <f>IF(VLOOKUP(B242,Database!$A:$AU,MATCH($C$1,Database!$A$1:$AU$1,),)=0,"#N/A",((((VLOOKUP(B242,Database!$A:$AU,MATCH($C$1,Database!$A$1:$AU$1,),))))-(((VLOOKUP(EDATE(B242,-12),Database!$A:$AU,MATCH($C$1,Database!$A$1:$AU$1,),)))))/(((VLOOKUP(EDATE(B242,-12),Database!$A:$AU,MATCH($C$1,Database!$A$1:$AU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6">
      <c r="A243" s="43" t="n"/>
      <c r="B243" s="75" t="n">
        <v>39539</v>
      </c>
      <c r="C243" s="13">
        <f>IF(VLOOKUP(B243,Database!$A:$AU,MATCH($C$1,Database!$A$1:$AU$1,),)=0,"#N/A",((((VLOOKUP(B243,Database!$A:$AU,MATCH($C$1,Database!$A$1:$AU$1,),))))-(((VLOOKUP(EDATE(B243,-12),Database!$A:$AU,MATCH($C$1,Database!$A$1:$AU$1,),)))))/(((VLOOKUP(EDATE(B243,-12),Database!$A:$AU,MATCH($C$1,Database!$A$1:$AU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6">
      <c r="A244" s="43" t="n"/>
      <c r="B244" s="75" t="n">
        <v>39569</v>
      </c>
      <c r="C244" s="13">
        <f>IF(VLOOKUP(B244,Database!$A:$AU,MATCH($C$1,Database!$A$1:$AU$1,),)=0,"#N/A",((((VLOOKUP(B244,Database!$A:$AU,MATCH($C$1,Database!$A$1:$AU$1,),))))-(((VLOOKUP(EDATE(B244,-12),Database!$A:$AU,MATCH($C$1,Database!$A$1:$AU$1,),)))))/(((VLOOKUP(EDATE(B244,-12),Database!$A:$AU,MATCH($C$1,Database!$A$1:$AU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6">
      <c r="A245" s="43" t="n"/>
      <c r="B245" s="75" t="n">
        <v>39600</v>
      </c>
      <c r="C245" s="13">
        <f>IF(VLOOKUP(B245,Database!$A:$AU,MATCH($C$1,Database!$A$1:$AU$1,),)=0,"#N/A",((((VLOOKUP(B245,Database!$A:$AU,MATCH($C$1,Database!$A$1:$AU$1,),))))-(((VLOOKUP(EDATE(B245,-12),Database!$A:$AU,MATCH($C$1,Database!$A$1:$AU$1,),)))))/(((VLOOKUP(EDATE(B245,-12),Database!$A:$AU,MATCH($C$1,Database!$A$1:$AU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6">
      <c r="A246" s="43" t="n"/>
      <c r="B246" s="75" t="n">
        <v>39630</v>
      </c>
      <c r="C246" s="13">
        <f>IF(VLOOKUP(B246,Database!$A:$AU,MATCH($C$1,Database!$A$1:$AU$1,),)=0,"#N/A",((((VLOOKUP(B246,Database!$A:$AU,MATCH($C$1,Database!$A$1:$AU$1,),))))-(((VLOOKUP(EDATE(B246,-12),Database!$A:$AU,MATCH($C$1,Database!$A$1:$AU$1,),)))))/(((VLOOKUP(EDATE(B246,-12),Database!$A:$AU,MATCH($C$1,Database!$A$1:$AU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6">
      <c r="A247" s="43" t="n"/>
      <c r="B247" s="75" t="n">
        <v>39661</v>
      </c>
      <c r="C247" s="13">
        <f>IF(VLOOKUP(B247,Database!$A:$AU,MATCH($C$1,Database!$A$1:$AU$1,),)=0,"#N/A",((((VLOOKUP(B247,Database!$A:$AU,MATCH($C$1,Database!$A$1:$AU$1,),))))-(((VLOOKUP(EDATE(B247,-12),Database!$A:$AU,MATCH($C$1,Database!$A$1:$AU$1,),)))))/(((VLOOKUP(EDATE(B247,-12),Database!$A:$AU,MATCH($C$1,Database!$A$1:$AU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6">
      <c r="A248" s="43" t="n"/>
      <c r="B248" s="75" t="n">
        <v>39692</v>
      </c>
      <c r="C248" s="13">
        <f>IF(VLOOKUP(B248,Database!$A:$AU,MATCH($C$1,Database!$A$1:$AU$1,),)=0,"#N/A",((((VLOOKUP(B248,Database!$A:$AU,MATCH($C$1,Database!$A$1:$AU$1,),))))-(((VLOOKUP(EDATE(B248,-12),Database!$A:$AU,MATCH($C$1,Database!$A$1:$AU$1,),)))))/(((VLOOKUP(EDATE(B248,-12),Database!$A:$AU,MATCH($C$1,Database!$A$1:$AU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6">
      <c r="A249" s="43" t="n"/>
      <c r="B249" s="75" t="n">
        <v>39722</v>
      </c>
      <c r="C249" s="13">
        <f>IF(VLOOKUP(B249,Database!$A:$AU,MATCH($C$1,Database!$A$1:$AU$1,),)=0,"#N/A",((((VLOOKUP(B249,Database!$A:$AU,MATCH($C$1,Database!$A$1:$AU$1,),))))-(((VLOOKUP(EDATE(B249,-12),Database!$A:$AU,MATCH($C$1,Database!$A$1:$AU$1,),)))))/(((VLOOKUP(EDATE(B249,-12),Database!$A:$AU,MATCH($C$1,Database!$A$1:$AU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6">
      <c r="A250" s="43" t="n"/>
      <c r="B250" s="75" t="n">
        <v>39753</v>
      </c>
      <c r="C250" s="13">
        <f>IF(VLOOKUP(B250,Database!$A:$AU,MATCH($C$1,Database!$A$1:$AU$1,),)=0,"#N/A",((((VLOOKUP(B250,Database!$A:$AU,MATCH($C$1,Database!$A$1:$AU$1,),))))-(((VLOOKUP(EDATE(B250,-12),Database!$A:$AU,MATCH($C$1,Database!$A$1:$AU$1,),)))))/(((VLOOKUP(EDATE(B250,-12),Database!$A:$AU,MATCH($C$1,Database!$A$1:$AU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6">
      <c r="A251" s="43" t="n"/>
      <c r="B251" s="75" t="n">
        <v>39783</v>
      </c>
      <c r="C251" s="13">
        <f>IF(VLOOKUP(B251,Database!$A:$AU,MATCH($C$1,Database!$A$1:$AU$1,),)=0,"#N/A",((((VLOOKUP(B251,Database!$A:$AU,MATCH($C$1,Database!$A$1:$AU$1,),))))-(((VLOOKUP(EDATE(B251,-12),Database!$A:$AU,MATCH($C$1,Database!$A$1:$AU$1,),)))))/(((VLOOKUP(EDATE(B251,-12),Database!$A:$AU,MATCH($C$1,Database!$A$1:$AU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6">
      <c r="A252" s="43" t="n"/>
      <c r="B252" s="75" t="n">
        <v>39814</v>
      </c>
      <c r="C252" s="13">
        <f>IF(VLOOKUP(B252,Database!$A:$AU,MATCH($C$1,Database!$A$1:$AU$1,),)=0,"#N/A",((((VLOOKUP(B252,Database!$A:$AU,MATCH($C$1,Database!$A$1:$AU$1,),))))-(((VLOOKUP(EDATE(B252,-12),Database!$A:$AU,MATCH($C$1,Database!$A$1:$AU$1,),)))))/(((VLOOKUP(EDATE(B252,-12),Database!$A:$AU,MATCH($C$1,Database!$A$1:$AU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6">
      <c r="A253" s="43" t="n"/>
      <c r="B253" s="75" t="n">
        <v>39845</v>
      </c>
      <c r="C253" s="13">
        <f>IF(VLOOKUP(B253,Database!$A:$AU,MATCH($C$1,Database!$A$1:$AU$1,),)=0,"#N/A",((((VLOOKUP(B253,Database!$A:$AU,MATCH($C$1,Database!$A$1:$AU$1,),))))-(((VLOOKUP(EDATE(B253,-12),Database!$A:$AU,MATCH($C$1,Database!$A$1:$AU$1,),)))))/(((VLOOKUP(EDATE(B253,-12),Database!$A:$AU,MATCH($C$1,Database!$A$1:$AU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6">
      <c r="A254" s="43" t="n"/>
      <c r="B254" s="75" t="n">
        <v>39873</v>
      </c>
      <c r="C254" s="13">
        <f>IF(VLOOKUP(B254,Database!$A:$AU,MATCH($C$1,Database!$A$1:$AU$1,),)=0,"#N/A",((((VLOOKUP(B254,Database!$A:$AU,MATCH($C$1,Database!$A$1:$AU$1,),))))-(((VLOOKUP(EDATE(B254,-12),Database!$A:$AU,MATCH($C$1,Database!$A$1:$AU$1,),)))))/(((VLOOKUP(EDATE(B254,-12),Database!$A:$AU,MATCH($C$1,Database!$A$1:$AU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6">
      <c r="A255" s="43" t="n"/>
      <c r="B255" s="75" t="n">
        <v>39904</v>
      </c>
      <c r="C255" s="13">
        <f>IF(VLOOKUP(B255,Database!$A:$AU,MATCH($C$1,Database!$A$1:$AU$1,),)=0,"#N/A",((((VLOOKUP(B255,Database!$A:$AU,MATCH($C$1,Database!$A$1:$AU$1,),))))-(((VLOOKUP(EDATE(B255,-12),Database!$A:$AU,MATCH($C$1,Database!$A$1:$AU$1,),)))))/(((VLOOKUP(EDATE(B255,-12),Database!$A:$AU,MATCH($C$1,Database!$A$1:$AU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6">
      <c r="A256" s="43" t="n"/>
      <c r="B256" s="75" t="n">
        <v>39934</v>
      </c>
      <c r="C256" s="13">
        <f>IF(VLOOKUP(B256,Database!$A:$AU,MATCH($C$1,Database!$A$1:$AU$1,),)=0,"#N/A",((((VLOOKUP(B256,Database!$A:$AU,MATCH($C$1,Database!$A$1:$AU$1,),))))-(((VLOOKUP(EDATE(B256,-12),Database!$A:$AU,MATCH($C$1,Database!$A$1:$AU$1,),)))))/(((VLOOKUP(EDATE(B256,-12),Database!$A:$AU,MATCH($C$1,Database!$A$1:$AU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6">
      <c r="A257" s="43" t="n"/>
      <c r="B257" s="75" t="n">
        <v>39965</v>
      </c>
      <c r="C257" s="13">
        <f>IF(VLOOKUP(B257,Database!$A:$AU,MATCH($C$1,Database!$A$1:$AU$1,),)=0,"#N/A",((((VLOOKUP(B257,Database!$A:$AU,MATCH($C$1,Database!$A$1:$AU$1,),))))-(((VLOOKUP(EDATE(B257,-12),Database!$A:$AU,MATCH($C$1,Database!$A$1:$AU$1,),)))))/(((VLOOKUP(EDATE(B257,-12),Database!$A:$AU,MATCH($C$1,Database!$A$1:$AU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6">
      <c r="A258" s="43" t="n"/>
      <c r="B258" s="75" t="n">
        <v>39995</v>
      </c>
      <c r="C258" s="13">
        <f>IF(VLOOKUP(B258,Database!$A:$AU,MATCH($C$1,Database!$A$1:$AU$1,),)=0,"#N/A",((((VLOOKUP(B258,Database!$A:$AU,MATCH($C$1,Database!$A$1:$AU$1,),))))-(((VLOOKUP(EDATE(B258,-12),Database!$A:$AU,MATCH($C$1,Database!$A$1:$AU$1,),)))))/(((VLOOKUP(EDATE(B258,-12),Database!$A:$AU,MATCH($C$1,Database!$A$1:$AU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6">
      <c r="A259" s="43" t="n"/>
      <c r="B259" s="75" t="n">
        <v>40026</v>
      </c>
      <c r="C259" s="13">
        <f>IF(VLOOKUP(B259,Database!$A:$AU,MATCH($C$1,Database!$A$1:$AU$1,),)=0,"#N/A",((((VLOOKUP(B259,Database!$A:$AU,MATCH($C$1,Database!$A$1:$AU$1,),))))-(((VLOOKUP(EDATE(B259,-12),Database!$A:$AU,MATCH($C$1,Database!$A$1:$AU$1,),)))))/(((VLOOKUP(EDATE(B259,-12),Database!$A:$AU,MATCH($C$1,Database!$A$1:$AU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6">
      <c r="A260" s="43" t="n"/>
      <c r="B260" s="75" t="n">
        <v>40057</v>
      </c>
      <c r="C260" s="13">
        <f>IF(VLOOKUP(B260,Database!$A:$AU,MATCH($C$1,Database!$A$1:$AU$1,),)=0,"#N/A",((((VLOOKUP(B260,Database!$A:$AU,MATCH($C$1,Database!$A$1:$AU$1,),))))-(((VLOOKUP(EDATE(B260,-12),Database!$A:$AU,MATCH($C$1,Database!$A$1:$AU$1,),)))))/(((VLOOKUP(EDATE(B260,-12),Database!$A:$AU,MATCH($C$1,Database!$A$1:$AU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6">
      <c r="A261" s="43" t="n"/>
      <c r="B261" s="75" t="n">
        <v>40087</v>
      </c>
      <c r="C261" s="13">
        <f>IF(VLOOKUP(B261,Database!$A:$AU,MATCH($C$1,Database!$A$1:$AU$1,),)=0,"#N/A",((((VLOOKUP(B261,Database!$A:$AU,MATCH($C$1,Database!$A$1:$AU$1,),))))-(((VLOOKUP(EDATE(B261,-12),Database!$A:$AU,MATCH($C$1,Database!$A$1:$AU$1,),)))))/(((VLOOKUP(EDATE(B261,-12),Database!$A:$AU,MATCH($C$1,Database!$A$1:$AU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6">
      <c r="A262" s="43" t="n"/>
      <c r="B262" s="75" t="n">
        <v>40118</v>
      </c>
      <c r="C262" s="13">
        <f>IF(VLOOKUP(B262,Database!$A:$AU,MATCH($C$1,Database!$A$1:$AU$1,),)=0,"#N/A",((((VLOOKUP(B262,Database!$A:$AU,MATCH($C$1,Database!$A$1:$AU$1,),))))-(((VLOOKUP(EDATE(B262,-12),Database!$A:$AU,MATCH($C$1,Database!$A$1:$AU$1,),)))))/(((VLOOKUP(EDATE(B262,-12),Database!$A:$AU,MATCH($C$1,Database!$A$1:$AU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6">
      <c r="A263" s="43" t="n"/>
      <c r="B263" s="75" t="n">
        <v>40148</v>
      </c>
      <c r="C263" s="13">
        <f>IF(VLOOKUP(B263,Database!$A:$AU,MATCH($C$1,Database!$A$1:$AU$1,),)=0,"#N/A",((((VLOOKUP(B263,Database!$A:$AU,MATCH($C$1,Database!$A$1:$AU$1,),))))-(((VLOOKUP(EDATE(B263,-12),Database!$A:$AU,MATCH($C$1,Database!$A$1:$AU$1,),)))))/(((VLOOKUP(EDATE(B263,-12),Database!$A:$AU,MATCH($C$1,Database!$A$1:$AU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6">
      <c r="A264" s="43" t="n"/>
      <c r="B264" s="75" t="n">
        <v>40179</v>
      </c>
      <c r="C264" s="13">
        <f>IF(VLOOKUP(B264,Database!$A:$AU,MATCH($C$1,Database!$A$1:$AU$1,),)=0,"#N/A",((((VLOOKUP(B264,Database!$A:$AU,MATCH($C$1,Database!$A$1:$AU$1,),))))-(((VLOOKUP(EDATE(B264,-12),Database!$A:$AU,MATCH($C$1,Database!$A$1:$AU$1,),)))))/(((VLOOKUP(EDATE(B264,-12),Database!$A:$AU,MATCH($C$1,Database!$A$1:$AU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6">
      <c r="A265" s="43" t="n"/>
      <c r="B265" s="75" t="n">
        <v>40210</v>
      </c>
      <c r="C265" s="13">
        <f>IF(VLOOKUP(B265,Database!$A:$AU,MATCH($C$1,Database!$A$1:$AU$1,),)=0,"#N/A",((((VLOOKUP(B265,Database!$A:$AU,MATCH($C$1,Database!$A$1:$AU$1,),))))-(((VLOOKUP(EDATE(B265,-12),Database!$A:$AU,MATCH($C$1,Database!$A$1:$AU$1,),)))))/(((VLOOKUP(EDATE(B265,-12),Database!$A:$AU,MATCH($C$1,Database!$A$1:$AU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6">
      <c r="A266" s="43" t="n"/>
      <c r="B266" s="75" t="n">
        <v>40238</v>
      </c>
      <c r="C266" s="13">
        <f>IF(VLOOKUP(B266,Database!$A:$AU,MATCH($C$1,Database!$A$1:$AU$1,),)=0,"#N/A",((((VLOOKUP(B266,Database!$A:$AU,MATCH($C$1,Database!$A$1:$AU$1,),))))-(((VLOOKUP(EDATE(B266,-12),Database!$A:$AU,MATCH($C$1,Database!$A$1:$AU$1,),)))))/(((VLOOKUP(EDATE(B266,-12),Database!$A:$AU,MATCH($C$1,Database!$A$1:$AU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6">
      <c r="A267" s="43" t="n"/>
      <c r="B267" s="75" t="n">
        <v>40269</v>
      </c>
      <c r="C267" s="13">
        <f>IF(VLOOKUP(B267,Database!$A:$AU,MATCH($C$1,Database!$A$1:$AU$1,),)=0,"#N/A",((((VLOOKUP(B267,Database!$A:$AU,MATCH($C$1,Database!$A$1:$AU$1,),))))-(((VLOOKUP(EDATE(B267,-12),Database!$A:$AU,MATCH($C$1,Database!$A$1:$AU$1,),)))))/(((VLOOKUP(EDATE(B267,-12),Database!$A:$AU,MATCH($C$1,Database!$A$1:$AU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6">
      <c r="A268" s="43" t="n"/>
      <c r="B268" s="75" t="n">
        <v>40299</v>
      </c>
      <c r="C268" s="13">
        <f>IF(VLOOKUP(B268,Database!$A:$AU,MATCH($C$1,Database!$A$1:$AU$1,),)=0,"#N/A",((((VLOOKUP(B268,Database!$A:$AU,MATCH($C$1,Database!$A$1:$AU$1,),))))-(((VLOOKUP(EDATE(B268,-12),Database!$A:$AU,MATCH($C$1,Database!$A$1:$AU$1,),)))))/(((VLOOKUP(EDATE(B268,-12),Database!$A:$AU,MATCH($C$1,Database!$A$1:$AU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6">
      <c r="A269" s="43" t="n"/>
      <c r="B269" s="75" t="n">
        <v>40330</v>
      </c>
      <c r="C269" s="13">
        <f>IF(VLOOKUP(B269,Database!$A:$AU,MATCH($C$1,Database!$A$1:$AU$1,),)=0,"#N/A",((((VLOOKUP(B269,Database!$A:$AU,MATCH($C$1,Database!$A$1:$AU$1,),))))-(((VLOOKUP(EDATE(B269,-12),Database!$A:$AU,MATCH($C$1,Database!$A$1:$AU$1,),)))))/(((VLOOKUP(EDATE(B269,-12),Database!$A:$AU,MATCH($C$1,Database!$A$1:$AU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6">
      <c r="A270" s="43" t="n"/>
      <c r="B270" s="75" t="n">
        <v>40360</v>
      </c>
      <c r="C270" s="13">
        <f>IF(VLOOKUP(B270,Database!$A:$AU,MATCH($C$1,Database!$A$1:$AU$1,),)=0,"#N/A",((((VLOOKUP(B270,Database!$A:$AU,MATCH($C$1,Database!$A$1:$AU$1,),))))-(((VLOOKUP(EDATE(B270,-12),Database!$A:$AU,MATCH($C$1,Database!$A$1:$AU$1,),)))))/(((VLOOKUP(EDATE(B270,-12),Database!$A:$AU,MATCH($C$1,Database!$A$1:$AU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6">
      <c r="A271" s="43" t="n"/>
      <c r="B271" s="75" t="n">
        <v>40391</v>
      </c>
      <c r="C271" s="13">
        <f>IF(VLOOKUP(B271,Database!$A:$AU,MATCH($C$1,Database!$A$1:$AU$1,),)=0,"#N/A",((((VLOOKUP(B271,Database!$A:$AU,MATCH($C$1,Database!$A$1:$AU$1,),))))-(((VLOOKUP(EDATE(B271,-12),Database!$A:$AU,MATCH($C$1,Database!$A$1:$AU$1,),)))))/(((VLOOKUP(EDATE(B271,-12),Database!$A:$AU,MATCH($C$1,Database!$A$1:$AU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6">
      <c r="A272" s="43" t="n"/>
      <c r="B272" s="75" t="n">
        <v>40422</v>
      </c>
      <c r="C272" s="13">
        <f>IF(VLOOKUP(B272,Database!$A:$AU,MATCH($C$1,Database!$A$1:$AU$1,),)=0,"#N/A",((((VLOOKUP(B272,Database!$A:$AU,MATCH($C$1,Database!$A$1:$AU$1,),))))-(((VLOOKUP(EDATE(B272,-12),Database!$A:$AU,MATCH($C$1,Database!$A$1:$AU$1,),)))))/(((VLOOKUP(EDATE(B272,-12),Database!$A:$AU,MATCH($C$1,Database!$A$1:$AU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6">
      <c r="A273" s="43" t="n"/>
      <c r="B273" s="75" t="n">
        <v>40452</v>
      </c>
      <c r="C273" s="13">
        <f>IF(VLOOKUP(B273,Database!$A:$AU,MATCH($C$1,Database!$A$1:$AU$1,),)=0,"#N/A",((((VLOOKUP(B273,Database!$A:$AU,MATCH($C$1,Database!$A$1:$AU$1,),))))-(((VLOOKUP(EDATE(B273,-12),Database!$A:$AU,MATCH($C$1,Database!$A$1:$AU$1,),)))))/(((VLOOKUP(EDATE(B273,-12),Database!$A:$AU,MATCH($C$1,Database!$A$1:$AU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6">
      <c r="A274" s="43" t="n"/>
      <c r="B274" s="75" t="n">
        <v>40483</v>
      </c>
      <c r="C274" s="13">
        <f>IF(VLOOKUP(B274,Database!$A:$AU,MATCH($C$1,Database!$A$1:$AU$1,),)=0,"#N/A",((((VLOOKUP(B274,Database!$A:$AU,MATCH($C$1,Database!$A$1:$AU$1,),))))-(((VLOOKUP(EDATE(B274,-12),Database!$A:$AU,MATCH($C$1,Database!$A$1:$AU$1,),)))))/(((VLOOKUP(EDATE(B274,-12),Database!$A:$AU,MATCH($C$1,Database!$A$1:$AU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6">
      <c r="A275" s="43" t="n"/>
      <c r="B275" s="75" t="n">
        <v>40513</v>
      </c>
      <c r="C275" s="13">
        <f>IF(VLOOKUP(B275,Database!$A:$AU,MATCH($C$1,Database!$A$1:$AU$1,),)=0,"#N/A",((((VLOOKUP(B275,Database!$A:$AU,MATCH($C$1,Database!$A$1:$AU$1,),))))-(((VLOOKUP(EDATE(B275,-12),Database!$A:$AU,MATCH($C$1,Database!$A$1:$AU$1,),)))))/(((VLOOKUP(EDATE(B275,-12),Database!$A:$AU,MATCH($C$1,Database!$A$1:$AU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6">
      <c r="A276" s="43" t="n"/>
      <c r="B276" s="75" t="n">
        <v>40544</v>
      </c>
      <c r="C276" s="13">
        <f>IF(VLOOKUP(B276,Database!$A:$AU,MATCH($C$1,Database!$A$1:$AU$1,),)=0,"#N/A",((((VLOOKUP(B276,Database!$A:$AU,MATCH($C$1,Database!$A$1:$AU$1,),))))-(((VLOOKUP(EDATE(B276,-12),Database!$A:$AU,MATCH($C$1,Database!$A$1:$AU$1,),)))))/(((VLOOKUP(EDATE(B276,-12),Database!$A:$AU,MATCH($C$1,Database!$A$1:$AU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6">
      <c r="A277" s="43" t="n"/>
      <c r="B277" s="75" t="n">
        <v>40575</v>
      </c>
      <c r="C277" s="13">
        <f>IF(VLOOKUP(B277,Database!$A:$AU,MATCH($C$1,Database!$A$1:$AU$1,),)=0,"#N/A",((((VLOOKUP(B277,Database!$A:$AU,MATCH($C$1,Database!$A$1:$AU$1,),))))-(((VLOOKUP(EDATE(B277,-12),Database!$A:$AU,MATCH($C$1,Database!$A$1:$AU$1,),)))))/(((VLOOKUP(EDATE(B277,-12),Database!$A:$AU,MATCH($C$1,Database!$A$1:$AU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6">
      <c r="A278" s="43" t="n"/>
      <c r="B278" s="75" t="n">
        <v>40603</v>
      </c>
      <c r="C278" s="13">
        <f>IF(VLOOKUP(B278,Database!$A:$AU,MATCH($C$1,Database!$A$1:$AU$1,),)=0,"#N/A",((((VLOOKUP(B278,Database!$A:$AU,MATCH($C$1,Database!$A$1:$AU$1,),))))-(((VLOOKUP(EDATE(B278,-12),Database!$A:$AU,MATCH($C$1,Database!$A$1:$AU$1,),)))))/(((VLOOKUP(EDATE(B278,-12),Database!$A:$AU,MATCH($C$1,Database!$A$1:$AU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6">
      <c r="A279" s="43" t="n"/>
      <c r="B279" s="75" t="n">
        <v>40634</v>
      </c>
      <c r="C279" s="13">
        <f>IF(VLOOKUP(B279,Database!$A:$AU,MATCH($C$1,Database!$A$1:$AU$1,),)=0,"#N/A",((((VLOOKUP(B279,Database!$A:$AU,MATCH($C$1,Database!$A$1:$AU$1,),))))-(((VLOOKUP(EDATE(B279,-12),Database!$A:$AU,MATCH($C$1,Database!$A$1:$AU$1,),)))))/(((VLOOKUP(EDATE(B279,-12),Database!$A:$AU,MATCH($C$1,Database!$A$1:$AU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6">
      <c r="A280" s="43" t="n"/>
      <c r="B280" s="75" t="n">
        <v>40664</v>
      </c>
      <c r="C280" s="13">
        <f>IF(VLOOKUP(B280,Database!$A:$AU,MATCH($C$1,Database!$A$1:$AU$1,),)=0,"#N/A",((((VLOOKUP(B280,Database!$A:$AU,MATCH($C$1,Database!$A$1:$AU$1,),))))-(((VLOOKUP(EDATE(B280,-12),Database!$A:$AU,MATCH($C$1,Database!$A$1:$AU$1,),)))))/(((VLOOKUP(EDATE(B280,-12),Database!$A:$AU,MATCH($C$1,Database!$A$1:$AU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6">
      <c r="A281" s="43" t="n"/>
      <c r="B281" s="75" t="n">
        <v>40695</v>
      </c>
      <c r="C281" s="13">
        <f>IF(VLOOKUP(B281,Database!$A:$AU,MATCH($C$1,Database!$A$1:$AU$1,),)=0,"#N/A",((((VLOOKUP(B281,Database!$A:$AU,MATCH($C$1,Database!$A$1:$AU$1,),))))-(((VLOOKUP(EDATE(B281,-12),Database!$A:$AU,MATCH($C$1,Database!$A$1:$AU$1,),)))))/(((VLOOKUP(EDATE(B281,-12),Database!$A:$AU,MATCH($C$1,Database!$A$1:$AU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6">
      <c r="A282" s="43" t="n"/>
      <c r="B282" s="75" t="n">
        <v>40725</v>
      </c>
      <c r="C282" s="13">
        <f>IF(VLOOKUP(B282,Database!$A:$AU,MATCH($C$1,Database!$A$1:$AU$1,),)=0,"#N/A",((((VLOOKUP(B282,Database!$A:$AU,MATCH($C$1,Database!$A$1:$AU$1,),))))-(((VLOOKUP(EDATE(B282,-12),Database!$A:$AU,MATCH($C$1,Database!$A$1:$AU$1,),)))))/(((VLOOKUP(EDATE(B282,-12),Database!$A:$AU,MATCH($C$1,Database!$A$1:$AU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6">
      <c r="A283" s="43" t="n"/>
      <c r="B283" s="75" t="n">
        <v>40756</v>
      </c>
      <c r="C283" s="13">
        <f>IF(VLOOKUP(B283,Database!$A:$AU,MATCH($C$1,Database!$A$1:$AU$1,),)=0,"#N/A",((((VLOOKUP(B283,Database!$A:$AU,MATCH($C$1,Database!$A$1:$AU$1,),))))-(((VLOOKUP(EDATE(B283,-12),Database!$A:$AU,MATCH($C$1,Database!$A$1:$AU$1,),)))))/(((VLOOKUP(EDATE(B283,-12),Database!$A:$AU,MATCH($C$1,Database!$A$1:$AU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6">
      <c r="A284" s="43" t="n"/>
      <c r="B284" s="75" t="n">
        <v>40787</v>
      </c>
      <c r="C284" s="13">
        <f>IF(VLOOKUP(B284,Database!$A:$AU,MATCH($C$1,Database!$A$1:$AU$1,),)=0,"#N/A",((((VLOOKUP(B284,Database!$A:$AU,MATCH($C$1,Database!$A$1:$AU$1,),))))-(((VLOOKUP(EDATE(B284,-12),Database!$A:$AU,MATCH($C$1,Database!$A$1:$AU$1,),)))))/(((VLOOKUP(EDATE(B284,-12),Database!$A:$AU,MATCH($C$1,Database!$A$1:$AU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6">
      <c r="A285" s="43" t="n"/>
      <c r="B285" s="75" t="n">
        <v>40817</v>
      </c>
      <c r="C285" s="13">
        <f>IF(VLOOKUP(B285,Database!$A:$AU,MATCH($C$1,Database!$A$1:$AU$1,),)=0,"#N/A",((((VLOOKUP(B285,Database!$A:$AU,MATCH($C$1,Database!$A$1:$AU$1,),))))-(((VLOOKUP(EDATE(B285,-12),Database!$A:$AU,MATCH($C$1,Database!$A$1:$AU$1,),)))))/(((VLOOKUP(EDATE(B285,-12),Database!$A:$AU,MATCH($C$1,Database!$A$1:$AU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6">
      <c r="A286" s="43" t="n"/>
      <c r="B286" s="75" t="n">
        <v>40848</v>
      </c>
      <c r="C286" s="13">
        <f>IF(VLOOKUP(B286,Database!$A:$AU,MATCH($C$1,Database!$A$1:$AU$1,),)=0,"#N/A",((((VLOOKUP(B286,Database!$A:$AU,MATCH($C$1,Database!$A$1:$AU$1,),))))-(((VLOOKUP(EDATE(B286,-12),Database!$A:$AU,MATCH($C$1,Database!$A$1:$AU$1,),)))))/(((VLOOKUP(EDATE(B286,-12),Database!$A:$AU,MATCH($C$1,Database!$A$1:$AU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6">
      <c r="A287" s="43" t="n"/>
      <c r="B287" s="75" t="n">
        <v>40878</v>
      </c>
      <c r="C287" s="13">
        <f>IF(VLOOKUP(B287,Database!$A:$AU,MATCH($C$1,Database!$A$1:$AU$1,),)=0,"#N/A",((((VLOOKUP(B287,Database!$A:$AU,MATCH($C$1,Database!$A$1:$AU$1,),))))-(((VLOOKUP(EDATE(B287,-12),Database!$A:$AU,MATCH($C$1,Database!$A$1:$AU$1,),)))))/(((VLOOKUP(EDATE(B287,-12),Database!$A:$AU,MATCH($C$1,Database!$A$1:$AU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6">
      <c r="A288" s="43" t="n"/>
      <c r="B288" s="75" t="n">
        <v>40909</v>
      </c>
      <c r="C288" s="13">
        <f>IF(VLOOKUP(B288,Database!$A:$AU,MATCH($C$1,Database!$A$1:$AU$1,),)=0,"#N/A",((((VLOOKUP(B288,Database!$A:$AU,MATCH($C$1,Database!$A$1:$AU$1,),))))-(((VLOOKUP(EDATE(B288,-12),Database!$A:$AU,MATCH($C$1,Database!$A$1:$AU$1,),)))))/(((VLOOKUP(EDATE(B288,-12),Database!$A:$AU,MATCH($C$1,Database!$A$1:$AU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6">
      <c r="A289" s="43" t="n"/>
      <c r="B289" s="75" t="n">
        <v>40940</v>
      </c>
      <c r="C289" s="13">
        <f>IF(VLOOKUP(B289,Database!$A:$AU,MATCH($C$1,Database!$A$1:$AU$1,),)=0,"#N/A",((((VLOOKUP(B289,Database!$A:$AU,MATCH($C$1,Database!$A$1:$AU$1,),))))-(((VLOOKUP(EDATE(B289,-12),Database!$A:$AU,MATCH($C$1,Database!$A$1:$AU$1,),)))))/(((VLOOKUP(EDATE(B289,-12),Database!$A:$AU,MATCH($C$1,Database!$A$1:$AU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6">
      <c r="A290" s="43" t="n"/>
      <c r="B290" s="75" t="n">
        <v>40969</v>
      </c>
      <c r="C290" s="13">
        <f>IF(VLOOKUP(B290,Database!$A:$AU,MATCH($C$1,Database!$A$1:$AU$1,),)=0,"#N/A",((((VLOOKUP(B290,Database!$A:$AU,MATCH($C$1,Database!$A$1:$AU$1,),))))-(((VLOOKUP(EDATE(B290,-12),Database!$A:$AU,MATCH($C$1,Database!$A$1:$AU$1,),)))))/(((VLOOKUP(EDATE(B290,-12),Database!$A:$AU,MATCH($C$1,Database!$A$1:$AU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6">
      <c r="A291" s="43" t="n"/>
      <c r="B291" s="75" t="n">
        <v>41000</v>
      </c>
      <c r="C291" s="13">
        <f>IF(VLOOKUP(B291,Database!$A:$AU,MATCH($C$1,Database!$A$1:$AU$1,),)=0,"#N/A",((((VLOOKUP(B291,Database!$A:$AU,MATCH($C$1,Database!$A$1:$AU$1,),))))-(((VLOOKUP(EDATE(B291,-12),Database!$A:$AU,MATCH($C$1,Database!$A$1:$AU$1,),)))))/(((VLOOKUP(EDATE(B291,-12),Database!$A:$AU,MATCH($C$1,Database!$A$1:$AU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6">
      <c r="A292" s="43" t="n"/>
      <c r="B292" s="75" t="n">
        <v>41030</v>
      </c>
      <c r="C292" s="13">
        <f>IF(VLOOKUP(B292,Database!$A:$AU,MATCH($C$1,Database!$A$1:$AU$1,),)=0,"#N/A",((((VLOOKUP(B292,Database!$A:$AU,MATCH($C$1,Database!$A$1:$AU$1,),))))-(((VLOOKUP(EDATE(B292,-12),Database!$A:$AU,MATCH($C$1,Database!$A$1:$AU$1,),)))))/(((VLOOKUP(EDATE(B292,-12),Database!$A:$AU,MATCH($C$1,Database!$A$1:$AU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6">
      <c r="A293" s="43" t="n"/>
      <c r="B293" s="75" t="n">
        <v>41061</v>
      </c>
      <c r="C293" s="13">
        <f>IF(VLOOKUP(B293,Database!$A:$AU,MATCH($C$1,Database!$A$1:$AU$1,),)=0,"#N/A",((((VLOOKUP(B293,Database!$A:$AU,MATCH($C$1,Database!$A$1:$AU$1,),))))-(((VLOOKUP(EDATE(B293,-12),Database!$A:$AU,MATCH($C$1,Database!$A$1:$AU$1,),)))))/(((VLOOKUP(EDATE(B293,-12),Database!$A:$AU,MATCH($C$1,Database!$A$1:$AU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6">
      <c r="A294" s="43" t="n"/>
      <c r="B294" s="75" t="n">
        <v>41091</v>
      </c>
      <c r="C294" s="13">
        <f>IF(VLOOKUP(B294,Database!$A:$AU,MATCH($C$1,Database!$A$1:$AU$1,),)=0,"#N/A",((((VLOOKUP(B294,Database!$A:$AU,MATCH($C$1,Database!$A$1:$AU$1,),))))-(((VLOOKUP(EDATE(B294,-12),Database!$A:$AU,MATCH($C$1,Database!$A$1:$AU$1,),)))))/(((VLOOKUP(EDATE(B294,-12),Database!$A:$AU,MATCH($C$1,Database!$A$1:$AU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6">
      <c r="A295" s="43" t="n"/>
      <c r="B295" s="75" t="n">
        <v>41122</v>
      </c>
      <c r="C295" s="13">
        <f>IF(VLOOKUP(B295,Database!$A:$AU,MATCH($C$1,Database!$A$1:$AU$1,),)=0,"#N/A",((((VLOOKUP(B295,Database!$A:$AU,MATCH($C$1,Database!$A$1:$AU$1,),))))-(((VLOOKUP(EDATE(B295,-12),Database!$A:$AU,MATCH($C$1,Database!$A$1:$AU$1,),)))))/(((VLOOKUP(EDATE(B295,-12),Database!$A:$AU,MATCH($C$1,Database!$A$1:$AU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6">
      <c r="A296" s="43" t="n"/>
      <c r="B296" s="75" t="n">
        <v>41153</v>
      </c>
      <c r="C296" s="13">
        <f>IF(VLOOKUP(B296,Database!$A:$AU,MATCH($C$1,Database!$A$1:$AU$1,),)=0,"#N/A",((((VLOOKUP(B296,Database!$A:$AU,MATCH($C$1,Database!$A$1:$AU$1,),))))-(((VLOOKUP(EDATE(B296,-12),Database!$A:$AU,MATCH($C$1,Database!$A$1:$AU$1,),)))))/(((VLOOKUP(EDATE(B296,-12),Database!$A:$AU,MATCH($C$1,Database!$A$1:$AU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6">
      <c r="A297" s="43" t="n"/>
      <c r="B297" s="75" t="n">
        <v>41183</v>
      </c>
      <c r="C297" s="13">
        <f>IF(VLOOKUP(B297,Database!$A:$AU,MATCH($C$1,Database!$A$1:$AU$1,),)=0,"#N/A",((((VLOOKUP(B297,Database!$A:$AU,MATCH($C$1,Database!$A$1:$AU$1,),))))-(((VLOOKUP(EDATE(B297,-12),Database!$A:$AU,MATCH($C$1,Database!$A$1:$AU$1,),)))))/(((VLOOKUP(EDATE(B297,-12),Database!$A:$AU,MATCH($C$1,Database!$A$1:$AU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6">
      <c r="A298" s="43" t="n"/>
      <c r="B298" s="75" t="n">
        <v>41214</v>
      </c>
      <c r="C298" s="13">
        <f>IF(VLOOKUP(B298,Database!$A:$AU,MATCH($C$1,Database!$A$1:$AU$1,),)=0,"#N/A",((((VLOOKUP(B298,Database!$A:$AU,MATCH($C$1,Database!$A$1:$AU$1,),))))-(((VLOOKUP(EDATE(B298,-12),Database!$A:$AU,MATCH($C$1,Database!$A$1:$AU$1,),)))))/(((VLOOKUP(EDATE(B298,-12),Database!$A:$AU,MATCH($C$1,Database!$A$1:$AU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6">
      <c r="A299" s="43" t="n"/>
      <c r="B299" s="75" t="n">
        <v>41244</v>
      </c>
      <c r="C299" s="13">
        <f>IF(VLOOKUP(B299,Database!$A:$AU,MATCH($C$1,Database!$A$1:$AU$1,),)=0,"#N/A",((((VLOOKUP(B299,Database!$A:$AU,MATCH($C$1,Database!$A$1:$AU$1,),))))-(((VLOOKUP(EDATE(B299,-12),Database!$A:$AU,MATCH($C$1,Database!$A$1:$AU$1,),)))))/(((VLOOKUP(EDATE(B299,-12),Database!$A:$AU,MATCH($C$1,Database!$A$1:$AU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6">
      <c r="A300" s="43" t="n"/>
      <c r="B300" s="75" t="n">
        <v>41275</v>
      </c>
      <c r="C300" s="13">
        <f>IF(VLOOKUP(B300,Database!$A:$AU,MATCH($C$1,Database!$A$1:$AU$1,),)=0,"#N/A",((((VLOOKUP(B300,Database!$A:$AU,MATCH($C$1,Database!$A$1:$AU$1,),))))-(((VLOOKUP(EDATE(B300,-12),Database!$A:$AU,MATCH($C$1,Database!$A$1:$AU$1,),)))))/(((VLOOKUP(EDATE(B300,-12),Database!$A:$AU,MATCH($C$1,Database!$A$1:$AU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6">
      <c r="A301" s="43" t="n"/>
      <c r="B301" s="75" t="n">
        <v>41306</v>
      </c>
      <c r="C301" s="13">
        <f>IF(VLOOKUP(B301,Database!$A:$AU,MATCH($C$1,Database!$A$1:$AU$1,),)=0,"#N/A",((((VLOOKUP(B301,Database!$A:$AU,MATCH($C$1,Database!$A$1:$AU$1,),))))-(((VLOOKUP(EDATE(B301,-12),Database!$A:$AU,MATCH($C$1,Database!$A$1:$AU$1,),)))))/(((VLOOKUP(EDATE(B301,-12),Database!$A:$AU,MATCH($C$1,Database!$A$1:$AU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6">
      <c r="A302" s="43" t="n"/>
      <c r="B302" s="75" t="n">
        <v>41334</v>
      </c>
      <c r="C302" s="13">
        <f>IF(VLOOKUP(B302,Database!$A:$AU,MATCH($C$1,Database!$A$1:$AU$1,),)=0,"#N/A",((((VLOOKUP(B302,Database!$A:$AU,MATCH($C$1,Database!$A$1:$AU$1,),))))-(((VLOOKUP(EDATE(B302,-12),Database!$A:$AU,MATCH($C$1,Database!$A$1:$AU$1,),)))))/(((VLOOKUP(EDATE(B302,-12),Database!$A:$AU,MATCH($C$1,Database!$A$1:$AU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6">
      <c r="A303" s="43" t="n"/>
      <c r="B303" s="75" t="n">
        <v>41365</v>
      </c>
      <c r="C303" s="13">
        <f>IF(VLOOKUP(B303,Database!$A:$AU,MATCH($C$1,Database!$A$1:$AU$1,),)=0,"#N/A",((((VLOOKUP(B303,Database!$A:$AU,MATCH($C$1,Database!$A$1:$AU$1,),))))-(((VLOOKUP(EDATE(B303,-12),Database!$A:$AU,MATCH($C$1,Database!$A$1:$AU$1,),)))))/(((VLOOKUP(EDATE(B303,-12),Database!$A:$AU,MATCH($C$1,Database!$A$1:$AU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6">
      <c r="A304" s="43" t="n"/>
      <c r="B304" s="75" t="n">
        <v>41395</v>
      </c>
      <c r="C304" s="13">
        <f>IF(VLOOKUP(B304,Database!$A:$AU,MATCH($C$1,Database!$A$1:$AU$1,),)=0,"#N/A",((((VLOOKUP(B304,Database!$A:$AU,MATCH($C$1,Database!$A$1:$AU$1,),))))-(((VLOOKUP(EDATE(B304,-12),Database!$A:$AU,MATCH($C$1,Database!$A$1:$AU$1,),)))))/(((VLOOKUP(EDATE(B304,-12),Database!$A:$AU,MATCH($C$1,Database!$A$1:$AU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6">
      <c r="A305" s="43" t="n"/>
      <c r="B305" s="75" t="n">
        <v>41426</v>
      </c>
      <c r="C305" s="13">
        <f>IF(VLOOKUP(B305,Database!$A:$AU,MATCH($C$1,Database!$A$1:$AU$1,),)=0,"#N/A",((((VLOOKUP(B305,Database!$A:$AU,MATCH($C$1,Database!$A$1:$AU$1,),))))-(((VLOOKUP(EDATE(B305,-12),Database!$A:$AU,MATCH($C$1,Database!$A$1:$AU$1,),)))))/(((VLOOKUP(EDATE(B305,-12),Database!$A:$AU,MATCH($C$1,Database!$A$1:$AU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6">
      <c r="A306" s="43" t="n"/>
      <c r="B306" s="75" t="n">
        <v>41456</v>
      </c>
      <c r="C306" s="13">
        <f>IF(VLOOKUP(B306,Database!$A:$AU,MATCH($C$1,Database!$A$1:$AU$1,),)=0,"#N/A",((((VLOOKUP(B306,Database!$A:$AU,MATCH($C$1,Database!$A$1:$AU$1,),))))-(((VLOOKUP(EDATE(B306,-12),Database!$A:$AU,MATCH($C$1,Database!$A$1:$AU$1,),)))))/(((VLOOKUP(EDATE(B306,-12),Database!$A:$AU,MATCH($C$1,Database!$A$1:$AU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6">
      <c r="A307" s="43" t="n"/>
      <c r="B307" s="75" t="n">
        <v>41487</v>
      </c>
      <c r="C307" s="13">
        <f>IF(VLOOKUP(B307,Database!$A:$AU,MATCH($C$1,Database!$A$1:$AU$1,),)=0,"#N/A",((((VLOOKUP(B307,Database!$A:$AU,MATCH($C$1,Database!$A$1:$AU$1,),))))-(((VLOOKUP(EDATE(B307,-12),Database!$A:$AU,MATCH($C$1,Database!$A$1:$AU$1,),)))))/(((VLOOKUP(EDATE(B307,-12),Database!$A:$AU,MATCH($C$1,Database!$A$1:$AU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6">
      <c r="A308" s="43" t="n"/>
      <c r="B308" s="75" t="n">
        <v>41518</v>
      </c>
      <c r="C308" s="13">
        <f>IF(VLOOKUP(B308,Database!$A:$AU,MATCH($C$1,Database!$A$1:$AU$1,),)=0,"#N/A",((((VLOOKUP(B308,Database!$A:$AU,MATCH($C$1,Database!$A$1:$AU$1,),))))-(((VLOOKUP(EDATE(B308,-12),Database!$A:$AU,MATCH($C$1,Database!$A$1:$AU$1,),)))))/(((VLOOKUP(EDATE(B308,-12),Database!$A:$AU,MATCH($C$1,Database!$A$1:$AU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6">
      <c r="A309" s="43" t="n"/>
      <c r="B309" s="75" t="n">
        <v>41548</v>
      </c>
      <c r="C309" s="13">
        <f>IF(VLOOKUP(B309,Database!$A:$AU,MATCH($C$1,Database!$A$1:$AU$1,),)=0,"#N/A",((((VLOOKUP(B309,Database!$A:$AU,MATCH($C$1,Database!$A$1:$AU$1,),))))-(((VLOOKUP(EDATE(B309,-12),Database!$A:$AU,MATCH($C$1,Database!$A$1:$AU$1,),)))))/(((VLOOKUP(EDATE(B309,-12),Database!$A:$AU,MATCH($C$1,Database!$A$1:$AU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6">
      <c r="A310" s="43" t="n"/>
      <c r="B310" s="75" t="n">
        <v>41579</v>
      </c>
      <c r="C310" s="13">
        <f>IF(VLOOKUP(B310,Database!$A:$AU,MATCH($C$1,Database!$A$1:$AU$1,),)=0,"#N/A",((((VLOOKUP(B310,Database!$A:$AU,MATCH($C$1,Database!$A$1:$AU$1,),))))-(((VLOOKUP(EDATE(B310,-12),Database!$A:$AU,MATCH($C$1,Database!$A$1:$AU$1,),)))))/(((VLOOKUP(EDATE(B310,-12),Database!$A:$AU,MATCH($C$1,Database!$A$1:$AU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6">
      <c r="A311" s="43" t="n"/>
      <c r="B311" s="75" t="n">
        <v>41609</v>
      </c>
      <c r="C311" s="13">
        <f>IF(VLOOKUP(B311,Database!$A:$AU,MATCH($C$1,Database!$A$1:$AU$1,),)=0,"#N/A",((((VLOOKUP(B311,Database!$A:$AU,MATCH($C$1,Database!$A$1:$AU$1,),))))-(((VLOOKUP(EDATE(B311,-12),Database!$A:$AU,MATCH($C$1,Database!$A$1:$AU$1,),)))))/(((VLOOKUP(EDATE(B311,-12),Database!$A:$AU,MATCH($C$1,Database!$A$1:$AU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6">
      <c r="A312" s="43" t="n"/>
      <c r="B312" s="75" t="n">
        <v>41640</v>
      </c>
      <c r="C312" s="13">
        <f>IF(VLOOKUP(B312,Database!$A:$AU,MATCH($C$1,Database!$A$1:$AU$1,),)=0,"#N/A",((((VLOOKUP(B312,Database!$A:$AU,MATCH($C$1,Database!$A$1:$AU$1,),))))-(((VLOOKUP(EDATE(B312,-12),Database!$A:$AU,MATCH($C$1,Database!$A$1:$AU$1,),)))))/(((VLOOKUP(EDATE(B312,-12),Database!$A:$AU,MATCH($C$1,Database!$A$1:$AU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6">
      <c r="A313" s="43" t="n"/>
      <c r="B313" s="75" t="n">
        <v>41671</v>
      </c>
      <c r="C313" s="13">
        <f>IF(VLOOKUP(B313,Database!$A:$AU,MATCH($C$1,Database!$A$1:$AU$1,),)=0,"#N/A",((((VLOOKUP(B313,Database!$A:$AU,MATCH($C$1,Database!$A$1:$AU$1,),))))-(((VLOOKUP(EDATE(B313,-12),Database!$A:$AU,MATCH($C$1,Database!$A$1:$AU$1,),)))))/(((VLOOKUP(EDATE(B313,-12),Database!$A:$AU,MATCH($C$1,Database!$A$1:$AU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6">
      <c r="A314" s="43" t="n"/>
      <c r="B314" s="75" t="n">
        <v>41699</v>
      </c>
      <c r="C314" s="13">
        <f>IF(VLOOKUP(B314,Database!$A:$AU,MATCH($C$1,Database!$A$1:$AU$1,),)=0,"#N/A",((((VLOOKUP(B314,Database!$A:$AU,MATCH($C$1,Database!$A$1:$AU$1,),))))-(((VLOOKUP(EDATE(B314,-12),Database!$A:$AU,MATCH($C$1,Database!$A$1:$AU$1,),)))))/(((VLOOKUP(EDATE(B314,-12),Database!$A:$AU,MATCH($C$1,Database!$A$1:$AU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6">
      <c r="A315" s="43" t="n"/>
      <c r="B315" s="75" t="n">
        <v>41730</v>
      </c>
      <c r="C315" s="13">
        <f>IF(VLOOKUP(B315,Database!$A:$AU,MATCH($C$1,Database!$A$1:$AU$1,),)=0,"#N/A",((((VLOOKUP(B315,Database!$A:$AU,MATCH($C$1,Database!$A$1:$AU$1,),))))-(((VLOOKUP(EDATE(B315,-12),Database!$A:$AU,MATCH($C$1,Database!$A$1:$AU$1,),)))))/(((VLOOKUP(EDATE(B315,-12),Database!$A:$AU,MATCH($C$1,Database!$A$1:$AU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6">
      <c r="A316" s="43" t="n"/>
      <c r="B316" s="75" t="n">
        <v>41760</v>
      </c>
      <c r="C316" s="13">
        <f>IF(VLOOKUP(B316,Database!$A:$AU,MATCH($C$1,Database!$A$1:$AU$1,),)=0,"#N/A",((((VLOOKUP(B316,Database!$A:$AU,MATCH($C$1,Database!$A$1:$AU$1,),))))-(((VLOOKUP(EDATE(B316,-12),Database!$A:$AU,MATCH($C$1,Database!$A$1:$AU$1,),)))))/(((VLOOKUP(EDATE(B316,-12),Database!$A:$AU,MATCH($C$1,Database!$A$1:$AU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6">
      <c r="A317" s="43" t="n"/>
      <c r="B317" s="75" t="n">
        <v>41791</v>
      </c>
      <c r="C317" s="13">
        <f>IF(VLOOKUP(B317,Database!$A:$AU,MATCH($C$1,Database!$A$1:$AU$1,),)=0,"#N/A",((((VLOOKUP(B317,Database!$A:$AU,MATCH($C$1,Database!$A$1:$AU$1,),))))-(((VLOOKUP(EDATE(B317,-12),Database!$A:$AU,MATCH($C$1,Database!$A$1:$AU$1,),)))))/(((VLOOKUP(EDATE(B317,-12),Database!$A:$AU,MATCH($C$1,Database!$A$1:$AU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6">
      <c r="A318" s="43" t="n"/>
      <c r="B318" s="75" t="n">
        <v>41821</v>
      </c>
      <c r="C318" s="13">
        <f>IF(VLOOKUP(B318,Database!$A:$AU,MATCH($C$1,Database!$A$1:$AU$1,),)=0,"#N/A",((((VLOOKUP(B318,Database!$A:$AU,MATCH($C$1,Database!$A$1:$AU$1,),))))-(((VLOOKUP(EDATE(B318,-12),Database!$A:$AU,MATCH($C$1,Database!$A$1:$AU$1,),)))))/(((VLOOKUP(EDATE(B318,-12),Database!$A:$AU,MATCH($C$1,Database!$A$1:$AU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6">
      <c r="A319" s="43" t="n"/>
      <c r="B319" s="75" t="n">
        <v>41852</v>
      </c>
      <c r="C319" s="13">
        <f>IF(VLOOKUP(B319,Database!$A:$AU,MATCH($C$1,Database!$A$1:$AU$1,),)=0,"#N/A",((((VLOOKUP(B319,Database!$A:$AU,MATCH($C$1,Database!$A$1:$AU$1,),))))-(((VLOOKUP(EDATE(B319,-12),Database!$A:$AU,MATCH($C$1,Database!$A$1:$AU$1,),)))))/(((VLOOKUP(EDATE(B319,-12),Database!$A:$AU,MATCH($C$1,Database!$A$1:$AU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6">
      <c r="A320" s="43" t="n"/>
      <c r="B320" s="75" t="n">
        <v>41883</v>
      </c>
      <c r="C320" s="13">
        <f>IF(VLOOKUP(B320,Database!$A:$AU,MATCH($C$1,Database!$A$1:$AU$1,),)=0,"#N/A",((((VLOOKUP(B320,Database!$A:$AU,MATCH($C$1,Database!$A$1:$AU$1,),))))-(((VLOOKUP(EDATE(B320,-12),Database!$A:$AU,MATCH($C$1,Database!$A$1:$AU$1,),)))))/(((VLOOKUP(EDATE(B320,-12),Database!$A:$AU,MATCH($C$1,Database!$A$1:$AU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6">
      <c r="A321" s="43" t="n"/>
      <c r="B321" s="75" t="n">
        <v>41913</v>
      </c>
      <c r="C321" s="13">
        <f>IF(VLOOKUP(B321,Database!$A:$AU,MATCH($C$1,Database!$A$1:$AU$1,),)=0,"#N/A",((((VLOOKUP(B321,Database!$A:$AU,MATCH($C$1,Database!$A$1:$AU$1,),))))-(((VLOOKUP(EDATE(B321,-12),Database!$A:$AU,MATCH($C$1,Database!$A$1:$AU$1,),)))))/(((VLOOKUP(EDATE(B321,-12),Database!$A:$AU,MATCH($C$1,Database!$A$1:$AU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6">
      <c r="A322" s="43" t="n"/>
      <c r="B322" s="75" t="n">
        <v>41944</v>
      </c>
      <c r="C322" s="13">
        <f>IF(VLOOKUP(B322,Database!$A:$AU,MATCH($C$1,Database!$A$1:$AU$1,),)=0,"#N/A",((((VLOOKUP(B322,Database!$A:$AU,MATCH($C$1,Database!$A$1:$AU$1,),))))-(((VLOOKUP(EDATE(B322,-12),Database!$A:$AU,MATCH($C$1,Database!$A$1:$AU$1,),)))))/(((VLOOKUP(EDATE(B322,-12),Database!$A:$AU,MATCH($C$1,Database!$A$1:$AU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6">
      <c r="A323" s="43" t="n"/>
      <c r="B323" s="75" t="n">
        <v>41974</v>
      </c>
      <c r="C323" s="13">
        <f>IF(VLOOKUP(B323,Database!$A:$AU,MATCH($C$1,Database!$A$1:$AU$1,),)=0,"#N/A",((((VLOOKUP(B323,Database!$A:$AU,MATCH($C$1,Database!$A$1:$AU$1,),))))-(((VLOOKUP(EDATE(B323,-12),Database!$A:$AU,MATCH($C$1,Database!$A$1:$AU$1,),)))))/(((VLOOKUP(EDATE(B323,-12),Database!$A:$AU,MATCH($C$1,Database!$A$1:$AU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6">
      <c r="A324" s="43" t="n"/>
      <c r="B324" s="75" t="n">
        <v>42005</v>
      </c>
      <c r="C324" s="13">
        <f>IF(VLOOKUP(B324,Database!$A:$AU,MATCH($C$1,Database!$A$1:$AU$1,),)=0,"#N/A",((((VLOOKUP(B324,Database!$A:$AU,MATCH($C$1,Database!$A$1:$AU$1,),))))-(((VLOOKUP(EDATE(B324,-12),Database!$A:$AU,MATCH($C$1,Database!$A$1:$AU$1,),)))))/(((VLOOKUP(EDATE(B324,-12),Database!$A:$AU,MATCH($C$1,Database!$A$1:$AU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6">
      <c r="A325" s="43" t="n"/>
      <c r="B325" s="75" t="n">
        <v>42036</v>
      </c>
      <c r="C325" s="13">
        <f>IF(VLOOKUP(B325,Database!$A:$AU,MATCH($C$1,Database!$A$1:$AU$1,),)=0,"#N/A",((((VLOOKUP(B325,Database!$A:$AU,MATCH($C$1,Database!$A$1:$AU$1,),))))-(((VLOOKUP(EDATE(B325,-12),Database!$A:$AU,MATCH($C$1,Database!$A$1:$AU$1,),)))))/(((VLOOKUP(EDATE(B325,-12),Database!$A:$AU,MATCH($C$1,Database!$A$1:$AU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6">
      <c r="A326" s="43" t="n"/>
      <c r="B326" s="75" t="n">
        <v>42064</v>
      </c>
      <c r="C326" s="13">
        <f>IF(VLOOKUP(B326,Database!$A:$AU,MATCH($C$1,Database!$A$1:$AU$1,),)=0,"#N/A",((((VLOOKUP(B326,Database!$A:$AU,MATCH($C$1,Database!$A$1:$AU$1,),))))-(((VLOOKUP(EDATE(B326,-12),Database!$A:$AU,MATCH($C$1,Database!$A$1:$AU$1,),)))))/(((VLOOKUP(EDATE(B326,-12),Database!$A:$AU,MATCH($C$1,Database!$A$1:$AU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6">
      <c r="A327" s="43" t="n"/>
      <c r="B327" s="75" t="n">
        <v>42095</v>
      </c>
      <c r="C327" s="13">
        <f>IF(VLOOKUP(B327,Database!$A:$AU,MATCH($C$1,Database!$A$1:$AU$1,),)=0,"#N/A",((((VLOOKUP(B327,Database!$A:$AU,MATCH($C$1,Database!$A$1:$AU$1,),))))-(((VLOOKUP(EDATE(B327,-12),Database!$A:$AU,MATCH($C$1,Database!$A$1:$AU$1,),)))))/(((VLOOKUP(EDATE(B327,-12),Database!$A:$AU,MATCH($C$1,Database!$A$1:$AU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6">
      <c r="A328" s="43" t="n"/>
      <c r="B328" s="75" t="n">
        <v>42125</v>
      </c>
      <c r="C328" s="13">
        <f>IF(VLOOKUP(B328,Database!$A:$AU,MATCH($C$1,Database!$A$1:$AU$1,),)=0,"#N/A",((((VLOOKUP(B328,Database!$A:$AU,MATCH($C$1,Database!$A$1:$AU$1,),))))-(((VLOOKUP(EDATE(B328,-12),Database!$A:$AU,MATCH($C$1,Database!$A$1:$AU$1,),)))))/(((VLOOKUP(EDATE(B328,-12),Database!$A:$AU,MATCH($C$1,Database!$A$1:$AU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6">
      <c r="A329" s="43" t="n"/>
      <c r="B329" s="75" t="n">
        <v>42156</v>
      </c>
      <c r="C329" s="13">
        <f>IF(VLOOKUP(B329,Database!$A:$AU,MATCH($C$1,Database!$A$1:$AU$1,),)=0,"#N/A",((((VLOOKUP(B329,Database!$A:$AU,MATCH($C$1,Database!$A$1:$AU$1,),))))-(((VLOOKUP(EDATE(B329,-12),Database!$A:$AU,MATCH($C$1,Database!$A$1:$AU$1,),)))))/(((VLOOKUP(EDATE(B329,-12),Database!$A:$AU,MATCH($C$1,Database!$A$1:$AU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6">
      <c r="A330" s="43" t="n"/>
      <c r="B330" s="75" t="n">
        <v>42186</v>
      </c>
      <c r="C330" s="13">
        <f>IF(VLOOKUP(B330,Database!$A:$AU,MATCH($C$1,Database!$A$1:$AU$1,),)=0,"#N/A",((((VLOOKUP(B330,Database!$A:$AU,MATCH($C$1,Database!$A$1:$AU$1,),))))-(((VLOOKUP(EDATE(B330,-12),Database!$A:$AU,MATCH($C$1,Database!$A$1:$AU$1,),)))))/(((VLOOKUP(EDATE(B330,-12),Database!$A:$AU,MATCH($C$1,Database!$A$1:$AU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6">
      <c r="A331" s="43" t="n"/>
      <c r="B331" s="75" t="n">
        <v>42217</v>
      </c>
      <c r="C331" s="13">
        <f>IF(VLOOKUP(B331,Database!$A:$AU,MATCH($C$1,Database!$A$1:$AU$1,),)=0,"#N/A",((((VLOOKUP(B331,Database!$A:$AU,MATCH($C$1,Database!$A$1:$AU$1,),))))-(((VLOOKUP(EDATE(B331,-12),Database!$A:$AU,MATCH($C$1,Database!$A$1:$AU$1,),)))))/(((VLOOKUP(EDATE(B331,-12),Database!$A:$AU,MATCH($C$1,Database!$A$1:$AU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6">
      <c r="A332" s="43" t="n"/>
      <c r="B332" s="75" t="n">
        <v>42248</v>
      </c>
      <c r="C332" s="13">
        <f>IF(VLOOKUP(B332,Database!$A:$AU,MATCH($C$1,Database!$A$1:$AU$1,),)=0,"#N/A",((((VLOOKUP(B332,Database!$A:$AU,MATCH($C$1,Database!$A$1:$AU$1,),))))-(((VLOOKUP(EDATE(B332,-12),Database!$A:$AU,MATCH($C$1,Database!$A$1:$AU$1,),)))))/(((VLOOKUP(EDATE(B332,-12),Database!$A:$AU,MATCH($C$1,Database!$A$1:$AU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6">
      <c r="A333" s="43" t="n"/>
      <c r="B333" s="75" t="n">
        <v>42278</v>
      </c>
      <c r="C333" s="13">
        <f>IF(VLOOKUP(B333,Database!$A:$AU,MATCH($C$1,Database!$A$1:$AU$1,),)=0,"#N/A",((((VLOOKUP(B333,Database!$A:$AU,MATCH($C$1,Database!$A$1:$AU$1,),))))-(((VLOOKUP(EDATE(B333,-12),Database!$A:$AU,MATCH($C$1,Database!$A$1:$AU$1,),)))))/(((VLOOKUP(EDATE(B333,-12),Database!$A:$AU,MATCH($C$1,Database!$A$1:$AU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6">
      <c r="A334" s="43" t="n"/>
      <c r="B334" s="75" t="n">
        <v>42309</v>
      </c>
      <c r="C334" s="13">
        <f>IF(VLOOKUP(B334,Database!$A:$AU,MATCH($C$1,Database!$A$1:$AU$1,),)=0,"#N/A",((((VLOOKUP(B334,Database!$A:$AU,MATCH($C$1,Database!$A$1:$AU$1,),))))-(((VLOOKUP(EDATE(B334,-12),Database!$A:$AU,MATCH($C$1,Database!$A$1:$AU$1,),)))))/(((VLOOKUP(EDATE(B334,-12),Database!$A:$AU,MATCH($C$1,Database!$A$1:$AU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6">
      <c r="A335" s="43" t="n"/>
      <c r="B335" s="75" t="n">
        <v>42339</v>
      </c>
      <c r="C335" s="13">
        <f>IF(VLOOKUP(B335,Database!$A:$AU,MATCH($C$1,Database!$A$1:$AU$1,),)=0,"#N/A",((((VLOOKUP(B335,Database!$A:$AU,MATCH($C$1,Database!$A$1:$AU$1,),))))-(((VLOOKUP(EDATE(B335,-12),Database!$A:$AU,MATCH($C$1,Database!$A$1:$AU$1,),)))))/(((VLOOKUP(EDATE(B335,-12),Database!$A:$AU,MATCH($C$1,Database!$A$1:$AU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6">
      <c r="A336" s="43" t="n"/>
      <c r="B336" s="75" t="n">
        <v>42370</v>
      </c>
      <c r="C336" s="13">
        <f>IF(VLOOKUP(B336,Database!$A:$AU,MATCH($C$1,Database!$A$1:$AU$1,),)=0,"#N/A",((((VLOOKUP(B336,Database!$A:$AU,MATCH($C$1,Database!$A$1:$AU$1,),))))-(((VLOOKUP(EDATE(B336,-12),Database!$A:$AU,MATCH($C$1,Database!$A$1:$AU$1,),)))))/(((VLOOKUP(EDATE(B336,-12),Database!$A:$AU,MATCH($C$1,Database!$A$1:$AU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6">
      <c r="A337" s="43" t="n"/>
      <c r="B337" s="75" t="n">
        <v>42401</v>
      </c>
      <c r="C337" s="13">
        <f>IF(VLOOKUP(B337,Database!$A:$AU,MATCH($C$1,Database!$A$1:$AU$1,),)=0,"#N/A",((((VLOOKUP(B337,Database!$A:$AU,MATCH($C$1,Database!$A$1:$AU$1,),))))-(((VLOOKUP(EDATE(B337,-12),Database!$A:$AU,MATCH($C$1,Database!$A$1:$AU$1,),)))))/(((VLOOKUP(EDATE(B337,-12),Database!$A:$AU,MATCH($C$1,Database!$A$1:$AU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6">
      <c r="A338" s="43" t="n"/>
      <c r="B338" s="75" t="n">
        <v>42430</v>
      </c>
      <c r="C338" s="13">
        <f>IF(VLOOKUP(B338,Database!$A:$AU,MATCH($C$1,Database!$A$1:$AU$1,),)=0,"#N/A",((((VLOOKUP(B338,Database!$A:$AU,MATCH($C$1,Database!$A$1:$AU$1,),))))-(((VLOOKUP(EDATE(B338,-12),Database!$A:$AU,MATCH($C$1,Database!$A$1:$AU$1,),)))))/(((VLOOKUP(EDATE(B338,-12),Database!$A:$AU,MATCH($C$1,Database!$A$1:$AU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6">
      <c r="A339" s="43" t="n"/>
      <c r="B339" s="75" t="n">
        <v>42461</v>
      </c>
      <c r="C339" s="13">
        <f>IF(VLOOKUP(B339,Database!$A:$AU,MATCH($C$1,Database!$A$1:$AU$1,),)=0,"#N/A",((((VLOOKUP(B339,Database!$A:$AU,MATCH($C$1,Database!$A$1:$AU$1,),))))-(((VLOOKUP(EDATE(B339,-12),Database!$A:$AU,MATCH($C$1,Database!$A$1:$AU$1,),)))))/(((VLOOKUP(EDATE(B339,-12),Database!$A:$AU,MATCH($C$1,Database!$A$1:$AU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6">
      <c r="A340" s="43" t="n"/>
      <c r="B340" s="75" t="n">
        <v>42491</v>
      </c>
      <c r="C340" s="13">
        <f>IF(VLOOKUP(B340,Database!$A:$AU,MATCH($C$1,Database!$A$1:$AU$1,),)=0,"#N/A",((((VLOOKUP(B340,Database!$A:$AU,MATCH($C$1,Database!$A$1:$AU$1,),))))-(((VLOOKUP(EDATE(B340,-12),Database!$A:$AU,MATCH($C$1,Database!$A$1:$AU$1,),)))))/(((VLOOKUP(EDATE(B340,-12),Database!$A:$AU,MATCH($C$1,Database!$A$1:$AU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6">
      <c r="A341" s="43" t="n"/>
      <c r="B341" s="75" t="n">
        <v>42522</v>
      </c>
      <c r="C341" s="13">
        <f>IF(VLOOKUP(B341,Database!$A:$AU,MATCH($C$1,Database!$A$1:$AU$1,),)=0,"#N/A",((((VLOOKUP(B341,Database!$A:$AU,MATCH($C$1,Database!$A$1:$AU$1,),))))-(((VLOOKUP(EDATE(B341,-12),Database!$A:$AU,MATCH($C$1,Database!$A$1:$AU$1,),)))))/(((VLOOKUP(EDATE(B341,-12),Database!$A:$AU,MATCH($C$1,Database!$A$1:$AU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6">
      <c r="A342" s="43" t="n"/>
      <c r="B342" s="75" t="n">
        <v>42552</v>
      </c>
      <c r="C342" s="13">
        <f>IF(VLOOKUP(B342,Database!$A:$AU,MATCH($C$1,Database!$A$1:$AU$1,),)=0,"#N/A",((((VLOOKUP(B342,Database!$A:$AU,MATCH($C$1,Database!$A$1:$AU$1,),))))-(((VLOOKUP(EDATE(B342,-12),Database!$A:$AU,MATCH($C$1,Database!$A$1:$AU$1,),)))))/(((VLOOKUP(EDATE(B342,-12),Database!$A:$AU,MATCH($C$1,Database!$A$1:$AU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6">
      <c r="A343" s="43" t="n"/>
      <c r="B343" s="75" t="n">
        <v>42583</v>
      </c>
      <c r="C343" s="13">
        <f>IF(VLOOKUP(B343,Database!$A:$AU,MATCH($C$1,Database!$A$1:$AU$1,),)=0,"#N/A",((((VLOOKUP(B343,Database!$A:$AU,MATCH($C$1,Database!$A$1:$AU$1,),))))-(((VLOOKUP(EDATE(B343,-12),Database!$A:$AU,MATCH($C$1,Database!$A$1:$AU$1,),)))))/(((VLOOKUP(EDATE(B343,-12),Database!$A:$AU,MATCH($C$1,Database!$A$1:$AU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6">
      <c r="A344" s="43" t="n"/>
      <c r="B344" s="75" t="n">
        <v>42614</v>
      </c>
      <c r="C344" s="13">
        <f>IF(VLOOKUP(B344,Database!$A:$AU,MATCH($C$1,Database!$A$1:$AU$1,),)=0,"#N/A",((((VLOOKUP(B344,Database!$A:$AU,MATCH($C$1,Database!$A$1:$AU$1,),))))-(((VLOOKUP(EDATE(B344,-12),Database!$A:$AU,MATCH($C$1,Database!$A$1:$AU$1,),)))))/(((VLOOKUP(EDATE(B344,-12),Database!$A:$AU,MATCH($C$1,Database!$A$1:$AU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6">
      <c r="A345" s="43" t="n"/>
      <c r="B345" s="75" t="n">
        <v>42644</v>
      </c>
      <c r="C345" s="13">
        <f>IF(VLOOKUP(B345,Database!$A:$AU,MATCH($C$1,Database!$A$1:$AU$1,),)=0,"#N/A",((((VLOOKUP(B345,Database!$A:$AU,MATCH($C$1,Database!$A$1:$AU$1,),))))-(((VLOOKUP(EDATE(B345,-12),Database!$A:$AU,MATCH($C$1,Database!$A$1:$AU$1,),)))))/(((VLOOKUP(EDATE(B345,-12),Database!$A:$AU,MATCH($C$1,Database!$A$1:$AU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6">
      <c r="A346" s="43" t="n"/>
      <c r="B346" s="75" t="n">
        <v>42675</v>
      </c>
      <c r="C346" s="13">
        <f>IF(VLOOKUP(B346,Database!$A:$AU,MATCH($C$1,Database!$A$1:$AU$1,),)=0,"#N/A",((((VLOOKUP(B346,Database!$A:$AU,MATCH($C$1,Database!$A$1:$AU$1,),))))-(((VLOOKUP(EDATE(B346,-12),Database!$A:$AU,MATCH($C$1,Database!$A$1:$AU$1,),)))))/(((VLOOKUP(EDATE(B346,-12),Database!$A:$AU,MATCH($C$1,Database!$A$1:$AU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6">
      <c r="A347" s="43" t="n"/>
      <c r="B347" s="75" t="n">
        <v>42705</v>
      </c>
      <c r="C347" s="13">
        <f>IF(VLOOKUP(B347,Database!$A:$AU,MATCH($C$1,Database!$A$1:$AU$1,),)=0,"#N/A",((((VLOOKUP(B347,Database!$A:$AU,MATCH($C$1,Database!$A$1:$AU$1,),))))-(((VLOOKUP(EDATE(B347,-12),Database!$A:$AU,MATCH($C$1,Database!$A$1:$AU$1,),)))))/(((VLOOKUP(EDATE(B347,-12),Database!$A:$AU,MATCH($C$1,Database!$A$1:$AU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6">
      <c r="A348" s="43" t="n"/>
      <c r="B348" s="75" t="n">
        <v>42736</v>
      </c>
      <c r="C348" s="13">
        <f>IF(VLOOKUP(B348,Database!$A:$AU,MATCH($C$1,Database!$A$1:$AU$1,),)=0,"#N/A",((((VLOOKUP(B348,Database!$A:$AU,MATCH($C$1,Database!$A$1:$AU$1,),))))-(((VLOOKUP(EDATE(B348,-12),Database!$A:$AU,MATCH($C$1,Database!$A$1:$AU$1,),)))))/(((VLOOKUP(EDATE(B348,-12),Database!$A:$AU,MATCH($C$1,Database!$A$1:$AU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6">
      <c r="A349" s="43" t="n"/>
      <c r="B349" s="75" t="n">
        <v>42767</v>
      </c>
      <c r="C349" s="13">
        <f>IF(VLOOKUP(B349,Database!$A:$AU,MATCH($C$1,Database!$A$1:$AU$1,),)=0,"#N/A",((((VLOOKUP(B349,Database!$A:$AU,MATCH($C$1,Database!$A$1:$AU$1,),))))-(((VLOOKUP(EDATE(B349,-12),Database!$A:$AU,MATCH($C$1,Database!$A$1:$AU$1,),)))))/(((VLOOKUP(EDATE(B349,-12),Database!$A:$AU,MATCH($C$1,Database!$A$1:$AU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6">
      <c r="A350" s="43" t="n"/>
      <c r="B350" s="75" t="n">
        <v>42795</v>
      </c>
      <c r="C350" s="13">
        <f>IF(VLOOKUP(B350,Database!$A:$AU,MATCH($C$1,Database!$A$1:$AU$1,),)=0,"#N/A",((((VLOOKUP(B350,Database!$A:$AU,MATCH($C$1,Database!$A$1:$AU$1,),))))-(((VLOOKUP(EDATE(B350,-12),Database!$A:$AU,MATCH($C$1,Database!$A$1:$AU$1,),)))))/(((VLOOKUP(EDATE(B350,-12),Database!$A:$AU,MATCH($C$1,Database!$A$1:$AU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6">
      <c r="A351" s="43" t="n"/>
      <c r="B351" s="75" t="n">
        <v>42826</v>
      </c>
      <c r="C351" s="13">
        <f>IF(VLOOKUP(B351,Database!$A:$AU,MATCH($C$1,Database!$A$1:$AU$1,),)=0,"#N/A",((((VLOOKUP(B351,Database!$A:$AU,MATCH($C$1,Database!$A$1:$AU$1,),))))-(((VLOOKUP(EDATE(B351,-12),Database!$A:$AU,MATCH($C$1,Database!$A$1:$AU$1,),)))))/(((VLOOKUP(EDATE(B351,-12),Database!$A:$AU,MATCH($C$1,Database!$A$1:$AU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6">
      <c r="A352" s="43" t="n"/>
      <c r="B352" s="75" t="n">
        <v>42856</v>
      </c>
      <c r="C352" s="13">
        <f>IF(VLOOKUP(B352,Database!$A:$AU,MATCH($C$1,Database!$A$1:$AU$1,),)=0,"#N/A",((((VLOOKUP(B352,Database!$A:$AU,MATCH($C$1,Database!$A$1:$AU$1,),))))-(((VLOOKUP(EDATE(B352,-12),Database!$A:$AU,MATCH($C$1,Database!$A$1:$AU$1,),)))))/(((VLOOKUP(EDATE(B352,-12),Database!$A:$AU,MATCH($C$1,Database!$A$1:$AU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6">
      <c r="A353" s="43" t="n"/>
      <c r="B353" s="75" t="n">
        <v>42887</v>
      </c>
      <c r="C353" s="13">
        <f>IF(VLOOKUP(B353,Database!$A:$AU,MATCH($C$1,Database!$A$1:$AU$1,),)=0,"#N/A",((((VLOOKUP(B353,Database!$A:$AU,MATCH($C$1,Database!$A$1:$AU$1,),))))-(((VLOOKUP(EDATE(B353,-12),Database!$A:$AU,MATCH($C$1,Database!$A$1:$AU$1,),)))))/(((VLOOKUP(EDATE(B353,-12),Database!$A:$AU,MATCH($C$1,Database!$A$1:$AU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6">
      <c r="A354" s="43" t="n"/>
      <c r="B354" s="75" t="n">
        <v>42917</v>
      </c>
      <c r="C354" s="13">
        <f>IF(VLOOKUP(B354,Database!$A:$AU,MATCH($C$1,Database!$A$1:$AU$1,),)=0,"#N/A",((((VLOOKUP(B354,Database!$A:$AU,MATCH($C$1,Database!$A$1:$AU$1,),))))-(((VLOOKUP(EDATE(B354,-12),Database!$A:$AU,MATCH($C$1,Database!$A$1:$AU$1,),)))))/(((VLOOKUP(EDATE(B354,-12),Database!$A:$AU,MATCH($C$1,Database!$A$1:$AU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6">
      <c r="A355" s="43" t="n"/>
      <c r="B355" s="75" t="n">
        <v>42948</v>
      </c>
      <c r="C355" s="13">
        <f>IF(VLOOKUP(B355,Database!$A:$AU,MATCH($C$1,Database!$A$1:$AU$1,),)=0,"#N/A",((((VLOOKUP(B355,Database!$A:$AU,MATCH($C$1,Database!$A$1:$AU$1,),))))-(((VLOOKUP(EDATE(B355,-12),Database!$A:$AU,MATCH($C$1,Database!$A$1:$AU$1,),)))))/(((VLOOKUP(EDATE(B355,-12),Database!$A:$AU,MATCH($C$1,Database!$A$1:$AU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6">
      <c r="A356" s="43" t="n"/>
      <c r="B356" s="75" t="n">
        <v>42979</v>
      </c>
      <c r="C356" s="13">
        <f>IF(VLOOKUP(B356,Database!$A:$AU,MATCH($C$1,Database!$A$1:$AU$1,),)=0,"#N/A",((((VLOOKUP(B356,Database!$A:$AU,MATCH($C$1,Database!$A$1:$AU$1,),))))-(((VLOOKUP(EDATE(B356,-12),Database!$A:$AU,MATCH($C$1,Database!$A$1:$AU$1,),)))))/(((VLOOKUP(EDATE(B356,-12),Database!$A:$AU,MATCH($C$1,Database!$A$1:$AU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6">
      <c r="A357" s="43" t="n"/>
      <c r="B357" s="75" t="n">
        <v>43009</v>
      </c>
      <c r="C357" s="13">
        <f>IF(VLOOKUP(B357,Database!$A:$AU,MATCH($C$1,Database!$A$1:$AU$1,),)=0,"#N/A",((((VLOOKUP(B357,Database!$A:$AU,MATCH($C$1,Database!$A$1:$AU$1,),))))-(((VLOOKUP(EDATE(B357,-12),Database!$A:$AU,MATCH($C$1,Database!$A$1:$AU$1,),)))))/(((VLOOKUP(EDATE(B357,-12),Database!$A:$AU,MATCH($C$1,Database!$A$1:$AU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6">
      <c r="A358" s="43" t="n"/>
      <c r="B358" s="75" t="n">
        <v>43040</v>
      </c>
      <c r="C358" s="13">
        <f>IF(VLOOKUP(B358,Database!$A:$AU,MATCH($C$1,Database!$A$1:$AU$1,),)=0,"#N/A",((((VLOOKUP(B358,Database!$A:$AU,MATCH($C$1,Database!$A$1:$AU$1,),))))-(((VLOOKUP(EDATE(B358,-12),Database!$A:$AU,MATCH($C$1,Database!$A$1:$AU$1,),)))))/(((VLOOKUP(EDATE(B358,-12),Database!$A:$AU,MATCH($C$1,Database!$A$1:$AU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6">
      <c r="A359" s="43" t="n"/>
      <c r="B359" s="75" t="n">
        <v>43070</v>
      </c>
      <c r="C359" s="13">
        <f>IF(VLOOKUP(B359,Database!$A:$AU,MATCH($C$1,Database!$A$1:$AU$1,),)=0,"#N/A",((((VLOOKUP(B359,Database!$A:$AU,MATCH($C$1,Database!$A$1:$AU$1,),))))-(((VLOOKUP(EDATE(B359,-12),Database!$A:$AU,MATCH($C$1,Database!$A$1:$AU$1,),)))))/(((VLOOKUP(EDATE(B359,-12),Database!$A:$AU,MATCH($C$1,Database!$A$1:$AU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6">
      <c r="A360" s="43" t="n"/>
      <c r="B360" s="75" t="n">
        <v>43101</v>
      </c>
      <c r="C360" s="13">
        <f>IF(VLOOKUP(B360,Database!$A:$AU,MATCH($C$1,Database!$A$1:$AU$1,),)=0,"#N/A",((((VLOOKUP(B360,Database!$A:$AU,MATCH($C$1,Database!$A$1:$AU$1,),))))-(((VLOOKUP(EDATE(B360,-12),Database!$A:$AU,MATCH($C$1,Database!$A$1:$AU$1,),)))))/(((VLOOKUP(EDATE(B360,-12),Database!$A:$AU,MATCH($C$1,Database!$A$1:$AU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6">
      <c r="A361" s="43" t="n"/>
      <c r="B361" s="75" t="n">
        <v>43132</v>
      </c>
      <c r="C361" s="13">
        <f>IF(VLOOKUP(B361,Database!$A:$AU,MATCH($C$1,Database!$A$1:$AU$1,),)=0,"#N/A",((((VLOOKUP(B361,Database!$A:$AU,MATCH($C$1,Database!$A$1:$AU$1,),))))-(((VLOOKUP(EDATE(B361,-12),Database!$A:$AU,MATCH($C$1,Database!$A$1:$AU$1,),)))))/(((VLOOKUP(EDATE(B361,-12),Database!$A:$AU,MATCH($C$1,Database!$A$1:$AU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6">
      <c r="A362" s="43" t="n"/>
      <c r="B362" s="75" t="n">
        <v>43160</v>
      </c>
      <c r="C362" s="13">
        <f>IF(VLOOKUP(B362,Database!$A:$AU,MATCH($C$1,Database!$A$1:$AU$1,),)=0,"#N/A",((((VLOOKUP(B362,Database!$A:$AU,MATCH($C$1,Database!$A$1:$AU$1,),))))-(((VLOOKUP(EDATE(B362,-12),Database!$A:$AU,MATCH($C$1,Database!$A$1:$AU$1,),)))))/(((VLOOKUP(EDATE(B362,-12),Database!$A:$AU,MATCH($C$1,Database!$A$1:$AU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6">
      <c r="A363" s="43" t="n"/>
      <c r="B363" s="75" t="n">
        <v>43191</v>
      </c>
      <c r="C363" s="13">
        <f>IF(VLOOKUP(B363,Database!$A:$AU,MATCH($C$1,Database!$A$1:$AU$1,),)=0,"#N/A",((((VLOOKUP(B363,Database!$A:$AU,MATCH($C$1,Database!$A$1:$AU$1,),))))-(((VLOOKUP(EDATE(B363,-12),Database!$A:$AU,MATCH($C$1,Database!$A$1:$AU$1,),)))))/(((VLOOKUP(EDATE(B363,-12),Database!$A:$AU,MATCH($C$1,Database!$A$1:$AU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6">
      <c r="A364" s="43" t="n"/>
      <c r="B364" s="75" t="n">
        <v>43221</v>
      </c>
      <c r="C364" s="13">
        <f>IF(VLOOKUP(B364,Database!$A:$AU,MATCH($C$1,Database!$A$1:$AU$1,),)=0,"#N/A",((((VLOOKUP(B364,Database!$A:$AU,MATCH($C$1,Database!$A$1:$AU$1,),))))-(((VLOOKUP(EDATE(B364,-12),Database!$A:$AU,MATCH($C$1,Database!$A$1:$AU$1,),)))))/(((VLOOKUP(EDATE(B364,-12),Database!$A:$AU,MATCH($C$1,Database!$A$1:$AU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6">
      <c r="A365" s="43" t="n"/>
      <c r="B365" s="75" t="n">
        <v>43252</v>
      </c>
      <c r="C365" s="13">
        <f>IF(VLOOKUP(B365,Database!$A:$AU,MATCH($C$1,Database!$A$1:$AU$1,),)=0,"#N/A",((((VLOOKUP(B365,Database!$A:$AU,MATCH($C$1,Database!$A$1:$AU$1,),))))-(((VLOOKUP(EDATE(B365,-12),Database!$A:$AU,MATCH($C$1,Database!$A$1:$AU$1,),)))))/(((VLOOKUP(EDATE(B365,-12),Database!$A:$AU,MATCH($C$1,Database!$A$1:$AU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6">
      <c r="A366" s="43" t="n"/>
      <c r="B366" s="75" t="n">
        <v>43282</v>
      </c>
      <c r="C366" s="13">
        <f>IF(VLOOKUP(B366,Database!$A:$AU,MATCH($C$1,Database!$A$1:$AU$1,),)=0,"#N/A",((((VLOOKUP(B366,Database!$A:$AU,MATCH($C$1,Database!$A$1:$AU$1,),))))-(((VLOOKUP(EDATE(B366,-12),Database!$A:$AU,MATCH($C$1,Database!$A$1:$AU$1,),)))))/(((VLOOKUP(EDATE(B366,-12),Database!$A:$AU,MATCH($C$1,Database!$A$1:$AU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6">
      <c r="A367" s="43" t="n"/>
      <c r="B367" s="75" t="n">
        <v>43313</v>
      </c>
      <c r="C367" s="13">
        <f>IF(VLOOKUP(B367,Database!$A:$AU,MATCH($C$1,Database!$A$1:$AU$1,),)=0,"#N/A",((((VLOOKUP(B367,Database!$A:$AU,MATCH($C$1,Database!$A$1:$AU$1,),))))-(((VLOOKUP(EDATE(B367,-12),Database!$A:$AU,MATCH($C$1,Database!$A$1:$AU$1,),)))))/(((VLOOKUP(EDATE(B367,-12),Database!$A:$AU,MATCH($C$1,Database!$A$1:$AU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6">
      <c r="A368" s="43" t="n"/>
      <c r="B368" s="75" t="n">
        <v>43344</v>
      </c>
      <c r="C368" s="13">
        <f>IF(VLOOKUP(B368,Database!$A:$AU,MATCH($C$1,Database!$A$1:$AU$1,),)=0,"#N/A",((((VLOOKUP(B368,Database!$A:$AU,MATCH($C$1,Database!$A$1:$AU$1,),))))-(((VLOOKUP(EDATE(B368,-12),Database!$A:$AU,MATCH($C$1,Database!$A$1:$AU$1,),)))))/(((VLOOKUP(EDATE(B368,-12),Database!$A:$AU,MATCH($C$1,Database!$A$1:$AU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6">
      <c r="B369" s="75" t="n">
        <v>43374</v>
      </c>
      <c r="C369" s="13">
        <f>IF(VLOOKUP(B369,Database!$A:$AU,MATCH($C$1,Database!$A$1:$AU$1,),)=0,"#N/A",((((VLOOKUP(B369,Database!$A:$AU,MATCH($C$1,Database!$A$1:$AU$1,),))))-(((VLOOKUP(EDATE(B369,-12),Database!$A:$AU,MATCH($C$1,Database!$A$1:$AU$1,),)))))/(((VLOOKUP(EDATE(B369,-12),Database!$A:$AU,MATCH($C$1,Database!$A$1:$AU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6">
      <c r="B370" s="75" t="n">
        <v>43405</v>
      </c>
      <c r="C370" s="13">
        <f>IF(VLOOKUP(B370,Database!$A:$AU,MATCH($C$1,Database!$A$1:$AU$1,),)=0,"#N/A",((((VLOOKUP(B370,Database!$A:$AU,MATCH($C$1,Database!$A$1:$AU$1,),))))-(((VLOOKUP(EDATE(B370,-12),Database!$A:$AU,MATCH($C$1,Database!$A$1:$AU$1,),)))))/(((VLOOKUP(EDATE(B370,-12),Database!$A:$AU,MATCH($C$1,Database!$A$1:$AU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6">
      <c r="B371" s="75" t="n">
        <v>43435</v>
      </c>
      <c r="C371" s="13">
        <f>IF(VLOOKUP(B371,Database!$A:$AU,MATCH($C$1,Database!$A$1:$AU$1,),)=0,"#N/A",((((VLOOKUP(B371,Database!$A:$AU,MATCH($C$1,Database!$A$1:$AU$1,),))))-(((VLOOKUP(EDATE(B371,-12),Database!$A:$AU,MATCH($C$1,Database!$A$1:$AU$1,),)))))/(((VLOOKUP(EDATE(B371,-12),Database!$A:$AU,MATCH($C$1,Database!$A$1:$AU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6">
      <c r="B372" s="75" t="n">
        <v>43466</v>
      </c>
      <c r="C372" s="13">
        <f>IF(VLOOKUP(B372,Database!$A:$AU,MATCH($C$1,Database!$A$1:$AU$1,),)=0,"#N/A",((((VLOOKUP(B372,Database!$A:$AU,MATCH($C$1,Database!$A$1:$AU$1,),))))-(((VLOOKUP(EDATE(B372,-12),Database!$A:$AU,MATCH($C$1,Database!$A$1:$AU$1,),)))))/(((VLOOKUP(EDATE(B372,-12),Database!$A:$AU,MATCH($C$1,Database!$A$1:$AU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6">
      <c r="B373" s="75" t="n">
        <v>43497</v>
      </c>
      <c r="C373" s="13">
        <f>IF(VLOOKUP(B373,Database!$A:$AU,MATCH($C$1,Database!$A$1:$AU$1,),)=0,"#N/A",((((VLOOKUP(B373,Database!$A:$AU,MATCH($C$1,Database!$A$1:$AU$1,),))))-(((VLOOKUP(EDATE(B373,-12),Database!$A:$AU,MATCH($C$1,Database!$A$1:$AU$1,),)))))/(((VLOOKUP(EDATE(B373,-12),Database!$A:$AU,MATCH($C$1,Database!$A$1:$AU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6">
      <c r="B374" s="75" t="n">
        <v>43525</v>
      </c>
      <c r="C374" s="13">
        <f>IF(VLOOKUP(B374,Database!$A:$AU,MATCH($C$1,Database!$A$1:$AU$1,),)=0,"#N/A",((((VLOOKUP(B374,Database!$A:$AU,MATCH($C$1,Database!$A$1:$AU$1,),))))-(((VLOOKUP(EDATE(B374,-12),Database!$A:$AU,MATCH($C$1,Database!$A$1:$AU$1,),)))))/(((VLOOKUP(EDATE(B374,-12),Database!$A:$AU,MATCH($C$1,Database!$A$1:$AU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>
        <f>((((VLOOKUP(B374,Database!$A:$AS,MATCH($N$1,Database!$A$1:$AS$1,),))))-(((VLOOKUP(EDATE(B374,-12),Database!$A:$AS,MATCH($N$1,Database!$A$1:$AS$1,),)))))/(((VLOOKUP(EDATE(B374,-12),Database!$A:$AS,MATCH($N$1,Database!$A$1:$AS$1,),))))</f>
        <v/>
      </c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6">
      <c r="B375" s="75" t="n">
        <v>43556</v>
      </c>
      <c r="C375" s="13">
        <f>IF(VLOOKUP(B375,Database!$A:$AU,MATCH($C$1,Database!$A$1:$AU$1,),)=0,"#N/A",((((VLOOKUP(B375,Database!$A:$AU,MATCH($C$1,Database!$A$1:$AU$1,),))))-(((VLOOKUP(EDATE(B375,-12),Database!$A:$AU,MATCH($C$1,Database!$A$1:$AU$1,),)))))/(((VLOOKUP(EDATE(B375,-12),Database!$A:$AU,MATCH($C$1,Database!$A$1:$AU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>
        <f>((((VLOOKUP(B375,Database!$A:$AS,MATCH($N$1,Database!$A$1:$AS$1,),))))-(((VLOOKUP(EDATE(B375,-12),Database!$A:$AS,MATCH($N$1,Database!$A$1:$AS$1,),)))))/(((VLOOKUP(EDATE(B375,-12),Database!$A:$AS,MATCH($N$1,Database!$A$1:$AS$1,),))))</f>
        <v/>
      </c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6">
      <c r="B376" s="75" t="n">
        <v>43586</v>
      </c>
      <c r="C376" s="13">
        <f>IF(VLOOKUP(B376,Database!$A:$AU,MATCH($C$1,Database!$A$1:$AU$1,),)=0,"#N/A",((((VLOOKUP(B376,Database!$A:$AU,MATCH($C$1,Database!$A$1:$AU$1,),))))-(((VLOOKUP(EDATE(B376,-12),Database!$A:$AU,MATCH($C$1,Database!$A$1:$AU$1,),)))))/(((VLOOKUP(EDATE(B376,-12),Database!$A:$AU,MATCH($C$1,Database!$A$1:$AU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>
        <f>((((VLOOKUP(B376,Database!$A:$AS,MATCH($N$1,Database!$A$1:$AS$1,),))))-(((VLOOKUP(EDATE(B376,-12),Database!$A:$AS,MATCH($N$1,Database!$A$1:$AS$1,),)))))/(((VLOOKUP(EDATE(B376,-12),Database!$A:$AS,MATCH($N$1,Database!$A$1:$AS$1,),))))</f>
        <v/>
      </c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6">
      <c r="B377" s="75" t="n">
        <v>43617</v>
      </c>
      <c r="C377" s="13">
        <f>IF(VLOOKUP(B377,Database!$A:$AU,MATCH($C$1,Database!$A$1:$AU$1,),)=0,"#N/A",((((VLOOKUP(B377,Database!$A:$AU,MATCH($C$1,Database!$A$1:$AU$1,),))))-(((VLOOKUP(EDATE(B377,-12),Database!$A:$AU,MATCH($C$1,Database!$A$1:$AU$1,),)))))/(((VLOOKUP(EDATE(B377,-12),Database!$A:$AU,MATCH($C$1,Database!$A$1:$AU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>
        <f>((((VLOOKUP(B377,Database!$A:$AS,MATCH($N$1,Database!$A$1:$AS$1,),))))-(((VLOOKUP(EDATE(B377,-12),Database!$A:$AS,MATCH($N$1,Database!$A$1:$AS$1,),)))))/(((VLOOKUP(EDATE(B377,-12),Database!$A:$AS,MATCH($N$1,Database!$A$1:$AS$1,),))))</f>
        <v/>
      </c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6">
      <c r="B378" s="75" t="n">
        <v>43647</v>
      </c>
      <c r="C378" s="13">
        <f>IF(VLOOKUP(B378,Database!$A:$AU,MATCH($C$1,Database!$A$1:$AU$1,),)=0,"#N/A",((((VLOOKUP(B378,Database!$A:$AU,MATCH($C$1,Database!$A$1:$AU$1,),))))-(((VLOOKUP(EDATE(B378,-12),Database!$A:$AU,MATCH($C$1,Database!$A$1:$AU$1,),)))))/(((VLOOKUP(EDATE(B378,-12),Database!$A:$AU,MATCH($C$1,Database!$A$1:$AU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>
        <f>((((VLOOKUP(B378,Database!$A:$AS,MATCH($N$1,Database!$A$1:$AS$1,),))))-(((VLOOKUP(EDATE(B378,-12),Database!$A:$AS,MATCH($N$1,Database!$A$1:$AS$1,),)))))/(((VLOOKUP(EDATE(B378,-12),Database!$A:$AS,MATCH($N$1,Database!$A$1:$AS$1,),))))</f>
        <v/>
      </c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6">
      <c r="B379" s="75" t="n">
        <v>43678</v>
      </c>
      <c r="C379" s="13">
        <f>IF(VLOOKUP(B379,Database!$A:$AU,MATCH($C$1,Database!$A$1:$AU$1,),)=0,"#N/A",((((VLOOKUP(B379,Database!$A:$AU,MATCH($C$1,Database!$A$1:$AU$1,),))))-(((VLOOKUP(EDATE(B379,-12),Database!$A:$AU,MATCH($C$1,Database!$A$1:$AU$1,),)))))/(((VLOOKUP(EDATE(B379,-12),Database!$A:$AU,MATCH($C$1,Database!$A$1:$AU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>
        <f>((((VLOOKUP(B379,Database!$A:$AS,MATCH($N$1,Database!$A$1:$AS$1,),))))-(((VLOOKUP(EDATE(B379,-12),Database!$A:$AS,MATCH($N$1,Database!$A$1:$AS$1,),)))))/(((VLOOKUP(EDATE(B379,-12),Database!$A:$AS,MATCH($N$1,Database!$A$1:$AS$1,),))))</f>
        <v/>
      </c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6">
      <c r="B380" s="75" t="n">
        <v>43709</v>
      </c>
      <c r="C380" s="13">
        <f>IF(VLOOKUP(B380,Database!$A:$AU,MATCH($C$1,Database!$A$1:$AU$1,),)=0,"#N/A",((((VLOOKUP(B380,Database!$A:$AU,MATCH($C$1,Database!$A$1:$AU$1,),))))-(((VLOOKUP(EDATE(B380,-12),Database!$A:$AU,MATCH($C$1,Database!$A$1:$AU$1,),)))))/(((VLOOKUP(EDATE(B380,-12),Database!$A:$AU,MATCH($C$1,Database!$A$1:$AU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>
        <f>((((VLOOKUP(B380,Database!$A:$AS,MATCH($N$1,Database!$A$1:$AS$1,),))))-(((VLOOKUP(EDATE(B380,-12),Database!$A:$AS,MATCH($N$1,Database!$A$1:$AS$1,),)))))/(((VLOOKUP(EDATE(B380,-12),Database!$A:$AS,MATCH($N$1,Database!$A$1:$AS$1,),))))</f>
        <v/>
      </c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6">
      <c r="B381" s="75" t="n">
        <v>43739</v>
      </c>
      <c r="C381" s="13">
        <f>IF(VLOOKUP(B381,Database!$A:$AU,MATCH($C$1,Database!$A$1:$AU$1,),)=0,"#N/A",((((VLOOKUP(B381,Database!$A:$AU,MATCH($C$1,Database!$A$1:$AU$1,),))))-(((VLOOKUP(EDATE(B381,-12),Database!$A:$AU,MATCH($C$1,Database!$A$1:$AU$1,),)))))/(((VLOOKUP(EDATE(B381,-12),Database!$A:$AU,MATCH($C$1,Database!$A$1:$AU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>
        <f>((((VLOOKUP(B381,Database!$A:$AS,MATCH($N$1,Database!$A$1:$AS$1,),))))-(((VLOOKUP(EDATE(B381,-12),Database!$A:$AS,MATCH($N$1,Database!$A$1:$AS$1,),)))))/(((VLOOKUP(EDATE(B381,-12),Database!$A:$AS,MATCH($N$1,Database!$A$1:$AS$1,),))))</f>
        <v/>
      </c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6">
      <c r="B382" s="75" t="n">
        <v>43770</v>
      </c>
      <c r="C382" s="13">
        <f>IF(VLOOKUP(B382,Database!$A:$AU,MATCH($C$1,Database!$A$1:$AU$1,),)=0,"#N/A",((((VLOOKUP(B382,Database!$A:$AU,MATCH($C$1,Database!$A$1:$AU$1,),))))-(((VLOOKUP(EDATE(B382,-12),Database!$A:$AU,MATCH($C$1,Database!$A$1:$AU$1,),)))))/(((VLOOKUP(EDATE(B382,-12),Database!$A:$AU,MATCH($C$1,Database!$A$1:$AU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>
        <f>((((VLOOKUP(B382,Database!$A:$AS,MATCH($N$1,Database!$A$1:$AS$1,),))))-(((VLOOKUP(EDATE(B382,-12),Database!$A:$AS,MATCH($N$1,Database!$A$1:$AS$1,),)))))/(((VLOOKUP(EDATE(B382,-12),Database!$A:$AS,MATCH($N$1,Database!$A$1:$AS$1,),))))</f>
        <v/>
      </c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6">
      <c r="B383" s="75" t="n">
        <v>43800</v>
      </c>
      <c r="C383" s="13">
        <f>IF(VLOOKUP(B383,Database!$A:$AU,MATCH($C$1,Database!$A$1:$AU$1,),)=0,"#N/A",((((VLOOKUP(B383,Database!$A:$AU,MATCH($C$1,Database!$A$1:$AU$1,),))))-(((VLOOKUP(EDATE(B383,-12),Database!$A:$AU,MATCH($C$1,Database!$A$1:$AU$1,),)))))/(((VLOOKUP(EDATE(B383,-12),Database!$A:$AU,MATCH($C$1,Database!$A$1:$AU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>
        <f>((((VLOOKUP(B383,Database!$A:$AS,MATCH($N$1,Database!$A$1:$AS$1,),))))-(((VLOOKUP(EDATE(B383,-12),Database!$A:$AS,MATCH($N$1,Database!$A$1:$AS$1,),)))))/(((VLOOKUP(EDATE(B383,-12),Database!$A:$AS,MATCH($N$1,Database!$A$1:$AS$1,),))))</f>
        <v/>
      </c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6">
      <c r="B384" s="75" t="n">
        <v>43831</v>
      </c>
      <c r="C384" s="13">
        <f>IF(VLOOKUP(B384,Database!$A:$AU,MATCH($C$1,Database!$A$1:$AU$1,),)=0,"#N/A",((((VLOOKUP(B384,Database!$A:$AU,MATCH($C$1,Database!$A$1:$AU$1,),))))-(((VLOOKUP(EDATE(B384,-12),Database!$A:$AU,MATCH($C$1,Database!$A$1:$AU$1,),)))))/(((VLOOKUP(EDATE(B384,-12),Database!$A:$AU,MATCH($C$1,Database!$A$1:$AU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>
        <f>((((VLOOKUP(B384,Database!$A:$AS,MATCH($N$1,Database!$A$1:$AS$1,),))))-(((VLOOKUP(EDATE(B384,-12),Database!$A:$AS,MATCH($N$1,Database!$A$1:$AS$1,),)))))/(((VLOOKUP(EDATE(B384,-12),Database!$A:$AS,MATCH($N$1,Database!$A$1:$AS$1,),))))</f>
        <v/>
      </c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6">
      <c r="B385" s="75" t="n">
        <v>43862</v>
      </c>
      <c r="C385" s="13">
        <f>IF(VLOOKUP(B385,Database!$A:$AU,MATCH($C$1,Database!$A$1:$AU$1,),)=0,"#N/A",((((VLOOKUP(B385,Database!$A:$AU,MATCH($C$1,Database!$A$1:$AU$1,),))))-(((VLOOKUP(EDATE(B385,-12),Database!$A:$AU,MATCH($C$1,Database!$A$1:$AU$1,),)))))/(((VLOOKUP(EDATE(B385,-12),Database!$A:$AU,MATCH($C$1,Database!$A$1:$AU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>
        <f>((((VLOOKUP(B385,Database!$A:$AS,MATCH($N$1,Database!$A$1:$AS$1,),))))-(((VLOOKUP(EDATE(B385,-12),Database!$A:$AS,MATCH($N$1,Database!$A$1:$AS$1,),)))))/(((VLOOKUP(EDATE(B385,-12),Database!$A:$AS,MATCH($N$1,Database!$A$1:$AS$1,),))))</f>
        <v/>
      </c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6">
      <c r="B386" s="75" t="n">
        <v>43891</v>
      </c>
      <c r="C386" s="13">
        <f>IF(VLOOKUP(B386,Database!$A:$AU,MATCH($C$1,Database!$A$1:$AU$1,),)=0,"#N/A",((((VLOOKUP(B386,Database!$A:$AU,MATCH($C$1,Database!$A$1:$AU$1,),))))-(((VLOOKUP(EDATE(B386,-12),Database!$A:$AU,MATCH($C$1,Database!$A$1:$AU$1,),)))))/(((VLOOKUP(EDATE(B386,-12),Database!$A:$AU,MATCH($C$1,Database!$A$1:$AU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>
        <f>((((VLOOKUP(B386,Database!$A:$AS,MATCH($N$1,Database!$A$1:$AS$1,),))))-(((VLOOKUP(EDATE(B386,-12),Database!$A:$AS,MATCH($N$1,Database!$A$1:$AS$1,),)))))/(((VLOOKUP(EDATE(B386,-12),Database!$A:$AS,MATCH($N$1,Database!$A$1:$AS$1,),))))</f>
        <v/>
      </c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6">
      <c r="B387" s="75" t="n">
        <v>43922</v>
      </c>
      <c r="C387" s="13">
        <f>IF(VLOOKUP(B387,Database!$A:$AU,MATCH($C$1,Database!$A$1:$AU$1,),)=0,"#N/A",((((VLOOKUP(B387,Database!$A:$AU,MATCH($C$1,Database!$A$1:$AU$1,),))))-(((VLOOKUP(EDATE(B387,-12),Database!$A:$AU,MATCH($C$1,Database!$A$1:$AU$1,),)))))/(((VLOOKUP(EDATE(B387,-12),Database!$A:$AU,MATCH($C$1,Database!$A$1:$AU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>
        <f>((((VLOOKUP(B387,Database!$A:$AS,MATCH($N$1,Database!$A$1:$AS$1,),))))-(((VLOOKUP(EDATE(B387,-12),Database!$A:$AS,MATCH($N$1,Database!$A$1:$AS$1,),)))))/(((VLOOKUP(EDATE(B387,-12),Database!$A:$AS,MATCH($N$1,Database!$A$1:$AS$1,),))))</f>
        <v/>
      </c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6">
      <c r="B388" s="75" t="n">
        <v>43952</v>
      </c>
      <c r="C388" s="13">
        <f>IF(VLOOKUP(B388,Database!$A:$AU,MATCH($C$1,Database!$A$1:$AU$1,),)=0,"#N/A",((((VLOOKUP(B388,Database!$A:$AU,MATCH($C$1,Database!$A$1:$AU$1,),))))-(((VLOOKUP(EDATE(B388,-12),Database!$A:$AU,MATCH($C$1,Database!$A$1:$AU$1,),)))))/(((VLOOKUP(EDATE(B388,-12),Database!$A:$AU,MATCH($C$1,Database!$A$1:$AU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>
        <f>((((VLOOKUP(B388,Database!$A:$AS,MATCH($N$1,Database!$A$1:$AS$1,),))))-(((VLOOKUP(EDATE(B388,-12),Database!$A:$AS,MATCH($N$1,Database!$A$1:$AS$1,),)))))/(((VLOOKUP(EDATE(B388,-12),Database!$A:$AS,MATCH($N$1,Database!$A$1:$AS$1,),))))</f>
        <v/>
      </c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6">
      <c r="B389" s="75" t="n">
        <v>43983</v>
      </c>
      <c r="C389" s="13">
        <f>IF(VLOOKUP(B389,Database!$A:$AU,MATCH($C$1,Database!$A$1:$AU$1,),)=0,"#N/A",((((VLOOKUP(B389,Database!$A:$AU,MATCH($C$1,Database!$A$1:$AU$1,),))))-(((VLOOKUP(EDATE(B389,-12),Database!$A:$AU,MATCH($C$1,Database!$A$1:$AU$1,),)))))/(((VLOOKUP(EDATE(B389,-12),Database!$A:$AU,MATCH($C$1,Database!$A$1:$AU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>
        <f>((((VLOOKUP(B389,Database!$A:$AS,MATCH($N$1,Database!$A$1:$AS$1,),))))-(((VLOOKUP(EDATE(B389,-12),Database!$A:$AS,MATCH($N$1,Database!$A$1:$AS$1,),)))))/(((VLOOKUP(EDATE(B389,-12),Database!$A:$AS,MATCH($N$1,Database!$A$1:$AS$1,),))))</f>
        <v/>
      </c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6">
      <c r="B390" s="75" t="n">
        <v>44013</v>
      </c>
      <c r="C390" s="13">
        <f>IF(VLOOKUP(B390,Database!$A:$AU,MATCH($C$1,Database!$A$1:$AU$1,),)=0,"#N/A",((((VLOOKUP(B390,Database!$A:$AU,MATCH($C$1,Database!$A$1:$AU$1,),))))-(((VLOOKUP(EDATE(B390,-12),Database!$A:$AU,MATCH($C$1,Database!$A$1:$AU$1,),)))))/(((VLOOKUP(EDATE(B390,-12),Database!$A:$AU,MATCH($C$1,Database!$A$1:$AU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>
        <f>((((VLOOKUP(B390,Database!$A:$AS,MATCH($N$1,Database!$A$1:$AS$1,),))))-(((VLOOKUP(EDATE(B390,-12),Database!$A:$AS,MATCH($N$1,Database!$A$1:$AS$1,),)))))/(((VLOOKUP(EDATE(B390,-12),Database!$A:$AS,MATCH($N$1,Database!$A$1:$AS$1,),))))</f>
        <v/>
      </c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6">
      <c r="B391" s="75" t="n">
        <v>44044</v>
      </c>
      <c r="C391" s="13">
        <f>IF(VLOOKUP(B391,Database!$A:$AU,MATCH($C$1,Database!$A$1:$AU$1,),)=0,"#N/A",((((VLOOKUP(B391,Database!$A:$AU,MATCH($C$1,Database!$A$1:$AU$1,),))))-(((VLOOKUP(EDATE(B391,-12),Database!$A:$AU,MATCH($C$1,Database!$A$1:$AU$1,),)))))/(((VLOOKUP(EDATE(B391,-12),Database!$A:$AU,MATCH($C$1,Database!$A$1:$AU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>
        <f>((((VLOOKUP(B391,Database!$A:$AS,MATCH($N$1,Database!$A$1:$AS$1,),))))-(((VLOOKUP(EDATE(B391,-12),Database!$A:$AS,MATCH($N$1,Database!$A$1:$AS$1,),)))))/(((VLOOKUP(EDATE(B391,-12),Database!$A:$AS,MATCH($N$1,Database!$A$1:$AS$1,),))))</f>
        <v/>
      </c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6">
      <c r="B392" s="75" t="n">
        <v>44075</v>
      </c>
      <c r="C392" s="13">
        <f>IF(VLOOKUP(B392,Database!$A:$AU,MATCH($C$1,Database!$A$1:$AU$1,),)=0,"#N/A",((((VLOOKUP(B392,Database!$A:$AU,MATCH($C$1,Database!$A$1:$AU$1,),))))-(((VLOOKUP(EDATE(B392,-12),Database!$A:$AU,MATCH($C$1,Database!$A$1:$AU$1,),)))))/(((VLOOKUP(EDATE(B392,-12),Database!$A:$AU,MATCH($C$1,Database!$A$1:$AU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>
        <f>((((VLOOKUP(B392,Database!$A:$AS,MATCH($N$1,Database!$A$1:$AS$1,),))))-(((VLOOKUP(EDATE(B392,-12),Database!$A:$AS,MATCH($N$1,Database!$A$1:$AS$1,),)))))/(((VLOOKUP(EDATE(B392,-12),Database!$A:$AS,MATCH($N$1,Database!$A$1:$AS$1,),))))</f>
        <v/>
      </c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6">
      <c r="B393" s="75" t="n">
        <v>44105</v>
      </c>
      <c r="C393" s="13">
        <f>IF(VLOOKUP(B393,Database!$A:$AU,MATCH($C$1,Database!$A$1:$AU$1,),)=0,"#N/A",((((VLOOKUP(B393,Database!$A:$AU,MATCH($C$1,Database!$A$1:$AU$1,),))))-(((VLOOKUP(EDATE(B393,-12),Database!$A:$AU,MATCH($C$1,Database!$A$1:$AU$1,),)))))/(((VLOOKUP(EDATE(B393,-12),Database!$A:$AU,MATCH($C$1,Database!$A$1:$AU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>
        <f>((((VLOOKUP(B393,Database!$A:$AS,MATCH($N$1,Database!$A$1:$AS$1,),))))-(((VLOOKUP(EDATE(B393,-12),Database!$A:$AS,MATCH($N$1,Database!$A$1:$AS$1,),)))))/(((VLOOKUP(EDATE(B393,-12),Database!$A:$AS,MATCH($N$1,Database!$A$1:$AS$1,),))))</f>
        <v/>
      </c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6">
      <c r="B394" s="75" t="n">
        <v>44136</v>
      </c>
      <c r="C394" s="13">
        <f>IF(VLOOKUP(B394,Database!$A:$AU,MATCH($C$1,Database!$A$1:$AU$1,),)=0,"#N/A",((((VLOOKUP(B394,Database!$A:$AU,MATCH($C$1,Database!$A$1:$AU$1,),))))-(((VLOOKUP(EDATE(B394,-12),Database!$A:$AU,MATCH($C$1,Database!$A$1:$AU$1,),)))))/(((VLOOKUP(EDATE(B394,-12),Database!$A:$AU,MATCH($C$1,Database!$A$1:$AU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>
        <f>((((VLOOKUP(B394,Database!$A:$AS,MATCH($N$1,Database!$A$1:$AS$1,),))))-(((VLOOKUP(EDATE(B394,-12),Database!$A:$AS,MATCH($N$1,Database!$A$1:$AS$1,),)))))/(((VLOOKUP(EDATE(B394,-12),Database!$A:$AS,MATCH($N$1,Database!$A$1:$AS$1,),))))</f>
        <v/>
      </c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6">
      <c r="B395" s="75" t="n">
        <v>44166</v>
      </c>
      <c r="C395" s="13">
        <f>IF(VLOOKUP(B395,Database!$A:$AU,MATCH($C$1,Database!$A$1:$AU$1,),)=0,"#N/A",((((VLOOKUP(B395,Database!$A:$AU,MATCH($C$1,Database!$A$1:$AU$1,),))))-(((VLOOKUP(EDATE(B395,-12),Database!$A:$AU,MATCH($C$1,Database!$A$1:$AU$1,),)))))/(((VLOOKUP(EDATE(B395,-12),Database!$A:$AU,MATCH($C$1,Database!$A$1:$AU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>
        <f>((((VLOOKUP(B395,Database!$A:$AS,MATCH($N$1,Database!$A$1:$AS$1,),))))-(((VLOOKUP(EDATE(B395,-12),Database!$A:$AS,MATCH($N$1,Database!$A$1:$AS$1,),)))))/(((VLOOKUP(EDATE(B395,-12),Database!$A:$AS,MATCH($N$1,Database!$A$1:$AS$1,),))))</f>
        <v/>
      </c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6">
      <c r="B396" s="75" t="n">
        <v>44197</v>
      </c>
      <c r="C396" s="13">
        <f>IF(VLOOKUP(B396,Database!$A:$AU,MATCH($C$1,Database!$A$1:$AU$1,),)=0,"#N/A",((((VLOOKUP(B396,Database!$A:$AU,MATCH($C$1,Database!$A$1:$AU$1,),))))-(((VLOOKUP(EDATE(B396,-12),Database!$A:$AU,MATCH($C$1,Database!$A$1:$AU$1,),)))))/(((VLOOKUP(EDATE(B396,-12),Database!$A:$AU,MATCH($C$1,Database!$A$1:$AU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>
        <f>((((VLOOKUP(B396,Database!$A:$AS,MATCH($N$1,Database!$A$1:$AS$1,),))))-(((VLOOKUP(EDATE(B396,-12),Database!$A:$AS,MATCH($N$1,Database!$A$1:$AS$1,),)))))/(((VLOOKUP(EDATE(B396,-12),Database!$A:$AS,MATCH($N$1,Database!$A$1:$AS$1,),))))</f>
        <v/>
      </c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6">
      <c r="B397" s="75" t="n">
        <v>44228</v>
      </c>
      <c r="C397" s="13">
        <f>IF(VLOOKUP(B397,Database!$A:$AU,MATCH($C$1,Database!$A$1:$AU$1,),)=0,"#N/A",((((VLOOKUP(B397,Database!$A:$AU,MATCH($C$1,Database!$A$1:$AU$1,),))))-(((VLOOKUP(EDATE(B397,-12),Database!$A:$AU,MATCH($C$1,Database!$A$1:$AU$1,),)))))/(((VLOOKUP(EDATE(B397,-12),Database!$A:$AU,MATCH($C$1,Database!$A$1:$AU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>
        <f>((((VLOOKUP(B397,Database!$A:$AS,MATCH($N$1,Database!$A$1:$AS$1,),))))-(((VLOOKUP(EDATE(B397,-12),Database!$A:$AS,MATCH($N$1,Database!$A$1:$AS$1,),)))))/(((VLOOKUP(EDATE(B397,-12),Database!$A:$AS,MATCH($N$1,Database!$A$1:$AS$1,),))))</f>
        <v/>
      </c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6">
      <c r="B398" s="75" t="n">
        <v>44256</v>
      </c>
      <c r="C398" s="13">
        <f>IF(VLOOKUP(B398,Database!$A:$AU,MATCH($C$1,Database!$A$1:$AU$1,),)=0,"#N/A",((((VLOOKUP(B398,Database!$A:$AU,MATCH($C$1,Database!$A$1:$AU$1,),))))-(((VLOOKUP(EDATE(B398,-12),Database!$A:$AU,MATCH($C$1,Database!$A$1:$AU$1,),)))))/(((VLOOKUP(EDATE(B398,-12),Database!$A:$AU,MATCH($C$1,Database!$A$1:$AU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>
        <f>((((VLOOKUP(B398,Database!$A:$AS,MATCH($N$1,Database!$A$1:$AS$1,),))))-(((VLOOKUP(EDATE(B398,-12),Database!$A:$AS,MATCH($N$1,Database!$A$1:$AS$1,),)))))/(((VLOOKUP(EDATE(B398,-12),Database!$A:$AS,MATCH($N$1,Database!$A$1:$AS$1,),))))</f>
        <v/>
      </c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6">
      <c r="B399" s="75" t="n">
        <v>44287</v>
      </c>
      <c r="C399" s="13">
        <f>IF(VLOOKUP(B399,Database!$A:$AU,MATCH($C$1,Database!$A$1:$AU$1,),)=0,"#N/A",((((VLOOKUP(B399,Database!$A:$AU,MATCH($C$1,Database!$A$1:$AU$1,),))))-(((VLOOKUP(EDATE(B399,-12),Database!$A:$AU,MATCH($C$1,Database!$A$1:$AU$1,),)))))/(((VLOOKUP(EDATE(B399,-12),Database!$A:$AU,MATCH($C$1,Database!$A$1:$AU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>
        <f>((((VLOOKUP(B399,Database!$A:$AS,MATCH($N$1,Database!$A$1:$AS$1,),))))-(((VLOOKUP(EDATE(B399,-12),Database!$A:$AS,MATCH($N$1,Database!$A$1:$AS$1,),)))))/(((VLOOKUP(EDATE(B399,-12),Database!$A:$AS,MATCH($N$1,Database!$A$1:$AS$1,),))))</f>
        <v/>
      </c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6">
      <c r="B400" s="75" t="n">
        <v>44317</v>
      </c>
      <c r="C400" s="13">
        <f>IF(VLOOKUP(B400,Database!$A:$AU,MATCH($C$1,Database!$A$1:$AU$1,),)=0,"#N/A",((((VLOOKUP(B400,Database!$A:$AU,MATCH($C$1,Database!$A$1:$AU$1,),))))-(((VLOOKUP(EDATE(B400,-12),Database!$A:$AU,MATCH($C$1,Database!$A$1:$AU$1,),)))))/(((VLOOKUP(EDATE(B400,-12),Database!$A:$AU,MATCH($C$1,Database!$A$1:$AU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>
        <f>((((VLOOKUP(B400,Database!$A:$AS,MATCH($N$1,Database!$A$1:$AS$1,),))))-(((VLOOKUP(EDATE(B400,-12),Database!$A:$AS,MATCH($N$1,Database!$A$1:$AS$1,),)))))/(((VLOOKUP(EDATE(B400,-12),Database!$A:$AS,MATCH($N$1,Database!$A$1:$AS$1,),))))</f>
        <v/>
      </c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6">
      <c r="B401" s="75" t="n">
        <v>44348</v>
      </c>
      <c r="C401" s="13">
        <f>IF(VLOOKUP(B401,Database!$A:$AU,MATCH($C$1,Database!$A$1:$AU$1,),)=0,"#N/A",((((VLOOKUP(B401,Database!$A:$AU,MATCH($C$1,Database!$A$1:$AU$1,),))))-(((VLOOKUP(EDATE(B401,-12),Database!$A:$AU,MATCH($C$1,Database!$A$1:$AU$1,),)))))/(((VLOOKUP(EDATE(B401,-12),Database!$A:$AU,MATCH($C$1,Database!$A$1:$AU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>
        <f>((((VLOOKUP(B401,Database!$A:$AS,MATCH($N$1,Database!$A$1:$AS$1,),))))-(((VLOOKUP(EDATE(B401,-12),Database!$A:$AS,MATCH($N$1,Database!$A$1:$AS$1,),)))))/(((VLOOKUP(EDATE(B401,-12),Database!$A:$AS,MATCH($N$1,Database!$A$1:$AS$1,),))))</f>
        <v/>
      </c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6">
      <c r="B402" s="75" t="n">
        <v>44378</v>
      </c>
      <c r="C402" s="13">
        <f>IF(VLOOKUP(B402,Database!$A:$AU,MATCH($C$1,Database!$A$1:$AU$1,),)=0,"#N/A",((((VLOOKUP(B402,Database!$A:$AU,MATCH($C$1,Database!$A$1:$AU$1,),))))-(((VLOOKUP(EDATE(B402,-12),Database!$A:$AU,MATCH($C$1,Database!$A$1:$AU$1,),)))))/(((VLOOKUP(EDATE(B402,-12),Database!$A:$AU,MATCH($C$1,Database!$A$1:$AU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>
        <f>((((VLOOKUP(B402,Database!$A:$AS,MATCH($N$1,Database!$A$1:$AS$1,),))))-(((VLOOKUP(EDATE(B402,-12),Database!$A:$AS,MATCH($N$1,Database!$A$1:$AS$1,),)))))/(((VLOOKUP(EDATE(B402,-12),Database!$A:$AS,MATCH($N$1,Database!$A$1:$AS$1,),))))</f>
        <v/>
      </c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6">
      <c r="B403" s="75" t="n">
        <v>44409</v>
      </c>
      <c r="C403" s="13">
        <f>IF(VLOOKUP(B403,Database!$A:$AU,MATCH($C$1,Database!$A$1:$AU$1,),)=0,"#N/A",((((VLOOKUP(B403,Database!$A:$AU,MATCH($C$1,Database!$A$1:$AU$1,),))))-(((VLOOKUP(EDATE(B403,-12),Database!$A:$AU,MATCH($C$1,Database!$A$1:$AU$1,),)))))/(((VLOOKUP(EDATE(B403,-12),Database!$A:$AU,MATCH($C$1,Database!$A$1:$AU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>
        <f>((((VLOOKUP(B403,Database!$A:$AS,MATCH($N$1,Database!$A$1:$AS$1,),))))-(((VLOOKUP(EDATE(B403,-12),Database!$A:$AS,MATCH($N$1,Database!$A$1:$AS$1,),)))))/(((VLOOKUP(EDATE(B403,-12),Database!$A:$AS,MATCH($N$1,Database!$A$1:$AS$1,),))))</f>
        <v/>
      </c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6">
      <c r="B404" s="75" t="n">
        <v>44440</v>
      </c>
      <c r="C404" s="13">
        <f>IF(VLOOKUP(B404,Database!$A:$AU,MATCH($C$1,Database!$A$1:$AU$1,),)=0,"#N/A",((((VLOOKUP(B404,Database!$A:$AU,MATCH($C$1,Database!$A$1:$AU$1,),))))-(((VLOOKUP(EDATE(B404,-12),Database!$A:$AU,MATCH($C$1,Database!$A$1:$AU$1,),)))))/(((VLOOKUP(EDATE(B404,-12),Database!$A:$AU,MATCH($C$1,Database!$A$1:$AU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>
        <f>((((VLOOKUP(B404,Database!$A:$AS,MATCH($N$1,Database!$A$1:$AS$1,),))))-(((VLOOKUP(EDATE(B404,-12),Database!$A:$AS,MATCH($N$1,Database!$A$1:$AS$1,),)))))/(((VLOOKUP(EDATE(B404,-12),Database!$A:$AS,MATCH($N$1,Database!$A$1:$AS$1,),))))</f>
        <v/>
      </c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6">
      <c r="B405" s="75" t="n">
        <v>44470</v>
      </c>
      <c r="C405" s="13">
        <f>IF(VLOOKUP(B405,Database!$A:$AU,MATCH($C$1,Database!$A$1:$AU$1,),)=0,"#N/A",((((VLOOKUP(B405,Database!$A:$AU,MATCH($C$1,Database!$A$1:$AU$1,),))))-(((VLOOKUP(EDATE(B405,-12),Database!$A:$AU,MATCH($C$1,Database!$A$1:$AU$1,),)))))/(((VLOOKUP(EDATE(B405,-12),Database!$A:$AU,MATCH($C$1,Database!$A$1:$AU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>
        <f>((((VLOOKUP(B405,Database!$A:$AS,MATCH($N$1,Database!$A$1:$AS$1,),))))-(((VLOOKUP(EDATE(B405,-12),Database!$A:$AS,MATCH($N$1,Database!$A$1:$AS$1,),)))))/(((VLOOKUP(EDATE(B405,-12),Database!$A:$AS,MATCH($N$1,Database!$A$1:$AS$1,),))))</f>
        <v/>
      </c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6">
      <c r="B406" s="75" t="n">
        <v>44501</v>
      </c>
      <c r="C406" s="13">
        <f>IF(VLOOKUP(B406,Database!$A:$AU,MATCH($C$1,Database!$A$1:$AU$1,),)=0,"#N/A",((((VLOOKUP(B406,Database!$A:$AU,MATCH($C$1,Database!$A$1:$AU$1,),))))-(((VLOOKUP(EDATE(B406,-12),Database!$A:$AU,MATCH($C$1,Database!$A$1:$AU$1,),)))))/(((VLOOKUP(EDATE(B406,-12),Database!$A:$AU,MATCH($C$1,Database!$A$1:$AU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>
        <f>((((VLOOKUP(B406,Database!$A:$AS,MATCH($N$1,Database!$A$1:$AS$1,),))))-(((VLOOKUP(EDATE(B406,-12),Database!$A:$AS,MATCH($N$1,Database!$A$1:$AS$1,),)))))/(((VLOOKUP(EDATE(B406,-12),Database!$A:$AS,MATCH($N$1,Database!$A$1:$AS$1,),))))</f>
        <v/>
      </c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6">
      <c r="B407" s="75" t="n">
        <v>44531</v>
      </c>
      <c r="C407" s="13">
        <f>IF(VLOOKUP(B407,Database!$A:$AU,MATCH($C$1,Database!$A$1:$AU$1,),)=0,"#N/A",((((VLOOKUP(B407,Database!$A:$AU,MATCH($C$1,Database!$A$1:$AU$1,),))))-(((VLOOKUP(EDATE(B407,-12),Database!$A:$AU,MATCH($C$1,Database!$A$1:$AU$1,),)))))/(((VLOOKUP(EDATE(B407,-12),Database!$A:$AU,MATCH($C$1,Database!$A$1:$AU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>
        <f>((((VLOOKUP(B407,Database!$A:$AS,MATCH($N$1,Database!$A$1:$AS$1,),))))-(((VLOOKUP(EDATE(B407,-12),Database!$A:$AS,MATCH($N$1,Database!$A$1:$AS$1,),)))))/(((VLOOKUP(EDATE(B407,-12),Database!$A:$AS,MATCH($N$1,Database!$A$1:$AS$1,),))))</f>
        <v/>
      </c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6">
      <c r="B408" s="75" t="n">
        <v>44562</v>
      </c>
      <c r="C408" s="13">
        <f>IF(VLOOKUP(B408,Database!$A:$AU,MATCH($C$1,Database!$A$1:$AU$1,),)=0,"#N/A",((((VLOOKUP(B408,Database!$A:$AU,MATCH($C$1,Database!$A$1:$AU$1,),))))-(((VLOOKUP(EDATE(B408,-12),Database!$A:$AU,MATCH($C$1,Database!$A$1:$AU$1,),)))))/(((VLOOKUP(EDATE(B408,-12),Database!$A:$AU,MATCH($C$1,Database!$A$1:$AU$1,),)))))</f>
        <v/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/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/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/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/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/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/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/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/>
      </c>
      <c r="L408" s="13" t="n"/>
      <c r="M408" s="13" t="n"/>
      <c r="N408" s="13">
        <f>((((VLOOKUP(B408,Database!$A:$AS,MATCH($N$1,Database!$A$1:$AS$1,),))))-(((VLOOKUP(EDATE(B408,-12),Database!$A:$AS,MATCH($N$1,Database!$A$1:$AS$1,),)))))/(((VLOOKUP(EDATE(B408,-12),Database!$A:$AS,MATCH($N$1,Database!$A$1:$AS$1,),))))</f>
        <v/>
      </c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/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/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/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/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/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/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/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/>
      </c>
    </row>
    <row r="409" customFormat="1" s="86">
      <c r="B409" s="75" t="n">
        <v>44593</v>
      </c>
      <c r="C409" s="13">
        <f>IF(VLOOKUP(B409,Database!$A:$AU,MATCH($C$1,Database!$A$1:$AU$1,),)=0,"#N/A",((((VLOOKUP(B409,Database!$A:$AU,MATCH($C$1,Database!$A$1:$AU$1,),))))-(((VLOOKUP(EDATE(B409,-12),Database!$A:$AU,MATCH($C$1,Database!$A$1:$AU$1,),)))))/(((VLOOKUP(EDATE(B409,-12),Database!$A:$AU,MATCH($C$1,Database!$A$1:$AU$1,),)))))</f>
        <v/>
      </c>
      <c r="D409" s="13">
        <f>IF(VLOOKUP(B409,Database!$A:$AV,MATCH($D$1,Database!$A$1:$AV$1,),)=0,"#N/A",((((VLOOKUP(B409,Database!$A:$AS,MATCH($D$1,Database!$A$1:$AS$1,),))))-(((VLOOKUP(EDATE(B409,-12),Database!$A:$AS,MATCH($D$1,Database!$A$1:$AS$1,),)))))/(((VLOOKUP(EDATE(B409,-12),Database!$A:$AS,MATCH($D$1,Database!$A$1:$AS$1,),)))))</f>
        <v/>
      </c>
      <c r="E409" s="13">
        <f>IF(VLOOKUP(B409,Database!$A:$AV,MATCH($E$1,Database!$A$1:$AV$1,),)=0,"#N/A",((((VLOOKUP(B409,Database!$A:$AS,MATCH($E$1,Database!$A$1:$AS$1,),))))-(((VLOOKUP(EDATE(B409,-12),Database!$A:$AS,MATCH($E$1,Database!$A$1:$AS$1,),)))))/(((VLOOKUP(EDATE(B409,-12),Database!$A:$AS,MATCH($E$1,Database!$A$1:$AS$1,),)))))</f>
        <v/>
      </c>
      <c r="F409" s="13">
        <f>IF(VLOOKUP(B409,Database!$A:$AV,MATCH($F$1,Database!$A$1:$AV$1,),)=0,"#N/A",((((VLOOKUP(B409,Database!$A:$AS,MATCH($F$1,Database!$A$1:$AS$1,),))))-(((VLOOKUP(EDATE(B409,-12),Database!$A:$AS,MATCH($F$1,Database!$A$1:$AS$1,),)))))/(((VLOOKUP(EDATE(B409,-12),Database!$A:$AS,MATCH($F$1,Database!$A$1:$AS$1,),)))))</f>
        <v/>
      </c>
      <c r="G409" s="13">
        <f>IF(VLOOKUP(B409,Database!$A:$AV,MATCH($G$1,Database!$A$1:$AV$1,),)=0,"#N/A",((((VLOOKUP(B409,Database!$A:$AS,MATCH($G$1,Database!$A$1:$AS$1,),))))-(((VLOOKUP(EDATE(B409,-12),Database!$A:$AS,MATCH($G$1,Database!$A$1:$AS$1,),)))))/(((VLOOKUP(EDATE(B409,-12),Database!$A:$AS,MATCH($G$1,Database!$A$1:$AS$1,),)))))</f>
        <v/>
      </c>
      <c r="H409" s="13">
        <f>IF(VLOOKUP(B409,Database!$A:$AV,MATCH($H$1,Database!$A$1:$AV$1,),)=0,"#N/A",((((VLOOKUP(B409,Database!$A:$AS,MATCH($H$1,Database!$A$1:$AS$1,),))))-(((VLOOKUP(EDATE(B409,-12),Database!$A:$AS,MATCH($H$1,Database!$A$1:$AS$1,),)))))/(((VLOOKUP(EDATE(B409,-12),Database!$A:$AS,MATCH($H$1,Database!$A$1:$AS$1,),)))))</f>
        <v/>
      </c>
      <c r="I409" s="13">
        <f>IF(VLOOKUP(B409,Database!$A:$AV,MATCH($I$1,Database!$A$1:$AV$1,),)=0,"#N/A",((((VLOOKUP(B409,Database!$A:$AS,MATCH($I$1,Database!$A$1:$AS$1,),))))-(((VLOOKUP(EDATE(B409,-12),Database!$A:$AS,MATCH($I$1,Database!$A$1:$AS$1,),)))))/(((VLOOKUP(EDATE(B409,-12),Database!$A:$AS,MATCH($I$1,Database!$A$1:$AS$1,),)))))</f>
        <v/>
      </c>
      <c r="J409" s="13">
        <f>IF(VLOOKUP(B409,Database!$A:$AV,MATCH($J$1,Database!$A$1:$AV$1,),)=0,"#N/A",((((VLOOKUP(B409,Database!$A:$AS,MATCH($J$1,Database!$A$1:$AS$1,),))))-(((VLOOKUP(EDATE(B409,-12),Database!$A:$AS,MATCH($J$1,Database!$A$1:$AS$1,),)))))/(((VLOOKUP(EDATE(B409,-12),Database!$A:$AS,MATCH($J$1,Database!$A$1:$AS$1,),)))))</f>
        <v/>
      </c>
      <c r="K409" s="13">
        <f>IF(VLOOKUP(B409,Database!$A:$AV,MATCH($K$1,Database!$A$1:$AV$1,),)=0,"#N/A",((((VLOOKUP(B409,Database!$A:$AS,MATCH($K$1,Database!$A$1:$AS$1,),))))-(((VLOOKUP(EDATE(B409,-12),Database!$A:$AS,MATCH($K$1,Database!$A$1:$AS$1,),)))))/(((VLOOKUP(EDATE(B409,-12),Database!$A:$AS,MATCH($K$1,Database!$A$1:$AS$1,),)))))</f>
        <v/>
      </c>
      <c r="L409" s="13" t="n"/>
      <c r="M409" s="13" t="n"/>
      <c r="N409" s="13">
        <f>((((VLOOKUP(B409,Database!$A:$AS,MATCH($N$1,Database!$A$1:$AS$1,),))))-(((VLOOKUP(EDATE(B409,-12),Database!$A:$AS,MATCH($N$1,Database!$A$1:$AS$1,),)))))/(((VLOOKUP(EDATE(B409,-12),Database!$A:$AS,MATCH($N$1,Database!$A$1:$AS$1,),))))</f>
        <v/>
      </c>
      <c r="O409" s="13">
        <f>IF(VLOOKUP(B409,Database!$A:$AV,MATCH($O$1,Database!$A$1:$AV$1,),)=0,"#N/A",((((VLOOKUP(B409,Database!$A:$AS,MATCH($O$1,Database!$A$1:$AS$1,),))))-(((VLOOKUP(EDATE(B409,-12),Database!$A:$AS,MATCH($O$1,Database!$A$1:$AS$1,),)))))/(((VLOOKUP(EDATE(B409,-12),Database!$A:$AS,MATCH($O$1,Database!$A$1:$AS$1,),)))))</f>
        <v/>
      </c>
      <c r="P409" s="13">
        <f>IF(VLOOKUP(B409,Database!$A:$AV,MATCH($P$1,Database!$A$1:$AV$1,),)=0,"#N/A",((((VLOOKUP(B409,Database!$A:$AS,MATCH($P$1,Database!$A$1:$AS$1,),))))-(((VLOOKUP(EDATE(B409,-12),Database!$A:$AS,MATCH($P$1,Database!$A$1:$AS$1,),)))))/(((VLOOKUP(EDATE(B409,-12),Database!$A:$AS,MATCH($P$1,Database!$A$1:$AS$1,),)))))</f>
        <v/>
      </c>
      <c r="Q409" s="13">
        <f>IF(VLOOKUP(B409,Database!$A:$AV,MATCH($Q$1,Database!$A$1:$AV$1,),)=0,"#N/A",((((VLOOKUP(B409,Database!$A:$AS,MATCH($Q$1,Database!$A$1:$AS$1,),))))-(((VLOOKUP(EDATE(B409,-12),Database!$A:$AS,MATCH($Q$1,Database!$A$1:$AS$1,),)))))/(((VLOOKUP(EDATE(B409,-12),Database!$A:$AS,MATCH($Q$1,Database!$A$1:$AS$1,),)))))</f>
        <v/>
      </c>
      <c r="R409" s="13">
        <f>IF(VLOOKUP(B409,Database!$A:$AV,MATCH($R$1,Database!$A$1:$AV$1,),)=0,"#N/A",((((VLOOKUP(B409,Database!$A:$AS,MATCH($R$1,Database!$A$1:$AS$1,),))))-(((VLOOKUP(EDATE(B409,-12),Database!$A:$AS,MATCH($R$1,Database!$A$1:$AS$1,),)))))/(((VLOOKUP(EDATE(B409,-12),Database!$A:$AS,MATCH($R$1,Database!$A$1:$AS$1,),)))))</f>
        <v/>
      </c>
      <c r="S409" s="13">
        <f>IF(VLOOKUP(B409,Database!$A:$AV,MATCH($S$1,Database!$A$1:$AV$1,),)=0,"#N/A",((((VLOOKUP(B409,Database!$A:$AS,MATCH($S$1,Database!$A$1:$AS$1,),))))-(((VLOOKUP(EDATE(B409,-12),Database!$A:$AS,MATCH($S$1,Database!$A$1:$AS$1,),)))))/(((VLOOKUP(EDATE(B409,-12),Database!$A:$AS,MATCH($S$1,Database!$A$1:$AS$1,),)))))</f>
        <v/>
      </c>
      <c r="T409" s="13">
        <f>IF(VLOOKUP(B409,Database!$A:$AV,MATCH($T$1,Database!$A$1:$AV$1,),)=0,"#N/A",((((VLOOKUP(B409,Database!$A:$AS,MATCH($T$1,Database!$A$1:$AS$1,),))))-(((VLOOKUP(EDATE(B409,-12),Database!$A:$AS,MATCH($T$1,Database!$A$1:$AS$1,),)))))/(((VLOOKUP(EDATE(B409,-12),Database!$A:$AS,MATCH($T$1,Database!$A$1:$AS$1,),)))))</f>
        <v/>
      </c>
      <c r="U409" s="13">
        <f>IF(VLOOKUP(B409,Database!$A:$AV,MATCH($U$1,Database!$A$1:$AV$1,),)=0,"#N/A",((((VLOOKUP(B409,Database!$A:$AS,MATCH($U$1,Database!$A$1:$AS$1,),))))-(((VLOOKUP(EDATE(B409,-12),Database!$A:$AS,MATCH($U$1,Database!$A$1:$AS$1,),)))))/(((VLOOKUP(EDATE(B409,-12),Database!$A:$AS,MATCH($U$1,Database!$A$1:$AS$1,),)))))</f>
        <v/>
      </c>
      <c r="V409" s="13">
        <f>IF(VLOOKUP(B409,Database!$A:$AV,MATCH($V$1,Database!$A$1:$AV$1,),)=0,"#N/A",((((VLOOKUP(B409,Database!$A:$AS,MATCH($V$1,Database!$A$1:$AS$1,),))))-(((VLOOKUP(EDATE(B409,-12),Database!$A:$AS,MATCH($V$1,Database!$A$1:$AS$1,),)))))/(((VLOOKUP(EDATE(B409,-12),Database!$A:$AS,MATCH($V$1,Database!$A$1:$AS$1,),)))))</f>
        <v/>
      </c>
    </row>
    <row r="410" customFormat="1" s="86">
      <c r="B410" s="75" t="n">
        <v>44621</v>
      </c>
      <c r="C410" s="13">
        <f>IF(VLOOKUP(B410,Database!$A:$AU,MATCH($C$1,Database!$A$1:$AU$1,),)=0,"#N/A",((((VLOOKUP(B410,Database!$A:$AU,MATCH($C$1,Database!$A$1:$AU$1,),))))-(((VLOOKUP(EDATE(B410,-12),Database!$A:$AU,MATCH($C$1,Database!$A$1:$AU$1,),)))))/(((VLOOKUP(EDATE(B410,-12),Database!$A:$AU,MATCH($C$1,Database!$A$1:$AU$1,),)))))</f>
        <v/>
      </c>
      <c r="D410" s="13">
        <f>IF(VLOOKUP(B410,Database!$A:$AV,MATCH($D$1,Database!$A$1:$AV$1,),)=0,"#N/A",((((VLOOKUP(B410,Database!$A:$AS,MATCH($D$1,Database!$A$1:$AS$1,),))))-(((VLOOKUP(EDATE(B410,-12),Database!$A:$AS,MATCH($D$1,Database!$A$1:$AS$1,),)))))/(((VLOOKUP(EDATE(B410,-12),Database!$A:$AS,MATCH($D$1,Database!$A$1:$AS$1,),)))))</f>
        <v/>
      </c>
      <c r="E410" s="13">
        <f>IF(VLOOKUP(B410,Database!$A:$AV,MATCH($E$1,Database!$A$1:$AV$1,),)=0,"#N/A",((((VLOOKUP(B410,Database!$A:$AS,MATCH($E$1,Database!$A$1:$AS$1,),))))-(((VLOOKUP(EDATE(B410,-12),Database!$A:$AS,MATCH($E$1,Database!$A$1:$AS$1,),)))))/(((VLOOKUP(EDATE(B410,-12),Database!$A:$AS,MATCH($E$1,Database!$A$1:$AS$1,),)))))</f>
        <v/>
      </c>
      <c r="F410" s="13">
        <f>IF(VLOOKUP(B410,Database!$A:$AV,MATCH($F$1,Database!$A$1:$AV$1,),)=0,"#N/A",((((VLOOKUP(B410,Database!$A:$AS,MATCH($F$1,Database!$A$1:$AS$1,),))))-(((VLOOKUP(EDATE(B410,-12),Database!$A:$AS,MATCH($F$1,Database!$A$1:$AS$1,),)))))/(((VLOOKUP(EDATE(B410,-12),Database!$A:$AS,MATCH($F$1,Database!$A$1:$AS$1,),)))))</f>
        <v/>
      </c>
      <c r="G410" s="13">
        <f>IF(VLOOKUP(B410,Database!$A:$AV,MATCH($G$1,Database!$A$1:$AV$1,),)=0,"#N/A",((((VLOOKUP(B410,Database!$A:$AS,MATCH($G$1,Database!$A$1:$AS$1,),))))-(((VLOOKUP(EDATE(B410,-12),Database!$A:$AS,MATCH($G$1,Database!$A$1:$AS$1,),)))))/(((VLOOKUP(EDATE(B410,-12),Database!$A:$AS,MATCH($G$1,Database!$A$1:$AS$1,),)))))</f>
        <v/>
      </c>
      <c r="H410" s="13">
        <f>IF(VLOOKUP(B410,Database!$A:$AV,MATCH($H$1,Database!$A$1:$AV$1,),)=0,"#N/A",((((VLOOKUP(B410,Database!$A:$AS,MATCH($H$1,Database!$A$1:$AS$1,),))))-(((VLOOKUP(EDATE(B410,-12),Database!$A:$AS,MATCH($H$1,Database!$A$1:$AS$1,),)))))/(((VLOOKUP(EDATE(B410,-12),Database!$A:$AS,MATCH($H$1,Database!$A$1:$AS$1,),)))))</f>
        <v/>
      </c>
      <c r="I410" s="13">
        <f>IF(VLOOKUP(B410,Database!$A:$AV,MATCH($I$1,Database!$A$1:$AV$1,),)=0,"#N/A",((((VLOOKUP(B410,Database!$A:$AS,MATCH($I$1,Database!$A$1:$AS$1,),))))-(((VLOOKUP(EDATE(B410,-12),Database!$A:$AS,MATCH($I$1,Database!$A$1:$AS$1,),)))))/(((VLOOKUP(EDATE(B410,-12),Database!$A:$AS,MATCH($I$1,Database!$A$1:$AS$1,),)))))</f>
        <v/>
      </c>
      <c r="J410" s="13">
        <f>IF(VLOOKUP(B410,Database!$A:$AV,MATCH($J$1,Database!$A$1:$AV$1,),)=0,"#N/A",((((VLOOKUP(B410,Database!$A:$AS,MATCH($J$1,Database!$A$1:$AS$1,),))))-(((VLOOKUP(EDATE(B410,-12),Database!$A:$AS,MATCH($J$1,Database!$A$1:$AS$1,),)))))/(((VLOOKUP(EDATE(B410,-12),Database!$A:$AS,MATCH($J$1,Database!$A$1:$AS$1,),)))))</f>
        <v/>
      </c>
      <c r="K410" s="13">
        <f>IF(VLOOKUP(B410,Database!$A:$AV,MATCH($K$1,Database!$A$1:$AV$1,),)=0,"#N/A",((((VLOOKUP(B410,Database!$A:$AS,MATCH($K$1,Database!$A$1:$AS$1,),))))-(((VLOOKUP(EDATE(B410,-12),Database!$A:$AS,MATCH($K$1,Database!$A$1:$AS$1,),)))))/(((VLOOKUP(EDATE(B410,-12),Database!$A:$AS,MATCH($K$1,Database!$A$1:$AS$1,),)))))</f>
        <v/>
      </c>
      <c r="L410" s="13" t="n"/>
      <c r="M410" s="13" t="n"/>
      <c r="N410" s="13">
        <f>((((VLOOKUP(B410,Database!$A:$AS,MATCH($N$1,Database!$A$1:$AS$1,),))))-(((VLOOKUP(EDATE(B410,-12),Database!$A:$AS,MATCH($N$1,Database!$A$1:$AS$1,),)))))/(((VLOOKUP(EDATE(B410,-12),Database!$A:$AS,MATCH($N$1,Database!$A$1:$AS$1,),))))</f>
        <v/>
      </c>
      <c r="O410" s="13">
        <f>IF(VLOOKUP(B410,Database!$A:$AV,MATCH($O$1,Database!$A$1:$AV$1,),)=0,"#N/A",((((VLOOKUP(B410,Database!$A:$AS,MATCH($O$1,Database!$A$1:$AS$1,),))))-(((VLOOKUP(EDATE(B410,-12),Database!$A:$AS,MATCH($O$1,Database!$A$1:$AS$1,),)))))/(((VLOOKUP(EDATE(B410,-12),Database!$A:$AS,MATCH($O$1,Database!$A$1:$AS$1,),)))))</f>
        <v/>
      </c>
      <c r="P410" s="13">
        <f>IF(VLOOKUP(B410,Database!$A:$AV,MATCH($P$1,Database!$A$1:$AV$1,),)=0,"#N/A",((((VLOOKUP(B410,Database!$A:$AS,MATCH($P$1,Database!$A$1:$AS$1,),))))-(((VLOOKUP(EDATE(B410,-12),Database!$A:$AS,MATCH($P$1,Database!$A$1:$AS$1,),)))))/(((VLOOKUP(EDATE(B410,-12),Database!$A:$AS,MATCH($P$1,Database!$A$1:$AS$1,),)))))</f>
        <v/>
      </c>
      <c r="Q410" s="13">
        <f>IF(VLOOKUP(B410,Database!$A:$AV,MATCH($Q$1,Database!$A$1:$AV$1,),)=0,"#N/A",((((VLOOKUP(B410,Database!$A:$AS,MATCH($Q$1,Database!$A$1:$AS$1,),))))-(((VLOOKUP(EDATE(B410,-12),Database!$A:$AS,MATCH($Q$1,Database!$A$1:$AS$1,),)))))/(((VLOOKUP(EDATE(B410,-12),Database!$A:$AS,MATCH($Q$1,Database!$A$1:$AS$1,),)))))</f>
        <v/>
      </c>
      <c r="R410" s="13">
        <f>IF(VLOOKUP(B410,Database!$A:$AV,MATCH($R$1,Database!$A$1:$AV$1,),)=0,"#N/A",((((VLOOKUP(B410,Database!$A:$AS,MATCH($R$1,Database!$A$1:$AS$1,),))))-(((VLOOKUP(EDATE(B410,-12),Database!$A:$AS,MATCH($R$1,Database!$A$1:$AS$1,),)))))/(((VLOOKUP(EDATE(B410,-12),Database!$A:$AS,MATCH($R$1,Database!$A$1:$AS$1,),)))))</f>
        <v/>
      </c>
      <c r="S410" s="13">
        <f>IF(VLOOKUP(B410,Database!$A:$AV,MATCH($S$1,Database!$A$1:$AV$1,),)=0,"#N/A",((((VLOOKUP(B410,Database!$A:$AS,MATCH($S$1,Database!$A$1:$AS$1,),))))-(((VLOOKUP(EDATE(B410,-12),Database!$A:$AS,MATCH($S$1,Database!$A$1:$AS$1,),)))))/(((VLOOKUP(EDATE(B410,-12),Database!$A:$AS,MATCH($S$1,Database!$A$1:$AS$1,),)))))</f>
        <v/>
      </c>
      <c r="T410" s="13">
        <f>IF(VLOOKUP(B410,Database!$A:$AV,MATCH($T$1,Database!$A$1:$AV$1,),)=0,"#N/A",((((VLOOKUP(B410,Database!$A:$AS,MATCH($T$1,Database!$A$1:$AS$1,),))))-(((VLOOKUP(EDATE(B410,-12),Database!$A:$AS,MATCH($T$1,Database!$A$1:$AS$1,),)))))/(((VLOOKUP(EDATE(B410,-12),Database!$A:$AS,MATCH($T$1,Database!$A$1:$AS$1,),)))))</f>
        <v/>
      </c>
      <c r="U410" s="13">
        <f>IF(VLOOKUP(B410,Database!$A:$AV,MATCH($U$1,Database!$A$1:$AV$1,),)=0,"#N/A",((((VLOOKUP(B410,Database!$A:$AS,MATCH($U$1,Database!$A$1:$AS$1,),))))-(((VLOOKUP(EDATE(B410,-12),Database!$A:$AS,MATCH($U$1,Database!$A$1:$AS$1,),)))))/(((VLOOKUP(EDATE(B410,-12),Database!$A:$AS,MATCH($U$1,Database!$A$1:$AS$1,),)))))</f>
        <v/>
      </c>
      <c r="V410" s="13">
        <f>IF(VLOOKUP(B410,Database!$A:$AV,MATCH($V$1,Database!$A$1:$AV$1,),)=0,"#N/A",((((VLOOKUP(B410,Database!$A:$AS,MATCH($V$1,Database!$A$1:$AS$1,),))))-(((VLOOKUP(EDATE(B410,-12),Database!$A:$AS,MATCH($V$1,Database!$A$1:$AS$1,),)))))/(((VLOOKUP(EDATE(B410,-12),Database!$A:$AS,MATCH($V$1,Database!$A$1:$AS$1,),)))))</f>
        <v/>
      </c>
    </row>
    <row r="411" customFormat="1" s="86">
      <c r="B411" s="75" t="n">
        <v>44652</v>
      </c>
      <c r="C411" s="13">
        <f>IF(VLOOKUP(B411,Database!$A:$AU,MATCH($C$1,Database!$A$1:$AU$1,),)=0,"#N/A",((((VLOOKUP(B411,Database!$A:$AU,MATCH($C$1,Database!$A$1:$AU$1,),))))-(((VLOOKUP(EDATE(B411,-12),Database!$A:$AU,MATCH($C$1,Database!$A$1:$AU$1,),)))))/(((VLOOKUP(EDATE(B411,-12),Database!$A:$AU,MATCH($C$1,Database!$A$1:$AU$1,),)))))</f>
        <v/>
      </c>
      <c r="D411" s="13">
        <f>IF(VLOOKUP(B411,Database!$A:$AV,MATCH($D$1,Database!$A$1:$AV$1,),)=0,"#N/A",((((VLOOKUP(B411,Database!$A:$AS,MATCH($D$1,Database!$A$1:$AS$1,),))))-(((VLOOKUP(EDATE(B411,-12),Database!$A:$AS,MATCH($D$1,Database!$A$1:$AS$1,),)))))/(((VLOOKUP(EDATE(B411,-12),Database!$A:$AS,MATCH($D$1,Database!$A$1:$AS$1,),)))))</f>
        <v/>
      </c>
      <c r="E411" s="13">
        <f>IF(VLOOKUP(B411,Database!$A:$AV,MATCH($E$1,Database!$A$1:$AV$1,),)=0,"#N/A",((((VLOOKUP(B411,Database!$A:$AS,MATCH($E$1,Database!$A$1:$AS$1,),))))-(((VLOOKUP(EDATE(B411,-12),Database!$A:$AS,MATCH($E$1,Database!$A$1:$AS$1,),)))))/(((VLOOKUP(EDATE(B411,-12),Database!$A:$AS,MATCH($E$1,Database!$A$1:$AS$1,),)))))</f>
        <v/>
      </c>
      <c r="F411" s="13">
        <f>IF(VLOOKUP(B411,Database!$A:$AV,MATCH($F$1,Database!$A$1:$AV$1,),)=0,"#N/A",((((VLOOKUP(B411,Database!$A:$AS,MATCH($F$1,Database!$A$1:$AS$1,),))))-(((VLOOKUP(EDATE(B411,-12),Database!$A:$AS,MATCH($F$1,Database!$A$1:$AS$1,),)))))/(((VLOOKUP(EDATE(B411,-12),Database!$A:$AS,MATCH($F$1,Database!$A$1:$AS$1,),)))))</f>
        <v/>
      </c>
      <c r="G411" s="13">
        <f>IF(VLOOKUP(B411,Database!$A:$AV,MATCH($G$1,Database!$A$1:$AV$1,),)=0,"#N/A",((((VLOOKUP(B411,Database!$A:$AS,MATCH($G$1,Database!$A$1:$AS$1,),))))-(((VLOOKUP(EDATE(B411,-12),Database!$A:$AS,MATCH($G$1,Database!$A$1:$AS$1,),)))))/(((VLOOKUP(EDATE(B411,-12),Database!$A:$AS,MATCH($G$1,Database!$A$1:$AS$1,),)))))</f>
        <v/>
      </c>
      <c r="H411" s="13">
        <f>IF(VLOOKUP(B411,Database!$A:$AV,MATCH($H$1,Database!$A$1:$AV$1,),)=0,"#N/A",((((VLOOKUP(B411,Database!$A:$AS,MATCH($H$1,Database!$A$1:$AS$1,),))))-(((VLOOKUP(EDATE(B411,-12),Database!$A:$AS,MATCH($H$1,Database!$A$1:$AS$1,),)))))/(((VLOOKUP(EDATE(B411,-12),Database!$A:$AS,MATCH($H$1,Database!$A$1:$AS$1,),)))))</f>
        <v/>
      </c>
      <c r="I411" s="13">
        <f>IF(VLOOKUP(B411,Database!$A:$AV,MATCH($I$1,Database!$A$1:$AV$1,),)=0,"#N/A",((((VLOOKUP(B411,Database!$A:$AS,MATCH($I$1,Database!$A$1:$AS$1,),))))-(((VLOOKUP(EDATE(B411,-12),Database!$A:$AS,MATCH($I$1,Database!$A$1:$AS$1,),)))))/(((VLOOKUP(EDATE(B411,-12),Database!$A:$AS,MATCH($I$1,Database!$A$1:$AS$1,),)))))</f>
        <v/>
      </c>
      <c r="J411" s="13">
        <f>IF(VLOOKUP(B411,Database!$A:$AV,MATCH($J$1,Database!$A$1:$AV$1,),)=0,"#N/A",((((VLOOKUP(B411,Database!$A:$AS,MATCH($J$1,Database!$A$1:$AS$1,),))))-(((VLOOKUP(EDATE(B411,-12),Database!$A:$AS,MATCH($J$1,Database!$A$1:$AS$1,),)))))/(((VLOOKUP(EDATE(B411,-12),Database!$A:$AS,MATCH($J$1,Database!$A$1:$AS$1,),)))))</f>
        <v/>
      </c>
      <c r="K411" s="13">
        <f>IF(VLOOKUP(B411,Database!$A:$AV,MATCH($K$1,Database!$A$1:$AV$1,),)=0,"#N/A",((((VLOOKUP(B411,Database!$A:$AS,MATCH($K$1,Database!$A$1:$AS$1,),))))-(((VLOOKUP(EDATE(B411,-12),Database!$A:$AS,MATCH($K$1,Database!$A$1:$AS$1,),)))))/(((VLOOKUP(EDATE(B411,-12),Database!$A:$AS,MATCH($K$1,Database!$A$1:$AS$1,),)))))</f>
        <v/>
      </c>
      <c r="L411" s="13" t="n"/>
      <c r="M411" s="13" t="n"/>
      <c r="N411" s="13">
        <f>((((VLOOKUP(B411,Database!$A:$AS,MATCH($N$1,Database!$A$1:$AS$1,),))))-(((VLOOKUP(EDATE(B411,-12),Database!$A:$AS,MATCH($N$1,Database!$A$1:$AS$1,),)))))/(((VLOOKUP(EDATE(B411,-12),Database!$A:$AS,MATCH($N$1,Database!$A$1:$AS$1,),))))</f>
        <v/>
      </c>
      <c r="O411" s="13">
        <f>IF(VLOOKUP(B411,Database!$A:$AV,MATCH($O$1,Database!$A$1:$AV$1,),)=0,"#N/A",((((VLOOKUP(B411,Database!$A:$AS,MATCH($O$1,Database!$A$1:$AS$1,),))))-(((VLOOKUP(EDATE(B411,-12),Database!$A:$AS,MATCH($O$1,Database!$A$1:$AS$1,),)))))/(((VLOOKUP(EDATE(B411,-12),Database!$A:$AS,MATCH($O$1,Database!$A$1:$AS$1,),)))))</f>
        <v/>
      </c>
      <c r="P411" s="13">
        <f>IF(VLOOKUP(B411,Database!$A:$AV,MATCH($P$1,Database!$A$1:$AV$1,),)=0,"#N/A",((((VLOOKUP(B411,Database!$A:$AS,MATCH($P$1,Database!$A$1:$AS$1,),))))-(((VLOOKUP(EDATE(B411,-12),Database!$A:$AS,MATCH($P$1,Database!$A$1:$AS$1,),)))))/(((VLOOKUP(EDATE(B411,-12),Database!$A:$AS,MATCH($P$1,Database!$A$1:$AS$1,),)))))</f>
        <v/>
      </c>
      <c r="Q411" s="13">
        <f>IF(VLOOKUP(B411,Database!$A:$AV,MATCH($Q$1,Database!$A$1:$AV$1,),)=0,"#N/A",((((VLOOKUP(B411,Database!$A:$AS,MATCH($Q$1,Database!$A$1:$AS$1,),))))-(((VLOOKUP(EDATE(B411,-12),Database!$A:$AS,MATCH($Q$1,Database!$A$1:$AS$1,),)))))/(((VLOOKUP(EDATE(B411,-12),Database!$A:$AS,MATCH($Q$1,Database!$A$1:$AS$1,),)))))</f>
        <v/>
      </c>
      <c r="R411" s="13">
        <f>IF(VLOOKUP(B411,Database!$A:$AV,MATCH($R$1,Database!$A$1:$AV$1,),)=0,"#N/A",((((VLOOKUP(B411,Database!$A:$AS,MATCH($R$1,Database!$A$1:$AS$1,),))))-(((VLOOKUP(EDATE(B411,-12),Database!$A:$AS,MATCH($R$1,Database!$A$1:$AS$1,),)))))/(((VLOOKUP(EDATE(B411,-12),Database!$A:$AS,MATCH($R$1,Database!$A$1:$AS$1,),)))))</f>
        <v/>
      </c>
      <c r="S411" s="13">
        <f>IF(VLOOKUP(B411,Database!$A:$AV,MATCH($S$1,Database!$A$1:$AV$1,),)=0,"#N/A",((((VLOOKUP(B411,Database!$A:$AS,MATCH($S$1,Database!$A$1:$AS$1,),))))-(((VLOOKUP(EDATE(B411,-12),Database!$A:$AS,MATCH($S$1,Database!$A$1:$AS$1,),)))))/(((VLOOKUP(EDATE(B411,-12),Database!$A:$AS,MATCH($S$1,Database!$A$1:$AS$1,),)))))</f>
        <v/>
      </c>
      <c r="T411" s="13">
        <f>IF(VLOOKUP(B411,Database!$A:$AV,MATCH($T$1,Database!$A$1:$AV$1,),)=0,"#N/A",((((VLOOKUP(B411,Database!$A:$AS,MATCH($T$1,Database!$A$1:$AS$1,),))))-(((VLOOKUP(EDATE(B411,-12),Database!$A:$AS,MATCH($T$1,Database!$A$1:$AS$1,),)))))/(((VLOOKUP(EDATE(B411,-12),Database!$A:$AS,MATCH($T$1,Database!$A$1:$AS$1,),)))))</f>
        <v/>
      </c>
      <c r="U411" s="13">
        <f>IF(VLOOKUP(B411,Database!$A:$AV,MATCH($U$1,Database!$A$1:$AV$1,),)=0,"#N/A",((((VLOOKUP(B411,Database!$A:$AS,MATCH($U$1,Database!$A$1:$AS$1,),))))-(((VLOOKUP(EDATE(B411,-12),Database!$A:$AS,MATCH($U$1,Database!$A$1:$AS$1,),)))))/(((VLOOKUP(EDATE(B411,-12),Database!$A:$AS,MATCH($U$1,Database!$A$1:$AS$1,),)))))</f>
        <v/>
      </c>
      <c r="V411" s="13">
        <f>IF(VLOOKUP(B411,Database!$A:$AV,MATCH($V$1,Database!$A$1:$AV$1,),)=0,"#N/A",((((VLOOKUP(B411,Database!$A:$AS,MATCH($V$1,Database!$A$1:$AS$1,),))))-(((VLOOKUP(EDATE(B411,-12),Database!$A:$AS,MATCH($V$1,Database!$A$1:$AS$1,),)))))/(((VLOOKUP(EDATE(B411,-12),Database!$A:$AS,MATCH($V$1,Database!$A$1:$AS$1,),)))))</f>
        <v/>
      </c>
    </row>
    <row r="412" customFormat="1" s="86">
      <c r="B412" s="75" t="n">
        <v>44682</v>
      </c>
      <c r="C412" s="13">
        <f>IF(VLOOKUP(B412,Database!$A:$AU,MATCH($C$1,Database!$A$1:$AU$1,),)=0,"#N/A",((((VLOOKUP(B412,Database!$A:$AU,MATCH($C$1,Database!$A$1:$AU$1,),))))-(((VLOOKUP(EDATE(B412,-12),Database!$A:$AU,MATCH($C$1,Database!$A$1:$AU$1,),)))))/(((VLOOKUP(EDATE(B412,-12),Database!$A:$AU,MATCH($C$1,Database!$A$1:$AU$1,),)))))</f>
        <v/>
      </c>
      <c r="D412" s="13">
        <f>IF(VLOOKUP(B412,Database!$A:$AV,MATCH($D$1,Database!$A$1:$AV$1,),)=0,"#N/A",((((VLOOKUP(B412,Database!$A:$AS,MATCH($D$1,Database!$A$1:$AS$1,),))))-(((VLOOKUP(EDATE(B412,-12),Database!$A:$AS,MATCH($D$1,Database!$A$1:$AS$1,),)))))/(((VLOOKUP(EDATE(B412,-12),Database!$A:$AS,MATCH($D$1,Database!$A$1:$AS$1,),)))))</f>
        <v/>
      </c>
      <c r="E412" s="13">
        <f>IF(VLOOKUP(B412,Database!$A:$AV,MATCH($E$1,Database!$A$1:$AV$1,),)=0,"#N/A",((((VLOOKUP(B412,Database!$A:$AS,MATCH($E$1,Database!$A$1:$AS$1,),))))-(((VLOOKUP(EDATE(B412,-12),Database!$A:$AS,MATCH($E$1,Database!$A$1:$AS$1,),)))))/(((VLOOKUP(EDATE(B412,-12),Database!$A:$AS,MATCH($E$1,Database!$A$1:$AS$1,),)))))</f>
        <v/>
      </c>
      <c r="F412" s="13">
        <f>IF(VLOOKUP(B412,Database!$A:$AV,MATCH($F$1,Database!$A$1:$AV$1,),)=0,"#N/A",((((VLOOKUP(B412,Database!$A:$AS,MATCH($F$1,Database!$A$1:$AS$1,),))))-(((VLOOKUP(EDATE(B412,-12),Database!$A:$AS,MATCH($F$1,Database!$A$1:$AS$1,),)))))/(((VLOOKUP(EDATE(B412,-12),Database!$A:$AS,MATCH($F$1,Database!$A$1:$AS$1,),)))))</f>
        <v/>
      </c>
      <c r="G412" s="13">
        <f>IF(VLOOKUP(B412,Database!$A:$AV,MATCH($G$1,Database!$A$1:$AV$1,),)=0,"#N/A",((((VLOOKUP(B412,Database!$A:$AS,MATCH($G$1,Database!$A$1:$AS$1,),))))-(((VLOOKUP(EDATE(B412,-12),Database!$A:$AS,MATCH($G$1,Database!$A$1:$AS$1,),)))))/(((VLOOKUP(EDATE(B412,-12),Database!$A:$AS,MATCH($G$1,Database!$A$1:$AS$1,),)))))</f>
        <v/>
      </c>
      <c r="H412" s="13">
        <f>IF(VLOOKUP(B412,Database!$A:$AV,MATCH($H$1,Database!$A$1:$AV$1,),)=0,"#N/A",((((VLOOKUP(B412,Database!$A:$AS,MATCH($H$1,Database!$A$1:$AS$1,),))))-(((VLOOKUP(EDATE(B412,-12),Database!$A:$AS,MATCH($H$1,Database!$A$1:$AS$1,),)))))/(((VLOOKUP(EDATE(B412,-12),Database!$A:$AS,MATCH($H$1,Database!$A$1:$AS$1,),)))))</f>
        <v/>
      </c>
      <c r="I412" s="13">
        <f>IF(VLOOKUP(B412,Database!$A:$AV,MATCH($I$1,Database!$A$1:$AV$1,),)=0,"#N/A",((((VLOOKUP(B412,Database!$A:$AS,MATCH($I$1,Database!$A$1:$AS$1,),))))-(((VLOOKUP(EDATE(B412,-12),Database!$A:$AS,MATCH($I$1,Database!$A$1:$AS$1,),)))))/(((VLOOKUP(EDATE(B412,-12),Database!$A:$AS,MATCH($I$1,Database!$A$1:$AS$1,),)))))</f>
        <v/>
      </c>
      <c r="J412" s="13">
        <f>IF(VLOOKUP(B412,Database!$A:$AV,MATCH($J$1,Database!$A$1:$AV$1,),)=0,"#N/A",((((VLOOKUP(B412,Database!$A:$AS,MATCH($J$1,Database!$A$1:$AS$1,),))))-(((VLOOKUP(EDATE(B412,-12),Database!$A:$AS,MATCH($J$1,Database!$A$1:$AS$1,),)))))/(((VLOOKUP(EDATE(B412,-12),Database!$A:$AS,MATCH($J$1,Database!$A$1:$AS$1,),)))))</f>
        <v/>
      </c>
      <c r="K412" s="13">
        <f>IF(VLOOKUP(B412,Database!$A:$AV,MATCH($K$1,Database!$A$1:$AV$1,),)=0,"#N/A",((((VLOOKUP(B412,Database!$A:$AS,MATCH($K$1,Database!$A$1:$AS$1,),))))-(((VLOOKUP(EDATE(B412,-12),Database!$A:$AS,MATCH($K$1,Database!$A$1:$AS$1,),)))))/(((VLOOKUP(EDATE(B412,-12),Database!$A:$AS,MATCH($K$1,Database!$A$1:$AS$1,),)))))</f>
        <v/>
      </c>
      <c r="L412" s="13" t="n"/>
      <c r="M412" s="13" t="n"/>
      <c r="N412" s="13">
        <f>((((VLOOKUP(B412,Database!$A:$AS,MATCH($N$1,Database!$A$1:$AS$1,),))))-(((VLOOKUP(EDATE(B412,-12),Database!$A:$AS,MATCH($N$1,Database!$A$1:$AS$1,),)))))/(((VLOOKUP(EDATE(B412,-12),Database!$A:$AS,MATCH($N$1,Database!$A$1:$AS$1,),))))</f>
        <v/>
      </c>
      <c r="O412" s="13">
        <f>IF(VLOOKUP(B412,Database!$A:$AV,MATCH($O$1,Database!$A$1:$AV$1,),)=0,"#N/A",((((VLOOKUP(B412,Database!$A:$AS,MATCH($O$1,Database!$A$1:$AS$1,),))))-(((VLOOKUP(EDATE(B412,-12),Database!$A:$AS,MATCH($O$1,Database!$A$1:$AS$1,),)))))/(((VLOOKUP(EDATE(B412,-12),Database!$A:$AS,MATCH($O$1,Database!$A$1:$AS$1,),)))))</f>
        <v/>
      </c>
      <c r="P412" s="13">
        <f>IF(VLOOKUP(B412,Database!$A:$AV,MATCH($P$1,Database!$A$1:$AV$1,),)=0,"#N/A",((((VLOOKUP(B412,Database!$A:$AS,MATCH($P$1,Database!$A$1:$AS$1,),))))-(((VLOOKUP(EDATE(B412,-12),Database!$A:$AS,MATCH($P$1,Database!$A$1:$AS$1,),)))))/(((VLOOKUP(EDATE(B412,-12),Database!$A:$AS,MATCH($P$1,Database!$A$1:$AS$1,),)))))</f>
        <v/>
      </c>
      <c r="Q412" s="13">
        <f>IF(VLOOKUP(B412,Database!$A:$AV,MATCH($Q$1,Database!$A$1:$AV$1,),)=0,"#N/A",((((VLOOKUP(B412,Database!$A:$AS,MATCH($Q$1,Database!$A$1:$AS$1,),))))-(((VLOOKUP(EDATE(B412,-12),Database!$A:$AS,MATCH($Q$1,Database!$A$1:$AS$1,),)))))/(((VLOOKUP(EDATE(B412,-12),Database!$A:$AS,MATCH($Q$1,Database!$A$1:$AS$1,),)))))</f>
        <v/>
      </c>
      <c r="R412" s="13">
        <f>IF(VLOOKUP(B412,Database!$A:$AV,MATCH($R$1,Database!$A$1:$AV$1,),)=0,"#N/A",((((VLOOKUP(B412,Database!$A:$AS,MATCH($R$1,Database!$A$1:$AS$1,),))))-(((VLOOKUP(EDATE(B412,-12),Database!$A:$AS,MATCH($R$1,Database!$A$1:$AS$1,),)))))/(((VLOOKUP(EDATE(B412,-12),Database!$A:$AS,MATCH($R$1,Database!$A$1:$AS$1,),)))))</f>
        <v/>
      </c>
      <c r="S412" s="13">
        <f>IF(VLOOKUP(B412,Database!$A:$AV,MATCH($S$1,Database!$A$1:$AV$1,),)=0,"#N/A",((((VLOOKUP(B412,Database!$A:$AS,MATCH($S$1,Database!$A$1:$AS$1,),))))-(((VLOOKUP(EDATE(B412,-12),Database!$A:$AS,MATCH($S$1,Database!$A$1:$AS$1,),)))))/(((VLOOKUP(EDATE(B412,-12),Database!$A:$AS,MATCH($S$1,Database!$A$1:$AS$1,),)))))</f>
        <v/>
      </c>
      <c r="T412" s="13">
        <f>IF(VLOOKUP(B412,Database!$A:$AV,MATCH($T$1,Database!$A$1:$AV$1,),)=0,"#N/A",((((VLOOKUP(B412,Database!$A:$AS,MATCH($T$1,Database!$A$1:$AS$1,),))))-(((VLOOKUP(EDATE(B412,-12),Database!$A:$AS,MATCH($T$1,Database!$A$1:$AS$1,),)))))/(((VLOOKUP(EDATE(B412,-12),Database!$A:$AS,MATCH($T$1,Database!$A$1:$AS$1,),)))))</f>
        <v/>
      </c>
      <c r="U412" s="13">
        <f>IF(VLOOKUP(B412,Database!$A:$AV,MATCH($U$1,Database!$A$1:$AV$1,),)=0,"#N/A",((((VLOOKUP(B412,Database!$A:$AS,MATCH($U$1,Database!$A$1:$AS$1,),))))-(((VLOOKUP(EDATE(B412,-12),Database!$A:$AS,MATCH($U$1,Database!$A$1:$AS$1,),)))))/(((VLOOKUP(EDATE(B412,-12),Database!$A:$AS,MATCH($U$1,Database!$A$1:$AS$1,),)))))</f>
        <v/>
      </c>
      <c r="V412" s="13">
        <f>IF(VLOOKUP(B412,Database!$A:$AV,MATCH($V$1,Database!$A$1:$AV$1,),)=0,"#N/A",((((VLOOKUP(B412,Database!$A:$AS,MATCH($V$1,Database!$A$1:$AS$1,),))))-(((VLOOKUP(EDATE(B412,-12),Database!$A:$AS,MATCH($V$1,Database!$A$1:$AS$1,),)))))/(((VLOOKUP(EDATE(B412,-12),Database!$A:$AS,MATCH($V$1,Database!$A$1:$AS$1,),)))))</f>
        <v/>
      </c>
    </row>
    <row r="413" customFormat="1" s="86">
      <c r="B413" s="75" t="n">
        <v>44713</v>
      </c>
      <c r="C413" s="13">
        <f>IF(VLOOKUP(B413,Database!$A:$AU,MATCH($C$1,Database!$A$1:$AU$1,),)=0,"#N/A",((((VLOOKUP(B413,Database!$A:$AU,MATCH($C$1,Database!$A$1:$AU$1,),))))-(((VLOOKUP(EDATE(B413,-12),Database!$A:$AU,MATCH($C$1,Database!$A$1:$AU$1,),)))))/(((VLOOKUP(EDATE(B413,-12),Database!$A:$AU,MATCH($C$1,Database!$A$1:$AU$1,),)))))</f>
        <v/>
      </c>
      <c r="D413" s="13">
        <f>IF(VLOOKUP(B413,Database!$A:$AV,MATCH($D$1,Database!$A$1:$AV$1,),)=0,"#N/A",((((VLOOKUP(B413,Database!$A:$AS,MATCH($D$1,Database!$A$1:$AS$1,),))))-(((VLOOKUP(EDATE(B413,-12),Database!$A:$AS,MATCH($D$1,Database!$A$1:$AS$1,),)))))/(((VLOOKUP(EDATE(B413,-12),Database!$A:$AS,MATCH($D$1,Database!$A$1:$AS$1,),)))))</f>
        <v/>
      </c>
      <c r="E413" s="13">
        <f>IF(VLOOKUP(B413,Database!$A:$AV,MATCH($E$1,Database!$A$1:$AV$1,),)=0,"#N/A",((((VLOOKUP(B413,Database!$A:$AS,MATCH($E$1,Database!$A$1:$AS$1,),))))-(((VLOOKUP(EDATE(B413,-12),Database!$A:$AS,MATCH($E$1,Database!$A$1:$AS$1,),)))))/(((VLOOKUP(EDATE(B413,-12),Database!$A:$AS,MATCH($E$1,Database!$A$1:$AS$1,),)))))</f>
        <v/>
      </c>
      <c r="F413" s="13">
        <f>IF(VLOOKUP(B413,Database!$A:$AV,MATCH($F$1,Database!$A$1:$AV$1,),)=0,"#N/A",((((VLOOKUP(B413,Database!$A:$AS,MATCH($F$1,Database!$A$1:$AS$1,),))))-(((VLOOKUP(EDATE(B413,-12),Database!$A:$AS,MATCH($F$1,Database!$A$1:$AS$1,),)))))/(((VLOOKUP(EDATE(B413,-12),Database!$A:$AS,MATCH($F$1,Database!$A$1:$AS$1,),)))))</f>
        <v/>
      </c>
      <c r="G413" s="13">
        <f>IF(VLOOKUP(B413,Database!$A:$AV,MATCH($G$1,Database!$A$1:$AV$1,),)=0,"#N/A",((((VLOOKUP(B413,Database!$A:$AS,MATCH($G$1,Database!$A$1:$AS$1,),))))-(((VLOOKUP(EDATE(B413,-12),Database!$A:$AS,MATCH($G$1,Database!$A$1:$AS$1,),)))))/(((VLOOKUP(EDATE(B413,-12),Database!$A:$AS,MATCH($G$1,Database!$A$1:$AS$1,),)))))</f>
        <v/>
      </c>
      <c r="H413" s="13">
        <f>IF(VLOOKUP(B413,Database!$A:$AV,MATCH($H$1,Database!$A$1:$AV$1,),)=0,"#N/A",((((VLOOKUP(B413,Database!$A:$AS,MATCH($H$1,Database!$A$1:$AS$1,),))))-(((VLOOKUP(EDATE(B413,-12),Database!$A:$AS,MATCH($H$1,Database!$A$1:$AS$1,),)))))/(((VLOOKUP(EDATE(B413,-12),Database!$A:$AS,MATCH($H$1,Database!$A$1:$AS$1,),)))))</f>
        <v/>
      </c>
      <c r="I413" s="13">
        <f>IF(VLOOKUP(B413,Database!$A:$AV,MATCH($I$1,Database!$A$1:$AV$1,),)=0,"#N/A",((((VLOOKUP(B413,Database!$A:$AS,MATCH($I$1,Database!$A$1:$AS$1,),))))-(((VLOOKUP(EDATE(B413,-12),Database!$A:$AS,MATCH($I$1,Database!$A$1:$AS$1,),)))))/(((VLOOKUP(EDATE(B413,-12),Database!$A:$AS,MATCH($I$1,Database!$A$1:$AS$1,),)))))</f>
        <v/>
      </c>
      <c r="J413" s="13">
        <f>IF(VLOOKUP(B413,Database!$A:$AV,MATCH($J$1,Database!$A$1:$AV$1,),)=0,"#N/A",((((VLOOKUP(B413,Database!$A:$AS,MATCH($J$1,Database!$A$1:$AS$1,),))))-(((VLOOKUP(EDATE(B413,-12),Database!$A:$AS,MATCH($J$1,Database!$A$1:$AS$1,),)))))/(((VLOOKUP(EDATE(B413,-12),Database!$A:$AS,MATCH($J$1,Database!$A$1:$AS$1,),)))))</f>
        <v/>
      </c>
      <c r="K413" s="13">
        <f>IF(VLOOKUP(B413,Database!$A:$AV,MATCH($K$1,Database!$A$1:$AV$1,),)=0,"#N/A",((((VLOOKUP(B413,Database!$A:$AS,MATCH($K$1,Database!$A$1:$AS$1,),))))-(((VLOOKUP(EDATE(B413,-12),Database!$A:$AS,MATCH($K$1,Database!$A$1:$AS$1,),)))))/(((VLOOKUP(EDATE(B413,-12),Database!$A:$AS,MATCH($K$1,Database!$A$1:$AS$1,),)))))</f>
        <v/>
      </c>
      <c r="L413" s="13" t="n"/>
      <c r="M413" s="13" t="n"/>
      <c r="N413" s="13">
        <f>((((VLOOKUP(B413,Database!$A:$AS,MATCH($N$1,Database!$A$1:$AS$1,),))))-(((VLOOKUP(EDATE(B413,-12),Database!$A:$AS,MATCH($N$1,Database!$A$1:$AS$1,),)))))/(((VLOOKUP(EDATE(B413,-12),Database!$A:$AS,MATCH($N$1,Database!$A$1:$AS$1,),))))</f>
        <v/>
      </c>
      <c r="O413" s="13">
        <f>IF(VLOOKUP(B413,Database!$A:$AV,MATCH($O$1,Database!$A$1:$AV$1,),)=0,"#N/A",((((VLOOKUP(B413,Database!$A:$AS,MATCH($O$1,Database!$A$1:$AS$1,),))))-(((VLOOKUP(EDATE(B413,-12),Database!$A:$AS,MATCH($O$1,Database!$A$1:$AS$1,),)))))/(((VLOOKUP(EDATE(B413,-12),Database!$A:$AS,MATCH($O$1,Database!$A$1:$AS$1,),)))))</f>
        <v/>
      </c>
      <c r="P413" s="13">
        <f>IF(VLOOKUP(B413,Database!$A:$AV,MATCH($P$1,Database!$A$1:$AV$1,),)=0,"#N/A",((((VLOOKUP(B413,Database!$A:$AS,MATCH($P$1,Database!$A$1:$AS$1,),))))-(((VLOOKUP(EDATE(B413,-12),Database!$A:$AS,MATCH($P$1,Database!$A$1:$AS$1,),)))))/(((VLOOKUP(EDATE(B413,-12),Database!$A:$AS,MATCH($P$1,Database!$A$1:$AS$1,),)))))</f>
        <v/>
      </c>
      <c r="Q413" s="13">
        <f>IF(VLOOKUP(B413,Database!$A:$AV,MATCH($Q$1,Database!$A$1:$AV$1,),)=0,"#N/A",((((VLOOKUP(B413,Database!$A:$AS,MATCH($Q$1,Database!$A$1:$AS$1,),))))-(((VLOOKUP(EDATE(B413,-12),Database!$A:$AS,MATCH($Q$1,Database!$A$1:$AS$1,),)))))/(((VLOOKUP(EDATE(B413,-12),Database!$A:$AS,MATCH($Q$1,Database!$A$1:$AS$1,),)))))</f>
        <v/>
      </c>
      <c r="R413" s="13">
        <f>IF(VLOOKUP(B413,Database!$A:$AV,MATCH($R$1,Database!$A$1:$AV$1,),)=0,"#N/A",((((VLOOKUP(B413,Database!$A:$AS,MATCH($R$1,Database!$A$1:$AS$1,),))))-(((VLOOKUP(EDATE(B413,-12),Database!$A:$AS,MATCH($R$1,Database!$A$1:$AS$1,),)))))/(((VLOOKUP(EDATE(B413,-12),Database!$A:$AS,MATCH($R$1,Database!$A$1:$AS$1,),)))))</f>
        <v/>
      </c>
      <c r="S413" s="13">
        <f>IF(VLOOKUP(B413,Database!$A:$AV,MATCH($S$1,Database!$A$1:$AV$1,),)=0,"#N/A",((((VLOOKUP(B413,Database!$A:$AS,MATCH($S$1,Database!$A$1:$AS$1,),))))-(((VLOOKUP(EDATE(B413,-12),Database!$A:$AS,MATCH($S$1,Database!$A$1:$AS$1,),)))))/(((VLOOKUP(EDATE(B413,-12),Database!$A:$AS,MATCH($S$1,Database!$A$1:$AS$1,),)))))</f>
        <v/>
      </c>
      <c r="T413" s="13">
        <f>IF(VLOOKUP(B413,Database!$A:$AV,MATCH($T$1,Database!$A$1:$AV$1,),)=0,"#N/A",((((VLOOKUP(B413,Database!$A:$AS,MATCH($T$1,Database!$A$1:$AS$1,),))))-(((VLOOKUP(EDATE(B413,-12),Database!$A:$AS,MATCH($T$1,Database!$A$1:$AS$1,),)))))/(((VLOOKUP(EDATE(B413,-12),Database!$A:$AS,MATCH($T$1,Database!$A$1:$AS$1,),)))))</f>
        <v/>
      </c>
      <c r="U413" s="13">
        <f>IF(VLOOKUP(B413,Database!$A:$AV,MATCH($U$1,Database!$A$1:$AV$1,),)=0,"#N/A",((((VLOOKUP(B413,Database!$A:$AS,MATCH($U$1,Database!$A$1:$AS$1,),))))-(((VLOOKUP(EDATE(B413,-12),Database!$A:$AS,MATCH($U$1,Database!$A$1:$AS$1,),)))))/(((VLOOKUP(EDATE(B413,-12),Database!$A:$AS,MATCH($U$1,Database!$A$1:$AS$1,),)))))</f>
        <v/>
      </c>
      <c r="V413" s="13">
        <f>IF(VLOOKUP(B413,Database!$A:$AV,MATCH($V$1,Database!$A$1:$AV$1,),)=0,"#N/A",((((VLOOKUP(B413,Database!$A:$AS,MATCH($V$1,Database!$A$1:$AS$1,),))))-(((VLOOKUP(EDATE(B413,-12),Database!$A:$AS,MATCH($V$1,Database!$A$1:$AS$1,),)))))/(((VLOOKUP(EDATE(B413,-12),Database!$A:$AS,MATCH($V$1,Database!$A$1:$AS$1,),)))))</f>
        <v/>
      </c>
    </row>
    <row r="414" customFormat="1" s="86">
      <c r="B414" s="75" t="n">
        <v>44743</v>
      </c>
      <c r="C414" s="13">
        <f>IF(VLOOKUP(B414,Database!$A:$AU,MATCH($C$1,Database!$A$1:$AU$1,),)=0,"#N/A",((((VLOOKUP(B414,Database!$A:$AU,MATCH($C$1,Database!$A$1:$AU$1,),))))-(((VLOOKUP(EDATE(B414,-12),Database!$A:$AU,MATCH($C$1,Database!$A$1:$AU$1,),)))))/(((VLOOKUP(EDATE(B414,-12),Database!$A:$AU,MATCH($C$1,Database!$A$1:$AU$1,),)))))</f>
        <v/>
      </c>
      <c r="D414" s="13">
        <f>IF(VLOOKUP(B414,Database!$A:$AV,MATCH($D$1,Database!$A$1:$AV$1,),)=0,"#N/A",((((VLOOKUP(B414,Database!$A:$AS,MATCH($D$1,Database!$A$1:$AS$1,),))))-(((VLOOKUP(EDATE(B414,-12),Database!$A:$AS,MATCH($D$1,Database!$A$1:$AS$1,),)))))/(((VLOOKUP(EDATE(B414,-12),Database!$A:$AS,MATCH($D$1,Database!$A$1:$AS$1,),)))))</f>
        <v/>
      </c>
      <c r="E414" s="13">
        <f>IF(VLOOKUP(B414,Database!$A:$AV,MATCH($E$1,Database!$A$1:$AV$1,),)=0,"#N/A",((((VLOOKUP(B414,Database!$A:$AS,MATCH($E$1,Database!$A$1:$AS$1,),))))-(((VLOOKUP(EDATE(B414,-12),Database!$A:$AS,MATCH($E$1,Database!$A$1:$AS$1,),)))))/(((VLOOKUP(EDATE(B414,-12),Database!$A:$AS,MATCH($E$1,Database!$A$1:$AS$1,),)))))</f>
        <v/>
      </c>
      <c r="F414" s="13">
        <f>IF(VLOOKUP(B414,Database!$A:$AV,MATCH($F$1,Database!$A$1:$AV$1,),)=0,"#N/A",((((VLOOKUP(B414,Database!$A:$AS,MATCH($F$1,Database!$A$1:$AS$1,),))))-(((VLOOKUP(EDATE(B414,-12),Database!$A:$AS,MATCH($F$1,Database!$A$1:$AS$1,),)))))/(((VLOOKUP(EDATE(B414,-12),Database!$A:$AS,MATCH($F$1,Database!$A$1:$AS$1,),)))))</f>
        <v/>
      </c>
      <c r="G414" s="13">
        <f>IF(VLOOKUP(B414,Database!$A:$AV,MATCH($G$1,Database!$A$1:$AV$1,),)=0,"#N/A",((((VLOOKUP(B414,Database!$A:$AS,MATCH($G$1,Database!$A$1:$AS$1,),))))-(((VLOOKUP(EDATE(B414,-12),Database!$A:$AS,MATCH($G$1,Database!$A$1:$AS$1,),)))))/(((VLOOKUP(EDATE(B414,-12),Database!$A:$AS,MATCH($G$1,Database!$A$1:$AS$1,),)))))</f>
        <v/>
      </c>
      <c r="H414" s="13">
        <f>IF(VLOOKUP(B414,Database!$A:$AV,MATCH($H$1,Database!$A$1:$AV$1,),)=0,"#N/A",((((VLOOKUP(B414,Database!$A:$AS,MATCH($H$1,Database!$A$1:$AS$1,),))))-(((VLOOKUP(EDATE(B414,-12),Database!$A:$AS,MATCH($H$1,Database!$A$1:$AS$1,),)))))/(((VLOOKUP(EDATE(B414,-12),Database!$A:$AS,MATCH($H$1,Database!$A$1:$AS$1,),)))))</f>
        <v/>
      </c>
      <c r="I414" s="13">
        <f>IF(VLOOKUP(B414,Database!$A:$AV,MATCH($I$1,Database!$A$1:$AV$1,),)=0,"#N/A",((((VLOOKUP(B414,Database!$A:$AS,MATCH($I$1,Database!$A$1:$AS$1,),))))-(((VLOOKUP(EDATE(B414,-12),Database!$A:$AS,MATCH($I$1,Database!$A$1:$AS$1,),)))))/(((VLOOKUP(EDATE(B414,-12),Database!$A:$AS,MATCH($I$1,Database!$A$1:$AS$1,),)))))</f>
        <v/>
      </c>
      <c r="J414" s="13">
        <f>IF(VLOOKUP(B414,Database!$A:$AV,MATCH($J$1,Database!$A$1:$AV$1,),)=0,"#N/A",((((VLOOKUP(B414,Database!$A:$AS,MATCH($J$1,Database!$A$1:$AS$1,),))))-(((VLOOKUP(EDATE(B414,-12),Database!$A:$AS,MATCH($J$1,Database!$A$1:$AS$1,),)))))/(((VLOOKUP(EDATE(B414,-12),Database!$A:$AS,MATCH($J$1,Database!$A$1:$AS$1,),)))))</f>
        <v/>
      </c>
      <c r="K414" s="13">
        <f>IF(VLOOKUP(B414,Database!$A:$AV,MATCH($K$1,Database!$A$1:$AV$1,),)=0,"#N/A",((((VLOOKUP(B414,Database!$A:$AS,MATCH($K$1,Database!$A$1:$AS$1,),))))-(((VLOOKUP(EDATE(B414,-12),Database!$A:$AS,MATCH($K$1,Database!$A$1:$AS$1,),)))))/(((VLOOKUP(EDATE(B414,-12),Database!$A:$AS,MATCH($K$1,Database!$A$1:$AS$1,),)))))</f>
        <v/>
      </c>
      <c r="L414" s="13" t="n"/>
      <c r="M414" s="13" t="n"/>
      <c r="N414" s="13">
        <f>((((VLOOKUP(B414,Database!$A:$AS,MATCH($N$1,Database!$A$1:$AS$1,),))))-(((VLOOKUP(EDATE(B414,-12),Database!$A:$AS,MATCH($N$1,Database!$A$1:$AS$1,),)))))/(((VLOOKUP(EDATE(B414,-12),Database!$A:$AS,MATCH($N$1,Database!$A$1:$AS$1,),))))</f>
        <v/>
      </c>
      <c r="O414" s="13">
        <f>IF(VLOOKUP(B414,Database!$A:$AV,MATCH($O$1,Database!$A$1:$AV$1,),)=0,"#N/A",((((VLOOKUP(B414,Database!$A:$AS,MATCH($O$1,Database!$A$1:$AS$1,),))))-(((VLOOKUP(EDATE(B414,-12),Database!$A:$AS,MATCH($O$1,Database!$A$1:$AS$1,),)))))/(((VLOOKUP(EDATE(B414,-12),Database!$A:$AS,MATCH($O$1,Database!$A$1:$AS$1,),)))))</f>
        <v/>
      </c>
      <c r="P414" s="13">
        <f>IF(VLOOKUP(B414,Database!$A:$AV,MATCH($P$1,Database!$A$1:$AV$1,),)=0,"#N/A",((((VLOOKUP(B414,Database!$A:$AS,MATCH($P$1,Database!$A$1:$AS$1,),))))-(((VLOOKUP(EDATE(B414,-12),Database!$A:$AS,MATCH($P$1,Database!$A$1:$AS$1,),)))))/(((VLOOKUP(EDATE(B414,-12),Database!$A:$AS,MATCH($P$1,Database!$A$1:$AS$1,),)))))</f>
        <v/>
      </c>
      <c r="Q414" s="13">
        <f>IF(VLOOKUP(B414,Database!$A:$AV,MATCH($Q$1,Database!$A$1:$AV$1,),)=0,"#N/A",((((VLOOKUP(B414,Database!$A:$AS,MATCH($Q$1,Database!$A$1:$AS$1,),))))-(((VLOOKUP(EDATE(B414,-12),Database!$A:$AS,MATCH($Q$1,Database!$A$1:$AS$1,),)))))/(((VLOOKUP(EDATE(B414,-12),Database!$A:$AS,MATCH($Q$1,Database!$A$1:$AS$1,),)))))</f>
        <v/>
      </c>
      <c r="R414" s="13">
        <f>IF(VLOOKUP(B414,Database!$A:$AV,MATCH($R$1,Database!$A$1:$AV$1,),)=0,"#N/A",((((VLOOKUP(B414,Database!$A:$AS,MATCH($R$1,Database!$A$1:$AS$1,),))))-(((VLOOKUP(EDATE(B414,-12),Database!$A:$AS,MATCH($R$1,Database!$A$1:$AS$1,),)))))/(((VLOOKUP(EDATE(B414,-12),Database!$A:$AS,MATCH($R$1,Database!$A$1:$AS$1,),)))))</f>
        <v/>
      </c>
      <c r="S414" s="13">
        <f>IF(VLOOKUP(B414,Database!$A:$AV,MATCH($S$1,Database!$A$1:$AV$1,),)=0,"#N/A",((((VLOOKUP(B414,Database!$A:$AS,MATCH($S$1,Database!$A$1:$AS$1,),))))-(((VLOOKUP(EDATE(B414,-12),Database!$A:$AS,MATCH($S$1,Database!$A$1:$AS$1,),)))))/(((VLOOKUP(EDATE(B414,-12),Database!$A:$AS,MATCH($S$1,Database!$A$1:$AS$1,),)))))</f>
        <v/>
      </c>
      <c r="T414" s="13">
        <f>IF(VLOOKUP(B414,Database!$A:$AV,MATCH($T$1,Database!$A$1:$AV$1,),)=0,"#N/A",((((VLOOKUP(B414,Database!$A:$AS,MATCH($T$1,Database!$A$1:$AS$1,),))))-(((VLOOKUP(EDATE(B414,-12),Database!$A:$AS,MATCH($T$1,Database!$A$1:$AS$1,),)))))/(((VLOOKUP(EDATE(B414,-12),Database!$A:$AS,MATCH($T$1,Database!$A$1:$AS$1,),)))))</f>
        <v/>
      </c>
      <c r="U414" s="13">
        <f>IF(VLOOKUP(B414,Database!$A:$AV,MATCH($U$1,Database!$A$1:$AV$1,),)=0,"#N/A",((((VLOOKUP(B414,Database!$A:$AS,MATCH($U$1,Database!$A$1:$AS$1,),))))-(((VLOOKUP(EDATE(B414,-12),Database!$A:$AS,MATCH($U$1,Database!$A$1:$AS$1,),)))))/(((VLOOKUP(EDATE(B414,-12),Database!$A:$AS,MATCH($U$1,Database!$A$1:$AS$1,),)))))</f>
        <v/>
      </c>
      <c r="V414" s="13">
        <f>IF(VLOOKUP(B414,Database!$A:$AV,MATCH($V$1,Database!$A$1:$AV$1,),)=0,"#N/A",((((VLOOKUP(B414,Database!$A:$AS,MATCH($V$1,Database!$A$1:$AS$1,),))))-(((VLOOKUP(EDATE(B414,-12),Database!$A:$AS,MATCH($V$1,Database!$A$1:$AS$1,),)))))/(((VLOOKUP(EDATE(B414,-12),Database!$A:$AS,MATCH($V$1,Database!$A$1:$AS$1,),)))))</f>
        <v/>
      </c>
    </row>
    <row r="415" customFormat="1" s="86">
      <c r="B415" s="75" t="n">
        <v>44774</v>
      </c>
      <c r="C415" s="13">
        <f>IF(VLOOKUP(B415,Database!$A:$AU,MATCH($C$1,Database!$A$1:$AU$1,),)=0,"#N/A",((((VLOOKUP(B415,Database!$A:$AU,MATCH($C$1,Database!$A$1:$AU$1,),))))-(((VLOOKUP(EDATE(B415,-12),Database!$A:$AU,MATCH($C$1,Database!$A$1:$AU$1,),)))))/(((VLOOKUP(EDATE(B415,-12),Database!$A:$AU,MATCH($C$1,Database!$A$1:$AU$1,),)))))</f>
        <v/>
      </c>
      <c r="D415" s="13">
        <f>IF(VLOOKUP(B415,Database!$A:$AV,MATCH($D$1,Database!$A$1:$AV$1,),)=0,"#N/A",((((VLOOKUP(B415,Database!$A:$AS,MATCH($D$1,Database!$A$1:$AS$1,),))))-(((VLOOKUP(EDATE(B415,-12),Database!$A:$AS,MATCH($D$1,Database!$A$1:$AS$1,),)))))/(((VLOOKUP(EDATE(B415,-12),Database!$A:$AS,MATCH($D$1,Database!$A$1:$AS$1,),)))))</f>
        <v/>
      </c>
      <c r="E415" s="13">
        <f>IF(VLOOKUP(B415,Database!$A:$AV,MATCH($E$1,Database!$A$1:$AV$1,),)=0,"#N/A",((((VLOOKUP(B415,Database!$A:$AS,MATCH($E$1,Database!$A$1:$AS$1,),))))-(((VLOOKUP(EDATE(B415,-12),Database!$A:$AS,MATCH($E$1,Database!$A$1:$AS$1,),)))))/(((VLOOKUP(EDATE(B415,-12),Database!$A:$AS,MATCH($E$1,Database!$A$1:$AS$1,),)))))</f>
        <v/>
      </c>
      <c r="F415" s="13">
        <f>IF(VLOOKUP(B415,Database!$A:$AV,MATCH($F$1,Database!$A$1:$AV$1,),)=0,"#N/A",((((VLOOKUP(B415,Database!$A:$AS,MATCH($F$1,Database!$A$1:$AS$1,),))))-(((VLOOKUP(EDATE(B415,-12),Database!$A:$AS,MATCH($F$1,Database!$A$1:$AS$1,),)))))/(((VLOOKUP(EDATE(B415,-12),Database!$A:$AS,MATCH($F$1,Database!$A$1:$AS$1,),)))))</f>
        <v/>
      </c>
      <c r="G415" s="13">
        <f>IF(VLOOKUP(B415,Database!$A:$AV,MATCH($G$1,Database!$A$1:$AV$1,),)=0,"#N/A",((((VLOOKUP(B415,Database!$A:$AS,MATCH($G$1,Database!$A$1:$AS$1,),))))-(((VLOOKUP(EDATE(B415,-12),Database!$A:$AS,MATCH($G$1,Database!$A$1:$AS$1,),)))))/(((VLOOKUP(EDATE(B415,-12),Database!$A:$AS,MATCH($G$1,Database!$A$1:$AS$1,),)))))</f>
        <v/>
      </c>
      <c r="H415" s="13">
        <f>IF(VLOOKUP(B415,Database!$A:$AV,MATCH($H$1,Database!$A$1:$AV$1,),)=0,"#N/A",((((VLOOKUP(B415,Database!$A:$AS,MATCH($H$1,Database!$A$1:$AS$1,),))))-(((VLOOKUP(EDATE(B415,-12),Database!$A:$AS,MATCH($H$1,Database!$A$1:$AS$1,),)))))/(((VLOOKUP(EDATE(B415,-12),Database!$A:$AS,MATCH($H$1,Database!$A$1:$AS$1,),)))))</f>
        <v/>
      </c>
      <c r="I415" s="13">
        <f>IF(VLOOKUP(B415,Database!$A:$AV,MATCH($I$1,Database!$A$1:$AV$1,),)=0,"#N/A",((((VLOOKUP(B415,Database!$A:$AS,MATCH($I$1,Database!$A$1:$AS$1,),))))-(((VLOOKUP(EDATE(B415,-12),Database!$A:$AS,MATCH($I$1,Database!$A$1:$AS$1,),)))))/(((VLOOKUP(EDATE(B415,-12),Database!$A:$AS,MATCH($I$1,Database!$A$1:$AS$1,),)))))</f>
        <v/>
      </c>
      <c r="J415" s="13">
        <f>IF(VLOOKUP(B415,Database!$A:$AV,MATCH($J$1,Database!$A$1:$AV$1,),)=0,"#N/A",((((VLOOKUP(B415,Database!$A:$AS,MATCH($J$1,Database!$A$1:$AS$1,),))))-(((VLOOKUP(EDATE(B415,-12),Database!$A:$AS,MATCH($J$1,Database!$A$1:$AS$1,),)))))/(((VLOOKUP(EDATE(B415,-12),Database!$A:$AS,MATCH($J$1,Database!$A$1:$AS$1,),)))))</f>
        <v/>
      </c>
      <c r="K415" s="13">
        <f>IF(VLOOKUP(B415,Database!$A:$AV,MATCH($K$1,Database!$A$1:$AV$1,),)=0,"#N/A",((((VLOOKUP(B415,Database!$A:$AS,MATCH($K$1,Database!$A$1:$AS$1,),))))-(((VLOOKUP(EDATE(B415,-12),Database!$A:$AS,MATCH($K$1,Database!$A$1:$AS$1,),)))))/(((VLOOKUP(EDATE(B415,-12),Database!$A:$AS,MATCH($K$1,Database!$A$1:$AS$1,),)))))</f>
        <v/>
      </c>
      <c r="L415" s="13" t="n"/>
      <c r="M415" s="13" t="n"/>
      <c r="N415" s="13">
        <f>((((VLOOKUP(B415,Database!$A:$AS,MATCH($N$1,Database!$A$1:$AS$1,),))))-(((VLOOKUP(EDATE(B415,-12),Database!$A:$AS,MATCH($N$1,Database!$A$1:$AS$1,),)))))/(((VLOOKUP(EDATE(B415,-12),Database!$A:$AS,MATCH($N$1,Database!$A$1:$AS$1,),))))</f>
        <v/>
      </c>
      <c r="O415" s="13">
        <f>IF(VLOOKUP(B415,Database!$A:$AV,MATCH($O$1,Database!$A$1:$AV$1,),)=0,"#N/A",((((VLOOKUP(B415,Database!$A:$AS,MATCH($O$1,Database!$A$1:$AS$1,),))))-(((VLOOKUP(EDATE(B415,-12),Database!$A:$AS,MATCH($O$1,Database!$A$1:$AS$1,),)))))/(((VLOOKUP(EDATE(B415,-12),Database!$A:$AS,MATCH($O$1,Database!$A$1:$AS$1,),)))))</f>
        <v/>
      </c>
      <c r="P415" s="13">
        <f>IF(VLOOKUP(B415,Database!$A:$AV,MATCH($P$1,Database!$A$1:$AV$1,),)=0,"#N/A",((((VLOOKUP(B415,Database!$A:$AS,MATCH($P$1,Database!$A$1:$AS$1,),))))-(((VLOOKUP(EDATE(B415,-12),Database!$A:$AS,MATCH($P$1,Database!$A$1:$AS$1,),)))))/(((VLOOKUP(EDATE(B415,-12),Database!$A:$AS,MATCH($P$1,Database!$A$1:$AS$1,),)))))</f>
        <v/>
      </c>
      <c r="Q415" s="13">
        <f>IF(VLOOKUP(B415,Database!$A:$AV,MATCH($Q$1,Database!$A$1:$AV$1,),)=0,"#N/A",((((VLOOKUP(B415,Database!$A:$AS,MATCH($Q$1,Database!$A$1:$AS$1,),))))-(((VLOOKUP(EDATE(B415,-12),Database!$A:$AS,MATCH($Q$1,Database!$A$1:$AS$1,),)))))/(((VLOOKUP(EDATE(B415,-12),Database!$A:$AS,MATCH($Q$1,Database!$A$1:$AS$1,),)))))</f>
        <v/>
      </c>
      <c r="R415" s="13">
        <f>IF(VLOOKUP(B415,Database!$A:$AV,MATCH($R$1,Database!$A$1:$AV$1,),)=0,"#N/A",((((VLOOKUP(B415,Database!$A:$AS,MATCH($R$1,Database!$A$1:$AS$1,),))))-(((VLOOKUP(EDATE(B415,-12),Database!$A:$AS,MATCH($R$1,Database!$A$1:$AS$1,),)))))/(((VLOOKUP(EDATE(B415,-12),Database!$A:$AS,MATCH($R$1,Database!$A$1:$AS$1,),)))))</f>
        <v/>
      </c>
      <c r="S415" s="13">
        <f>IF(VLOOKUP(B415,Database!$A:$AV,MATCH($S$1,Database!$A$1:$AV$1,),)=0,"#N/A",((((VLOOKUP(B415,Database!$A:$AS,MATCH($S$1,Database!$A$1:$AS$1,),))))-(((VLOOKUP(EDATE(B415,-12),Database!$A:$AS,MATCH($S$1,Database!$A$1:$AS$1,),)))))/(((VLOOKUP(EDATE(B415,-12),Database!$A:$AS,MATCH($S$1,Database!$A$1:$AS$1,),)))))</f>
        <v/>
      </c>
      <c r="T415" s="13">
        <f>IF(VLOOKUP(B415,Database!$A:$AV,MATCH($T$1,Database!$A$1:$AV$1,),)=0,"#N/A",((((VLOOKUP(B415,Database!$A:$AS,MATCH($T$1,Database!$A$1:$AS$1,),))))-(((VLOOKUP(EDATE(B415,-12),Database!$A:$AS,MATCH($T$1,Database!$A$1:$AS$1,),)))))/(((VLOOKUP(EDATE(B415,-12),Database!$A:$AS,MATCH($T$1,Database!$A$1:$AS$1,),)))))</f>
        <v/>
      </c>
      <c r="U415" s="13">
        <f>IF(VLOOKUP(B415,Database!$A:$AV,MATCH($U$1,Database!$A$1:$AV$1,),)=0,"#N/A",((((VLOOKUP(B415,Database!$A:$AS,MATCH($U$1,Database!$A$1:$AS$1,),))))-(((VLOOKUP(EDATE(B415,-12),Database!$A:$AS,MATCH($U$1,Database!$A$1:$AS$1,),)))))/(((VLOOKUP(EDATE(B415,-12),Database!$A:$AS,MATCH($U$1,Database!$A$1:$AS$1,),)))))</f>
        <v/>
      </c>
      <c r="V415" s="13">
        <f>IF(VLOOKUP(B415,Database!$A:$AV,MATCH($V$1,Database!$A$1:$AV$1,),)=0,"#N/A",((((VLOOKUP(B415,Database!$A:$AS,MATCH($V$1,Database!$A$1:$AS$1,),))))-(((VLOOKUP(EDATE(B415,-12),Database!$A:$AS,MATCH($V$1,Database!$A$1:$AS$1,),)))))/(((VLOOKUP(EDATE(B415,-12),Database!$A:$AS,MATCH($V$1,Database!$A$1:$AS$1,),)))))</f>
        <v/>
      </c>
    </row>
    <row r="416" customFormat="1" s="86">
      <c r="B416" s="75" t="n">
        <v>44805</v>
      </c>
      <c r="C416" s="13">
        <f>IF(VLOOKUP(B416,Database!$A:$AU,MATCH($C$1,Database!$A$1:$AU$1,),)=0,"#N/A",((((VLOOKUP(B416,Database!$A:$AU,MATCH($C$1,Database!$A$1:$AU$1,),))))-(((VLOOKUP(EDATE(B416,-12),Database!$A:$AU,MATCH($C$1,Database!$A$1:$AU$1,),)))))/(((VLOOKUP(EDATE(B416,-12),Database!$A:$AU,MATCH($C$1,Database!$A$1:$AU$1,),)))))</f>
        <v/>
      </c>
      <c r="D416" s="13">
        <f>IF(VLOOKUP(B416,Database!$A:$AV,MATCH($D$1,Database!$A$1:$AV$1,),)=0,"#N/A",((((VLOOKUP(B416,Database!$A:$AS,MATCH($D$1,Database!$A$1:$AS$1,),))))-(((VLOOKUP(EDATE(B416,-12),Database!$A:$AS,MATCH($D$1,Database!$A$1:$AS$1,),)))))/(((VLOOKUP(EDATE(B416,-12),Database!$A:$AS,MATCH($D$1,Database!$A$1:$AS$1,),)))))</f>
        <v/>
      </c>
      <c r="E416" s="13">
        <f>IF(VLOOKUP(B416,Database!$A:$AV,MATCH($E$1,Database!$A$1:$AV$1,),)=0,"#N/A",((((VLOOKUP(B416,Database!$A:$AS,MATCH($E$1,Database!$A$1:$AS$1,),))))-(((VLOOKUP(EDATE(B416,-12),Database!$A:$AS,MATCH($E$1,Database!$A$1:$AS$1,),)))))/(((VLOOKUP(EDATE(B416,-12),Database!$A:$AS,MATCH($E$1,Database!$A$1:$AS$1,),)))))</f>
        <v/>
      </c>
      <c r="F416" s="13">
        <f>IF(VLOOKUP(B416,Database!$A:$AV,MATCH($F$1,Database!$A$1:$AV$1,),)=0,"#N/A",((((VLOOKUP(B416,Database!$A:$AS,MATCH($F$1,Database!$A$1:$AS$1,),))))-(((VLOOKUP(EDATE(B416,-12),Database!$A:$AS,MATCH($F$1,Database!$A$1:$AS$1,),)))))/(((VLOOKUP(EDATE(B416,-12),Database!$A:$AS,MATCH($F$1,Database!$A$1:$AS$1,),)))))</f>
        <v/>
      </c>
      <c r="G416" s="13">
        <f>IF(VLOOKUP(B416,Database!$A:$AV,MATCH($G$1,Database!$A$1:$AV$1,),)=0,"#N/A",((((VLOOKUP(B416,Database!$A:$AS,MATCH($G$1,Database!$A$1:$AS$1,),))))-(((VLOOKUP(EDATE(B416,-12),Database!$A:$AS,MATCH($G$1,Database!$A$1:$AS$1,),)))))/(((VLOOKUP(EDATE(B416,-12),Database!$A:$AS,MATCH($G$1,Database!$A$1:$AS$1,),)))))</f>
        <v/>
      </c>
      <c r="H416" s="13">
        <f>IF(VLOOKUP(B416,Database!$A:$AV,MATCH($H$1,Database!$A$1:$AV$1,),)=0,"#N/A",((((VLOOKUP(B416,Database!$A:$AS,MATCH($H$1,Database!$A$1:$AS$1,),))))-(((VLOOKUP(EDATE(B416,-12),Database!$A:$AS,MATCH($H$1,Database!$A$1:$AS$1,),)))))/(((VLOOKUP(EDATE(B416,-12),Database!$A:$AS,MATCH($H$1,Database!$A$1:$AS$1,),)))))</f>
        <v/>
      </c>
      <c r="I416" s="13">
        <f>IF(VLOOKUP(B416,Database!$A:$AV,MATCH($I$1,Database!$A$1:$AV$1,),)=0,"#N/A",((((VLOOKUP(B416,Database!$A:$AS,MATCH($I$1,Database!$A$1:$AS$1,),))))-(((VLOOKUP(EDATE(B416,-12),Database!$A:$AS,MATCH($I$1,Database!$A$1:$AS$1,),)))))/(((VLOOKUP(EDATE(B416,-12),Database!$A:$AS,MATCH($I$1,Database!$A$1:$AS$1,),)))))</f>
        <v/>
      </c>
      <c r="J416" s="13">
        <f>IF(VLOOKUP(B416,Database!$A:$AV,MATCH($J$1,Database!$A$1:$AV$1,),)=0,"#N/A",((((VLOOKUP(B416,Database!$A:$AS,MATCH($J$1,Database!$A$1:$AS$1,),))))-(((VLOOKUP(EDATE(B416,-12),Database!$A:$AS,MATCH($J$1,Database!$A$1:$AS$1,),)))))/(((VLOOKUP(EDATE(B416,-12),Database!$A:$AS,MATCH($J$1,Database!$A$1:$AS$1,),)))))</f>
        <v/>
      </c>
      <c r="K416" s="13">
        <f>IF(VLOOKUP(B416,Database!$A:$AV,MATCH($K$1,Database!$A$1:$AV$1,),)=0,"#N/A",((((VLOOKUP(B416,Database!$A:$AS,MATCH($K$1,Database!$A$1:$AS$1,),))))-(((VLOOKUP(EDATE(B416,-12),Database!$A:$AS,MATCH($K$1,Database!$A$1:$AS$1,),)))))/(((VLOOKUP(EDATE(B416,-12),Database!$A:$AS,MATCH($K$1,Database!$A$1:$AS$1,),)))))</f>
        <v/>
      </c>
      <c r="L416" s="13" t="n"/>
      <c r="M416" s="13" t="n"/>
      <c r="N416" s="13">
        <f>((((VLOOKUP(B416,Database!$A:$AS,MATCH($N$1,Database!$A$1:$AS$1,),))))-(((VLOOKUP(EDATE(B416,-12),Database!$A:$AS,MATCH($N$1,Database!$A$1:$AS$1,),)))))/(((VLOOKUP(EDATE(B416,-12),Database!$A:$AS,MATCH($N$1,Database!$A$1:$AS$1,),))))</f>
        <v/>
      </c>
      <c r="O416" s="13">
        <f>IF(VLOOKUP(B416,Database!$A:$AV,MATCH($O$1,Database!$A$1:$AV$1,),)=0,"#N/A",((((VLOOKUP(B416,Database!$A:$AS,MATCH($O$1,Database!$A$1:$AS$1,),))))-(((VLOOKUP(EDATE(B416,-12),Database!$A:$AS,MATCH($O$1,Database!$A$1:$AS$1,),)))))/(((VLOOKUP(EDATE(B416,-12),Database!$A:$AS,MATCH($O$1,Database!$A$1:$AS$1,),)))))</f>
        <v/>
      </c>
      <c r="P416" s="13">
        <f>IF(VLOOKUP(B416,Database!$A:$AV,MATCH($P$1,Database!$A$1:$AV$1,),)=0,"#N/A",((((VLOOKUP(B416,Database!$A:$AS,MATCH($P$1,Database!$A$1:$AS$1,),))))-(((VLOOKUP(EDATE(B416,-12),Database!$A:$AS,MATCH($P$1,Database!$A$1:$AS$1,),)))))/(((VLOOKUP(EDATE(B416,-12),Database!$A:$AS,MATCH($P$1,Database!$A$1:$AS$1,),)))))</f>
        <v/>
      </c>
      <c r="Q416" s="13">
        <f>IF(VLOOKUP(B416,Database!$A:$AV,MATCH($Q$1,Database!$A$1:$AV$1,),)=0,"#N/A",((((VLOOKUP(B416,Database!$A:$AS,MATCH($Q$1,Database!$A$1:$AS$1,),))))-(((VLOOKUP(EDATE(B416,-12),Database!$A:$AS,MATCH($Q$1,Database!$A$1:$AS$1,),)))))/(((VLOOKUP(EDATE(B416,-12),Database!$A:$AS,MATCH($Q$1,Database!$A$1:$AS$1,),)))))</f>
        <v/>
      </c>
      <c r="R416" s="13">
        <f>IF(VLOOKUP(B416,Database!$A:$AV,MATCH($R$1,Database!$A$1:$AV$1,),)=0,"#N/A",((((VLOOKUP(B416,Database!$A:$AS,MATCH($R$1,Database!$A$1:$AS$1,),))))-(((VLOOKUP(EDATE(B416,-12),Database!$A:$AS,MATCH($R$1,Database!$A$1:$AS$1,),)))))/(((VLOOKUP(EDATE(B416,-12),Database!$A:$AS,MATCH($R$1,Database!$A$1:$AS$1,),)))))</f>
        <v/>
      </c>
      <c r="S416" s="13">
        <f>IF(VLOOKUP(B416,Database!$A:$AV,MATCH($S$1,Database!$A$1:$AV$1,),)=0,"#N/A",((((VLOOKUP(B416,Database!$A:$AS,MATCH($S$1,Database!$A$1:$AS$1,),))))-(((VLOOKUP(EDATE(B416,-12),Database!$A:$AS,MATCH($S$1,Database!$A$1:$AS$1,),)))))/(((VLOOKUP(EDATE(B416,-12),Database!$A:$AS,MATCH($S$1,Database!$A$1:$AS$1,),)))))</f>
        <v/>
      </c>
      <c r="T416" s="13">
        <f>IF(VLOOKUP(B416,Database!$A:$AV,MATCH($T$1,Database!$A$1:$AV$1,),)=0,"#N/A",((((VLOOKUP(B416,Database!$A:$AS,MATCH($T$1,Database!$A$1:$AS$1,),))))-(((VLOOKUP(EDATE(B416,-12),Database!$A:$AS,MATCH($T$1,Database!$A$1:$AS$1,),)))))/(((VLOOKUP(EDATE(B416,-12),Database!$A:$AS,MATCH($T$1,Database!$A$1:$AS$1,),)))))</f>
        <v/>
      </c>
      <c r="U416" s="13">
        <f>IF(VLOOKUP(B416,Database!$A:$AV,MATCH($U$1,Database!$A$1:$AV$1,),)=0,"#N/A",((((VLOOKUP(B416,Database!$A:$AS,MATCH($U$1,Database!$A$1:$AS$1,),))))-(((VLOOKUP(EDATE(B416,-12),Database!$A:$AS,MATCH($U$1,Database!$A$1:$AS$1,),)))))/(((VLOOKUP(EDATE(B416,-12),Database!$A:$AS,MATCH($U$1,Database!$A$1:$AS$1,),)))))</f>
        <v/>
      </c>
      <c r="V416" s="13">
        <f>IF(VLOOKUP(B416,Database!$A:$AV,MATCH($V$1,Database!$A$1:$AV$1,),)=0,"#N/A",((((VLOOKUP(B416,Database!$A:$AS,MATCH($V$1,Database!$A$1:$AS$1,),))))-(((VLOOKUP(EDATE(B416,-12),Database!$A:$AS,MATCH($V$1,Database!$A$1:$AS$1,),)))))/(((VLOOKUP(EDATE(B416,-12),Database!$A:$AS,MATCH($V$1,Database!$A$1:$AS$1,),)))))</f>
        <v/>
      </c>
    </row>
    <row r="417" customFormat="1" s="86">
      <c r="B417" s="75" t="n">
        <v>44835</v>
      </c>
      <c r="C417" s="13">
        <f>IF(VLOOKUP(B417,Database!$A:$AU,MATCH($C$1,Database!$A$1:$AU$1,),)=0,"#N/A",((((VLOOKUP(B417,Database!$A:$AU,MATCH($C$1,Database!$A$1:$AU$1,),))))-(((VLOOKUP(EDATE(B417,-12),Database!$A:$AU,MATCH($C$1,Database!$A$1:$AU$1,),)))))/(((VLOOKUP(EDATE(B417,-12),Database!$A:$AU,MATCH($C$1,Database!$A$1:$AU$1,),)))))</f>
        <v/>
      </c>
      <c r="D417" s="13">
        <f>IF(VLOOKUP(B417,Database!$A:$AV,MATCH($D$1,Database!$A$1:$AV$1,),)=0,"#N/A",((((VLOOKUP(B417,Database!$A:$AS,MATCH($D$1,Database!$A$1:$AS$1,),))))-(((VLOOKUP(EDATE(B417,-12),Database!$A:$AS,MATCH($D$1,Database!$A$1:$AS$1,),)))))/(((VLOOKUP(EDATE(B417,-12),Database!$A:$AS,MATCH($D$1,Database!$A$1:$AS$1,),)))))</f>
        <v/>
      </c>
      <c r="E417" s="13">
        <f>IF(VLOOKUP(B417,Database!$A:$AV,MATCH($E$1,Database!$A$1:$AV$1,),)=0,"#N/A",((((VLOOKUP(B417,Database!$A:$AS,MATCH($E$1,Database!$A$1:$AS$1,),))))-(((VLOOKUP(EDATE(B417,-12),Database!$A:$AS,MATCH($E$1,Database!$A$1:$AS$1,),)))))/(((VLOOKUP(EDATE(B417,-12),Database!$A:$AS,MATCH($E$1,Database!$A$1:$AS$1,),)))))</f>
        <v/>
      </c>
      <c r="F417" s="13">
        <f>IF(VLOOKUP(B417,Database!$A:$AV,MATCH($F$1,Database!$A$1:$AV$1,),)=0,"#N/A",((((VLOOKUP(B417,Database!$A:$AS,MATCH($F$1,Database!$A$1:$AS$1,),))))-(((VLOOKUP(EDATE(B417,-12),Database!$A:$AS,MATCH($F$1,Database!$A$1:$AS$1,),)))))/(((VLOOKUP(EDATE(B417,-12),Database!$A:$AS,MATCH($F$1,Database!$A$1:$AS$1,),)))))</f>
        <v/>
      </c>
      <c r="G417" s="13">
        <f>IF(VLOOKUP(B417,Database!$A:$AV,MATCH($G$1,Database!$A$1:$AV$1,),)=0,"#N/A",((((VLOOKUP(B417,Database!$A:$AS,MATCH($G$1,Database!$A$1:$AS$1,),))))-(((VLOOKUP(EDATE(B417,-12),Database!$A:$AS,MATCH($G$1,Database!$A$1:$AS$1,),)))))/(((VLOOKUP(EDATE(B417,-12),Database!$A:$AS,MATCH($G$1,Database!$A$1:$AS$1,),)))))</f>
        <v/>
      </c>
      <c r="H417" s="13">
        <f>IF(VLOOKUP(B417,Database!$A:$AV,MATCH($H$1,Database!$A$1:$AV$1,),)=0,"#N/A",((((VLOOKUP(B417,Database!$A:$AS,MATCH($H$1,Database!$A$1:$AS$1,),))))-(((VLOOKUP(EDATE(B417,-12),Database!$A:$AS,MATCH($H$1,Database!$A$1:$AS$1,),)))))/(((VLOOKUP(EDATE(B417,-12),Database!$A:$AS,MATCH($H$1,Database!$A$1:$AS$1,),)))))</f>
        <v/>
      </c>
      <c r="I417" s="13">
        <f>IF(VLOOKUP(B417,Database!$A:$AV,MATCH($I$1,Database!$A$1:$AV$1,),)=0,"#N/A",((((VLOOKUP(B417,Database!$A:$AS,MATCH($I$1,Database!$A$1:$AS$1,),))))-(((VLOOKUP(EDATE(B417,-12),Database!$A:$AS,MATCH($I$1,Database!$A$1:$AS$1,),)))))/(((VLOOKUP(EDATE(B417,-12),Database!$A:$AS,MATCH($I$1,Database!$A$1:$AS$1,),)))))</f>
        <v/>
      </c>
      <c r="J417" s="13">
        <f>IF(VLOOKUP(B417,Database!$A:$AV,MATCH($J$1,Database!$A$1:$AV$1,),)=0,"#N/A",((((VLOOKUP(B417,Database!$A:$AS,MATCH($J$1,Database!$A$1:$AS$1,),))))-(((VLOOKUP(EDATE(B417,-12),Database!$A:$AS,MATCH($J$1,Database!$A$1:$AS$1,),)))))/(((VLOOKUP(EDATE(B417,-12),Database!$A:$AS,MATCH($J$1,Database!$A$1:$AS$1,),)))))</f>
        <v/>
      </c>
      <c r="K417" s="13">
        <f>IF(VLOOKUP(B417,Database!$A:$AV,MATCH($K$1,Database!$A$1:$AV$1,),)=0,"#N/A",((((VLOOKUP(B417,Database!$A:$AS,MATCH($K$1,Database!$A$1:$AS$1,),))))-(((VLOOKUP(EDATE(B417,-12),Database!$A:$AS,MATCH($K$1,Database!$A$1:$AS$1,),)))))/(((VLOOKUP(EDATE(B417,-12),Database!$A:$AS,MATCH($K$1,Database!$A$1:$AS$1,),)))))</f>
        <v/>
      </c>
      <c r="L417" s="13" t="n"/>
      <c r="M417" s="13" t="n"/>
      <c r="N417" s="13">
        <f>((((VLOOKUP(B417,Database!$A:$AS,MATCH($N$1,Database!$A$1:$AS$1,),))))-(((VLOOKUP(EDATE(B417,-12),Database!$A:$AS,MATCH($N$1,Database!$A$1:$AS$1,),)))))/(((VLOOKUP(EDATE(B417,-12),Database!$A:$AS,MATCH($N$1,Database!$A$1:$AS$1,),))))</f>
        <v/>
      </c>
      <c r="O417" s="13">
        <f>IF(VLOOKUP(B417,Database!$A:$AV,MATCH($O$1,Database!$A$1:$AV$1,),)=0,"#N/A",((((VLOOKUP(B417,Database!$A:$AS,MATCH($O$1,Database!$A$1:$AS$1,),))))-(((VLOOKUP(EDATE(B417,-12),Database!$A:$AS,MATCH($O$1,Database!$A$1:$AS$1,),)))))/(((VLOOKUP(EDATE(B417,-12),Database!$A:$AS,MATCH($O$1,Database!$A$1:$AS$1,),)))))</f>
        <v/>
      </c>
      <c r="P417" s="13">
        <f>IF(VLOOKUP(B417,Database!$A:$AV,MATCH($P$1,Database!$A$1:$AV$1,),)=0,"#N/A",((((VLOOKUP(B417,Database!$A:$AS,MATCH($P$1,Database!$A$1:$AS$1,),))))-(((VLOOKUP(EDATE(B417,-12),Database!$A:$AS,MATCH($P$1,Database!$A$1:$AS$1,),)))))/(((VLOOKUP(EDATE(B417,-12),Database!$A:$AS,MATCH($P$1,Database!$A$1:$AS$1,),)))))</f>
        <v/>
      </c>
      <c r="Q417" s="13">
        <f>IF(VLOOKUP(B417,Database!$A:$AV,MATCH($Q$1,Database!$A$1:$AV$1,),)=0,"#N/A",((((VLOOKUP(B417,Database!$A:$AS,MATCH($Q$1,Database!$A$1:$AS$1,),))))-(((VLOOKUP(EDATE(B417,-12),Database!$A:$AS,MATCH($Q$1,Database!$A$1:$AS$1,),)))))/(((VLOOKUP(EDATE(B417,-12),Database!$A:$AS,MATCH($Q$1,Database!$A$1:$AS$1,),)))))</f>
        <v/>
      </c>
      <c r="R417" s="13">
        <f>IF(VLOOKUP(B417,Database!$A:$AV,MATCH($R$1,Database!$A$1:$AV$1,),)=0,"#N/A",((((VLOOKUP(B417,Database!$A:$AS,MATCH($R$1,Database!$A$1:$AS$1,),))))-(((VLOOKUP(EDATE(B417,-12),Database!$A:$AS,MATCH($R$1,Database!$A$1:$AS$1,),)))))/(((VLOOKUP(EDATE(B417,-12),Database!$A:$AS,MATCH($R$1,Database!$A$1:$AS$1,),)))))</f>
        <v/>
      </c>
      <c r="S417" s="13">
        <f>IF(VLOOKUP(B417,Database!$A:$AV,MATCH($S$1,Database!$A$1:$AV$1,),)=0,"#N/A",((((VLOOKUP(B417,Database!$A:$AS,MATCH($S$1,Database!$A$1:$AS$1,),))))-(((VLOOKUP(EDATE(B417,-12),Database!$A:$AS,MATCH($S$1,Database!$A$1:$AS$1,),)))))/(((VLOOKUP(EDATE(B417,-12),Database!$A:$AS,MATCH($S$1,Database!$A$1:$AS$1,),)))))</f>
        <v/>
      </c>
      <c r="T417" s="13">
        <f>IF(VLOOKUP(B417,Database!$A:$AV,MATCH($T$1,Database!$A$1:$AV$1,),)=0,"#N/A",((((VLOOKUP(B417,Database!$A:$AS,MATCH($T$1,Database!$A$1:$AS$1,),))))-(((VLOOKUP(EDATE(B417,-12),Database!$A:$AS,MATCH($T$1,Database!$A$1:$AS$1,),)))))/(((VLOOKUP(EDATE(B417,-12),Database!$A:$AS,MATCH($T$1,Database!$A$1:$AS$1,),)))))</f>
        <v/>
      </c>
      <c r="U417" s="13">
        <f>IF(VLOOKUP(B417,Database!$A:$AV,MATCH($U$1,Database!$A$1:$AV$1,),)=0,"#N/A",((((VLOOKUP(B417,Database!$A:$AS,MATCH($U$1,Database!$A$1:$AS$1,),))))-(((VLOOKUP(EDATE(B417,-12),Database!$A:$AS,MATCH($U$1,Database!$A$1:$AS$1,),)))))/(((VLOOKUP(EDATE(B417,-12),Database!$A:$AS,MATCH($U$1,Database!$A$1:$AS$1,),)))))</f>
        <v/>
      </c>
      <c r="V417" s="13">
        <f>IF(VLOOKUP(B417,Database!$A:$AV,MATCH($V$1,Database!$A$1:$AV$1,),)=0,"#N/A",((((VLOOKUP(B417,Database!$A:$AS,MATCH($V$1,Database!$A$1:$AS$1,),))))-(((VLOOKUP(EDATE(B417,-12),Database!$A:$AS,MATCH($V$1,Database!$A$1:$AS$1,),)))))/(((VLOOKUP(EDATE(B417,-12),Database!$A:$AS,MATCH($V$1,Database!$A$1:$AS$1,),)))))</f>
        <v/>
      </c>
    </row>
    <row r="418" customFormat="1" s="86">
      <c r="B418" s="75" t="n">
        <v>44866</v>
      </c>
      <c r="C418" s="13">
        <f>IF(VLOOKUP(B418,Database!$A:$AU,MATCH($C$1,Database!$A$1:$AU$1,),)=0,"#N/A",((((VLOOKUP(B418,Database!$A:$AU,MATCH($C$1,Database!$A$1:$AU$1,),))))-(((VLOOKUP(EDATE(B418,-12),Database!$A:$AU,MATCH($C$1,Database!$A$1:$AU$1,),)))))/(((VLOOKUP(EDATE(B418,-12),Database!$A:$AU,MATCH($C$1,Database!$A$1:$AU$1,),)))))</f>
        <v/>
      </c>
      <c r="D418" s="13">
        <f>IF(VLOOKUP(B418,Database!$A:$AV,MATCH($D$1,Database!$A$1:$AV$1,),)=0,"#N/A",((((VLOOKUP(B418,Database!$A:$AS,MATCH($D$1,Database!$A$1:$AS$1,),))))-(((VLOOKUP(EDATE(B418,-12),Database!$A:$AS,MATCH($D$1,Database!$A$1:$AS$1,),)))))/(((VLOOKUP(EDATE(B418,-12),Database!$A:$AS,MATCH($D$1,Database!$A$1:$AS$1,),)))))</f>
        <v/>
      </c>
      <c r="E418" s="13">
        <f>IF(VLOOKUP(B418,Database!$A:$AV,MATCH($E$1,Database!$A$1:$AV$1,),)=0,"#N/A",((((VLOOKUP(B418,Database!$A:$AS,MATCH($E$1,Database!$A$1:$AS$1,),))))-(((VLOOKUP(EDATE(B418,-12),Database!$A:$AS,MATCH($E$1,Database!$A$1:$AS$1,),)))))/(((VLOOKUP(EDATE(B418,-12),Database!$A:$AS,MATCH($E$1,Database!$A$1:$AS$1,),)))))</f>
        <v/>
      </c>
      <c r="F418" s="13">
        <f>IF(VLOOKUP(B418,Database!$A:$AV,MATCH($F$1,Database!$A$1:$AV$1,),)=0,"#N/A",((((VLOOKUP(B418,Database!$A:$AS,MATCH($F$1,Database!$A$1:$AS$1,),))))-(((VLOOKUP(EDATE(B418,-12),Database!$A:$AS,MATCH($F$1,Database!$A$1:$AS$1,),)))))/(((VLOOKUP(EDATE(B418,-12),Database!$A:$AS,MATCH($F$1,Database!$A$1:$AS$1,),)))))</f>
        <v/>
      </c>
      <c r="G418" s="13">
        <f>IF(VLOOKUP(B418,Database!$A:$AV,MATCH($G$1,Database!$A$1:$AV$1,),)=0,"#N/A",((((VLOOKUP(B418,Database!$A:$AS,MATCH($G$1,Database!$A$1:$AS$1,),))))-(((VLOOKUP(EDATE(B418,-12),Database!$A:$AS,MATCH($G$1,Database!$A$1:$AS$1,),)))))/(((VLOOKUP(EDATE(B418,-12),Database!$A:$AS,MATCH($G$1,Database!$A$1:$AS$1,),)))))</f>
        <v/>
      </c>
      <c r="H418" s="13">
        <f>IF(VLOOKUP(B418,Database!$A:$AV,MATCH($H$1,Database!$A$1:$AV$1,),)=0,"#N/A",((((VLOOKUP(B418,Database!$A:$AS,MATCH($H$1,Database!$A$1:$AS$1,),))))-(((VLOOKUP(EDATE(B418,-12),Database!$A:$AS,MATCH($H$1,Database!$A$1:$AS$1,),)))))/(((VLOOKUP(EDATE(B418,-12),Database!$A:$AS,MATCH($H$1,Database!$A$1:$AS$1,),)))))</f>
        <v/>
      </c>
      <c r="I418" s="13">
        <f>IF(VLOOKUP(B418,Database!$A:$AV,MATCH($I$1,Database!$A$1:$AV$1,),)=0,"#N/A",((((VLOOKUP(B418,Database!$A:$AS,MATCH($I$1,Database!$A$1:$AS$1,),))))-(((VLOOKUP(EDATE(B418,-12),Database!$A:$AS,MATCH($I$1,Database!$A$1:$AS$1,),)))))/(((VLOOKUP(EDATE(B418,-12),Database!$A:$AS,MATCH($I$1,Database!$A$1:$AS$1,),)))))</f>
        <v/>
      </c>
      <c r="J418" s="13">
        <f>IF(VLOOKUP(B418,Database!$A:$AV,MATCH($J$1,Database!$A$1:$AV$1,),)=0,"#N/A",((((VLOOKUP(B418,Database!$A:$AS,MATCH($J$1,Database!$A$1:$AS$1,),))))-(((VLOOKUP(EDATE(B418,-12),Database!$A:$AS,MATCH($J$1,Database!$A$1:$AS$1,),)))))/(((VLOOKUP(EDATE(B418,-12),Database!$A:$AS,MATCH($J$1,Database!$A$1:$AS$1,),)))))</f>
        <v/>
      </c>
      <c r="K418" s="13">
        <f>IF(VLOOKUP(B418,Database!$A:$AV,MATCH($K$1,Database!$A$1:$AV$1,),)=0,"#N/A",((((VLOOKUP(B418,Database!$A:$AS,MATCH($K$1,Database!$A$1:$AS$1,),))))-(((VLOOKUP(EDATE(B418,-12),Database!$A:$AS,MATCH($K$1,Database!$A$1:$AS$1,),)))))/(((VLOOKUP(EDATE(B418,-12),Database!$A:$AS,MATCH($K$1,Database!$A$1:$AS$1,),)))))</f>
        <v/>
      </c>
      <c r="L418" s="13" t="n"/>
      <c r="M418" s="13" t="n"/>
      <c r="N418" s="13">
        <f>((((VLOOKUP(B418,Database!$A:$AS,MATCH($N$1,Database!$A$1:$AS$1,),))))-(((VLOOKUP(EDATE(B418,-12),Database!$A:$AS,MATCH($N$1,Database!$A$1:$AS$1,),)))))/(((VLOOKUP(EDATE(B418,-12),Database!$A:$AS,MATCH($N$1,Database!$A$1:$AS$1,),))))</f>
        <v/>
      </c>
      <c r="O418" s="13">
        <f>IF(VLOOKUP(B418,Database!$A:$AV,MATCH($O$1,Database!$A$1:$AV$1,),)=0,"#N/A",((((VLOOKUP(B418,Database!$A:$AS,MATCH($O$1,Database!$A$1:$AS$1,),))))-(((VLOOKUP(EDATE(B418,-12),Database!$A:$AS,MATCH($O$1,Database!$A$1:$AS$1,),)))))/(((VLOOKUP(EDATE(B418,-12),Database!$A:$AS,MATCH($O$1,Database!$A$1:$AS$1,),)))))</f>
        <v/>
      </c>
      <c r="P418" s="13">
        <f>IF(VLOOKUP(B418,Database!$A:$AV,MATCH($P$1,Database!$A$1:$AV$1,),)=0,"#N/A",((((VLOOKUP(B418,Database!$A:$AS,MATCH($P$1,Database!$A$1:$AS$1,),))))-(((VLOOKUP(EDATE(B418,-12),Database!$A:$AS,MATCH($P$1,Database!$A$1:$AS$1,),)))))/(((VLOOKUP(EDATE(B418,-12),Database!$A:$AS,MATCH($P$1,Database!$A$1:$AS$1,),)))))</f>
        <v/>
      </c>
      <c r="Q418" s="13">
        <f>IF(VLOOKUP(B418,Database!$A:$AV,MATCH($Q$1,Database!$A$1:$AV$1,),)=0,"#N/A",((((VLOOKUP(B418,Database!$A:$AS,MATCH($Q$1,Database!$A$1:$AS$1,),))))-(((VLOOKUP(EDATE(B418,-12),Database!$A:$AS,MATCH($Q$1,Database!$A$1:$AS$1,),)))))/(((VLOOKUP(EDATE(B418,-12),Database!$A:$AS,MATCH($Q$1,Database!$A$1:$AS$1,),)))))</f>
        <v/>
      </c>
      <c r="R418" s="13">
        <f>IF(VLOOKUP(B418,Database!$A:$AV,MATCH($R$1,Database!$A$1:$AV$1,),)=0,"#N/A",((((VLOOKUP(B418,Database!$A:$AS,MATCH($R$1,Database!$A$1:$AS$1,),))))-(((VLOOKUP(EDATE(B418,-12),Database!$A:$AS,MATCH($R$1,Database!$A$1:$AS$1,),)))))/(((VLOOKUP(EDATE(B418,-12),Database!$A:$AS,MATCH($R$1,Database!$A$1:$AS$1,),)))))</f>
        <v/>
      </c>
      <c r="S418" s="13">
        <f>IF(VLOOKUP(B418,Database!$A:$AV,MATCH($S$1,Database!$A$1:$AV$1,),)=0,"#N/A",((((VLOOKUP(B418,Database!$A:$AS,MATCH($S$1,Database!$A$1:$AS$1,),))))-(((VLOOKUP(EDATE(B418,-12),Database!$A:$AS,MATCH($S$1,Database!$A$1:$AS$1,),)))))/(((VLOOKUP(EDATE(B418,-12),Database!$A:$AS,MATCH($S$1,Database!$A$1:$AS$1,),)))))</f>
        <v/>
      </c>
      <c r="T418" s="13">
        <f>IF(VLOOKUP(B418,Database!$A:$AV,MATCH($T$1,Database!$A$1:$AV$1,),)=0,"#N/A",((((VLOOKUP(B418,Database!$A:$AS,MATCH($T$1,Database!$A$1:$AS$1,),))))-(((VLOOKUP(EDATE(B418,-12),Database!$A:$AS,MATCH($T$1,Database!$A$1:$AS$1,),)))))/(((VLOOKUP(EDATE(B418,-12),Database!$A:$AS,MATCH($T$1,Database!$A$1:$AS$1,),)))))</f>
        <v/>
      </c>
      <c r="U418" s="13">
        <f>IF(VLOOKUP(B418,Database!$A:$AV,MATCH($U$1,Database!$A$1:$AV$1,),)=0,"#N/A",((((VLOOKUP(B418,Database!$A:$AS,MATCH($U$1,Database!$A$1:$AS$1,),))))-(((VLOOKUP(EDATE(B418,-12),Database!$A:$AS,MATCH($U$1,Database!$A$1:$AS$1,),)))))/(((VLOOKUP(EDATE(B418,-12),Database!$A:$AS,MATCH($U$1,Database!$A$1:$AS$1,),)))))</f>
        <v/>
      </c>
      <c r="V418" s="13">
        <f>IF(VLOOKUP(B418,Database!$A:$AV,MATCH($V$1,Database!$A$1:$AV$1,),)=0,"#N/A",((((VLOOKUP(B418,Database!$A:$AS,MATCH($V$1,Database!$A$1:$AS$1,),))))-(((VLOOKUP(EDATE(B418,-12),Database!$A:$AS,MATCH($V$1,Database!$A$1:$AS$1,),)))))/(((VLOOKUP(EDATE(B418,-12),Database!$A:$AS,MATCH($V$1,Database!$A$1:$AS$1,),)))))</f>
        <v/>
      </c>
    </row>
    <row r="419" customFormat="1" s="86">
      <c r="B419" s="75" t="n">
        <v>44896</v>
      </c>
      <c r="C419" s="13">
        <f>IF(VLOOKUP(B419,Database!$A:$AU,MATCH($C$1,Database!$A$1:$AU$1,),)=0,"#N/A",((((VLOOKUP(B419,Database!$A:$AU,MATCH($C$1,Database!$A$1:$AU$1,),))))-(((VLOOKUP(EDATE(B419,-12),Database!$A:$AU,MATCH($C$1,Database!$A$1:$AU$1,),)))))/(((VLOOKUP(EDATE(B419,-12),Database!$A:$AU,MATCH($C$1,Database!$A$1:$AU$1,),)))))</f>
        <v/>
      </c>
      <c r="D419" s="13">
        <f>IF(VLOOKUP(B419,Database!$A:$AV,MATCH($D$1,Database!$A$1:$AV$1,),)=0,"#N/A",((((VLOOKUP(B419,Database!$A:$AS,MATCH($D$1,Database!$A$1:$AS$1,),))))-(((VLOOKUP(EDATE(B419,-12),Database!$A:$AS,MATCH($D$1,Database!$A$1:$AS$1,),)))))/(((VLOOKUP(EDATE(B419,-12),Database!$A:$AS,MATCH($D$1,Database!$A$1:$AS$1,),)))))</f>
        <v/>
      </c>
      <c r="E419" s="13">
        <f>IF(VLOOKUP(B419,Database!$A:$AV,MATCH($E$1,Database!$A$1:$AV$1,),)=0,"#N/A",((((VLOOKUP(B419,Database!$A:$AS,MATCH($E$1,Database!$A$1:$AS$1,),))))-(((VLOOKUP(EDATE(B419,-12),Database!$A:$AS,MATCH($E$1,Database!$A$1:$AS$1,),)))))/(((VLOOKUP(EDATE(B419,-12),Database!$A:$AS,MATCH($E$1,Database!$A$1:$AS$1,),)))))</f>
        <v/>
      </c>
      <c r="F419" s="13">
        <f>IF(VLOOKUP(B419,Database!$A:$AV,MATCH($F$1,Database!$A$1:$AV$1,),)=0,"#N/A",((((VLOOKUP(B419,Database!$A:$AS,MATCH($F$1,Database!$A$1:$AS$1,),))))-(((VLOOKUP(EDATE(B419,-12),Database!$A:$AS,MATCH($F$1,Database!$A$1:$AS$1,),)))))/(((VLOOKUP(EDATE(B419,-12),Database!$A:$AS,MATCH($F$1,Database!$A$1:$AS$1,),)))))</f>
        <v/>
      </c>
      <c r="G419" s="13">
        <f>IF(VLOOKUP(B419,Database!$A:$AV,MATCH($G$1,Database!$A$1:$AV$1,),)=0,"#N/A",((((VLOOKUP(B419,Database!$A:$AS,MATCH($G$1,Database!$A$1:$AS$1,),))))-(((VLOOKUP(EDATE(B419,-12),Database!$A:$AS,MATCH($G$1,Database!$A$1:$AS$1,),)))))/(((VLOOKUP(EDATE(B419,-12),Database!$A:$AS,MATCH($G$1,Database!$A$1:$AS$1,),)))))</f>
        <v/>
      </c>
      <c r="H419" s="13">
        <f>IF(VLOOKUP(B419,Database!$A:$AV,MATCH($H$1,Database!$A$1:$AV$1,),)=0,"#N/A",((((VLOOKUP(B419,Database!$A:$AS,MATCH($H$1,Database!$A$1:$AS$1,),))))-(((VLOOKUP(EDATE(B419,-12),Database!$A:$AS,MATCH($H$1,Database!$A$1:$AS$1,),)))))/(((VLOOKUP(EDATE(B419,-12),Database!$A:$AS,MATCH($H$1,Database!$A$1:$AS$1,),)))))</f>
        <v/>
      </c>
      <c r="I419" s="13">
        <f>IF(VLOOKUP(B419,Database!$A:$AV,MATCH($I$1,Database!$A$1:$AV$1,),)=0,"#N/A",((((VLOOKUP(B419,Database!$A:$AS,MATCH($I$1,Database!$A$1:$AS$1,),))))-(((VLOOKUP(EDATE(B419,-12),Database!$A:$AS,MATCH($I$1,Database!$A$1:$AS$1,),)))))/(((VLOOKUP(EDATE(B419,-12),Database!$A:$AS,MATCH($I$1,Database!$A$1:$AS$1,),)))))</f>
        <v/>
      </c>
      <c r="J419" s="13">
        <f>IF(VLOOKUP(B419,Database!$A:$AV,MATCH($J$1,Database!$A$1:$AV$1,),)=0,"#N/A",((((VLOOKUP(B419,Database!$A:$AS,MATCH($J$1,Database!$A$1:$AS$1,),))))-(((VLOOKUP(EDATE(B419,-12),Database!$A:$AS,MATCH($J$1,Database!$A$1:$AS$1,),)))))/(((VLOOKUP(EDATE(B419,-12),Database!$A:$AS,MATCH($J$1,Database!$A$1:$AS$1,),)))))</f>
        <v/>
      </c>
      <c r="K419" s="13">
        <f>IF(VLOOKUP(B419,Database!$A:$AV,MATCH($K$1,Database!$A$1:$AV$1,),)=0,"#N/A",((((VLOOKUP(B419,Database!$A:$AS,MATCH($K$1,Database!$A$1:$AS$1,),))))-(((VLOOKUP(EDATE(B419,-12),Database!$A:$AS,MATCH($K$1,Database!$A$1:$AS$1,),)))))/(((VLOOKUP(EDATE(B419,-12),Database!$A:$AS,MATCH($K$1,Database!$A$1:$AS$1,),)))))</f>
        <v/>
      </c>
      <c r="L419" s="13">
        <f>IF(VLOOKUP(C419,Database!$A:$AV,MATCH($K$1,Database!$A$1:$AV$1,),)=0,"#N/A",((((VLOOKUP(C419,Database!$A:$AS,MATCH($K$1,Database!$A$1:$AS$1,),))))-(((VLOOKUP(EDATE(C419,-12),Database!$A:$AS,MATCH($K$1,Database!$A$1:$AS$1,),)))))/(((VLOOKUP(EDATE(C419,-12),Database!$A:$AS,MATCH($K$1,Database!$A$1:$AS$1,),)))))</f>
        <v/>
      </c>
      <c r="M419" s="13">
        <f>IF(VLOOKUP(D419,Database!$A:$AV,MATCH($K$1,Database!$A$1:$AV$1,),)=0,"#N/A",((((VLOOKUP(D419,Database!$A:$AS,MATCH($K$1,Database!$A$1:$AS$1,),))))-(((VLOOKUP(EDATE(D419,-12),Database!$A:$AS,MATCH($K$1,Database!$A$1:$AS$1,),)))))/(((VLOOKUP(EDATE(D419,-12),Database!$A:$AS,MATCH($K$1,Database!$A$1:$AS$1,),)))))</f>
        <v/>
      </c>
      <c r="N419" s="13">
        <f>IF(VLOOKUP(E419,Database!$A:$AV,MATCH($N$1,Database!$A$1:$AV$1,),)=0,"#N/A",((((VLOOKUP(E419,Database!$A:$AS,MATCH($N$1,Database!$A$1:$AS$1,),))))-(((VLOOKUP(EDATE(E419,-12),Database!$A:$AS,MATCH($N$1,Database!$A$1:$AS$1,),)))))/(((VLOOKUP(EDATE(E419,-12),Database!$A:$AS,MATCH($N$1,Database!$A$1:$AS$1,),)))))</f>
        <v/>
      </c>
      <c r="O419" s="13">
        <f>IF(VLOOKUP(B419,Database!$A:$AV,MATCH($O$1,Database!$A$1:$AV$1,),)=0,"#N/A",((((VLOOKUP(B419,Database!$A:$AS,MATCH($O$1,Database!$A$1:$AS$1,),))))-(((VLOOKUP(EDATE(B419,-12),Database!$A:$AS,MATCH($O$1,Database!$A$1:$AS$1,),)))))/(((VLOOKUP(EDATE(B419,-12),Database!$A:$AS,MATCH($O$1,Database!$A$1:$AS$1,),)))))</f>
        <v/>
      </c>
      <c r="P419" s="13">
        <f>IF(VLOOKUP(B419,Database!$A:$AV,MATCH($P$1,Database!$A$1:$AV$1,),)=0,"#N/A",((((VLOOKUP(B419,Database!$A:$AS,MATCH($P$1,Database!$A$1:$AS$1,),))))-(((VLOOKUP(EDATE(B419,-12),Database!$A:$AS,MATCH($P$1,Database!$A$1:$AS$1,),)))))/(((VLOOKUP(EDATE(B419,-12),Database!$A:$AS,MATCH($P$1,Database!$A$1:$AS$1,),)))))</f>
        <v/>
      </c>
      <c r="Q419" s="13">
        <f>IF(VLOOKUP(B419,Database!$A:$AV,MATCH($Q$1,Database!$A$1:$AV$1,),)=0,"#N/A",((((VLOOKUP(B419,Database!$A:$AS,MATCH($Q$1,Database!$A$1:$AS$1,),))))-(((VLOOKUP(EDATE(B419,-12),Database!$A:$AS,MATCH($Q$1,Database!$A$1:$AS$1,),)))))/(((VLOOKUP(EDATE(B419,-12),Database!$A:$AS,MATCH($Q$1,Database!$A$1:$AS$1,),)))))</f>
        <v/>
      </c>
      <c r="R419" s="13">
        <f>IF(VLOOKUP(B419,Database!$A:$AV,MATCH($R$1,Database!$A$1:$AV$1,),)=0,"#N/A",((((VLOOKUP(B419,Database!$A:$AS,MATCH($R$1,Database!$A$1:$AS$1,),))))-(((VLOOKUP(EDATE(B419,-12),Database!$A:$AS,MATCH($R$1,Database!$A$1:$AS$1,),)))))/(((VLOOKUP(EDATE(B419,-12),Database!$A:$AS,MATCH($R$1,Database!$A$1:$AS$1,),)))))</f>
        <v/>
      </c>
      <c r="S419" s="13">
        <f>IF(VLOOKUP(B419,Database!$A:$AV,MATCH($S$1,Database!$A$1:$AV$1,),)=0,"#N/A",((((VLOOKUP(B419,Database!$A:$AS,MATCH($S$1,Database!$A$1:$AS$1,),))))-(((VLOOKUP(EDATE(B419,-12),Database!$A:$AS,MATCH($S$1,Database!$A$1:$AS$1,),)))))/(((VLOOKUP(EDATE(B419,-12),Database!$A:$AS,MATCH($S$1,Database!$A$1:$AS$1,),)))))</f>
        <v/>
      </c>
      <c r="T419" s="13">
        <f>IF(VLOOKUP(B419,Database!$A:$AV,MATCH($T$1,Database!$A$1:$AV$1,),)=0,"#N/A",((((VLOOKUP(B419,Database!$A:$AS,MATCH($T$1,Database!$A$1:$AS$1,),))))-(((VLOOKUP(EDATE(B419,-12),Database!$A:$AS,MATCH($T$1,Database!$A$1:$AS$1,),)))))/(((VLOOKUP(EDATE(B419,-12),Database!$A:$AS,MATCH($T$1,Database!$A$1:$AS$1,),)))))</f>
        <v/>
      </c>
      <c r="U419" s="13">
        <f>IF(VLOOKUP(B419,Database!$A:$AV,MATCH($U$1,Database!$A$1:$AV$1,),)=0,"#N/A",((((VLOOKUP(B419,Database!$A:$AS,MATCH($U$1,Database!$A$1:$AS$1,),))))-(((VLOOKUP(EDATE(B419,-12),Database!$A:$AS,MATCH($U$1,Database!$A$1:$AS$1,),)))))/(((VLOOKUP(EDATE(B419,-12),Database!$A:$AS,MATCH($U$1,Database!$A$1:$AS$1,),)))))</f>
        <v/>
      </c>
      <c r="V419" s="13">
        <f>IF(VLOOKUP(B419,Database!$A:$AV,MATCH($V$1,Database!$A$1:$AV$1,),)=0,"#N/A",((((VLOOKUP(B419,Database!$A:$AS,MATCH($V$1,Database!$A$1:$AS$1,),))))-(((VLOOKUP(EDATE(B419,-12),Database!$A:$AS,MATCH($V$1,Database!$A$1:$AS$1,),)))))/(((VLOOKUP(EDATE(B419,-12),Database!$A:$AS,MATCH($V$1,Database!$A$1:$AS$1,),)))))</f>
        <v/>
      </c>
    </row>
    <row r="420" customFormat="1" s="86">
      <c r="B420" s="75" t="n">
        <v>44927</v>
      </c>
      <c r="C420" s="13">
        <f>IF(VLOOKUP(B420,Database!$A:$AU,MATCH($C$1,Database!$A$1:$AU$1,),)=0,"#N/A",((((VLOOKUP(B420,Database!$A:$AU,MATCH($C$1,Database!$A$1:$AU$1,),))))-(((VLOOKUP(EDATE(B420,-12),Database!$A:$AU,MATCH($C$1,Database!$A$1:$AU$1,),)))))/(((VLOOKUP(EDATE(B420,-12),Database!$A:$AU,MATCH($C$1,Database!$A$1:$AU$1,),)))))</f>
        <v/>
      </c>
      <c r="D420" s="13">
        <f>IF(VLOOKUP(B420,Database!$A:$AV,MATCH($D$1,Database!$A$1:$AV$1,),)=0,"#N/A",((((VLOOKUP(B420,Database!$A:$AS,MATCH($D$1,Database!$A$1:$AS$1,),))))-(((VLOOKUP(EDATE(B420,-12),Database!$A:$AS,MATCH($D$1,Database!$A$1:$AS$1,),)))))/(((VLOOKUP(EDATE(B420,-12),Database!$A:$AS,MATCH($D$1,Database!$A$1:$AS$1,),)))))</f>
        <v/>
      </c>
      <c r="E420" s="13">
        <f>IF(VLOOKUP(B420,Database!$A:$AV,MATCH($E$1,Database!$A$1:$AV$1,),)=0,"#N/A",((((VLOOKUP(B420,Database!$A:$AS,MATCH($E$1,Database!$A$1:$AS$1,),))))-(((VLOOKUP(EDATE(B420,-12),Database!$A:$AS,MATCH($E$1,Database!$A$1:$AS$1,),)))))/(((VLOOKUP(EDATE(B420,-12),Database!$A:$AS,MATCH($E$1,Database!$A$1:$AS$1,),)))))</f>
        <v/>
      </c>
      <c r="F420" s="13">
        <f>IF(VLOOKUP(B420,Database!$A:$AV,MATCH($F$1,Database!$A$1:$AV$1,),)=0,"#N/A",((((VLOOKUP(B420,Database!$A:$AS,MATCH($F$1,Database!$A$1:$AS$1,),))))-(((VLOOKUP(EDATE(B420,-12),Database!$A:$AS,MATCH($F$1,Database!$A$1:$AS$1,),)))))/(((VLOOKUP(EDATE(B420,-12),Database!$A:$AS,MATCH($F$1,Database!$A$1:$AS$1,),)))))</f>
        <v/>
      </c>
      <c r="G420" s="13">
        <f>IF(VLOOKUP(B420,Database!$A:$AV,MATCH($G$1,Database!$A$1:$AV$1,),)=0,"#N/A",((((VLOOKUP(B420,Database!$A:$AS,MATCH($G$1,Database!$A$1:$AS$1,),))))-(((VLOOKUP(EDATE(B420,-12),Database!$A:$AS,MATCH($G$1,Database!$A$1:$AS$1,),)))))/(((VLOOKUP(EDATE(B420,-12),Database!$A:$AS,MATCH($G$1,Database!$A$1:$AS$1,),)))))</f>
        <v/>
      </c>
      <c r="H420" s="13">
        <f>IF(VLOOKUP(B420,Database!$A:$AV,MATCH($H$1,Database!$A$1:$AV$1,),)=0,"#N/A",((((VLOOKUP(B420,Database!$A:$AS,MATCH($H$1,Database!$A$1:$AS$1,),))))-(((VLOOKUP(EDATE(B420,-12),Database!$A:$AS,MATCH($H$1,Database!$A$1:$AS$1,),)))))/(((VLOOKUP(EDATE(B420,-12),Database!$A:$AS,MATCH($H$1,Database!$A$1:$AS$1,),)))))</f>
        <v/>
      </c>
      <c r="I420" s="13">
        <f>IF(VLOOKUP(B420,Database!$A:$AV,MATCH($I$1,Database!$A$1:$AV$1,),)=0,"#N/A",((((VLOOKUP(B420,Database!$A:$AS,MATCH($I$1,Database!$A$1:$AS$1,),))))-(((VLOOKUP(EDATE(B420,-12),Database!$A:$AS,MATCH($I$1,Database!$A$1:$AS$1,),)))))/(((VLOOKUP(EDATE(B420,-12),Database!$A:$AS,MATCH($I$1,Database!$A$1:$AS$1,),)))))</f>
        <v/>
      </c>
      <c r="J420" s="13">
        <f>IF(VLOOKUP(B420,Database!$A:$AV,MATCH($J$1,Database!$A$1:$AV$1,),)=0,"#N/A",((((VLOOKUP(B420,Database!$A:$AS,MATCH($J$1,Database!$A$1:$AS$1,),))))-(((VLOOKUP(EDATE(B420,-12),Database!$A:$AS,MATCH($J$1,Database!$A$1:$AS$1,),)))))/(((VLOOKUP(EDATE(B420,-12),Database!$A:$AS,MATCH($J$1,Database!$A$1:$AS$1,),)))))</f>
        <v/>
      </c>
      <c r="K420" s="13">
        <f>IF(VLOOKUP(B420,Database!$A:$AV,MATCH($K$1,Database!$A$1:$AV$1,),)=0,"#N/A",((((VLOOKUP(B420,Database!$A:$AS,MATCH($K$1,Database!$A$1:$AS$1,),))))-(((VLOOKUP(EDATE(B420,-12),Database!$A:$AS,MATCH($K$1,Database!$A$1:$AS$1,),)))))/(((VLOOKUP(EDATE(B420,-12),Database!$A:$AS,MATCH($K$1,Database!$A$1:$AS$1,),)))))</f>
        <v/>
      </c>
      <c r="L420" s="13">
        <f>IF(VLOOKUP(C420,Database!$A:$AV,MATCH($K$1,Database!$A$1:$AV$1,),)=0,"#N/A",((((VLOOKUP(C420,Database!$A:$AS,MATCH($K$1,Database!$A$1:$AS$1,),))))-(((VLOOKUP(EDATE(C420,-12),Database!$A:$AS,MATCH($K$1,Database!$A$1:$AS$1,),)))))/(((VLOOKUP(EDATE(C420,-12),Database!$A:$AS,MATCH($K$1,Database!$A$1:$AS$1,),)))))</f>
        <v/>
      </c>
      <c r="M420" s="13">
        <f>IF(VLOOKUP(D420,Database!$A:$AV,MATCH($K$1,Database!$A$1:$AV$1,),)=0,"#N/A",((((VLOOKUP(D420,Database!$A:$AS,MATCH($K$1,Database!$A$1:$AS$1,),))))-(((VLOOKUP(EDATE(D420,-12),Database!$A:$AS,MATCH($K$1,Database!$A$1:$AS$1,),)))))/(((VLOOKUP(EDATE(D420,-12),Database!$A:$AS,MATCH($K$1,Database!$A$1:$AS$1,),)))))</f>
        <v/>
      </c>
      <c r="N420" s="13">
        <f>IF(VLOOKUP(E420,Database!$A:$AV,MATCH($N$1,Database!$A$1:$AV$1,),)=0,"#N/A",((((VLOOKUP(E420,Database!$A:$AS,MATCH($N$1,Database!$A$1:$AS$1,),))))-(((VLOOKUP(EDATE(E420,-12),Database!$A:$AS,MATCH($N$1,Database!$A$1:$AS$1,),)))))/(((VLOOKUP(EDATE(E420,-12),Database!$A:$AS,MATCH($N$1,Database!$A$1:$AS$1,),)))))</f>
        <v/>
      </c>
      <c r="O420" s="13">
        <f>IF(VLOOKUP(B420,Database!$A:$AV,MATCH($O$1,Database!$A$1:$AV$1,),)=0,"#N/A",((((VLOOKUP(B420,Database!$A:$AS,MATCH($O$1,Database!$A$1:$AS$1,),))))-(((VLOOKUP(EDATE(B420,-12),Database!$A:$AS,MATCH($O$1,Database!$A$1:$AS$1,),)))))/(((VLOOKUP(EDATE(B420,-12),Database!$A:$AS,MATCH($O$1,Database!$A$1:$AS$1,),)))))</f>
        <v/>
      </c>
      <c r="P420" s="13">
        <f>IF(VLOOKUP(B420,Database!$A:$AV,MATCH($P$1,Database!$A$1:$AV$1,),)=0,"#N/A",((((VLOOKUP(B420,Database!$A:$AS,MATCH($P$1,Database!$A$1:$AS$1,),))))-(((VLOOKUP(EDATE(B420,-12),Database!$A:$AS,MATCH($P$1,Database!$A$1:$AS$1,),)))))/(((VLOOKUP(EDATE(B420,-12),Database!$A:$AS,MATCH($P$1,Database!$A$1:$AS$1,),)))))</f>
        <v/>
      </c>
      <c r="Q420" s="13">
        <f>IF(VLOOKUP(B420,Database!$A:$AV,MATCH($Q$1,Database!$A$1:$AV$1,),)=0,"#N/A",((((VLOOKUP(B420,Database!$A:$AS,MATCH($Q$1,Database!$A$1:$AS$1,),))))-(((VLOOKUP(EDATE(B420,-12),Database!$A:$AS,MATCH($Q$1,Database!$A$1:$AS$1,),)))))/(((VLOOKUP(EDATE(B420,-12),Database!$A:$AS,MATCH($Q$1,Database!$A$1:$AS$1,),)))))</f>
        <v/>
      </c>
      <c r="R420" s="13">
        <f>IF(VLOOKUP(B420,Database!$A:$AV,MATCH($R$1,Database!$A$1:$AV$1,),)=0,"#N/A",((((VLOOKUP(B420,Database!$A:$AS,MATCH($R$1,Database!$A$1:$AS$1,),))))-(((VLOOKUP(EDATE(B420,-12),Database!$A:$AS,MATCH($R$1,Database!$A$1:$AS$1,),)))))/(((VLOOKUP(EDATE(B420,-12),Database!$A:$AS,MATCH($R$1,Database!$A$1:$AS$1,),)))))</f>
        <v/>
      </c>
      <c r="S420" s="13">
        <f>IF(VLOOKUP(B420,Database!$A:$AV,MATCH($S$1,Database!$A$1:$AV$1,),)=0,"#N/A",((((VLOOKUP(B420,Database!$A:$AS,MATCH($S$1,Database!$A$1:$AS$1,),))))-(((VLOOKUP(EDATE(B420,-12),Database!$A:$AS,MATCH($S$1,Database!$A$1:$AS$1,),)))))/(((VLOOKUP(EDATE(B420,-12),Database!$A:$AS,MATCH($S$1,Database!$A$1:$AS$1,),)))))</f>
        <v/>
      </c>
      <c r="T420" s="13">
        <f>IF(VLOOKUP(B420,Database!$A:$AV,MATCH($T$1,Database!$A$1:$AV$1,),)=0,"#N/A",((((VLOOKUP(B420,Database!$A:$AS,MATCH($T$1,Database!$A$1:$AS$1,),))))-(((VLOOKUP(EDATE(B420,-12),Database!$A:$AS,MATCH($T$1,Database!$A$1:$AS$1,),)))))/(((VLOOKUP(EDATE(B420,-12),Database!$A:$AS,MATCH($T$1,Database!$A$1:$AS$1,),)))))</f>
        <v/>
      </c>
      <c r="U420" s="13">
        <f>IF(VLOOKUP(B420,Database!$A:$AV,MATCH($U$1,Database!$A$1:$AV$1,),)=0,"#N/A",((((VLOOKUP(B420,Database!$A:$AS,MATCH($U$1,Database!$A$1:$AS$1,),))))-(((VLOOKUP(EDATE(B420,-12),Database!$A:$AS,MATCH($U$1,Database!$A$1:$AS$1,),)))))/(((VLOOKUP(EDATE(B420,-12),Database!$A:$AS,MATCH($U$1,Database!$A$1:$AS$1,),)))))</f>
        <v/>
      </c>
      <c r="V420" s="13">
        <f>IF(VLOOKUP(B420,Database!$A:$AV,MATCH($V$1,Database!$A$1:$AV$1,),)=0,"#N/A",((((VLOOKUP(B420,Database!$A:$AS,MATCH($V$1,Database!$A$1:$AS$1,),))))-(((VLOOKUP(EDATE(B420,-12),Database!$A:$AS,MATCH($V$1,Database!$A$1:$AS$1,),)))))/(((VLOOKUP(EDATE(B420,-12),Database!$A:$AS,MATCH($V$1,Database!$A$1:$AS$1,),)))))</f>
        <v/>
      </c>
    </row>
    <row r="421" customFormat="1" s="86"/>
    <row r="422" customFormat="1" s="86"/>
    <row r="423" customFormat="1" s="86"/>
    <row r="424" customFormat="1" s="86"/>
    <row r="425" customFormat="1" s="86"/>
    <row r="426" customFormat="1" s="86"/>
    <row r="427" customFormat="1" s="86"/>
    <row r="428" customFormat="1" s="86"/>
    <row r="429" customFormat="1" s="86"/>
    <row r="430" customFormat="1" s="86"/>
    <row r="431" customFormat="1" s="86"/>
    <row r="432" customFormat="1" s="86"/>
    <row r="433" customFormat="1" s="86"/>
    <row r="434" customFormat="1" s="86"/>
    <row r="435" customFormat="1" s="86"/>
    <row r="436" customFormat="1" s="86"/>
    <row r="437" customFormat="1" s="86"/>
    <row r="438" customFormat="1" s="86"/>
    <row r="439" customFormat="1" s="86"/>
    <row r="440" customFormat="1" s="86"/>
    <row r="441" customFormat="1" s="86"/>
    <row r="442" customFormat="1" s="86"/>
    <row r="443" customFormat="1" s="86"/>
    <row r="444" customFormat="1" s="86"/>
    <row r="445" customFormat="1" s="86"/>
    <row r="446" customFormat="1" s="86"/>
    <row r="447" customFormat="1" s="86"/>
    <row r="448" customFormat="1" s="86"/>
    <row r="449" customFormat="1" s="86"/>
    <row r="450" customFormat="1" s="86"/>
    <row r="451" customFormat="1" s="86"/>
    <row r="452" customFormat="1" s="86"/>
    <row r="453" customFormat="1" s="86"/>
    <row r="454" customFormat="1" s="86"/>
    <row r="455" customFormat="1" s="86"/>
    <row r="456" customFormat="1" s="86"/>
    <row r="457" customFormat="1" s="86"/>
    <row r="458" customFormat="1" s="86"/>
    <row r="459" customFormat="1" s="86"/>
    <row r="460" customFormat="1" s="86"/>
    <row r="461" customFormat="1" s="86"/>
    <row r="462" customFormat="1" s="86"/>
    <row r="463" customFormat="1" s="86"/>
    <row r="464" customFormat="1" s="86"/>
    <row r="465" customFormat="1" s="86"/>
    <row r="466" customFormat="1" s="86"/>
    <row r="467" customFormat="1" s="86"/>
    <row r="468" customFormat="1" s="86"/>
    <row r="469" customFormat="1" s="86"/>
    <row r="470" customFormat="1" s="86"/>
    <row r="471" customFormat="1" s="86"/>
    <row r="472" customFormat="1" s="86"/>
    <row r="473" customFormat="1" s="86"/>
    <row r="474" customFormat="1" s="86"/>
    <row r="475" customFormat="1" s="86"/>
    <row r="476" customFormat="1" s="86"/>
    <row r="477" customFormat="1" s="86"/>
    <row r="478" customFormat="1" s="86"/>
    <row r="479" customFormat="1" s="86"/>
    <row r="480" customFormat="1" s="86"/>
    <row r="481" customFormat="1" s="86"/>
    <row r="482" customFormat="1" s="86"/>
    <row r="483" customFormat="1" s="86"/>
    <row r="484" customFormat="1" s="86"/>
    <row r="485" customFormat="1" s="86"/>
    <row r="486" customFormat="1" s="86"/>
    <row r="487" customFormat="1" s="86"/>
    <row r="488" customFormat="1" s="86"/>
    <row r="489" customFormat="1" s="86"/>
    <row r="490" customFormat="1" s="86"/>
    <row r="491" customFormat="1" s="86"/>
    <row r="492" customFormat="1" s="86"/>
    <row r="493" customFormat="1" s="86"/>
    <row r="494" customFormat="1" s="86"/>
    <row r="495" customFormat="1" s="86"/>
    <row r="496" customFormat="1" s="86"/>
    <row r="497" customFormat="1" s="86"/>
    <row r="498" customFormat="1" s="86"/>
    <row r="499" customFormat="1" s="86"/>
    <row r="500" customFormat="1" s="86"/>
    <row r="501" customFormat="1" s="86"/>
    <row r="502" customFormat="1" s="86"/>
    <row r="503" customFormat="1" s="86"/>
    <row r="504" customFormat="1" s="86"/>
    <row r="505" customFormat="1" s="86"/>
    <row r="506" customFormat="1" s="86"/>
    <row r="507" customFormat="1" s="86"/>
    <row r="508" customFormat="1" s="86"/>
    <row r="509" customFormat="1" s="86"/>
    <row r="510" customFormat="1" s="86"/>
    <row r="511" customFormat="1" s="86"/>
    <row r="512" customFormat="1" s="86"/>
    <row r="513" customFormat="1" s="86"/>
    <row r="514" customFormat="1" s="86"/>
    <row r="515" customFormat="1" s="86"/>
    <row r="516" customFormat="1" s="86"/>
    <row r="517" customFormat="1" s="86"/>
    <row r="518" customFormat="1" s="86"/>
    <row r="519" customFormat="1" s="86"/>
    <row r="520" customFormat="1" s="86"/>
    <row r="521" customFormat="1" s="86"/>
    <row r="522" customFormat="1" s="86"/>
    <row r="523" customFormat="1" s="86"/>
    <row r="524" customFormat="1" s="86"/>
    <row r="525" customFormat="1" s="86"/>
    <row r="526" customFormat="1" s="86"/>
    <row r="527" customFormat="1" s="86"/>
    <row r="528" customFormat="1" s="86"/>
    <row r="529" customFormat="1" s="86"/>
    <row r="530" customFormat="1" s="86"/>
    <row r="531" customFormat="1" s="86"/>
    <row r="532" customFormat="1" s="86"/>
    <row r="533" customFormat="1" s="86"/>
    <row r="534" customFormat="1" s="86"/>
    <row r="535" customFormat="1" s="86"/>
    <row r="536" customFormat="1" s="86"/>
    <row r="537" customFormat="1" s="86"/>
    <row r="538" customFormat="1" s="86"/>
    <row r="539" customFormat="1" s="86"/>
    <row r="540" customFormat="1" s="86"/>
    <row r="541" customFormat="1" s="86"/>
    <row r="542" customFormat="1" s="86"/>
    <row r="543" customFormat="1" s="86"/>
    <row r="544" customFormat="1" s="86"/>
    <row r="545" customFormat="1" s="86"/>
    <row r="546" customFormat="1" s="86"/>
    <row r="547" customFormat="1" s="86"/>
    <row r="548" customFormat="1" s="86"/>
    <row r="549" customFormat="1" s="86"/>
    <row r="550" customFormat="1" s="86"/>
    <row r="551" customFormat="1" s="86"/>
    <row r="552" customFormat="1" s="86"/>
    <row r="553" customFormat="1" s="86"/>
    <row r="554" customFormat="1" s="86"/>
    <row r="555" customFormat="1" s="86"/>
    <row r="556" customFormat="1" s="86"/>
    <row r="557" customFormat="1" s="86"/>
    <row r="558" customFormat="1" s="86"/>
    <row r="559" customFormat="1" s="86"/>
    <row r="560" customFormat="1" s="86"/>
    <row r="561" customFormat="1" s="86"/>
    <row r="562" customFormat="1" s="86"/>
    <row r="563" customFormat="1" s="86"/>
    <row r="564" customFormat="1" s="86"/>
    <row r="565" customFormat="1" s="86"/>
    <row r="566" customFormat="1" s="86"/>
    <row r="567" customFormat="1" s="86"/>
    <row r="568" customFormat="1" s="86"/>
    <row r="569" customFormat="1" s="86"/>
    <row r="570" customFormat="1" s="86"/>
    <row r="571" customFormat="1" s="86"/>
    <row r="572" customFormat="1" s="86"/>
    <row r="573" customFormat="1" s="86"/>
    <row r="574" customFormat="1" s="86"/>
    <row r="575" customFormat="1" s="86"/>
    <row r="576" customFormat="1" s="86"/>
    <row r="577" customFormat="1" s="86"/>
    <row r="578" customFormat="1" s="86"/>
    <row r="579" customFormat="1" s="86"/>
    <row r="580" customFormat="1" s="86"/>
    <row r="581" customFormat="1" s="86"/>
    <row r="582" customFormat="1" s="86"/>
    <row r="583" customFormat="1" s="86"/>
    <row r="584" customFormat="1" s="86"/>
    <row r="585" customFormat="1" s="86"/>
    <row r="586" customFormat="1" s="86"/>
    <row r="587" customFormat="1" s="86"/>
    <row r="588" customFormat="1" s="86"/>
    <row r="589" customFormat="1" s="86"/>
    <row r="590" customFormat="1" s="86"/>
    <row r="591" customFormat="1" s="86"/>
    <row r="592" customFormat="1" s="86"/>
    <row r="593" customFormat="1" s="86"/>
    <row r="594" customFormat="1" s="86"/>
    <row r="595" customFormat="1" s="86"/>
    <row r="596" customFormat="1" s="86"/>
    <row r="597" customFormat="1" s="86"/>
    <row r="598" customFormat="1" s="86"/>
    <row r="599" customFormat="1" s="86"/>
    <row r="600" customFormat="1" s="86"/>
    <row r="601" customFormat="1" s="86"/>
    <row r="602" customFormat="1" s="86"/>
    <row r="603" customFormat="1" s="86"/>
    <row r="604" customFormat="1" s="86"/>
    <row r="605" customFormat="1" s="86"/>
    <row r="606" customFormat="1" s="86"/>
    <row r="607" customFormat="1" s="86"/>
    <row r="608" customFormat="1" s="86"/>
    <row r="609" customFormat="1" s="86"/>
    <row r="610" customFormat="1" s="86"/>
    <row r="611" customFormat="1" s="86"/>
    <row r="612" customFormat="1" s="86"/>
    <row r="613" customFormat="1" s="86"/>
    <row r="614" customFormat="1" s="86"/>
    <row r="615" customFormat="1" s="86"/>
    <row r="616" customFormat="1" s="86"/>
    <row r="617" customFormat="1" s="86"/>
    <row r="618" customFormat="1" s="86"/>
    <row r="619" customFormat="1" s="86"/>
    <row r="620" customFormat="1" s="86"/>
    <row r="621" customFormat="1" s="86"/>
    <row r="622" customFormat="1" s="86"/>
    <row r="623" customFormat="1" s="86"/>
    <row r="624" customFormat="1" s="86"/>
    <row r="625" customFormat="1" s="86"/>
    <row r="626" customFormat="1" s="86"/>
    <row r="627" customFormat="1" s="86"/>
    <row r="628" customFormat="1" s="86"/>
    <row r="629" customFormat="1" s="86"/>
    <row r="630" customFormat="1" s="86"/>
    <row r="631" customFormat="1" s="86"/>
    <row r="632" customFormat="1" s="86"/>
    <row r="633" customFormat="1" s="86"/>
    <row r="634" customFormat="1" s="86"/>
    <row r="635" customFormat="1" s="86"/>
    <row r="636" customFormat="1" s="86"/>
    <row r="637" customFormat="1" s="86"/>
    <row r="638" customFormat="1" s="86"/>
    <row r="639" customFormat="1" s="86"/>
    <row r="640" customFormat="1" s="86"/>
    <row r="641" customFormat="1" s="86"/>
    <row r="642" customFormat="1" s="86"/>
    <row r="643" customFormat="1" s="86"/>
    <row r="644" customFormat="1" s="86"/>
    <row r="645" customFormat="1" s="86"/>
    <row r="646" customFormat="1" s="86"/>
    <row r="647" customFormat="1" s="86"/>
    <row r="648" customFormat="1" s="86"/>
    <row r="649" customFormat="1" s="86"/>
    <row r="650" customFormat="1" s="86"/>
    <row r="651" customFormat="1" s="86"/>
    <row r="652" customFormat="1" s="86"/>
    <row r="653" customFormat="1" s="86"/>
    <row r="654" customFormat="1" s="86"/>
    <row r="655" customFormat="1" s="86"/>
    <row r="656" customFormat="1" s="86"/>
    <row r="657" customFormat="1" s="86"/>
    <row r="658" customFormat="1" s="86"/>
    <row r="659" customFormat="1" s="86"/>
    <row r="660" customFormat="1" s="86"/>
    <row r="661" customFormat="1" s="86"/>
    <row r="662" customFormat="1" s="86"/>
    <row r="663" customFormat="1" s="86"/>
    <row r="664" customFormat="1" s="86"/>
    <row r="665" customFormat="1" s="86"/>
    <row r="666" customFormat="1" s="86"/>
    <row r="667" customFormat="1" s="86"/>
    <row r="668" customFormat="1" s="86"/>
    <row r="669" customFormat="1" s="86"/>
    <row r="670" customFormat="1" s="86"/>
    <row r="671" customFormat="1" s="86"/>
    <row r="672" customFormat="1" s="86"/>
    <row r="673" customFormat="1" s="86"/>
    <row r="674" customFormat="1" s="86"/>
    <row r="675" customFormat="1" s="86"/>
    <row r="676" customFormat="1" s="86"/>
    <row r="677" customFormat="1" s="86"/>
    <row r="678" customFormat="1" s="86"/>
    <row r="679" customFormat="1" s="86"/>
    <row r="680" customFormat="1" s="86"/>
    <row r="681" customFormat="1" s="86"/>
    <row r="682" customFormat="1" s="86"/>
    <row r="683" customFormat="1" s="86"/>
    <row r="684" customFormat="1" s="86"/>
    <row r="685" customFormat="1" s="86"/>
    <row r="686" customFormat="1" s="86"/>
    <row r="687" customFormat="1" s="86"/>
    <row r="688" customFormat="1" s="86"/>
    <row r="689" customFormat="1" s="86"/>
    <row r="690" customFormat="1" s="86"/>
    <row r="691" customFormat="1" s="86"/>
    <row r="692" customFormat="1" s="86"/>
    <row r="693" customFormat="1" s="86"/>
    <row r="694" customFormat="1" s="86"/>
    <row r="695" customFormat="1" s="86"/>
    <row r="696" customFormat="1" s="86"/>
    <row r="697" customFormat="1" s="86"/>
    <row r="698" customFormat="1" s="86"/>
    <row r="699" customFormat="1" s="86"/>
    <row r="700" customFormat="1" s="86"/>
    <row r="701" customFormat="1" s="86"/>
    <row r="702" customFormat="1" s="86"/>
    <row r="703" customFormat="1" s="86"/>
    <row r="704" customFormat="1" s="86"/>
    <row r="705" customFormat="1" s="86"/>
    <row r="706" customFormat="1" s="86"/>
    <row r="707" customFormat="1" s="86"/>
    <row r="708" customFormat="1" s="86"/>
    <row r="709" customFormat="1" s="86"/>
    <row r="710" customFormat="1" s="86"/>
    <row r="711" customFormat="1" s="86"/>
    <row r="712" customFormat="1" s="86"/>
    <row r="713" customFormat="1" s="86"/>
    <row r="714" customFormat="1" s="86"/>
    <row r="715" customFormat="1" s="86"/>
    <row r="716" customFormat="1" s="86"/>
    <row r="717" customFormat="1" s="86"/>
    <row r="718" customFormat="1" s="86"/>
    <row r="719" customFormat="1" s="86"/>
    <row r="720" customFormat="1" s="86"/>
    <row r="721" customFormat="1" s="86"/>
    <row r="722" customFormat="1" s="86"/>
    <row r="723" customFormat="1" s="86"/>
    <row r="724" customFormat="1" s="86"/>
    <row r="725" customFormat="1" s="86"/>
    <row r="726" customFormat="1" s="86"/>
    <row r="727" customFormat="1" s="86"/>
    <row r="728" customFormat="1" s="86"/>
    <row r="729" customFormat="1" s="86"/>
    <row r="730" customFormat="1" s="86"/>
    <row r="731" customFormat="1" s="86"/>
    <row r="732" customFormat="1" s="86"/>
    <row r="733" customFormat="1" s="86"/>
    <row r="734" customFormat="1" s="86"/>
    <row r="735" customFormat="1" s="86"/>
    <row r="736" customFormat="1" s="86"/>
    <row r="737" customFormat="1" s="86"/>
    <row r="738" customFormat="1" s="86"/>
    <row r="739" customFormat="1" s="86"/>
    <row r="740" customFormat="1" s="86"/>
    <row r="741" customFormat="1" s="86"/>
    <row r="742" customFormat="1" s="86"/>
    <row r="743" customFormat="1" s="86"/>
    <row r="744" customFormat="1" s="86"/>
    <row r="745" customFormat="1" s="86"/>
    <row r="746" customFormat="1" s="86"/>
    <row r="747" customFormat="1" s="86"/>
    <row r="748" customFormat="1" s="86"/>
    <row r="749" customFormat="1" s="86"/>
    <row r="750" customFormat="1" s="86"/>
    <row r="751" customFormat="1" s="86"/>
    <row r="752" customFormat="1" s="86"/>
    <row r="753" customFormat="1" s="86"/>
    <row r="754" customFormat="1" s="86"/>
    <row r="755" customFormat="1" s="86"/>
    <row r="756" customFormat="1" s="86"/>
    <row r="757" customFormat="1" s="86"/>
    <row r="758" customFormat="1" s="86"/>
    <row r="759" customFormat="1" s="86"/>
    <row r="760" customFormat="1" s="86"/>
    <row r="761" customFormat="1" s="86"/>
    <row r="762" customFormat="1" s="86"/>
    <row r="763" customFormat="1" s="86"/>
    <row r="764" customFormat="1" s="86"/>
    <row r="765" customFormat="1" s="86"/>
    <row r="766" customFormat="1" s="86"/>
    <row r="767" customFormat="1" s="86"/>
    <row r="768" customFormat="1" s="86"/>
    <row r="769" customFormat="1" s="86"/>
    <row r="770" customFormat="1" s="86"/>
    <row r="771" customFormat="1" s="86"/>
    <row r="772" customFormat="1" s="86"/>
    <row r="773" customFormat="1" s="86"/>
    <row r="774" customFormat="1" s="86"/>
    <row r="775" customFormat="1" s="86"/>
    <row r="776" customFormat="1" s="86"/>
    <row r="777" customFormat="1" s="86"/>
    <row r="778" customFormat="1" s="86"/>
    <row r="779" customFormat="1" s="86"/>
    <row r="780" customFormat="1" s="86"/>
    <row r="781" customFormat="1" s="86"/>
    <row r="782" customFormat="1" s="86"/>
    <row r="783" customFormat="1" s="86"/>
    <row r="784" customFormat="1" s="86"/>
    <row r="785" customFormat="1" s="86"/>
    <row r="786" customFormat="1" s="86"/>
    <row r="787" customFormat="1" s="86"/>
    <row r="788" customFormat="1" s="86"/>
    <row r="789" customFormat="1" s="86"/>
    <row r="790" customFormat="1" s="86"/>
    <row r="791" customFormat="1" s="86"/>
    <row r="792" customFormat="1" s="86"/>
    <row r="793" customFormat="1" s="86"/>
    <row r="794" customFormat="1" s="86"/>
    <row r="795" customFormat="1" s="86"/>
    <row r="796" customFormat="1" s="86"/>
    <row r="797" customFormat="1" s="86"/>
    <row r="798" customFormat="1" s="86"/>
    <row r="799" customFormat="1" s="86"/>
    <row r="800" customFormat="1" s="86"/>
    <row r="801" customFormat="1" s="86"/>
    <row r="802" customFormat="1" s="86"/>
    <row r="803" customFormat="1" s="86"/>
    <row r="804" customFormat="1" s="86"/>
    <row r="805" customFormat="1" s="86"/>
    <row r="806" customFormat="1" s="86"/>
    <row r="807" customFormat="1" s="86"/>
    <row r="808" customFormat="1" s="86"/>
    <row r="809" customFormat="1" s="86"/>
    <row r="810" customFormat="1" s="86"/>
    <row r="811" customFormat="1" s="86"/>
    <row r="812" customFormat="1" s="86"/>
    <row r="813" customFormat="1" s="86"/>
    <row r="814" customFormat="1" s="86"/>
    <row r="815" customFormat="1" s="86"/>
    <row r="816" customFormat="1" s="86"/>
    <row r="817" customFormat="1" s="86"/>
    <row r="818" customFormat="1" s="86"/>
    <row r="819" customFormat="1" s="86"/>
    <row r="820" customFormat="1" s="86"/>
    <row r="821" customFormat="1" s="86"/>
    <row r="822" customFormat="1" s="86"/>
    <row r="823" customFormat="1" s="86"/>
    <row r="824" customFormat="1" s="86"/>
    <row r="825" customFormat="1" s="86"/>
  </sheetData>
  <conditionalFormatting sqref="D264:D42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2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2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20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2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2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2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20 L419:N420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2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2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2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2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2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2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2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2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4:C42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64:N4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75"/>
  <sheetViews>
    <sheetView zoomScale="80" zoomScaleNormal="80" workbookViewId="0">
      <pane ySplit="1" topLeftCell="A374" activePane="bottomLeft" state="frozen"/>
      <selection pane="bottomLeft" activeCell="A387" sqref="A387:Q398"/>
    </sheetView>
  </sheetViews>
  <sheetFormatPr baseColWidth="8" defaultColWidth="8.81640625" defaultRowHeight="14.5"/>
  <cols>
    <col width="9.1796875" customWidth="1" style="1" min="1" max="1"/>
    <col width="12.6328125" bestFit="1" customWidth="1" min="2" max="2"/>
    <col width="11.6328125" customWidth="1" style="7" min="3" max="3"/>
    <col width="11.6328125" customWidth="1" style="6" min="4" max="4"/>
    <col width="12.81640625" customWidth="1" min="18" max="18"/>
    <col width="10.6328125" bestFit="1" customWidth="1" min="19" max="19"/>
    <col width="14.6328125" customWidth="1" min="20" max="20"/>
    <col width="31.36328125" customWidth="1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6">
      <c r="A2" s="21" t="n">
        <v>32874</v>
      </c>
      <c r="B2" s="76">
        <f>IF(VLOOKUP(A2,Database!$A:$AS,MATCH($B$1,Database!$A$1:$AS$1,0),FALSE)=0,#N/A,VLOOKUP(A2,Database!$A:$AS,MATCH($B$1,Database!$A$1:$AS$1,0),FALSE))</f>
        <v/>
      </c>
      <c r="C2" s="76">
        <f>IF(VLOOKUP(A2,Database!$A:$AS,MATCH($C$1,Database!$A$1:$AS$1,0),FALSE)=0,#N/A,VLOOKUP(A2,Database!$A:$AS,MATCH($C$1,Database!$A$1:$AS$1,0),FALSE))</f>
        <v/>
      </c>
      <c r="D2" s="76">
        <f>IF(VLOOKUP(A2,Database!$A:$AS,MATCH($D$1,Database!$A$1:$AS$1,0),FALSE)=0,#N/A,VLOOKUP(A2,Database!$A:$AS,MATCH($D$1,Database!$A$1:$AS$1,0),FALSE))</f>
        <v/>
      </c>
      <c r="E2" s="76">
        <f>IF(VLOOKUP(A2,Database!$A:$AS,MATCH($E$1,Database!$A$1:$AS$1,0),FALSE)=0,#N/A,VLOOKUP(A2,Database!$A:$AS,MATCH($E$1,Database!$A$1:$AS$1,0),FALSE))</f>
        <v/>
      </c>
      <c r="F2" s="76">
        <f>IF(VLOOKUP(A2,Database!$A:$AS,MATCH($F$1,Database!$A$1:$AS$1,0),FALSE)=0,#N/A,VLOOKUP(A2,Database!$A:$AS,MATCH($F$1,Database!$A$1:$AS$1,0),FALSE))</f>
        <v/>
      </c>
      <c r="G2" s="76">
        <f>IF(VLOOKUP(A2,Database!$A:$AS,MATCH($G$1,Database!$A$1:$AS$1,0),FALSE)=0,#N/A,VLOOKUP(A2,Database!$A:$AS,MATCH($G$1,Database!$A$1:$AS$1,0),FALSE))</f>
        <v/>
      </c>
      <c r="H2" s="76">
        <f>(((Table134567891011121314151617343[[#This Row],[ITA]]-VLOOKUP($U$1,A:B,2,))/VLOOKUP($U$1,A:B,2,))*100)+100</f>
        <v/>
      </c>
      <c r="I2" s="76">
        <f>(((Table134567891011121314151617343[[#This Row],[FRA]]-VLOOKUP($U$1,A:C,3,))/VLOOKUP($U$1,A:C,3,))*100)+100</f>
        <v/>
      </c>
      <c r="J2" s="76">
        <f>(((Table134567891011121314151617343[[#This Row],[DEU]]-VLOOKUP($U$1,A:D,4,))/VLOOKUP($U$1,A:D,4,))*100)+100</f>
        <v/>
      </c>
      <c r="K2" s="76">
        <f>(((Table134567891011121314151617343[[#This Row],[ESP]]-VLOOKUP($U$1,A:E,5,))/VLOOKUP($U$1,A:E,5,))*100)+100</f>
        <v/>
      </c>
      <c r="L2" s="76">
        <f>(((Table134567891011121314151617343[[#This Row],[EA19]]-VLOOKUP($U$1,A:F,6,))/VLOOKUP($U$1,A:F,6,))*100)+100</f>
        <v/>
      </c>
      <c r="M2" s="76">
        <f>(((Table134567891011121314151617343[[#This Row],[GBR]]-VLOOKUP($U$1,A:G,7,))/VLOOKUP($U$1,A:G,7,))*100)+100</f>
        <v/>
      </c>
      <c r="N2" s="76">
        <f>IF(VLOOKUP(A2,Database!$A:$AU,MATCH($N$1,Database!$A$1:$AU$1,0),FALSE)=0,#N/A,VLOOKUP(A2,Database!$A:$AU,MATCH($N$1,Database!$A$1:$AU$1,0),FALSE))</f>
        <v/>
      </c>
      <c r="O2" s="76">
        <f>(((Table134567891011121314151617343[[#This Row],[USA]]-VLOOKUP($U$1,A:N,14,))/VLOOKUP($U$1,A:N,14,))*100)+100</f>
        <v/>
      </c>
      <c r="P2" s="76">
        <f>IF(VLOOKUP(A2,Database!$A:$AS,MATCH($P$1,Database!$A$1:$AS$1,0),FALSE)=0,#N/A,VLOOKUP(A2,Database!$A:$AS,MATCH($P$1,Database!$A$1:$AS$1,0),FALSE))</f>
        <v/>
      </c>
      <c r="Q2" s="76">
        <f>(((Table134567891011121314151617343[[#This Row],[JPN]]-VLOOKUP($U$1,A:Q,16,))/VLOOKUP($U$1,A:Q,16,))*100)+100</f>
        <v/>
      </c>
      <c r="W2" s="86" t="inlineStr">
        <is>
          <t>AUT</t>
        </is>
      </c>
    </row>
    <row r="3" customFormat="1" s="86">
      <c r="A3" s="21" t="n">
        <v>32905</v>
      </c>
      <c r="B3" s="76">
        <f>IF(VLOOKUP(A3,Database!$A:$AS,MATCH($B$1,Database!$A$1:$AS$1,0),FALSE)=0,#N/A,VLOOKUP(A3,Database!$A:$AS,MATCH($B$1,Database!$A$1:$AS$1,0),FALSE))</f>
        <v/>
      </c>
      <c r="C3" s="76">
        <f>IF(VLOOKUP(A3,Database!$A:$AS,MATCH($C$1,Database!$A$1:$AS$1,0),FALSE)=0,#N/A,VLOOKUP(A3,Database!$A:$AS,MATCH($C$1,Database!$A$1:$AS$1,0),FALSE))</f>
        <v/>
      </c>
      <c r="D3" s="76">
        <f>IF(VLOOKUP(A3,Database!$A:$AS,MATCH($D$1,Database!$A$1:$AS$1,0),FALSE)=0,#N/A,VLOOKUP(A3,Database!$A:$AS,MATCH($D$1,Database!$A$1:$AS$1,0),FALSE))</f>
        <v/>
      </c>
      <c r="E3" s="76">
        <f>IF(VLOOKUP(A3,Database!$A:$AS,MATCH($E$1,Database!$A$1:$AS$1,0),FALSE)=0,#N/A,VLOOKUP(A3,Database!$A:$AS,MATCH($E$1,Database!$A$1:$AS$1,0),FALSE))</f>
        <v/>
      </c>
      <c r="F3" s="76">
        <f>IF(VLOOKUP(A3,Database!$A:$AS,MATCH($F$1,Database!$A$1:$AS$1,0),FALSE)=0,#N/A,VLOOKUP(A3,Database!$A:$AS,MATCH($F$1,Database!$A$1:$AS$1,0),FALSE))</f>
        <v/>
      </c>
      <c r="G3" s="76">
        <f>IF(VLOOKUP(A3,Database!$A:$AS,MATCH($G$1,Database!$A$1:$AS$1,0),FALSE)=0,#N/A,VLOOKUP(A3,Database!$A:$AS,MATCH($G$1,Database!$A$1:$AS$1,0),FALSE))</f>
        <v/>
      </c>
      <c r="H3" s="76">
        <f>(((Table134567891011121314151617343[[#This Row],[ITA]]-VLOOKUP($U$1,A:B,2,))/VLOOKUP($U$1,A:B,2,))*100)+100</f>
        <v/>
      </c>
      <c r="I3" s="76">
        <f>(((Table134567891011121314151617343[[#This Row],[FRA]]-VLOOKUP($U$1,A:C,3,))/VLOOKUP($U$1,A:C,3,))*100)+100</f>
        <v/>
      </c>
      <c r="J3" s="76">
        <f>(((Table134567891011121314151617343[[#This Row],[DEU]]-VLOOKUP($U$1,A:D,4,))/VLOOKUP($U$1,A:D,4,))*100)+100</f>
        <v/>
      </c>
      <c r="K3" s="76">
        <f>(((Table134567891011121314151617343[[#This Row],[ESP]]-VLOOKUP($U$1,A:E,5,))/VLOOKUP($U$1,A:E,5,))*100)+100</f>
        <v/>
      </c>
      <c r="L3" s="76">
        <f>(((Table134567891011121314151617343[[#This Row],[EA19]]-VLOOKUP($U$1,A:F,6,))/VLOOKUP($U$1,A:F,6,))*100)+100</f>
        <v/>
      </c>
      <c r="M3" s="76">
        <f>(((Table134567891011121314151617343[[#This Row],[GBR]]-VLOOKUP($U$1,A:G,7,))/VLOOKUP($U$1,A:G,7,))*100)+100</f>
        <v/>
      </c>
      <c r="N3" s="76">
        <f>IF(VLOOKUP(A3,Database!$A:$AU,MATCH($N$1,Database!$A$1:$AU$1,0),FALSE)=0,#N/A,VLOOKUP(A3,Database!$A:$AU,MATCH($N$1,Database!$A$1:$AU$1,0),FALSE))</f>
        <v/>
      </c>
      <c r="O3" s="76">
        <f>(((Table134567891011121314151617343[[#This Row],[USA]]-VLOOKUP($U$1,A:N,14,))/VLOOKUP($U$1,A:N,14,))*100)+100</f>
        <v/>
      </c>
      <c r="P3" s="76">
        <f>IF(VLOOKUP(A3,Database!$A:$AS,MATCH($P$1,Database!$A$1:$AS$1,0),FALSE)=0,#N/A,VLOOKUP(A3,Database!$A:$AS,MATCH($P$1,Database!$A$1:$AS$1,0),FALSE))</f>
        <v/>
      </c>
      <c r="Q3" s="76">
        <f>(((Table134567891011121314151617343[[#This Row],[JPN]]-VLOOKUP($U$1,A:Q,16,))/VLOOKUP($U$1,A:Q,16,))*100)+100</f>
        <v/>
      </c>
      <c r="W3" s="86" t="inlineStr">
        <is>
          <t>BEL</t>
        </is>
      </c>
    </row>
    <row r="4" customFormat="1" s="86">
      <c r="A4" s="21" t="n">
        <v>32933</v>
      </c>
      <c r="B4" s="76">
        <f>IF(VLOOKUP(A4,Database!$A:$AS,MATCH($B$1,Database!$A$1:$AS$1,0),FALSE)=0,#N/A,VLOOKUP(A4,Database!$A:$AS,MATCH($B$1,Database!$A$1:$AS$1,0),FALSE))</f>
        <v/>
      </c>
      <c r="C4" s="76">
        <f>IF(VLOOKUP(A4,Database!$A:$AS,MATCH($C$1,Database!$A$1:$AS$1,0),FALSE)=0,#N/A,VLOOKUP(A4,Database!$A:$AS,MATCH($C$1,Database!$A$1:$AS$1,0),FALSE))</f>
        <v/>
      </c>
      <c r="D4" s="76">
        <f>IF(VLOOKUP(A4,Database!$A:$AS,MATCH($D$1,Database!$A$1:$AS$1,0),FALSE)=0,#N/A,VLOOKUP(A4,Database!$A:$AS,MATCH($D$1,Database!$A$1:$AS$1,0),FALSE))</f>
        <v/>
      </c>
      <c r="E4" s="76">
        <f>IF(VLOOKUP(A4,Database!$A:$AS,MATCH($E$1,Database!$A$1:$AS$1,0),FALSE)=0,#N/A,VLOOKUP(A4,Database!$A:$AS,MATCH($E$1,Database!$A$1:$AS$1,0),FALSE))</f>
        <v/>
      </c>
      <c r="F4" s="76">
        <f>IF(VLOOKUP(A4,Database!$A:$AS,MATCH($F$1,Database!$A$1:$AS$1,0),FALSE)=0,#N/A,VLOOKUP(A4,Database!$A:$AS,MATCH($F$1,Database!$A$1:$AS$1,0),FALSE))</f>
        <v/>
      </c>
      <c r="G4" s="76">
        <f>IF(VLOOKUP(A4,Database!$A:$AS,MATCH($G$1,Database!$A$1:$AS$1,0),FALSE)=0,#N/A,VLOOKUP(A4,Database!$A:$AS,MATCH($G$1,Database!$A$1:$AS$1,0),FALSE))</f>
        <v/>
      </c>
      <c r="H4" s="76">
        <f>(((Table134567891011121314151617343[[#This Row],[ITA]]-VLOOKUP($U$1,A:B,2,))/VLOOKUP($U$1,A:B,2,))*100)+100</f>
        <v/>
      </c>
      <c r="I4" s="76">
        <f>(((Table134567891011121314151617343[[#This Row],[FRA]]-VLOOKUP($U$1,A:C,3,))/VLOOKUP($U$1,A:C,3,))*100)+100</f>
        <v/>
      </c>
      <c r="J4" s="76">
        <f>(((Table134567891011121314151617343[[#This Row],[DEU]]-VLOOKUP($U$1,A:D,4,))/VLOOKUP($U$1,A:D,4,))*100)+100</f>
        <v/>
      </c>
      <c r="K4" s="76">
        <f>(((Table134567891011121314151617343[[#This Row],[ESP]]-VLOOKUP($U$1,A:E,5,))/VLOOKUP($U$1,A:E,5,))*100)+100</f>
        <v/>
      </c>
      <c r="L4" s="76">
        <f>(((Table134567891011121314151617343[[#This Row],[EA19]]-VLOOKUP($U$1,A:F,6,))/VLOOKUP($U$1,A:F,6,))*100)+100</f>
        <v/>
      </c>
      <c r="M4" s="76">
        <f>(((Table134567891011121314151617343[[#This Row],[GBR]]-VLOOKUP($U$1,A:G,7,))/VLOOKUP($U$1,A:G,7,))*100)+100</f>
        <v/>
      </c>
      <c r="N4" s="76">
        <f>IF(VLOOKUP(A4,Database!$A:$AU,MATCH($N$1,Database!$A$1:$AU$1,0),FALSE)=0,#N/A,VLOOKUP(A4,Database!$A:$AU,MATCH($N$1,Database!$A$1:$AU$1,0),FALSE))</f>
        <v/>
      </c>
      <c r="O4" s="76">
        <f>(((Table134567891011121314151617343[[#This Row],[USA]]-VLOOKUP($U$1,A:N,14,))/VLOOKUP($U$1,A:N,14,))*100)+100</f>
        <v/>
      </c>
      <c r="P4" s="76">
        <f>IF(VLOOKUP(A4,Database!$A:$AS,MATCH($P$1,Database!$A$1:$AS$1,0),FALSE)=0,#N/A,VLOOKUP(A4,Database!$A:$AS,MATCH($P$1,Database!$A$1:$AS$1,0),FALSE))</f>
        <v/>
      </c>
      <c r="Q4" s="76">
        <f>(((Table134567891011121314151617343[[#This Row],[JPN]]-VLOOKUP($U$1,A:Q,16,))/VLOOKUP($U$1,A:Q,16,))*100)+100</f>
        <v/>
      </c>
      <c r="W4" s="86" t="inlineStr">
        <is>
          <t>CAN</t>
        </is>
      </c>
    </row>
    <row r="5" customFormat="1" s="86">
      <c r="A5" s="21" t="n">
        <v>32964</v>
      </c>
      <c r="B5" s="76">
        <f>IF(VLOOKUP(A5,Database!$A:$AS,MATCH($B$1,Database!$A$1:$AS$1,0),FALSE)=0,#N/A,VLOOKUP(A5,Database!$A:$AS,MATCH($B$1,Database!$A$1:$AS$1,0),FALSE))</f>
        <v/>
      </c>
      <c r="C5" s="76">
        <f>IF(VLOOKUP(A5,Database!$A:$AS,MATCH($C$1,Database!$A$1:$AS$1,0),FALSE)=0,#N/A,VLOOKUP(A5,Database!$A:$AS,MATCH($C$1,Database!$A$1:$AS$1,0),FALSE))</f>
        <v/>
      </c>
      <c r="D5" s="76">
        <f>IF(VLOOKUP(A5,Database!$A:$AS,MATCH($D$1,Database!$A$1:$AS$1,0),FALSE)=0,#N/A,VLOOKUP(A5,Database!$A:$AS,MATCH($D$1,Database!$A$1:$AS$1,0),FALSE))</f>
        <v/>
      </c>
      <c r="E5" s="76">
        <f>IF(VLOOKUP(A5,Database!$A:$AS,MATCH($E$1,Database!$A$1:$AS$1,0),FALSE)=0,#N/A,VLOOKUP(A5,Database!$A:$AS,MATCH($E$1,Database!$A$1:$AS$1,0),FALSE))</f>
        <v/>
      </c>
      <c r="F5" s="76">
        <f>IF(VLOOKUP(A5,Database!$A:$AS,MATCH($F$1,Database!$A$1:$AS$1,0),FALSE)=0,#N/A,VLOOKUP(A5,Database!$A:$AS,MATCH($F$1,Database!$A$1:$AS$1,0),FALSE))</f>
        <v/>
      </c>
      <c r="G5" s="76">
        <f>IF(VLOOKUP(A5,Database!$A:$AS,MATCH($G$1,Database!$A$1:$AS$1,0),FALSE)=0,#N/A,VLOOKUP(A5,Database!$A:$AS,MATCH($G$1,Database!$A$1:$AS$1,0),FALSE))</f>
        <v/>
      </c>
      <c r="H5" s="76">
        <f>(((Table134567891011121314151617343[[#This Row],[ITA]]-VLOOKUP($U$1,A:B,2,))/VLOOKUP($U$1,A:B,2,))*100)+100</f>
        <v/>
      </c>
      <c r="I5" s="76">
        <f>(((Table134567891011121314151617343[[#This Row],[FRA]]-VLOOKUP($U$1,A:C,3,))/VLOOKUP($U$1,A:C,3,))*100)+100</f>
        <v/>
      </c>
      <c r="J5" s="76">
        <f>(((Table134567891011121314151617343[[#This Row],[DEU]]-VLOOKUP($U$1,A:D,4,))/VLOOKUP($U$1,A:D,4,))*100)+100</f>
        <v/>
      </c>
      <c r="K5" s="76">
        <f>(((Table134567891011121314151617343[[#This Row],[ESP]]-VLOOKUP($U$1,A:E,5,))/VLOOKUP($U$1,A:E,5,))*100)+100</f>
        <v/>
      </c>
      <c r="L5" s="76">
        <f>(((Table134567891011121314151617343[[#This Row],[EA19]]-VLOOKUP($U$1,A:F,6,))/VLOOKUP($U$1,A:F,6,))*100)+100</f>
        <v/>
      </c>
      <c r="M5" s="76">
        <f>(((Table134567891011121314151617343[[#This Row],[GBR]]-VLOOKUP($U$1,A:G,7,))/VLOOKUP($U$1,A:G,7,))*100)+100</f>
        <v/>
      </c>
      <c r="N5" s="76">
        <f>IF(VLOOKUP(A5,Database!$A:$AU,MATCH($N$1,Database!$A$1:$AU$1,0),FALSE)=0,#N/A,VLOOKUP(A5,Database!$A:$AU,MATCH($N$1,Database!$A$1:$AU$1,0),FALSE))</f>
        <v/>
      </c>
      <c r="O5" s="76">
        <f>(((Table134567891011121314151617343[[#This Row],[USA]]-VLOOKUP($U$1,A:N,14,))/VLOOKUP($U$1,A:N,14,))*100)+100</f>
        <v/>
      </c>
      <c r="P5" s="76">
        <f>IF(VLOOKUP(A5,Database!$A:$AS,MATCH($P$1,Database!$A$1:$AS$1,0),FALSE)=0,#N/A,VLOOKUP(A5,Database!$A:$AS,MATCH($P$1,Database!$A$1:$AS$1,0),FALSE))</f>
        <v/>
      </c>
      <c r="Q5" s="76">
        <f>(((Table134567891011121314151617343[[#This Row],[JPN]]-VLOOKUP($U$1,A:Q,16,))/VLOOKUP($U$1,A:Q,16,))*100)+100</f>
        <v/>
      </c>
      <c r="W5" s="86" t="inlineStr">
        <is>
          <t>CHL</t>
        </is>
      </c>
    </row>
    <row r="6" customFormat="1" s="86">
      <c r="A6" s="21" t="n">
        <v>32994</v>
      </c>
      <c r="B6" s="76">
        <f>IF(VLOOKUP(A6,Database!$A:$AS,MATCH($B$1,Database!$A$1:$AS$1,0),FALSE)=0,#N/A,VLOOKUP(A6,Database!$A:$AS,MATCH($B$1,Database!$A$1:$AS$1,0),FALSE))</f>
        <v/>
      </c>
      <c r="C6" s="76">
        <f>IF(VLOOKUP(A6,Database!$A:$AS,MATCH($C$1,Database!$A$1:$AS$1,0),FALSE)=0,#N/A,VLOOKUP(A6,Database!$A:$AS,MATCH($C$1,Database!$A$1:$AS$1,0),FALSE))</f>
        <v/>
      </c>
      <c r="D6" s="76">
        <f>IF(VLOOKUP(A6,Database!$A:$AS,MATCH($D$1,Database!$A$1:$AS$1,0),FALSE)=0,#N/A,VLOOKUP(A6,Database!$A:$AS,MATCH($D$1,Database!$A$1:$AS$1,0),FALSE))</f>
        <v/>
      </c>
      <c r="E6" s="76">
        <f>IF(VLOOKUP(A6,Database!$A:$AS,MATCH($E$1,Database!$A$1:$AS$1,0),FALSE)=0,#N/A,VLOOKUP(A6,Database!$A:$AS,MATCH($E$1,Database!$A$1:$AS$1,0),FALSE))</f>
        <v/>
      </c>
      <c r="F6" s="76">
        <f>IF(VLOOKUP(A6,Database!$A:$AS,MATCH($F$1,Database!$A$1:$AS$1,0),FALSE)=0,#N/A,VLOOKUP(A6,Database!$A:$AS,MATCH($F$1,Database!$A$1:$AS$1,0),FALSE))</f>
        <v/>
      </c>
      <c r="G6" s="76">
        <f>IF(VLOOKUP(A6,Database!$A:$AS,MATCH($G$1,Database!$A$1:$AS$1,0),FALSE)=0,#N/A,VLOOKUP(A6,Database!$A:$AS,MATCH($G$1,Database!$A$1:$AS$1,0),FALSE))</f>
        <v/>
      </c>
      <c r="H6" s="76">
        <f>(((Table134567891011121314151617343[[#This Row],[ITA]]-VLOOKUP($U$1,A:B,2,))/VLOOKUP($U$1,A:B,2,))*100)+100</f>
        <v/>
      </c>
      <c r="I6" s="76">
        <f>(((Table134567891011121314151617343[[#This Row],[FRA]]-VLOOKUP($U$1,A:C,3,))/VLOOKUP($U$1,A:C,3,))*100)+100</f>
        <v/>
      </c>
      <c r="J6" s="76">
        <f>(((Table134567891011121314151617343[[#This Row],[DEU]]-VLOOKUP($U$1,A:D,4,))/VLOOKUP($U$1,A:D,4,))*100)+100</f>
        <v/>
      </c>
      <c r="K6" s="76">
        <f>(((Table134567891011121314151617343[[#This Row],[ESP]]-VLOOKUP($U$1,A:E,5,))/VLOOKUP($U$1,A:E,5,))*100)+100</f>
        <v/>
      </c>
      <c r="L6" s="76">
        <f>(((Table134567891011121314151617343[[#This Row],[EA19]]-VLOOKUP($U$1,A:F,6,))/VLOOKUP($U$1,A:F,6,))*100)+100</f>
        <v/>
      </c>
      <c r="M6" s="76">
        <f>(((Table134567891011121314151617343[[#This Row],[GBR]]-VLOOKUP($U$1,A:G,7,))/VLOOKUP($U$1,A:G,7,))*100)+100</f>
        <v/>
      </c>
      <c r="N6" s="76">
        <f>IF(VLOOKUP(A6,Database!$A:$AU,MATCH($N$1,Database!$A$1:$AU$1,0),FALSE)=0,#N/A,VLOOKUP(A6,Database!$A:$AU,MATCH($N$1,Database!$A$1:$AU$1,0),FALSE))</f>
        <v/>
      </c>
      <c r="O6" s="76">
        <f>(((Table134567891011121314151617343[[#This Row],[USA]]-VLOOKUP($U$1,A:N,14,))/VLOOKUP($U$1,A:N,14,))*100)+100</f>
        <v/>
      </c>
      <c r="P6" s="76">
        <f>IF(VLOOKUP(A6,Database!$A:$AS,MATCH($P$1,Database!$A$1:$AS$1,0),FALSE)=0,#N/A,VLOOKUP(A6,Database!$A:$AS,MATCH($P$1,Database!$A$1:$AS$1,0),FALSE))</f>
        <v/>
      </c>
      <c r="Q6" s="76">
        <f>(((Table134567891011121314151617343[[#This Row],[JPN]]-VLOOKUP($U$1,A:Q,16,))/VLOOKUP($U$1,A:Q,16,))*100)+100</f>
        <v/>
      </c>
      <c r="W6" s="86" t="inlineStr">
        <is>
          <t>CZE</t>
        </is>
      </c>
    </row>
    <row r="7" customFormat="1" s="86">
      <c r="A7" s="21" t="n">
        <v>33025</v>
      </c>
      <c r="B7" s="76">
        <f>IF(VLOOKUP(A7,Database!$A:$AS,MATCH($B$1,Database!$A$1:$AS$1,0),FALSE)=0,#N/A,VLOOKUP(A7,Database!$A:$AS,MATCH($B$1,Database!$A$1:$AS$1,0),FALSE))</f>
        <v/>
      </c>
      <c r="C7" s="76">
        <f>IF(VLOOKUP(A7,Database!$A:$AS,MATCH($C$1,Database!$A$1:$AS$1,0),FALSE)=0,#N/A,VLOOKUP(A7,Database!$A:$AS,MATCH($C$1,Database!$A$1:$AS$1,0),FALSE))</f>
        <v/>
      </c>
      <c r="D7" s="76">
        <f>IF(VLOOKUP(A7,Database!$A:$AS,MATCH($D$1,Database!$A$1:$AS$1,0),FALSE)=0,#N/A,VLOOKUP(A7,Database!$A:$AS,MATCH($D$1,Database!$A$1:$AS$1,0),FALSE))</f>
        <v/>
      </c>
      <c r="E7" s="76">
        <f>IF(VLOOKUP(A7,Database!$A:$AS,MATCH($E$1,Database!$A$1:$AS$1,0),FALSE)=0,#N/A,VLOOKUP(A7,Database!$A:$AS,MATCH($E$1,Database!$A$1:$AS$1,0),FALSE))</f>
        <v/>
      </c>
      <c r="F7" s="76">
        <f>IF(VLOOKUP(A7,Database!$A:$AS,MATCH($F$1,Database!$A$1:$AS$1,0),FALSE)=0,#N/A,VLOOKUP(A7,Database!$A:$AS,MATCH($F$1,Database!$A$1:$AS$1,0),FALSE))</f>
        <v/>
      </c>
      <c r="G7" s="76">
        <f>IF(VLOOKUP(A7,Database!$A:$AS,MATCH($G$1,Database!$A$1:$AS$1,0),FALSE)=0,#N/A,VLOOKUP(A7,Database!$A:$AS,MATCH($G$1,Database!$A$1:$AS$1,0),FALSE))</f>
        <v/>
      </c>
      <c r="H7" s="76">
        <f>(((Table134567891011121314151617343[[#This Row],[ITA]]-VLOOKUP($U$1,A:B,2,))/VLOOKUP($U$1,A:B,2,))*100)+100</f>
        <v/>
      </c>
      <c r="I7" s="76">
        <f>(((Table134567891011121314151617343[[#This Row],[FRA]]-VLOOKUP($U$1,A:C,3,))/VLOOKUP($U$1,A:C,3,))*100)+100</f>
        <v/>
      </c>
      <c r="J7" s="76">
        <f>(((Table134567891011121314151617343[[#This Row],[DEU]]-VLOOKUP($U$1,A:D,4,))/VLOOKUP($U$1,A:D,4,))*100)+100</f>
        <v/>
      </c>
      <c r="K7" s="76">
        <f>(((Table134567891011121314151617343[[#This Row],[ESP]]-VLOOKUP($U$1,A:E,5,))/VLOOKUP($U$1,A:E,5,))*100)+100</f>
        <v/>
      </c>
      <c r="L7" s="76">
        <f>(((Table134567891011121314151617343[[#This Row],[EA19]]-VLOOKUP($U$1,A:F,6,))/VLOOKUP($U$1,A:F,6,))*100)+100</f>
        <v/>
      </c>
      <c r="M7" s="76">
        <f>(((Table134567891011121314151617343[[#This Row],[GBR]]-VLOOKUP($U$1,A:G,7,))/VLOOKUP($U$1,A:G,7,))*100)+100</f>
        <v/>
      </c>
      <c r="N7" s="76">
        <f>IF(VLOOKUP(A7,Database!$A:$AU,MATCH($N$1,Database!$A$1:$AU$1,0),FALSE)=0,#N/A,VLOOKUP(A7,Database!$A:$AU,MATCH($N$1,Database!$A$1:$AU$1,0),FALSE))</f>
        <v/>
      </c>
      <c r="O7" s="76">
        <f>(((Table134567891011121314151617343[[#This Row],[USA]]-VLOOKUP($U$1,A:N,14,))/VLOOKUP($U$1,A:N,14,))*100)+100</f>
        <v/>
      </c>
      <c r="P7" s="76">
        <f>IF(VLOOKUP(A7,Database!$A:$AS,MATCH($P$1,Database!$A$1:$AS$1,0),FALSE)=0,#N/A,VLOOKUP(A7,Database!$A:$AS,MATCH($P$1,Database!$A$1:$AS$1,0),FALSE))</f>
        <v/>
      </c>
      <c r="Q7" s="76">
        <f>(((Table134567891011121314151617343[[#This Row],[JPN]]-VLOOKUP($U$1,A:Q,16,))/VLOOKUP($U$1,A:Q,16,))*100)+100</f>
        <v/>
      </c>
      <c r="W7" s="86" t="inlineStr">
        <is>
          <t>DEU</t>
        </is>
      </c>
    </row>
    <row r="8" customFormat="1" s="86">
      <c r="A8" s="21" t="n">
        <v>33055</v>
      </c>
      <c r="B8" s="76">
        <f>IF(VLOOKUP(A8,Database!$A:$AS,MATCH($B$1,Database!$A$1:$AS$1,0),FALSE)=0,#N/A,VLOOKUP(A8,Database!$A:$AS,MATCH($B$1,Database!$A$1:$AS$1,0),FALSE))</f>
        <v/>
      </c>
      <c r="C8" s="76">
        <f>IF(VLOOKUP(A8,Database!$A:$AS,MATCH($C$1,Database!$A$1:$AS$1,0),FALSE)=0,#N/A,VLOOKUP(A8,Database!$A:$AS,MATCH($C$1,Database!$A$1:$AS$1,0),FALSE))</f>
        <v/>
      </c>
      <c r="D8" s="76">
        <f>IF(VLOOKUP(A8,Database!$A:$AS,MATCH($D$1,Database!$A$1:$AS$1,0),FALSE)=0,#N/A,VLOOKUP(A8,Database!$A:$AS,MATCH($D$1,Database!$A$1:$AS$1,0),FALSE))</f>
        <v/>
      </c>
      <c r="E8" s="76">
        <f>IF(VLOOKUP(A8,Database!$A:$AS,MATCH($E$1,Database!$A$1:$AS$1,0),FALSE)=0,#N/A,VLOOKUP(A8,Database!$A:$AS,MATCH($E$1,Database!$A$1:$AS$1,0),FALSE))</f>
        <v/>
      </c>
      <c r="F8" s="76">
        <f>IF(VLOOKUP(A8,Database!$A:$AS,MATCH($F$1,Database!$A$1:$AS$1,0),FALSE)=0,#N/A,VLOOKUP(A8,Database!$A:$AS,MATCH($F$1,Database!$A$1:$AS$1,0),FALSE))</f>
        <v/>
      </c>
      <c r="G8" s="76">
        <f>IF(VLOOKUP(A8,Database!$A:$AS,MATCH($G$1,Database!$A$1:$AS$1,0),FALSE)=0,#N/A,VLOOKUP(A8,Database!$A:$AS,MATCH($G$1,Database!$A$1:$AS$1,0),FALSE))</f>
        <v/>
      </c>
      <c r="H8" s="76">
        <f>(((Table134567891011121314151617343[[#This Row],[ITA]]-VLOOKUP($U$1,A:B,2,))/VLOOKUP($U$1,A:B,2,))*100)+100</f>
        <v/>
      </c>
      <c r="I8" s="76">
        <f>(((Table134567891011121314151617343[[#This Row],[FRA]]-VLOOKUP($U$1,A:C,3,))/VLOOKUP($U$1,A:C,3,))*100)+100</f>
        <v/>
      </c>
      <c r="J8" s="76">
        <f>(((Table134567891011121314151617343[[#This Row],[DEU]]-VLOOKUP($U$1,A:D,4,))/VLOOKUP($U$1,A:D,4,))*100)+100</f>
        <v/>
      </c>
      <c r="K8" s="76">
        <f>(((Table134567891011121314151617343[[#This Row],[ESP]]-VLOOKUP($U$1,A:E,5,))/VLOOKUP($U$1,A:E,5,))*100)+100</f>
        <v/>
      </c>
      <c r="L8" s="76">
        <f>(((Table134567891011121314151617343[[#This Row],[EA19]]-VLOOKUP($U$1,A:F,6,))/VLOOKUP($U$1,A:F,6,))*100)+100</f>
        <v/>
      </c>
      <c r="M8" s="76">
        <f>(((Table134567891011121314151617343[[#This Row],[GBR]]-VLOOKUP($U$1,A:G,7,))/VLOOKUP($U$1,A:G,7,))*100)+100</f>
        <v/>
      </c>
      <c r="N8" s="76">
        <f>IF(VLOOKUP(A8,Database!$A:$AU,MATCH($N$1,Database!$A$1:$AU$1,0),FALSE)=0,#N/A,VLOOKUP(A8,Database!$A:$AU,MATCH($N$1,Database!$A$1:$AU$1,0),FALSE))</f>
        <v/>
      </c>
      <c r="O8" s="76">
        <f>(((Table134567891011121314151617343[[#This Row],[USA]]-VLOOKUP($U$1,A:N,14,))/VLOOKUP($U$1,A:N,14,))*100)+100</f>
        <v/>
      </c>
      <c r="P8" s="76">
        <f>IF(VLOOKUP(A8,Database!$A:$AS,MATCH($P$1,Database!$A$1:$AS$1,0),FALSE)=0,#N/A,VLOOKUP(A8,Database!$A:$AS,MATCH($P$1,Database!$A$1:$AS$1,0),FALSE))</f>
        <v/>
      </c>
      <c r="Q8" s="76">
        <f>(((Table134567891011121314151617343[[#This Row],[JPN]]-VLOOKUP($U$1,A:Q,16,))/VLOOKUP($U$1,A:Q,16,))*100)+100</f>
        <v/>
      </c>
      <c r="W8" s="86" t="inlineStr">
        <is>
          <t>DNK</t>
        </is>
      </c>
    </row>
    <row r="9" customFormat="1" s="86">
      <c r="A9" s="21" t="n">
        <v>33086</v>
      </c>
      <c r="B9" s="76">
        <f>IF(VLOOKUP(A9,Database!$A:$AS,MATCH($B$1,Database!$A$1:$AS$1,0),FALSE)=0,#N/A,VLOOKUP(A9,Database!$A:$AS,MATCH($B$1,Database!$A$1:$AS$1,0),FALSE))</f>
        <v/>
      </c>
      <c r="C9" s="76">
        <f>IF(VLOOKUP(A9,Database!$A:$AS,MATCH($C$1,Database!$A$1:$AS$1,0),FALSE)=0,#N/A,VLOOKUP(A9,Database!$A:$AS,MATCH($C$1,Database!$A$1:$AS$1,0),FALSE))</f>
        <v/>
      </c>
      <c r="D9" s="76">
        <f>IF(VLOOKUP(A9,Database!$A:$AS,MATCH($D$1,Database!$A$1:$AS$1,0),FALSE)=0,#N/A,VLOOKUP(A9,Database!$A:$AS,MATCH($D$1,Database!$A$1:$AS$1,0),FALSE))</f>
        <v/>
      </c>
      <c r="E9" s="76">
        <f>IF(VLOOKUP(A9,Database!$A:$AS,MATCH($E$1,Database!$A$1:$AS$1,0),FALSE)=0,#N/A,VLOOKUP(A9,Database!$A:$AS,MATCH($E$1,Database!$A$1:$AS$1,0),FALSE))</f>
        <v/>
      </c>
      <c r="F9" s="76">
        <f>IF(VLOOKUP(A9,Database!$A:$AS,MATCH($F$1,Database!$A$1:$AS$1,0),FALSE)=0,#N/A,VLOOKUP(A9,Database!$A:$AS,MATCH($F$1,Database!$A$1:$AS$1,0),FALSE))</f>
        <v/>
      </c>
      <c r="G9" s="76">
        <f>IF(VLOOKUP(A9,Database!$A:$AS,MATCH($G$1,Database!$A$1:$AS$1,0),FALSE)=0,#N/A,VLOOKUP(A9,Database!$A:$AS,MATCH($G$1,Database!$A$1:$AS$1,0),FALSE))</f>
        <v/>
      </c>
      <c r="H9" s="76">
        <f>(((Table134567891011121314151617343[[#This Row],[ITA]]-VLOOKUP($U$1,A:B,2,))/VLOOKUP($U$1,A:B,2,))*100)+100</f>
        <v/>
      </c>
      <c r="I9" s="76">
        <f>(((Table134567891011121314151617343[[#This Row],[FRA]]-VLOOKUP($U$1,A:C,3,))/VLOOKUP($U$1,A:C,3,))*100)+100</f>
        <v/>
      </c>
      <c r="J9" s="76">
        <f>(((Table134567891011121314151617343[[#This Row],[DEU]]-VLOOKUP($U$1,A:D,4,))/VLOOKUP($U$1,A:D,4,))*100)+100</f>
        <v/>
      </c>
      <c r="K9" s="76">
        <f>(((Table134567891011121314151617343[[#This Row],[ESP]]-VLOOKUP($U$1,A:E,5,))/VLOOKUP($U$1,A:E,5,))*100)+100</f>
        <v/>
      </c>
      <c r="L9" s="76">
        <f>(((Table134567891011121314151617343[[#This Row],[EA19]]-VLOOKUP($U$1,A:F,6,))/VLOOKUP($U$1,A:F,6,))*100)+100</f>
        <v/>
      </c>
      <c r="M9" s="76">
        <f>(((Table134567891011121314151617343[[#This Row],[GBR]]-VLOOKUP($U$1,A:G,7,))/VLOOKUP($U$1,A:G,7,))*100)+100</f>
        <v/>
      </c>
      <c r="N9" s="76">
        <f>IF(VLOOKUP(A9,Database!$A:$AU,MATCH($N$1,Database!$A$1:$AU$1,0),FALSE)=0,#N/A,VLOOKUP(A9,Database!$A:$AU,MATCH($N$1,Database!$A$1:$AU$1,0),FALSE))</f>
        <v/>
      </c>
      <c r="O9" s="76">
        <f>(((Table134567891011121314151617343[[#This Row],[USA]]-VLOOKUP($U$1,A:N,14,))/VLOOKUP($U$1,A:N,14,))*100)+100</f>
        <v/>
      </c>
      <c r="P9" s="76">
        <f>IF(VLOOKUP(A9,Database!$A:$AS,MATCH($P$1,Database!$A$1:$AS$1,0),FALSE)=0,#N/A,VLOOKUP(A9,Database!$A:$AS,MATCH($P$1,Database!$A$1:$AS$1,0),FALSE))</f>
        <v/>
      </c>
      <c r="Q9" s="76">
        <f>(((Table134567891011121314151617343[[#This Row],[JPN]]-VLOOKUP($U$1,A:Q,16,))/VLOOKUP($U$1,A:Q,16,))*100)+100</f>
        <v/>
      </c>
      <c r="W9" s="86" t="inlineStr">
        <is>
          <t>ESP</t>
        </is>
      </c>
    </row>
    <row r="10" customFormat="1" s="86">
      <c r="A10" s="21" t="n">
        <v>33117</v>
      </c>
      <c r="B10" s="76">
        <f>IF(VLOOKUP(A10,Database!$A:$AS,MATCH($B$1,Database!$A$1:$AS$1,0),FALSE)=0,#N/A,VLOOKUP(A10,Database!$A:$AS,MATCH($B$1,Database!$A$1:$AS$1,0),FALSE))</f>
        <v/>
      </c>
      <c r="C10" s="76">
        <f>IF(VLOOKUP(A10,Database!$A:$AS,MATCH($C$1,Database!$A$1:$AS$1,0),FALSE)=0,#N/A,VLOOKUP(A10,Database!$A:$AS,MATCH($C$1,Database!$A$1:$AS$1,0),FALSE))</f>
        <v/>
      </c>
      <c r="D10" s="76">
        <f>IF(VLOOKUP(A10,Database!$A:$AS,MATCH($D$1,Database!$A$1:$AS$1,0),FALSE)=0,#N/A,VLOOKUP(A10,Database!$A:$AS,MATCH($D$1,Database!$A$1:$AS$1,0),FALSE))</f>
        <v/>
      </c>
      <c r="E10" s="76">
        <f>IF(VLOOKUP(A10,Database!$A:$AS,MATCH($E$1,Database!$A$1:$AS$1,0),FALSE)=0,#N/A,VLOOKUP(A10,Database!$A:$AS,MATCH($E$1,Database!$A$1:$AS$1,0),FALSE))</f>
        <v/>
      </c>
      <c r="F10" s="76">
        <f>IF(VLOOKUP(A10,Database!$A:$AS,MATCH($F$1,Database!$A$1:$AS$1,0),FALSE)=0,#N/A,VLOOKUP(A10,Database!$A:$AS,MATCH($F$1,Database!$A$1:$AS$1,0),FALSE))</f>
        <v/>
      </c>
      <c r="G10" s="76">
        <f>IF(VLOOKUP(A10,Database!$A:$AS,MATCH($G$1,Database!$A$1:$AS$1,0),FALSE)=0,#N/A,VLOOKUP(A10,Database!$A:$AS,MATCH($G$1,Database!$A$1:$AS$1,0),FALSE))</f>
        <v/>
      </c>
      <c r="H10" s="76">
        <f>(((Table134567891011121314151617343[[#This Row],[ITA]]-VLOOKUP($U$1,A:B,2,))/VLOOKUP($U$1,A:B,2,))*100)+100</f>
        <v/>
      </c>
      <c r="I10" s="76">
        <f>(((Table134567891011121314151617343[[#This Row],[FRA]]-VLOOKUP($U$1,A:C,3,))/VLOOKUP($U$1,A:C,3,))*100)+100</f>
        <v/>
      </c>
      <c r="J10" s="76">
        <f>(((Table134567891011121314151617343[[#This Row],[DEU]]-VLOOKUP($U$1,A:D,4,))/VLOOKUP($U$1,A:D,4,))*100)+100</f>
        <v/>
      </c>
      <c r="K10" s="76">
        <f>(((Table134567891011121314151617343[[#This Row],[ESP]]-VLOOKUP($U$1,A:E,5,))/VLOOKUP($U$1,A:E,5,))*100)+100</f>
        <v/>
      </c>
      <c r="L10" s="76">
        <f>(((Table134567891011121314151617343[[#This Row],[EA19]]-VLOOKUP($U$1,A:F,6,))/VLOOKUP($U$1,A:F,6,))*100)+100</f>
        <v/>
      </c>
      <c r="M10" s="76">
        <f>(((Table134567891011121314151617343[[#This Row],[GBR]]-VLOOKUP($U$1,A:G,7,))/VLOOKUP($U$1,A:G,7,))*100)+100</f>
        <v/>
      </c>
      <c r="N10" s="76">
        <f>IF(VLOOKUP(A10,Database!$A:$AU,MATCH($N$1,Database!$A$1:$AU$1,0),FALSE)=0,#N/A,VLOOKUP(A10,Database!$A:$AU,MATCH($N$1,Database!$A$1:$AU$1,0),FALSE))</f>
        <v/>
      </c>
      <c r="O10" s="76">
        <f>(((Table134567891011121314151617343[[#This Row],[USA]]-VLOOKUP($U$1,A:N,14,))/VLOOKUP($U$1,A:N,14,))*100)+100</f>
        <v/>
      </c>
      <c r="P10" s="76">
        <f>IF(VLOOKUP(A10,Database!$A:$AS,MATCH($P$1,Database!$A$1:$AS$1,0),FALSE)=0,#N/A,VLOOKUP(A10,Database!$A:$AS,MATCH($P$1,Database!$A$1:$AS$1,0),FALSE))</f>
        <v/>
      </c>
      <c r="Q10" s="76">
        <f>(((Table134567891011121314151617343[[#This Row],[JPN]]-VLOOKUP($U$1,A:Q,16,))/VLOOKUP($U$1,A:Q,16,))*100)+100</f>
        <v/>
      </c>
      <c r="W10" s="86" t="inlineStr">
        <is>
          <t>EST</t>
        </is>
      </c>
    </row>
    <row r="11" customFormat="1" s="86">
      <c r="A11" s="21" t="n">
        <v>33147</v>
      </c>
      <c r="B11" s="76">
        <f>IF(VLOOKUP(A11,Database!$A:$AS,MATCH($B$1,Database!$A$1:$AS$1,0),FALSE)=0,#N/A,VLOOKUP(A11,Database!$A:$AS,MATCH($B$1,Database!$A$1:$AS$1,0),FALSE))</f>
        <v/>
      </c>
      <c r="C11" s="76">
        <f>IF(VLOOKUP(A11,Database!$A:$AS,MATCH($C$1,Database!$A$1:$AS$1,0),FALSE)=0,#N/A,VLOOKUP(A11,Database!$A:$AS,MATCH($C$1,Database!$A$1:$AS$1,0),FALSE))</f>
        <v/>
      </c>
      <c r="D11" s="76">
        <f>IF(VLOOKUP(A11,Database!$A:$AS,MATCH($D$1,Database!$A$1:$AS$1,0),FALSE)=0,#N/A,VLOOKUP(A11,Database!$A:$AS,MATCH($D$1,Database!$A$1:$AS$1,0),FALSE))</f>
        <v/>
      </c>
      <c r="E11" s="76">
        <f>IF(VLOOKUP(A11,Database!$A:$AS,MATCH($E$1,Database!$A$1:$AS$1,0),FALSE)=0,#N/A,VLOOKUP(A11,Database!$A:$AS,MATCH($E$1,Database!$A$1:$AS$1,0),FALSE))</f>
        <v/>
      </c>
      <c r="F11" s="76">
        <f>IF(VLOOKUP(A11,Database!$A:$AS,MATCH($F$1,Database!$A$1:$AS$1,0),FALSE)=0,#N/A,VLOOKUP(A11,Database!$A:$AS,MATCH($F$1,Database!$A$1:$AS$1,0),FALSE))</f>
        <v/>
      </c>
      <c r="G11" s="76">
        <f>IF(VLOOKUP(A11,Database!$A:$AS,MATCH($G$1,Database!$A$1:$AS$1,0),FALSE)=0,#N/A,VLOOKUP(A11,Database!$A:$AS,MATCH($G$1,Database!$A$1:$AS$1,0),FALSE))</f>
        <v/>
      </c>
      <c r="H11" s="76">
        <f>(((Table134567891011121314151617343[[#This Row],[ITA]]-VLOOKUP($U$1,A:B,2,))/VLOOKUP($U$1,A:B,2,))*100)+100</f>
        <v/>
      </c>
      <c r="I11" s="76">
        <f>(((Table134567891011121314151617343[[#This Row],[FRA]]-VLOOKUP($U$1,A:C,3,))/VLOOKUP($U$1,A:C,3,))*100)+100</f>
        <v/>
      </c>
      <c r="J11" s="76">
        <f>(((Table134567891011121314151617343[[#This Row],[DEU]]-VLOOKUP($U$1,A:D,4,))/VLOOKUP($U$1,A:D,4,))*100)+100</f>
        <v/>
      </c>
      <c r="K11" s="76">
        <f>(((Table134567891011121314151617343[[#This Row],[ESP]]-VLOOKUP($U$1,A:E,5,))/VLOOKUP($U$1,A:E,5,))*100)+100</f>
        <v/>
      </c>
      <c r="L11" s="76">
        <f>(((Table134567891011121314151617343[[#This Row],[EA19]]-VLOOKUP($U$1,A:F,6,))/VLOOKUP($U$1,A:F,6,))*100)+100</f>
        <v/>
      </c>
      <c r="M11" s="76">
        <f>(((Table134567891011121314151617343[[#This Row],[GBR]]-VLOOKUP($U$1,A:G,7,))/VLOOKUP($U$1,A:G,7,))*100)+100</f>
        <v/>
      </c>
      <c r="N11" s="76">
        <f>IF(VLOOKUP(A11,Database!$A:$AU,MATCH($N$1,Database!$A$1:$AU$1,0),FALSE)=0,#N/A,VLOOKUP(A11,Database!$A:$AU,MATCH($N$1,Database!$A$1:$AU$1,0),FALSE))</f>
        <v/>
      </c>
      <c r="O11" s="76">
        <f>(((Table134567891011121314151617343[[#This Row],[USA]]-VLOOKUP($U$1,A:N,14,))/VLOOKUP($U$1,A:N,14,))*100)+100</f>
        <v/>
      </c>
      <c r="P11" s="76">
        <f>IF(VLOOKUP(A11,Database!$A:$AS,MATCH($P$1,Database!$A$1:$AS$1,0),FALSE)=0,#N/A,VLOOKUP(A11,Database!$A:$AS,MATCH($P$1,Database!$A$1:$AS$1,0),FALSE))</f>
        <v/>
      </c>
      <c r="Q11" s="76">
        <f>(((Table134567891011121314151617343[[#This Row],[JPN]]-VLOOKUP($U$1,A:Q,16,))/VLOOKUP($U$1,A:Q,16,))*100)+100</f>
        <v/>
      </c>
      <c r="W11" s="86" t="inlineStr">
        <is>
          <t>FIN</t>
        </is>
      </c>
    </row>
    <row r="12" customFormat="1" s="86">
      <c r="A12" s="21" t="n">
        <v>33178</v>
      </c>
      <c r="B12" s="76">
        <f>IF(VLOOKUP(A12,Database!$A:$AS,MATCH($B$1,Database!$A$1:$AS$1,0),FALSE)=0,#N/A,VLOOKUP(A12,Database!$A:$AS,MATCH($B$1,Database!$A$1:$AS$1,0),FALSE))</f>
        <v/>
      </c>
      <c r="C12" s="76">
        <f>IF(VLOOKUP(A12,Database!$A:$AS,MATCH($C$1,Database!$A$1:$AS$1,0),FALSE)=0,#N/A,VLOOKUP(A12,Database!$A:$AS,MATCH($C$1,Database!$A$1:$AS$1,0),FALSE))</f>
        <v/>
      </c>
      <c r="D12" s="76">
        <f>IF(VLOOKUP(A12,Database!$A:$AS,MATCH($D$1,Database!$A$1:$AS$1,0),FALSE)=0,#N/A,VLOOKUP(A12,Database!$A:$AS,MATCH($D$1,Database!$A$1:$AS$1,0),FALSE))</f>
        <v/>
      </c>
      <c r="E12" s="76">
        <f>IF(VLOOKUP(A12,Database!$A:$AS,MATCH($E$1,Database!$A$1:$AS$1,0),FALSE)=0,#N/A,VLOOKUP(A12,Database!$A:$AS,MATCH($E$1,Database!$A$1:$AS$1,0),FALSE))</f>
        <v/>
      </c>
      <c r="F12" s="76">
        <f>IF(VLOOKUP(A12,Database!$A:$AS,MATCH($F$1,Database!$A$1:$AS$1,0),FALSE)=0,#N/A,VLOOKUP(A12,Database!$A:$AS,MATCH($F$1,Database!$A$1:$AS$1,0),FALSE))</f>
        <v/>
      </c>
      <c r="G12" s="76">
        <f>IF(VLOOKUP(A12,Database!$A:$AS,MATCH($G$1,Database!$A$1:$AS$1,0),FALSE)=0,#N/A,VLOOKUP(A12,Database!$A:$AS,MATCH($G$1,Database!$A$1:$AS$1,0),FALSE))</f>
        <v/>
      </c>
      <c r="H12" s="76">
        <f>(((Table134567891011121314151617343[[#This Row],[ITA]]-VLOOKUP($U$1,A:B,2,))/VLOOKUP($U$1,A:B,2,))*100)+100</f>
        <v/>
      </c>
      <c r="I12" s="76">
        <f>(((Table134567891011121314151617343[[#This Row],[FRA]]-VLOOKUP($U$1,A:C,3,))/VLOOKUP($U$1,A:C,3,))*100)+100</f>
        <v/>
      </c>
      <c r="J12" s="76">
        <f>(((Table134567891011121314151617343[[#This Row],[DEU]]-VLOOKUP($U$1,A:D,4,))/VLOOKUP($U$1,A:D,4,))*100)+100</f>
        <v/>
      </c>
      <c r="K12" s="76">
        <f>(((Table134567891011121314151617343[[#This Row],[ESP]]-VLOOKUP($U$1,A:E,5,))/VLOOKUP($U$1,A:E,5,))*100)+100</f>
        <v/>
      </c>
      <c r="L12" s="76">
        <f>(((Table134567891011121314151617343[[#This Row],[EA19]]-VLOOKUP($U$1,A:F,6,))/VLOOKUP($U$1,A:F,6,))*100)+100</f>
        <v/>
      </c>
      <c r="M12" s="76">
        <f>(((Table134567891011121314151617343[[#This Row],[GBR]]-VLOOKUP($U$1,A:G,7,))/VLOOKUP($U$1,A:G,7,))*100)+100</f>
        <v/>
      </c>
      <c r="N12" s="76">
        <f>IF(VLOOKUP(A12,Database!$A:$AU,MATCH($N$1,Database!$A$1:$AU$1,0),FALSE)=0,#N/A,VLOOKUP(A12,Database!$A:$AU,MATCH($N$1,Database!$A$1:$AU$1,0),FALSE))</f>
        <v/>
      </c>
      <c r="O12" s="76">
        <f>(((Table134567891011121314151617343[[#This Row],[USA]]-VLOOKUP($U$1,A:N,14,))/VLOOKUP($U$1,A:N,14,))*100)+100</f>
        <v/>
      </c>
      <c r="P12" s="76">
        <f>IF(VLOOKUP(A12,Database!$A:$AS,MATCH($P$1,Database!$A$1:$AS$1,0),FALSE)=0,#N/A,VLOOKUP(A12,Database!$A:$AS,MATCH($P$1,Database!$A$1:$AS$1,0),FALSE))</f>
        <v/>
      </c>
      <c r="Q12" s="76">
        <f>(((Table134567891011121314151617343[[#This Row],[JPN]]-VLOOKUP($U$1,A:Q,16,))/VLOOKUP($U$1,A:Q,16,))*100)+100</f>
        <v/>
      </c>
      <c r="W12" s="86" t="inlineStr">
        <is>
          <t>FRA</t>
        </is>
      </c>
    </row>
    <row r="13" customFormat="1" s="86">
      <c r="A13" s="21" t="n">
        <v>33208</v>
      </c>
      <c r="B13" s="76">
        <f>IF(VLOOKUP(A13,Database!$A:$AS,MATCH($B$1,Database!$A$1:$AS$1,0),FALSE)=0,#N/A,VLOOKUP(A13,Database!$A:$AS,MATCH($B$1,Database!$A$1:$AS$1,0),FALSE))</f>
        <v/>
      </c>
      <c r="C13" s="76">
        <f>IF(VLOOKUP(A13,Database!$A:$AS,MATCH($C$1,Database!$A$1:$AS$1,0),FALSE)=0,#N/A,VLOOKUP(A13,Database!$A:$AS,MATCH($C$1,Database!$A$1:$AS$1,0),FALSE))</f>
        <v/>
      </c>
      <c r="D13" s="76">
        <f>IF(VLOOKUP(A13,Database!$A:$AS,MATCH($D$1,Database!$A$1:$AS$1,0),FALSE)=0,#N/A,VLOOKUP(A13,Database!$A:$AS,MATCH($D$1,Database!$A$1:$AS$1,0),FALSE))</f>
        <v/>
      </c>
      <c r="E13" s="76">
        <f>IF(VLOOKUP(A13,Database!$A:$AS,MATCH($E$1,Database!$A$1:$AS$1,0),FALSE)=0,#N/A,VLOOKUP(A13,Database!$A:$AS,MATCH($E$1,Database!$A$1:$AS$1,0),FALSE))</f>
        <v/>
      </c>
      <c r="F13" s="76">
        <f>IF(VLOOKUP(A13,Database!$A:$AS,MATCH($F$1,Database!$A$1:$AS$1,0),FALSE)=0,#N/A,VLOOKUP(A13,Database!$A:$AS,MATCH($F$1,Database!$A$1:$AS$1,0),FALSE))</f>
        <v/>
      </c>
      <c r="G13" s="76">
        <f>IF(VLOOKUP(A13,Database!$A:$AS,MATCH($G$1,Database!$A$1:$AS$1,0),FALSE)=0,#N/A,VLOOKUP(A13,Database!$A:$AS,MATCH($G$1,Database!$A$1:$AS$1,0),FALSE))</f>
        <v/>
      </c>
      <c r="H13" s="76">
        <f>(((Table134567891011121314151617343[[#This Row],[ITA]]-VLOOKUP($U$1,A:B,2,))/VLOOKUP($U$1,A:B,2,))*100)+100</f>
        <v/>
      </c>
      <c r="I13" s="76">
        <f>(((Table134567891011121314151617343[[#This Row],[FRA]]-VLOOKUP($U$1,A:C,3,))/VLOOKUP($U$1,A:C,3,))*100)+100</f>
        <v/>
      </c>
      <c r="J13" s="76">
        <f>(((Table134567891011121314151617343[[#This Row],[DEU]]-VLOOKUP($U$1,A:D,4,))/VLOOKUP($U$1,A:D,4,))*100)+100</f>
        <v/>
      </c>
      <c r="K13" s="76">
        <f>(((Table134567891011121314151617343[[#This Row],[ESP]]-VLOOKUP($U$1,A:E,5,))/VLOOKUP($U$1,A:E,5,))*100)+100</f>
        <v/>
      </c>
      <c r="L13" s="76">
        <f>(((Table134567891011121314151617343[[#This Row],[EA19]]-VLOOKUP($U$1,A:F,6,))/VLOOKUP($U$1,A:F,6,))*100)+100</f>
        <v/>
      </c>
      <c r="M13" s="76">
        <f>(((Table134567891011121314151617343[[#This Row],[GBR]]-VLOOKUP($U$1,A:G,7,))/VLOOKUP($U$1,A:G,7,))*100)+100</f>
        <v/>
      </c>
      <c r="N13" s="76">
        <f>IF(VLOOKUP(A13,Database!$A:$AU,MATCH($N$1,Database!$A$1:$AU$1,0),FALSE)=0,#N/A,VLOOKUP(A13,Database!$A:$AU,MATCH($N$1,Database!$A$1:$AU$1,0),FALSE))</f>
        <v/>
      </c>
      <c r="O13" s="76">
        <f>(((Table134567891011121314151617343[[#This Row],[USA]]-VLOOKUP($U$1,A:N,14,))/VLOOKUP($U$1,A:N,14,))*100)+100</f>
        <v/>
      </c>
      <c r="P13" s="76">
        <f>IF(VLOOKUP(A13,Database!$A:$AS,MATCH($P$1,Database!$A$1:$AS$1,0),FALSE)=0,#N/A,VLOOKUP(A13,Database!$A:$AS,MATCH($P$1,Database!$A$1:$AS$1,0),FALSE))</f>
        <v/>
      </c>
      <c r="Q13" s="76">
        <f>(((Table134567891011121314151617343[[#This Row],[JPN]]-VLOOKUP($U$1,A:Q,16,))/VLOOKUP($U$1,A:Q,16,))*100)+100</f>
        <v/>
      </c>
      <c r="W13" s="86" t="inlineStr">
        <is>
          <t>GBR</t>
        </is>
      </c>
    </row>
    <row r="14" customFormat="1" s="86">
      <c r="A14" s="21" t="n">
        <v>33239</v>
      </c>
      <c r="B14" s="76">
        <f>IF(VLOOKUP(A14,Database!$A:$AS,MATCH($B$1,Database!$A$1:$AS$1,0),FALSE)=0,#N/A,VLOOKUP(A14,Database!$A:$AS,MATCH($B$1,Database!$A$1:$AS$1,0),FALSE))</f>
        <v/>
      </c>
      <c r="C14" s="76">
        <f>IF(VLOOKUP(A14,Database!$A:$AS,MATCH($C$1,Database!$A$1:$AS$1,0),FALSE)=0,#N/A,VLOOKUP(A14,Database!$A:$AS,MATCH($C$1,Database!$A$1:$AS$1,0),FALSE))</f>
        <v/>
      </c>
      <c r="D14" s="76">
        <f>IF(VLOOKUP(A14,Database!$A:$AS,MATCH($D$1,Database!$A$1:$AS$1,0),FALSE)=0,#N/A,VLOOKUP(A14,Database!$A:$AS,MATCH($D$1,Database!$A$1:$AS$1,0),FALSE))</f>
        <v/>
      </c>
      <c r="E14" s="76">
        <f>IF(VLOOKUP(A14,Database!$A:$AS,MATCH($E$1,Database!$A$1:$AS$1,0),FALSE)=0,#N/A,VLOOKUP(A14,Database!$A:$AS,MATCH($E$1,Database!$A$1:$AS$1,0),FALSE))</f>
        <v/>
      </c>
      <c r="F14" s="76">
        <f>IF(VLOOKUP(A14,Database!$A:$AS,MATCH($F$1,Database!$A$1:$AS$1,0),FALSE)=0,#N/A,VLOOKUP(A14,Database!$A:$AS,MATCH($F$1,Database!$A$1:$AS$1,0),FALSE))</f>
        <v/>
      </c>
      <c r="G14" s="76">
        <f>IF(VLOOKUP(A14,Database!$A:$AS,MATCH($G$1,Database!$A$1:$AS$1,0),FALSE)=0,#N/A,VLOOKUP(A14,Database!$A:$AS,MATCH($G$1,Database!$A$1:$AS$1,0),FALSE))</f>
        <v/>
      </c>
      <c r="H14" s="76">
        <f>(((Table134567891011121314151617343[[#This Row],[ITA]]-VLOOKUP($U$1,A:B,2,))/VLOOKUP($U$1,A:B,2,))*100)+100</f>
        <v/>
      </c>
      <c r="I14" s="76">
        <f>(((Table134567891011121314151617343[[#This Row],[FRA]]-VLOOKUP($U$1,A:C,3,))/VLOOKUP($U$1,A:C,3,))*100)+100</f>
        <v/>
      </c>
      <c r="J14" s="76">
        <f>(((Table134567891011121314151617343[[#This Row],[DEU]]-VLOOKUP($U$1,A:D,4,))/VLOOKUP($U$1,A:D,4,))*100)+100</f>
        <v/>
      </c>
      <c r="K14" s="76">
        <f>(((Table134567891011121314151617343[[#This Row],[ESP]]-VLOOKUP($U$1,A:E,5,))/VLOOKUP($U$1,A:E,5,))*100)+100</f>
        <v/>
      </c>
      <c r="L14" s="76">
        <f>(((Table134567891011121314151617343[[#This Row],[EA19]]-VLOOKUP($U$1,A:F,6,))/VLOOKUP($U$1,A:F,6,))*100)+100</f>
        <v/>
      </c>
      <c r="M14" s="76">
        <f>(((Table134567891011121314151617343[[#This Row],[GBR]]-VLOOKUP($U$1,A:G,7,))/VLOOKUP($U$1,A:G,7,))*100)+100</f>
        <v/>
      </c>
      <c r="N14" s="76">
        <f>IF(VLOOKUP(A14,Database!$A:$AU,MATCH($N$1,Database!$A$1:$AU$1,0),FALSE)=0,#N/A,VLOOKUP(A14,Database!$A:$AU,MATCH($N$1,Database!$A$1:$AU$1,0),FALSE))</f>
        <v/>
      </c>
      <c r="O14" s="76">
        <f>(((Table134567891011121314151617343[[#This Row],[USA]]-VLOOKUP($U$1,A:N,14,))/VLOOKUP($U$1,A:N,14,))*100)+100</f>
        <v/>
      </c>
      <c r="P14" s="76">
        <f>IF(VLOOKUP(A14,Database!$A:$AS,MATCH($P$1,Database!$A$1:$AS$1,0),FALSE)=0,#N/A,VLOOKUP(A14,Database!$A:$AS,MATCH($P$1,Database!$A$1:$AS$1,0),FALSE))</f>
        <v/>
      </c>
      <c r="Q14" s="76">
        <f>(((Table134567891011121314151617343[[#This Row],[JPN]]-VLOOKUP($U$1,A:Q,16,))/VLOOKUP($U$1,A:Q,16,))*100)+100</f>
        <v/>
      </c>
      <c r="W14" s="86" t="inlineStr">
        <is>
          <t>GRC</t>
        </is>
      </c>
    </row>
    <row r="15" customFormat="1" s="86">
      <c r="A15" s="21" t="n">
        <v>33270</v>
      </c>
      <c r="B15" s="76">
        <f>IF(VLOOKUP(A15,Database!$A:$AS,MATCH($B$1,Database!$A$1:$AS$1,0),FALSE)=0,#N/A,VLOOKUP(A15,Database!$A:$AS,MATCH($B$1,Database!$A$1:$AS$1,0),FALSE))</f>
        <v/>
      </c>
      <c r="C15" s="76">
        <f>IF(VLOOKUP(A15,Database!$A:$AS,MATCH($C$1,Database!$A$1:$AS$1,0),FALSE)=0,#N/A,VLOOKUP(A15,Database!$A:$AS,MATCH($C$1,Database!$A$1:$AS$1,0),FALSE))</f>
        <v/>
      </c>
      <c r="D15" s="76">
        <f>IF(VLOOKUP(A15,Database!$A:$AS,MATCH($D$1,Database!$A$1:$AS$1,0),FALSE)=0,#N/A,VLOOKUP(A15,Database!$A:$AS,MATCH($D$1,Database!$A$1:$AS$1,0),FALSE))</f>
        <v/>
      </c>
      <c r="E15" s="76">
        <f>IF(VLOOKUP(A15,Database!$A:$AS,MATCH($E$1,Database!$A$1:$AS$1,0),FALSE)=0,#N/A,VLOOKUP(A15,Database!$A:$AS,MATCH($E$1,Database!$A$1:$AS$1,0),FALSE))</f>
        <v/>
      </c>
      <c r="F15" s="76">
        <f>IF(VLOOKUP(A15,Database!$A:$AS,MATCH($F$1,Database!$A$1:$AS$1,0),FALSE)=0,#N/A,VLOOKUP(A15,Database!$A:$AS,MATCH($F$1,Database!$A$1:$AS$1,0),FALSE))</f>
        <v/>
      </c>
      <c r="G15" s="76">
        <f>IF(VLOOKUP(A15,Database!$A:$AS,MATCH($G$1,Database!$A$1:$AS$1,0),FALSE)=0,#N/A,VLOOKUP(A15,Database!$A:$AS,MATCH($G$1,Database!$A$1:$AS$1,0),FALSE))</f>
        <v/>
      </c>
      <c r="H15" s="76">
        <f>(((Table134567891011121314151617343[[#This Row],[ITA]]-VLOOKUP($U$1,A:B,2,))/VLOOKUP($U$1,A:B,2,))*100)+100</f>
        <v/>
      </c>
      <c r="I15" s="76">
        <f>(((Table134567891011121314151617343[[#This Row],[FRA]]-VLOOKUP($U$1,A:C,3,))/VLOOKUP($U$1,A:C,3,))*100)+100</f>
        <v/>
      </c>
      <c r="J15" s="76">
        <f>(((Table134567891011121314151617343[[#This Row],[DEU]]-VLOOKUP($U$1,A:D,4,))/VLOOKUP($U$1,A:D,4,))*100)+100</f>
        <v/>
      </c>
      <c r="K15" s="76">
        <f>(((Table134567891011121314151617343[[#This Row],[ESP]]-VLOOKUP($U$1,A:E,5,))/VLOOKUP($U$1,A:E,5,))*100)+100</f>
        <v/>
      </c>
      <c r="L15" s="76">
        <f>(((Table134567891011121314151617343[[#This Row],[EA19]]-VLOOKUP($U$1,A:F,6,))/VLOOKUP($U$1,A:F,6,))*100)+100</f>
        <v/>
      </c>
      <c r="M15" s="76">
        <f>(((Table134567891011121314151617343[[#This Row],[GBR]]-VLOOKUP($U$1,A:G,7,))/VLOOKUP($U$1,A:G,7,))*100)+100</f>
        <v/>
      </c>
      <c r="N15" s="76">
        <f>IF(VLOOKUP(A15,Database!$A:$AU,MATCH($N$1,Database!$A$1:$AU$1,0),FALSE)=0,#N/A,VLOOKUP(A15,Database!$A:$AU,MATCH($N$1,Database!$A$1:$AU$1,0),FALSE))</f>
        <v/>
      </c>
      <c r="O15" s="76">
        <f>(((Table134567891011121314151617343[[#This Row],[USA]]-VLOOKUP($U$1,A:N,14,))/VLOOKUP($U$1,A:N,14,))*100)+100</f>
        <v/>
      </c>
      <c r="P15" s="76">
        <f>IF(VLOOKUP(A15,Database!$A:$AS,MATCH($P$1,Database!$A$1:$AS$1,0),FALSE)=0,#N/A,VLOOKUP(A15,Database!$A:$AS,MATCH($P$1,Database!$A$1:$AS$1,0),FALSE))</f>
        <v/>
      </c>
      <c r="Q15" s="76">
        <f>(((Table134567891011121314151617343[[#This Row],[JPN]]-VLOOKUP($U$1,A:Q,16,))/VLOOKUP($U$1,A:Q,16,))*100)+100</f>
        <v/>
      </c>
      <c r="W15" s="86" t="inlineStr">
        <is>
          <t>HUN</t>
        </is>
      </c>
    </row>
    <row r="16" customFormat="1" s="86">
      <c r="A16" s="21" t="n">
        <v>33298</v>
      </c>
      <c r="B16" s="76">
        <f>IF(VLOOKUP(A16,Database!$A:$AS,MATCH($B$1,Database!$A$1:$AS$1,0),FALSE)=0,#N/A,VLOOKUP(A16,Database!$A:$AS,MATCH($B$1,Database!$A$1:$AS$1,0),FALSE))</f>
        <v/>
      </c>
      <c r="C16" s="76">
        <f>IF(VLOOKUP(A16,Database!$A:$AS,MATCH($C$1,Database!$A$1:$AS$1,0),FALSE)=0,#N/A,VLOOKUP(A16,Database!$A:$AS,MATCH($C$1,Database!$A$1:$AS$1,0),FALSE))</f>
        <v/>
      </c>
      <c r="D16" s="76">
        <f>IF(VLOOKUP(A16,Database!$A:$AS,MATCH($D$1,Database!$A$1:$AS$1,0),FALSE)=0,#N/A,VLOOKUP(A16,Database!$A:$AS,MATCH($D$1,Database!$A$1:$AS$1,0),FALSE))</f>
        <v/>
      </c>
      <c r="E16" s="76">
        <f>IF(VLOOKUP(A16,Database!$A:$AS,MATCH($E$1,Database!$A$1:$AS$1,0),FALSE)=0,#N/A,VLOOKUP(A16,Database!$A:$AS,MATCH($E$1,Database!$A$1:$AS$1,0),FALSE))</f>
        <v/>
      </c>
      <c r="F16" s="76">
        <f>IF(VLOOKUP(A16,Database!$A:$AS,MATCH($F$1,Database!$A$1:$AS$1,0),FALSE)=0,#N/A,VLOOKUP(A16,Database!$A:$AS,MATCH($F$1,Database!$A$1:$AS$1,0),FALSE))</f>
        <v/>
      </c>
      <c r="G16" s="76">
        <f>IF(VLOOKUP(A16,Database!$A:$AS,MATCH($G$1,Database!$A$1:$AS$1,0),FALSE)=0,#N/A,VLOOKUP(A16,Database!$A:$AS,MATCH($G$1,Database!$A$1:$AS$1,0),FALSE))</f>
        <v/>
      </c>
      <c r="H16" s="76">
        <f>(((Table134567891011121314151617343[[#This Row],[ITA]]-VLOOKUP($U$1,A:B,2,))/VLOOKUP($U$1,A:B,2,))*100)+100</f>
        <v/>
      </c>
      <c r="I16" s="76">
        <f>(((Table134567891011121314151617343[[#This Row],[FRA]]-VLOOKUP($U$1,A:C,3,))/VLOOKUP($U$1,A:C,3,))*100)+100</f>
        <v/>
      </c>
      <c r="J16" s="76">
        <f>(((Table134567891011121314151617343[[#This Row],[DEU]]-VLOOKUP($U$1,A:D,4,))/VLOOKUP($U$1,A:D,4,))*100)+100</f>
        <v/>
      </c>
      <c r="K16" s="76">
        <f>(((Table134567891011121314151617343[[#This Row],[ESP]]-VLOOKUP($U$1,A:E,5,))/VLOOKUP($U$1,A:E,5,))*100)+100</f>
        <v/>
      </c>
      <c r="L16" s="76">
        <f>(((Table134567891011121314151617343[[#This Row],[EA19]]-VLOOKUP($U$1,A:F,6,))/VLOOKUP($U$1,A:F,6,))*100)+100</f>
        <v/>
      </c>
      <c r="M16" s="76">
        <f>(((Table134567891011121314151617343[[#This Row],[GBR]]-VLOOKUP($U$1,A:G,7,))/VLOOKUP($U$1,A:G,7,))*100)+100</f>
        <v/>
      </c>
      <c r="N16" s="76">
        <f>IF(VLOOKUP(A16,Database!$A:$AU,MATCH($N$1,Database!$A$1:$AU$1,0),FALSE)=0,#N/A,VLOOKUP(A16,Database!$A:$AU,MATCH($N$1,Database!$A$1:$AU$1,0),FALSE))</f>
        <v/>
      </c>
      <c r="O16" s="76">
        <f>(((Table134567891011121314151617343[[#This Row],[USA]]-VLOOKUP($U$1,A:N,14,))/VLOOKUP($U$1,A:N,14,))*100)+100</f>
        <v/>
      </c>
      <c r="P16" s="76">
        <f>IF(VLOOKUP(A16,Database!$A:$AS,MATCH($P$1,Database!$A$1:$AS$1,0),FALSE)=0,#N/A,VLOOKUP(A16,Database!$A:$AS,MATCH($P$1,Database!$A$1:$AS$1,0),FALSE))</f>
        <v/>
      </c>
      <c r="Q16" s="76">
        <f>(((Table134567891011121314151617343[[#This Row],[JPN]]-VLOOKUP($U$1,A:Q,16,))/VLOOKUP($U$1,A:Q,16,))*100)+100</f>
        <v/>
      </c>
      <c r="W16" s="86" t="inlineStr">
        <is>
          <t>IRL</t>
        </is>
      </c>
    </row>
    <row r="17" customFormat="1" s="86">
      <c r="A17" s="21" t="n">
        <v>33329</v>
      </c>
      <c r="B17" s="76">
        <f>IF(VLOOKUP(A17,Database!$A:$AS,MATCH($B$1,Database!$A$1:$AS$1,0),FALSE)=0,#N/A,VLOOKUP(A17,Database!$A:$AS,MATCH($B$1,Database!$A$1:$AS$1,0),FALSE))</f>
        <v/>
      </c>
      <c r="C17" s="76">
        <f>IF(VLOOKUP(A17,Database!$A:$AS,MATCH($C$1,Database!$A$1:$AS$1,0),FALSE)=0,#N/A,VLOOKUP(A17,Database!$A:$AS,MATCH($C$1,Database!$A$1:$AS$1,0),FALSE))</f>
        <v/>
      </c>
      <c r="D17" s="76">
        <f>IF(VLOOKUP(A17,Database!$A:$AS,MATCH($D$1,Database!$A$1:$AS$1,0),FALSE)=0,#N/A,VLOOKUP(A17,Database!$A:$AS,MATCH($D$1,Database!$A$1:$AS$1,0),FALSE))</f>
        <v/>
      </c>
      <c r="E17" s="76">
        <f>IF(VLOOKUP(A17,Database!$A:$AS,MATCH($E$1,Database!$A$1:$AS$1,0),FALSE)=0,#N/A,VLOOKUP(A17,Database!$A:$AS,MATCH($E$1,Database!$A$1:$AS$1,0),FALSE))</f>
        <v/>
      </c>
      <c r="F17" s="76">
        <f>IF(VLOOKUP(A17,Database!$A:$AS,MATCH($F$1,Database!$A$1:$AS$1,0),FALSE)=0,#N/A,VLOOKUP(A17,Database!$A:$AS,MATCH($F$1,Database!$A$1:$AS$1,0),FALSE))</f>
        <v/>
      </c>
      <c r="G17" s="76">
        <f>IF(VLOOKUP(A17,Database!$A:$AS,MATCH($G$1,Database!$A$1:$AS$1,0),FALSE)=0,#N/A,VLOOKUP(A17,Database!$A:$AS,MATCH($G$1,Database!$A$1:$AS$1,0),FALSE))</f>
        <v/>
      </c>
      <c r="H17" s="76">
        <f>(((Table134567891011121314151617343[[#This Row],[ITA]]-VLOOKUP($U$1,A:B,2,))/VLOOKUP($U$1,A:B,2,))*100)+100</f>
        <v/>
      </c>
      <c r="I17" s="76">
        <f>(((Table134567891011121314151617343[[#This Row],[FRA]]-VLOOKUP($U$1,A:C,3,))/VLOOKUP($U$1,A:C,3,))*100)+100</f>
        <v/>
      </c>
      <c r="J17" s="76">
        <f>(((Table134567891011121314151617343[[#This Row],[DEU]]-VLOOKUP($U$1,A:D,4,))/VLOOKUP($U$1,A:D,4,))*100)+100</f>
        <v/>
      </c>
      <c r="K17" s="76">
        <f>(((Table134567891011121314151617343[[#This Row],[ESP]]-VLOOKUP($U$1,A:E,5,))/VLOOKUP($U$1,A:E,5,))*100)+100</f>
        <v/>
      </c>
      <c r="L17" s="76">
        <f>(((Table134567891011121314151617343[[#This Row],[EA19]]-VLOOKUP($U$1,A:F,6,))/VLOOKUP($U$1,A:F,6,))*100)+100</f>
        <v/>
      </c>
      <c r="M17" s="76">
        <f>(((Table134567891011121314151617343[[#This Row],[GBR]]-VLOOKUP($U$1,A:G,7,))/VLOOKUP($U$1,A:G,7,))*100)+100</f>
        <v/>
      </c>
      <c r="N17" s="76">
        <f>IF(VLOOKUP(A17,Database!$A:$AU,MATCH($N$1,Database!$A$1:$AU$1,0),FALSE)=0,#N/A,VLOOKUP(A17,Database!$A:$AU,MATCH($N$1,Database!$A$1:$AU$1,0),FALSE))</f>
        <v/>
      </c>
      <c r="O17" s="76">
        <f>(((Table134567891011121314151617343[[#This Row],[USA]]-VLOOKUP($U$1,A:N,14,))/VLOOKUP($U$1,A:N,14,))*100)+100</f>
        <v/>
      </c>
      <c r="P17" s="76">
        <f>IF(VLOOKUP(A17,Database!$A:$AS,MATCH($P$1,Database!$A$1:$AS$1,0),FALSE)=0,#N/A,VLOOKUP(A17,Database!$A:$AS,MATCH($P$1,Database!$A$1:$AS$1,0),FALSE))</f>
        <v/>
      </c>
      <c r="Q17" s="76">
        <f>(((Table134567891011121314151617343[[#This Row],[JPN]]-VLOOKUP($U$1,A:Q,16,))/VLOOKUP($U$1,A:Q,16,))*100)+100</f>
        <v/>
      </c>
      <c r="W17" s="86" t="inlineStr">
        <is>
          <t>ISL</t>
        </is>
      </c>
    </row>
    <row r="18" customFormat="1" s="86">
      <c r="A18" s="21" t="n">
        <v>33359</v>
      </c>
      <c r="B18" s="76">
        <f>IF(VLOOKUP(A18,Database!$A:$AS,MATCH($B$1,Database!$A$1:$AS$1,0),FALSE)=0,#N/A,VLOOKUP(A18,Database!$A:$AS,MATCH($B$1,Database!$A$1:$AS$1,0),FALSE))</f>
        <v/>
      </c>
      <c r="C18" s="76">
        <f>IF(VLOOKUP(A18,Database!$A:$AS,MATCH($C$1,Database!$A$1:$AS$1,0),FALSE)=0,#N/A,VLOOKUP(A18,Database!$A:$AS,MATCH($C$1,Database!$A$1:$AS$1,0),FALSE))</f>
        <v/>
      </c>
      <c r="D18" s="76">
        <f>IF(VLOOKUP(A18,Database!$A:$AS,MATCH($D$1,Database!$A$1:$AS$1,0),FALSE)=0,#N/A,VLOOKUP(A18,Database!$A:$AS,MATCH($D$1,Database!$A$1:$AS$1,0),FALSE))</f>
        <v/>
      </c>
      <c r="E18" s="76">
        <f>IF(VLOOKUP(A18,Database!$A:$AS,MATCH($E$1,Database!$A$1:$AS$1,0),FALSE)=0,#N/A,VLOOKUP(A18,Database!$A:$AS,MATCH($E$1,Database!$A$1:$AS$1,0),FALSE))</f>
        <v/>
      </c>
      <c r="F18" s="76">
        <f>IF(VLOOKUP(A18,Database!$A:$AS,MATCH($F$1,Database!$A$1:$AS$1,0),FALSE)=0,#N/A,VLOOKUP(A18,Database!$A:$AS,MATCH($F$1,Database!$A$1:$AS$1,0),FALSE))</f>
        <v/>
      </c>
      <c r="G18" s="76">
        <f>IF(VLOOKUP(A18,Database!$A:$AS,MATCH($G$1,Database!$A$1:$AS$1,0),FALSE)=0,#N/A,VLOOKUP(A18,Database!$A:$AS,MATCH($G$1,Database!$A$1:$AS$1,0),FALSE))</f>
        <v/>
      </c>
      <c r="H18" s="76">
        <f>(((Table134567891011121314151617343[[#This Row],[ITA]]-VLOOKUP($U$1,A:B,2,))/VLOOKUP($U$1,A:B,2,))*100)+100</f>
        <v/>
      </c>
      <c r="I18" s="76">
        <f>(((Table134567891011121314151617343[[#This Row],[FRA]]-VLOOKUP($U$1,A:C,3,))/VLOOKUP($U$1,A:C,3,))*100)+100</f>
        <v/>
      </c>
      <c r="J18" s="76">
        <f>(((Table134567891011121314151617343[[#This Row],[DEU]]-VLOOKUP($U$1,A:D,4,))/VLOOKUP($U$1,A:D,4,))*100)+100</f>
        <v/>
      </c>
      <c r="K18" s="76">
        <f>(((Table134567891011121314151617343[[#This Row],[ESP]]-VLOOKUP($U$1,A:E,5,))/VLOOKUP($U$1,A:E,5,))*100)+100</f>
        <v/>
      </c>
      <c r="L18" s="76">
        <f>(((Table134567891011121314151617343[[#This Row],[EA19]]-VLOOKUP($U$1,A:F,6,))/VLOOKUP($U$1,A:F,6,))*100)+100</f>
        <v/>
      </c>
      <c r="M18" s="76">
        <f>(((Table134567891011121314151617343[[#This Row],[GBR]]-VLOOKUP($U$1,A:G,7,))/VLOOKUP($U$1,A:G,7,))*100)+100</f>
        <v/>
      </c>
      <c r="N18" s="76">
        <f>IF(VLOOKUP(A18,Database!$A:$AU,MATCH($N$1,Database!$A$1:$AU$1,0),FALSE)=0,#N/A,VLOOKUP(A18,Database!$A:$AU,MATCH($N$1,Database!$A$1:$AU$1,0),FALSE))</f>
        <v/>
      </c>
      <c r="O18" s="76">
        <f>(((Table134567891011121314151617343[[#This Row],[USA]]-VLOOKUP($U$1,A:N,14,))/VLOOKUP($U$1,A:N,14,))*100)+100</f>
        <v/>
      </c>
      <c r="P18" s="76">
        <f>IF(VLOOKUP(A18,Database!$A:$AS,MATCH($P$1,Database!$A$1:$AS$1,0),FALSE)=0,#N/A,VLOOKUP(A18,Database!$A:$AS,MATCH($P$1,Database!$A$1:$AS$1,0),FALSE))</f>
        <v/>
      </c>
      <c r="Q18" s="76">
        <f>(((Table134567891011121314151617343[[#This Row],[JPN]]-VLOOKUP($U$1,A:Q,16,))/VLOOKUP($U$1,A:Q,16,))*100)+100</f>
        <v/>
      </c>
      <c r="W18" s="86" t="inlineStr">
        <is>
          <t>ISR</t>
        </is>
      </c>
    </row>
    <row r="19" customFormat="1" s="86">
      <c r="A19" s="21" t="n">
        <v>33390</v>
      </c>
      <c r="B19" s="76">
        <f>IF(VLOOKUP(A19,Database!$A:$AS,MATCH($B$1,Database!$A$1:$AS$1,0),FALSE)=0,#N/A,VLOOKUP(A19,Database!$A:$AS,MATCH($B$1,Database!$A$1:$AS$1,0),FALSE))</f>
        <v/>
      </c>
      <c r="C19" s="76">
        <f>IF(VLOOKUP(A19,Database!$A:$AS,MATCH($C$1,Database!$A$1:$AS$1,0),FALSE)=0,#N/A,VLOOKUP(A19,Database!$A:$AS,MATCH($C$1,Database!$A$1:$AS$1,0),FALSE))</f>
        <v/>
      </c>
      <c r="D19" s="76">
        <f>IF(VLOOKUP(A19,Database!$A:$AS,MATCH($D$1,Database!$A$1:$AS$1,0),FALSE)=0,#N/A,VLOOKUP(A19,Database!$A:$AS,MATCH($D$1,Database!$A$1:$AS$1,0),FALSE))</f>
        <v/>
      </c>
      <c r="E19" s="76">
        <f>IF(VLOOKUP(A19,Database!$A:$AS,MATCH($E$1,Database!$A$1:$AS$1,0),FALSE)=0,#N/A,VLOOKUP(A19,Database!$A:$AS,MATCH($E$1,Database!$A$1:$AS$1,0),FALSE))</f>
        <v/>
      </c>
      <c r="F19" s="76">
        <f>IF(VLOOKUP(A19,Database!$A:$AS,MATCH($F$1,Database!$A$1:$AS$1,0),FALSE)=0,#N/A,VLOOKUP(A19,Database!$A:$AS,MATCH($F$1,Database!$A$1:$AS$1,0),FALSE))</f>
        <v/>
      </c>
      <c r="G19" s="76">
        <f>IF(VLOOKUP(A19,Database!$A:$AS,MATCH($G$1,Database!$A$1:$AS$1,0),FALSE)=0,#N/A,VLOOKUP(A19,Database!$A:$AS,MATCH($G$1,Database!$A$1:$AS$1,0),FALSE))</f>
        <v/>
      </c>
      <c r="H19" s="76">
        <f>(((Table134567891011121314151617343[[#This Row],[ITA]]-VLOOKUP($U$1,A:B,2,))/VLOOKUP($U$1,A:B,2,))*100)+100</f>
        <v/>
      </c>
      <c r="I19" s="76">
        <f>(((Table134567891011121314151617343[[#This Row],[FRA]]-VLOOKUP($U$1,A:C,3,))/VLOOKUP($U$1,A:C,3,))*100)+100</f>
        <v/>
      </c>
      <c r="J19" s="76">
        <f>(((Table134567891011121314151617343[[#This Row],[DEU]]-VLOOKUP($U$1,A:D,4,))/VLOOKUP($U$1,A:D,4,))*100)+100</f>
        <v/>
      </c>
      <c r="K19" s="76">
        <f>(((Table134567891011121314151617343[[#This Row],[ESP]]-VLOOKUP($U$1,A:E,5,))/VLOOKUP($U$1,A:E,5,))*100)+100</f>
        <v/>
      </c>
      <c r="L19" s="76">
        <f>(((Table134567891011121314151617343[[#This Row],[EA19]]-VLOOKUP($U$1,A:F,6,))/VLOOKUP($U$1,A:F,6,))*100)+100</f>
        <v/>
      </c>
      <c r="M19" s="76">
        <f>(((Table134567891011121314151617343[[#This Row],[GBR]]-VLOOKUP($U$1,A:G,7,))/VLOOKUP($U$1,A:G,7,))*100)+100</f>
        <v/>
      </c>
      <c r="N19" s="76">
        <f>IF(VLOOKUP(A19,Database!$A:$AU,MATCH($N$1,Database!$A$1:$AU$1,0),FALSE)=0,#N/A,VLOOKUP(A19,Database!$A:$AU,MATCH($N$1,Database!$A$1:$AU$1,0),FALSE))</f>
        <v/>
      </c>
      <c r="O19" s="76">
        <f>(((Table134567891011121314151617343[[#This Row],[USA]]-VLOOKUP($U$1,A:N,14,))/VLOOKUP($U$1,A:N,14,))*100)+100</f>
        <v/>
      </c>
      <c r="P19" s="76">
        <f>IF(VLOOKUP(A19,Database!$A:$AS,MATCH($P$1,Database!$A$1:$AS$1,0),FALSE)=0,#N/A,VLOOKUP(A19,Database!$A:$AS,MATCH($P$1,Database!$A$1:$AS$1,0),FALSE))</f>
        <v/>
      </c>
      <c r="Q19" s="76">
        <f>(((Table134567891011121314151617343[[#This Row],[JPN]]-VLOOKUP($U$1,A:Q,16,))/VLOOKUP($U$1,A:Q,16,))*100)+100</f>
        <v/>
      </c>
      <c r="W19" s="86" t="inlineStr">
        <is>
          <t>ITA</t>
        </is>
      </c>
    </row>
    <row r="20" customFormat="1" s="86">
      <c r="A20" s="21" t="n">
        <v>33420</v>
      </c>
      <c r="B20" s="76">
        <f>IF(VLOOKUP(A20,Database!$A:$AS,MATCH($B$1,Database!$A$1:$AS$1,0),FALSE)=0,#N/A,VLOOKUP(A20,Database!$A:$AS,MATCH($B$1,Database!$A$1:$AS$1,0),FALSE))</f>
        <v/>
      </c>
      <c r="C20" s="76">
        <f>IF(VLOOKUP(A20,Database!$A:$AS,MATCH($C$1,Database!$A$1:$AS$1,0),FALSE)=0,#N/A,VLOOKUP(A20,Database!$A:$AS,MATCH($C$1,Database!$A$1:$AS$1,0),FALSE))</f>
        <v/>
      </c>
      <c r="D20" s="76">
        <f>IF(VLOOKUP(A20,Database!$A:$AS,MATCH($D$1,Database!$A$1:$AS$1,0),FALSE)=0,#N/A,VLOOKUP(A20,Database!$A:$AS,MATCH($D$1,Database!$A$1:$AS$1,0),FALSE))</f>
        <v/>
      </c>
      <c r="E20" s="76">
        <f>IF(VLOOKUP(A20,Database!$A:$AS,MATCH($E$1,Database!$A$1:$AS$1,0),FALSE)=0,#N/A,VLOOKUP(A20,Database!$A:$AS,MATCH($E$1,Database!$A$1:$AS$1,0),FALSE))</f>
        <v/>
      </c>
      <c r="F20" s="76">
        <f>IF(VLOOKUP(A20,Database!$A:$AS,MATCH($F$1,Database!$A$1:$AS$1,0),FALSE)=0,#N/A,VLOOKUP(A20,Database!$A:$AS,MATCH($F$1,Database!$A$1:$AS$1,0),FALSE))</f>
        <v/>
      </c>
      <c r="G20" s="76">
        <f>IF(VLOOKUP(A20,Database!$A:$AS,MATCH($G$1,Database!$A$1:$AS$1,0),FALSE)=0,#N/A,VLOOKUP(A20,Database!$A:$AS,MATCH($G$1,Database!$A$1:$AS$1,0),FALSE))</f>
        <v/>
      </c>
      <c r="H20" s="76">
        <f>(((Table134567891011121314151617343[[#This Row],[ITA]]-VLOOKUP($U$1,A:B,2,))/VLOOKUP($U$1,A:B,2,))*100)+100</f>
        <v/>
      </c>
      <c r="I20" s="76">
        <f>(((Table134567891011121314151617343[[#This Row],[FRA]]-VLOOKUP($U$1,A:C,3,))/VLOOKUP($U$1,A:C,3,))*100)+100</f>
        <v/>
      </c>
      <c r="J20" s="76">
        <f>(((Table134567891011121314151617343[[#This Row],[DEU]]-VLOOKUP($U$1,A:D,4,))/VLOOKUP($U$1,A:D,4,))*100)+100</f>
        <v/>
      </c>
      <c r="K20" s="76">
        <f>(((Table134567891011121314151617343[[#This Row],[ESP]]-VLOOKUP($U$1,A:E,5,))/VLOOKUP($U$1,A:E,5,))*100)+100</f>
        <v/>
      </c>
      <c r="L20" s="76">
        <f>(((Table134567891011121314151617343[[#This Row],[EA19]]-VLOOKUP($U$1,A:F,6,))/VLOOKUP($U$1,A:F,6,))*100)+100</f>
        <v/>
      </c>
      <c r="M20" s="76">
        <f>(((Table134567891011121314151617343[[#This Row],[GBR]]-VLOOKUP($U$1,A:G,7,))/VLOOKUP($U$1,A:G,7,))*100)+100</f>
        <v/>
      </c>
      <c r="N20" s="76">
        <f>IF(VLOOKUP(A20,Database!$A:$AU,MATCH($N$1,Database!$A$1:$AU$1,0),FALSE)=0,#N/A,VLOOKUP(A20,Database!$A:$AU,MATCH($N$1,Database!$A$1:$AU$1,0),FALSE))</f>
        <v/>
      </c>
      <c r="O20" s="76">
        <f>(((Table134567891011121314151617343[[#This Row],[USA]]-VLOOKUP($U$1,A:N,14,))/VLOOKUP($U$1,A:N,14,))*100)+100</f>
        <v/>
      </c>
      <c r="P20" s="76">
        <f>IF(VLOOKUP(A20,Database!$A:$AS,MATCH($P$1,Database!$A$1:$AS$1,0),FALSE)=0,#N/A,VLOOKUP(A20,Database!$A:$AS,MATCH($P$1,Database!$A$1:$AS$1,0),FALSE))</f>
        <v/>
      </c>
      <c r="Q20" s="76">
        <f>(((Table134567891011121314151617343[[#This Row],[JPN]]-VLOOKUP($U$1,A:Q,16,))/VLOOKUP($U$1,A:Q,16,))*100)+100</f>
        <v/>
      </c>
      <c r="W20" s="86" t="inlineStr">
        <is>
          <t>JPN</t>
        </is>
      </c>
    </row>
    <row r="21" customFormat="1" s="86">
      <c r="A21" s="21" t="n">
        <v>33451</v>
      </c>
      <c r="B21" s="76">
        <f>IF(VLOOKUP(A21,Database!$A:$AS,MATCH($B$1,Database!$A$1:$AS$1,0),FALSE)=0,#N/A,VLOOKUP(A21,Database!$A:$AS,MATCH($B$1,Database!$A$1:$AS$1,0),FALSE))</f>
        <v/>
      </c>
      <c r="C21" s="76">
        <f>IF(VLOOKUP(A21,Database!$A:$AS,MATCH($C$1,Database!$A$1:$AS$1,0),FALSE)=0,#N/A,VLOOKUP(A21,Database!$A:$AS,MATCH($C$1,Database!$A$1:$AS$1,0),FALSE))</f>
        <v/>
      </c>
      <c r="D21" s="76">
        <f>IF(VLOOKUP(A21,Database!$A:$AS,MATCH($D$1,Database!$A$1:$AS$1,0),FALSE)=0,#N/A,VLOOKUP(A21,Database!$A:$AS,MATCH($D$1,Database!$A$1:$AS$1,0),FALSE))</f>
        <v/>
      </c>
      <c r="E21" s="76">
        <f>IF(VLOOKUP(A21,Database!$A:$AS,MATCH($E$1,Database!$A$1:$AS$1,0),FALSE)=0,#N/A,VLOOKUP(A21,Database!$A:$AS,MATCH($E$1,Database!$A$1:$AS$1,0),FALSE))</f>
        <v/>
      </c>
      <c r="F21" s="76">
        <f>IF(VLOOKUP(A21,Database!$A:$AS,MATCH($F$1,Database!$A$1:$AS$1,0),FALSE)=0,#N/A,VLOOKUP(A21,Database!$A:$AS,MATCH($F$1,Database!$A$1:$AS$1,0),FALSE))</f>
        <v/>
      </c>
      <c r="G21" s="76">
        <f>IF(VLOOKUP(A21,Database!$A:$AS,MATCH($G$1,Database!$A$1:$AS$1,0),FALSE)=0,#N/A,VLOOKUP(A21,Database!$A:$AS,MATCH($G$1,Database!$A$1:$AS$1,0),FALSE))</f>
        <v/>
      </c>
      <c r="H21" s="76">
        <f>(((Table134567891011121314151617343[[#This Row],[ITA]]-VLOOKUP($U$1,A:B,2,))/VLOOKUP($U$1,A:B,2,))*100)+100</f>
        <v/>
      </c>
      <c r="I21" s="76">
        <f>(((Table134567891011121314151617343[[#This Row],[FRA]]-VLOOKUP($U$1,A:C,3,))/VLOOKUP($U$1,A:C,3,))*100)+100</f>
        <v/>
      </c>
      <c r="J21" s="76">
        <f>(((Table134567891011121314151617343[[#This Row],[DEU]]-VLOOKUP($U$1,A:D,4,))/VLOOKUP($U$1,A:D,4,))*100)+100</f>
        <v/>
      </c>
      <c r="K21" s="76">
        <f>(((Table134567891011121314151617343[[#This Row],[ESP]]-VLOOKUP($U$1,A:E,5,))/VLOOKUP($U$1,A:E,5,))*100)+100</f>
        <v/>
      </c>
      <c r="L21" s="76">
        <f>(((Table134567891011121314151617343[[#This Row],[EA19]]-VLOOKUP($U$1,A:F,6,))/VLOOKUP($U$1,A:F,6,))*100)+100</f>
        <v/>
      </c>
      <c r="M21" s="76">
        <f>(((Table134567891011121314151617343[[#This Row],[GBR]]-VLOOKUP($U$1,A:G,7,))/VLOOKUP($U$1,A:G,7,))*100)+100</f>
        <v/>
      </c>
      <c r="N21" s="76">
        <f>IF(VLOOKUP(A21,Database!$A:$AU,MATCH($N$1,Database!$A$1:$AU$1,0),FALSE)=0,#N/A,VLOOKUP(A21,Database!$A:$AU,MATCH($N$1,Database!$A$1:$AU$1,0),FALSE))</f>
        <v/>
      </c>
      <c r="O21" s="76">
        <f>(((Table134567891011121314151617343[[#This Row],[USA]]-VLOOKUP($U$1,A:N,14,))/VLOOKUP($U$1,A:N,14,))*100)+100</f>
        <v/>
      </c>
      <c r="P21" s="76">
        <f>IF(VLOOKUP(A21,Database!$A:$AS,MATCH($P$1,Database!$A$1:$AS$1,0),FALSE)=0,#N/A,VLOOKUP(A21,Database!$A:$AS,MATCH($P$1,Database!$A$1:$AS$1,0),FALSE))</f>
        <v/>
      </c>
      <c r="Q21" s="76">
        <f>(((Table134567891011121314151617343[[#This Row],[JPN]]-VLOOKUP($U$1,A:Q,16,))/VLOOKUP($U$1,A:Q,16,))*100)+100</f>
        <v/>
      </c>
      <c r="W21" s="86" t="inlineStr">
        <is>
          <t>KOR</t>
        </is>
      </c>
    </row>
    <row r="22" customFormat="1" s="86">
      <c r="A22" s="21" t="n">
        <v>33482</v>
      </c>
      <c r="B22" s="76">
        <f>IF(VLOOKUP(A22,Database!$A:$AS,MATCH($B$1,Database!$A$1:$AS$1,0),FALSE)=0,#N/A,VLOOKUP(A22,Database!$A:$AS,MATCH($B$1,Database!$A$1:$AS$1,0),FALSE))</f>
        <v/>
      </c>
      <c r="C22" s="76">
        <f>IF(VLOOKUP(A22,Database!$A:$AS,MATCH($C$1,Database!$A$1:$AS$1,0),FALSE)=0,#N/A,VLOOKUP(A22,Database!$A:$AS,MATCH($C$1,Database!$A$1:$AS$1,0),FALSE))</f>
        <v/>
      </c>
      <c r="D22" s="76">
        <f>IF(VLOOKUP(A22,Database!$A:$AS,MATCH($D$1,Database!$A$1:$AS$1,0),FALSE)=0,#N/A,VLOOKUP(A22,Database!$A:$AS,MATCH($D$1,Database!$A$1:$AS$1,0),FALSE))</f>
        <v/>
      </c>
      <c r="E22" s="76">
        <f>IF(VLOOKUP(A22,Database!$A:$AS,MATCH($E$1,Database!$A$1:$AS$1,0),FALSE)=0,#N/A,VLOOKUP(A22,Database!$A:$AS,MATCH($E$1,Database!$A$1:$AS$1,0),FALSE))</f>
        <v/>
      </c>
      <c r="F22" s="76">
        <f>IF(VLOOKUP(A22,Database!$A:$AS,MATCH($F$1,Database!$A$1:$AS$1,0),FALSE)=0,#N/A,VLOOKUP(A22,Database!$A:$AS,MATCH($F$1,Database!$A$1:$AS$1,0),FALSE))</f>
        <v/>
      </c>
      <c r="G22" s="76">
        <f>IF(VLOOKUP(A22,Database!$A:$AS,MATCH($G$1,Database!$A$1:$AS$1,0),FALSE)=0,#N/A,VLOOKUP(A22,Database!$A:$AS,MATCH($G$1,Database!$A$1:$AS$1,0),FALSE))</f>
        <v/>
      </c>
      <c r="H22" s="76">
        <f>(((Table134567891011121314151617343[[#This Row],[ITA]]-VLOOKUP($U$1,A:B,2,))/VLOOKUP($U$1,A:B,2,))*100)+100</f>
        <v/>
      </c>
      <c r="I22" s="76">
        <f>(((Table134567891011121314151617343[[#This Row],[FRA]]-VLOOKUP($U$1,A:C,3,))/VLOOKUP($U$1,A:C,3,))*100)+100</f>
        <v/>
      </c>
      <c r="J22" s="76">
        <f>(((Table134567891011121314151617343[[#This Row],[DEU]]-VLOOKUP($U$1,A:D,4,))/VLOOKUP($U$1,A:D,4,))*100)+100</f>
        <v/>
      </c>
      <c r="K22" s="76">
        <f>(((Table134567891011121314151617343[[#This Row],[ESP]]-VLOOKUP($U$1,A:E,5,))/VLOOKUP($U$1,A:E,5,))*100)+100</f>
        <v/>
      </c>
      <c r="L22" s="76">
        <f>(((Table134567891011121314151617343[[#This Row],[EA19]]-VLOOKUP($U$1,A:F,6,))/VLOOKUP($U$1,A:F,6,))*100)+100</f>
        <v/>
      </c>
      <c r="M22" s="76">
        <f>(((Table134567891011121314151617343[[#This Row],[GBR]]-VLOOKUP($U$1,A:G,7,))/VLOOKUP($U$1,A:G,7,))*100)+100</f>
        <v/>
      </c>
      <c r="N22" s="76">
        <f>IF(VLOOKUP(A22,Database!$A:$AU,MATCH($N$1,Database!$A$1:$AU$1,0),FALSE)=0,#N/A,VLOOKUP(A22,Database!$A:$AU,MATCH($N$1,Database!$A$1:$AU$1,0),FALSE))</f>
        <v/>
      </c>
      <c r="O22" s="76">
        <f>(((Table134567891011121314151617343[[#This Row],[USA]]-VLOOKUP($U$1,A:N,14,))/VLOOKUP($U$1,A:N,14,))*100)+100</f>
        <v/>
      </c>
      <c r="P22" s="76">
        <f>IF(VLOOKUP(A22,Database!$A:$AS,MATCH($P$1,Database!$A$1:$AS$1,0),FALSE)=0,#N/A,VLOOKUP(A22,Database!$A:$AS,MATCH($P$1,Database!$A$1:$AS$1,0),FALSE))</f>
        <v/>
      </c>
      <c r="Q22" s="76">
        <f>(((Table134567891011121314151617343[[#This Row],[JPN]]-VLOOKUP($U$1,A:Q,16,))/VLOOKUP($U$1,A:Q,16,))*100)+100</f>
        <v/>
      </c>
      <c r="W22" s="86" t="inlineStr">
        <is>
          <t>LUX</t>
        </is>
      </c>
    </row>
    <row r="23" customFormat="1" s="86">
      <c r="A23" s="21" t="n">
        <v>33512</v>
      </c>
      <c r="B23" s="76">
        <f>IF(VLOOKUP(A23,Database!$A:$AS,MATCH($B$1,Database!$A$1:$AS$1,0),FALSE)=0,#N/A,VLOOKUP(A23,Database!$A:$AS,MATCH($B$1,Database!$A$1:$AS$1,0),FALSE))</f>
        <v/>
      </c>
      <c r="C23" s="76">
        <f>IF(VLOOKUP(A23,Database!$A:$AS,MATCH($C$1,Database!$A$1:$AS$1,0),FALSE)=0,#N/A,VLOOKUP(A23,Database!$A:$AS,MATCH($C$1,Database!$A$1:$AS$1,0),FALSE))</f>
        <v/>
      </c>
      <c r="D23" s="76">
        <f>IF(VLOOKUP(A23,Database!$A:$AS,MATCH($D$1,Database!$A$1:$AS$1,0),FALSE)=0,#N/A,VLOOKUP(A23,Database!$A:$AS,MATCH($D$1,Database!$A$1:$AS$1,0),FALSE))</f>
        <v/>
      </c>
      <c r="E23" s="76">
        <f>IF(VLOOKUP(A23,Database!$A:$AS,MATCH($E$1,Database!$A$1:$AS$1,0),FALSE)=0,#N/A,VLOOKUP(A23,Database!$A:$AS,MATCH($E$1,Database!$A$1:$AS$1,0),FALSE))</f>
        <v/>
      </c>
      <c r="F23" s="76">
        <f>IF(VLOOKUP(A23,Database!$A:$AS,MATCH($F$1,Database!$A$1:$AS$1,0),FALSE)=0,#N/A,VLOOKUP(A23,Database!$A:$AS,MATCH($F$1,Database!$A$1:$AS$1,0),FALSE))</f>
        <v/>
      </c>
      <c r="G23" s="76">
        <f>IF(VLOOKUP(A23,Database!$A:$AS,MATCH($G$1,Database!$A$1:$AS$1,0),FALSE)=0,#N/A,VLOOKUP(A23,Database!$A:$AS,MATCH($G$1,Database!$A$1:$AS$1,0),FALSE))</f>
        <v/>
      </c>
      <c r="H23" s="76">
        <f>(((Table134567891011121314151617343[[#This Row],[ITA]]-VLOOKUP($U$1,A:B,2,))/VLOOKUP($U$1,A:B,2,))*100)+100</f>
        <v/>
      </c>
      <c r="I23" s="76">
        <f>(((Table134567891011121314151617343[[#This Row],[FRA]]-VLOOKUP($U$1,A:C,3,))/VLOOKUP($U$1,A:C,3,))*100)+100</f>
        <v/>
      </c>
      <c r="J23" s="76">
        <f>(((Table134567891011121314151617343[[#This Row],[DEU]]-VLOOKUP($U$1,A:D,4,))/VLOOKUP($U$1,A:D,4,))*100)+100</f>
        <v/>
      </c>
      <c r="K23" s="76">
        <f>(((Table134567891011121314151617343[[#This Row],[ESP]]-VLOOKUP($U$1,A:E,5,))/VLOOKUP($U$1,A:E,5,))*100)+100</f>
        <v/>
      </c>
      <c r="L23" s="76">
        <f>(((Table134567891011121314151617343[[#This Row],[EA19]]-VLOOKUP($U$1,A:F,6,))/VLOOKUP($U$1,A:F,6,))*100)+100</f>
        <v/>
      </c>
      <c r="M23" s="76">
        <f>(((Table134567891011121314151617343[[#This Row],[GBR]]-VLOOKUP($U$1,A:G,7,))/VLOOKUP($U$1,A:G,7,))*100)+100</f>
        <v/>
      </c>
      <c r="N23" s="76">
        <f>IF(VLOOKUP(A23,Database!$A:$AU,MATCH($N$1,Database!$A$1:$AU$1,0),FALSE)=0,#N/A,VLOOKUP(A23,Database!$A:$AU,MATCH($N$1,Database!$A$1:$AU$1,0),FALSE))</f>
        <v/>
      </c>
      <c r="O23" s="76">
        <f>(((Table134567891011121314151617343[[#This Row],[USA]]-VLOOKUP($U$1,A:N,14,))/VLOOKUP($U$1,A:N,14,))*100)+100</f>
        <v/>
      </c>
      <c r="P23" s="76">
        <f>IF(VLOOKUP(A23,Database!$A:$AS,MATCH($P$1,Database!$A$1:$AS$1,0),FALSE)=0,#N/A,VLOOKUP(A23,Database!$A:$AS,MATCH($P$1,Database!$A$1:$AS$1,0),FALSE))</f>
        <v/>
      </c>
      <c r="Q23" s="76">
        <f>(((Table134567891011121314151617343[[#This Row],[JPN]]-VLOOKUP($U$1,A:Q,16,))/VLOOKUP($U$1,A:Q,16,))*100)+100</f>
        <v/>
      </c>
      <c r="W23" s="86" t="inlineStr">
        <is>
          <t>LVA</t>
        </is>
      </c>
    </row>
    <row r="24" customFormat="1" s="86">
      <c r="A24" s="21" t="n">
        <v>33543</v>
      </c>
      <c r="B24" s="76">
        <f>IF(VLOOKUP(A24,Database!$A:$AS,MATCH($B$1,Database!$A$1:$AS$1,0),FALSE)=0,#N/A,VLOOKUP(A24,Database!$A:$AS,MATCH($B$1,Database!$A$1:$AS$1,0),FALSE))</f>
        <v/>
      </c>
      <c r="C24" s="76">
        <f>IF(VLOOKUP(A24,Database!$A:$AS,MATCH($C$1,Database!$A$1:$AS$1,0),FALSE)=0,#N/A,VLOOKUP(A24,Database!$A:$AS,MATCH($C$1,Database!$A$1:$AS$1,0),FALSE))</f>
        <v/>
      </c>
      <c r="D24" s="76">
        <f>IF(VLOOKUP(A24,Database!$A:$AS,MATCH($D$1,Database!$A$1:$AS$1,0),FALSE)=0,#N/A,VLOOKUP(A24,Database!$A:$AS,MATCH($D$1,Database!$A$1:$AS$1,0),FALSE))</f>
        <v/>
      </c>
      <c r="E24" s="76">
        <f>IF(VLOOKUP(A24,Database!$A:$AS,MATCH($E$1,Database!$A$1:$AS$1,0),FALSE)=0,#N/A,VLOOKUP(A24,Database!$A:$AS,MATCH($E$1,Database!$A$1:$AS$1,0),FALSE))</f>
        <v/>
      </c>
      <c r="F24" s="76">
        <f>IF(VLOOKUP(A24,Database!$A:$AS,MATCH($F$1,Database!$A$1:$AS$1,0),FALSE)=0,#N/A,VLOOKUP(A24,Database!$A:$AS,MATCH($F$1,Database!$A$1:$AS$1,0),FALSE))</f>
        <v/>
      </c>
      <c r="G24" s="76">
        <f>IF(VLOOKUP(A24,Database!$A:$AS,MATCH($G$1,Database!$A$1:$AS$1,0),FALSE)=0,#N/A,VLOOKUP(A24,Database!$A:$AS,MATCH($G$1,Database!$A$1:$AS$1,0),FALSE))</f>
        <v/>
      </c>
      <c r="H24" s="76">
        <f>(((Table134567891011121314151617343[[#This Row],[ITA]]-VLOOKUP($U$1,A:B,2,))/VLOOKUP($U$1,A:B,2,))*100)+100</f>
        <v/>
      </c>
      <c r="I24" s="76">
        <f>(((Table134567891011121314151617343[[#This Row],[FRA]]-VLOOKUP($U$1,A:C,3,))/VLOOKUP($U$1,A:C,3,))*100)+100</f>
        <v/>
      </c>
      <c r="J24" s="76">
        <f>(((Table134567891011121314151617343[[#This Row],[DEU]]-VLOOKUP($U$1,A:D,4,))/VLOOKUP($U$1,A:D,4,))*100)+100</f>
        <v/>
      </c>
      <c r="K24" s="76">
        <f>(((Table134567891011121314151617343[[#This Row],[ESP]]-VLOOKUP($U$1,A:E,5,))/VLOOKUP($U$1,A:E,5,))*100)+100</f>
        <v/>
      </c>
      <c r="L24" s="76">
        <f>(((Table134567891011121314151617343[[#This Row],[EA19]]-VLOOKUP($U$1,A:F,6,))/VLOOKUP($U$1,A:F,6,))*100)+100</f>
        <v/>
      </c>
      <c r="M24" s="76">
        <f>(((Table134567891011121314151617343[[#This Row],[GBR]]-VLOOKUP($U$1,A:G,7,))/VLOOKUP($U$1,A:G,7,))*100)+100</f>
        <v/>
      </c>
      <c r="N24" s="76">
        <f>IF(VLOOKUP(A24,Database!$A:$AU,MATCH($N$1,Database!$A$1:$AU$1,0),FALSE)=0,#N/A,VLOOKUP(A24,Database!$A:$AU,MATCH($N$1,Database!$A$1:$AU$1,0),FALSE))</f>
        <v/>
      </c>
      <c r="O24" s="76">
        <f>(((Table134567891011121314151617343[[#This Row],[USA]]-VLOOKUP($U$1,A:N,14,))/VLOOKUP($U$1,A:N,14,))*100)+100</f>
        <v/>
      </c>
      <c r="P24" s="76">
        <f>IF(VLOOKUP(A24,Database!$A:$AS,MATCH($P$1,Database!$A$1:$AS$1,0),FALSE)=0,#N/A,VLOOKUP(A24,Database!$A:$AS,MATCH($P$1,Database!$A$1:$AS$1,0),FALSE))</f>
        <v/>
      </c>
      <c r="Q24" s="76">
        <f>(((Table134567891011121314151617343[[#This Row],[JPN]]-VLOOKUP($U$1,A:Q,16,))/VLOOKUP($U$1,A:Q,16,))*100)+100</f>
        <v/>
      </c>
      <c r="W24" s="86" t="inlineStr">
        <is>
          <t>MEX</t>
        </is>
      </c>
    </row>
    <row r="25" customFormat="1" s="86">
      <c r="A25" s="21" t="n">
        <v>33573</v>
      </c>
      <c r="B25" s="76">
        <f>IF(VLOOKUP(A25,Database!$A:$AS,MATCH($B$1,Database!$A$1:$AS$1,0),FALSE)=0,#N/A,VLOOKUP(A25,Database!$A:$AS,MATCH($B$1,Database!$A$1:$AS$1,0),FALSE))</f>
        <v/>
      </c>
      <c r="C25" s="76">
        <f>IF(VLOOKUP(A25,Database!$A:$AS,MATCH($C$1,Database!$A$1:$AS$1,0),FALSE)=0,#N/A,VLOOKUP(A25,Database!$A:$AS,MATCH($C$1,Database!$A$1:$AS$1,0),FALSE))</f>
        <v/>
      </c>
      <c r="D25" s="76">
        <f>IF(VLOOKUP(A25,Database!$A:$AS,MATCH($D$1,Database!$A$1:$AS$1,0),FALSE)=0,#N/A,VLOOKUP(A25,Database!$A:$AS,MATCH($D$1,Database!$A$1:$AS$1,0),FALSE))</f>
        <v/>
      </c>
      <c r="E25" s="76">
        <f>IF(VLOOKUP(A25,Database!$A:$AS,MATCH($E$1,Database!$A$1:$AS$1,0),FALSE)=0,#N/A,VLOOKUP(A25,Database!$A:$AS,MATCH($E$1,Database!$A$1:$AS$1,0),FALSE))</f>
        <v/>
      </c>
      <c r="F25" s="76">
        <f>IF(VLOOKUP(A25,Database!$A:$AS,MATCH($F$1,Database!$A$1:$AS$1,0),FALSE)=0,#N/A,VLOOKUP(A25,Database!$A:$AS,MATCH($F$1,Database!$A$1:$AS$1,0),FALSE))</f>
        <v/>
      </c>
      <c r="G25" s="76">
        <f>IF(VLOOKUP(A25,Database!$A:$AS,MATCH($G$1,Database!$A$1:$AS$1,0),FALSE)=0,#N/A,VLOOKUP(A25,Database!$A:$AS,MATCH($G$1,Database!$A$1:$AS$1,0),FALSE))</f>
        <v/>
      </c>
      <c r="H25" s="76">
        <f>(((Table134567891011121314151617343[[#This Row],[ITA]]-VLOOKUP($U$1,A:B,2,))/VLOOKUP($U$1,A:B,2,))*100)+100</f>
        <v/>
      </c>
      <c r="I25" s="76">
        <f>(((Table134567891011121314151617343[[#This Row],[FRA]]-VLOOKUP($U$1,A:C,3,))/VLOOKUP($U$1,A:C,3,))*100)+100</f>
        <v/>
      </c>
      <c r="J25" s="76">
        <f>(((Table134567891011121314151617343[[#This Row],[DEU]]-VLOOKUP($U$1,A:D,4,))/VLOOKUP($U$1,A:D,4,))*100)+100</f>
        <v/>
      </c>
      <c r="K25" s="76">
        <f>(((Table134567891011121314151617343[[#This Row],[ESP]]-VLOOKUP($U$1,A:E,5,))/VLOOKUP($U$1,A:E,5,))*100)+100</f>
        <v/>
      </c>
      <c r="L25" s="76">
        <f>(((Table134567891011121314151617343[[#This Row],[EA19]]-VLOOKUP($U$1,A:F,6,))/VLOOKUP($U$1,A:F,6,))*100)+100</f>
        <v/>
      </c>
      <c r="M25" s="76">
        <f>(((Table134567891011121314151617343[[#This Row],[GBR]]-VLOOKUP($U$1,A:G,7,))/VLOOKUP($U$1,A:G,7,))*100)+100</f>
        <v/>
      </c>
      <c r="N25" s="76">
        <f>IF(VLOOKUP(A25,Database!$A:$AU,MATCH($N$1,Database!$A$1:$AU$1,0),FALSE)=0,#N/A,VLOOKUP(A25,Database!$A:$AU,MATCH($N$1,Database!$A$1:$AU$1,0),FALSE))</f>
        <v/>
      </c>
      <c r="O25" s="76">
        <f>(((Table134567891011121314151617343[[#This Row],[USA]]-VLOOKUP($U$1,A:N,14,))/VLOOKUP($U$1,A:N,14,))*100)+100</f>
        <v/>
      </c>
      <c r="P25" s="76">
        <f>IF(VLOOKUP(A25,Database!$A:$AS,MATCH($P$1,Database!$A$1:$AS$1,0),FALSE)=0,#N/A,VLOOKUP(A25,Database!$A:$AS,MATCH($P$1,Database!$A$1:$AS$1,0),FALSE))</f>
        <v/>
      </c>
      <c r="Q25" s="76">
        <f>(((Table134567891011121314151617343[[#This Row],[JPN]]-VLOOKUP($U$1,A:Q,16,))/VLOOKUP($U$1,A:Q,16,))*100)+100</f>
        <v/>
      </c>
      <c r="W25" s="86" t="inlineStr">
        <is>
          <t>NLD</t>
        </is>
      </c>
    </row>
    <row r="26" customFormat="1" s="86">
      <c r="A26" s="21" t="n">
        <v>33604</v>
      </c>
      <c r="B26" s="76">
        <f>IF(VLOOKUP(A26,Database!$A:$AS,MATCH($B$1,Database!$A$1:$AS$1,0),FALSE)=0,#N/A,VLOOKUP(A26,Database!$A:$AS,MATCH($B$1,Database!$A$1:$AS$1,0),FALSE))</f>
        <v/>
      </c>
      <c r="C26" s="76">
        <f>IF(VLOOKUP(A26,Database!$A:$AS,MATCH($C$1,Database!$A$1:$AS$1,0),FALSE)=0,#N/A,VLOOKUP(A26,Database!$A:$AS,MATCH($C$1,Database!$A$1:$AS$1,0),FALSE))</f>
        <v/>
      </c>
      <c r="D26" s="76">
        <f>IF(VLOOKUP(A26,Database!$A:$AS,MATCH($D$1,Database!$A$1:$AS$1,0),FALSE)=0,#N/A,VLOOKUP(A26,Database!$A:$AS,MATCH($D$1,Database!$A$1:$AS$1,0),FALSE))</f>
        <v/>
      </c>
      <c r="E26" s="76">
        <f>IF(VLOOKUP(A26,Database!$A:$AS,MATCH($E$1,Database!$A$1:$AS$1,0),FALSE)=0,#N/A,VLOOKUP(A26,Database!$A:$AS,MATCH($E$1,Database!$A$1:$AS$1,0),FALSE))</f>
        <v/>
      </c>
      <c r="F26" s="76">
        <f>IF(VLOOKUP(A26,Database!$A:$AS,MATCH($F$1,Database!$A$1:$AS$1,0),FALSE)=0,#N/A,VLOOKUP(A26,Database!$A:$AS,MATCH($F$1,Database!$A$1:$AS$1,0),FALSE))</f>
        <v/>
      </c>
      <c r="G26" s="76">
        <f>IF(VLOOKUP(A26,Database!$A:$AS,MATCH($G$1,Database!$A$1:$AS$1,0),FALSE)=0,#N/A,VLOOKUP(A26,Database!$A:$AS,MATCH($G$1,Database!$A$1:$AS$1,0),FALSE))</f>
        <v/>
      </c>
      <c r="H26" s="76">
        <f>(((Table134567891011121314151617343[[#This Row],[ITA]]-VLOOKUP($U$1,A:B,2,))/VLOOKUP($U$1,A:B,2,))*100)+100</f>
        <v/>
      </c>
      <c r="I26" s="76">
        <f>(((Table134567891011121314151617343[[#This Row],[FRA]]-VLOOKUP($U$1,A:C,3,))/VLOOKUP($U$1,A:C,3,))*100)+100</f>
        <v/>
      </c>
      <c r="J26" s="76">
        <f>(((Table134567891011121314151617343[[#This Row],[DEU]]-VLOOKUP($U$1,A:D,4,))/VLOOKUP($U$1,A:D,4,))*100)+100</f>
        <v/>
      </c>
      <c r="K26" s="76">
        <f>(((Table134567891011121314151617343[[#This Row],[ESP]]-VLOOKUP($U$1,A:E,5,))/VLOOKUP($U$1,A:E,5,))*100)+100</f>
        <v/>
      </c>
      <c r="L26" s="76">
        <f>(((Table134567891011121314151617343[[#This Row],[EA19]]-VLOOKUP($U$1,A:F,6,))/VLOOKUP($U$1,A:F,6,))*100)+100</f>
        <v/>
      </c>
      <c r="M26" s="76">
        <f>(((Table134567891011121314151617343[[#This Row],[GBR]]-VLOOKUP($U$1,A:G,7,))/VLOOKUP($U$1,A:G,7,))*100)+100</f>
        <v/>
      </c>
      <c r="N26" s="76">
        <f>IF(VLOOKUP(A26,Database!$A:$AU,MATCH($N$1,Database!$A$1:$AU$1,0),FALSE)=0,#N/A,VLOOKUP(A26,Database!$A:$AU,MATCH($N$1,Database!$A$1:$AU$1,0),FALSE))</f>
        <v/>
      </c>
      <c r="O26" s="76">
        <f>(((Table134567891011121314151617343[[#This Row],[USA]]-VLOOKUP($U$1,A:N,14,))/VLOOKUP($U$1,A:N,14,))*100)+100</f>
        <v/>
      </c>
      <c r="P26" s="76">
        <f>IF(VLOOKUP(A26,Database!$A:$AS,MATCH($P$1,Database!$A$1:$AS$1,0),FALSE)=0,#N/A,VLOOKUP(A26,Database!$A:$AS,MATCH($P$1,Database!$A$1:$AS$1,0),FALSE))</f>
        <v/>
      </c>
      <c r="Q26" s="76">
        <f>(((Table134567891011121314151617343[[#This Row],[JPN]]-VLOOKUP($U$1,A:Q,16,))/VLOOKUP($U$1,A:Q,16,))*100)+100</f>
        <v/>
      </c>
      <c r="W26" s="86" t="inlineStr">
        <is>
          <t>NOR</t>
        </is>
      </c>
    </row>
    <row r="27" customFormat="1" s="86">
      <c r="A27" s="21" t="n">
        <v>33635</v>
      </c>
      <c r="B27" s="76">
        <f>IF(VLOOKUP(A27,Database!$A:$AS,MATCH($B$1,Database!$A$1:$AS$1,0),FALSE)=0,#N/A,VLOOKUP(A27,Database!$A:$AS,MATCH($B$1,Database!$A$1:$AS$1,0),FALSE))</f>
        <v/>
      </c>
      <c r="C27" s="76">
        <f>IF(VLOOKUP(A27,Database!$A:$AS,MATCH($C$1,Database!$A$1:$AS$1,0),FALSE)=0,#N/A,VLOOKUP(A27,Database!$A:$AS,MATCH($C$1,Database!$A$1:$AS$1,0),FALSE))</f>
        <v/>
      </c>
      <c r="D27" s="76">
        <f>IF(VLOOKUP(A27,Database!$A:$AS,MATCH($D$1,Database!$A$1:$AS$1,0),FALSE)=0,#N/A,VLOOKUP(A27,Database!$A:$AS,MATCH($D$1,Database!$A$1:$AS$1,0),FALSE))</f>
        <v/>
      </c>
      <c r="E27" s="76">
        <f>IF(VLOOKUP(A27,Database!$A:$AS,MATCH($E$1,Database!$A$1:$AS$1,0),FALSE)=0,#N/A,VLOOKUP(A27,Database!$A:$AS,MATCH($E$1,Database!$A$1:$AS$1,0),FALSE))</f>
        <v/>
      </c>
      <c r="F27" s="76">
        <f>IF(VLOOKUP(A27,Database!$A:$AS,MATCH($F$1,Database!$A$1:$AS$1,0),FALSE)=0,#N/A,VLOOKUP(A27,Database!$A:$AS,MATCH($F$1,Database!$A$1:$AS$1,0),FALSE))</f>
        <v/>
      </c>
      <c r="G27" s="76">
        <f>IF(VLOOKUP(A27,Database!$A:$AS,MATCH($G$1,Database!$A$1:$AS$1,0),FALSE)=0,#N/A,VLOOKUP(A27,Database!$A:$AS,MATCH($G$1,Database!$A$1:$AS$1,0),FALSE))</f>
        <v/>
      </c>
      <c r="H27" s="76">
        <f>(((Table134567891011121314151617343[[#This Row],[ITA]]-VLOOKUP($U$1,A:B,2,))/VLOOKUP($U$1,A:B,2,))*100)+100</f>
        <v/>
      </c>
      <c r="I27" s="76">
        <f>(((Table134567891011121314151617343[[#This Row],[FRA]]-VLOOKUP($U$1,A:C,3,))/VLOOKUP($U$1,A:C,3,))*100)+100</f>
        <v/>
      </c>
      <c r="J27" s="76">
        <f>(((Table134567891011121314151617343[[#This Row],[DEU]]-VLOOKUP($U$1,A:D,4,))/VLOOKUP($U$1,A:D,4,))*100)+100</f>
        <v/>
      </c>
      <c r="K27" s="76">
        <f>(((Table134567891011121314151617343[[#This Row],[ESP]]-VLOOKUP($U$1,A:E,5,))/VLOOKUP($U$1,A:E,5,))*100)+100</f>
        <v/>
      </c>
      <c r="L27" s="76">
        <f>(((Table134567891011121314151617343[[#This Row],[EA19]]-VLOOKUP($U$1,A:F,6,))/VLOOKUP($U$1,A:F,6,))*100)+100</f>
        <v/>
      </c>
      <c r="M27" s="76">
        <f>(((Table134567891011121314151617343[[#This Row],[GBR]]-VLOOKUP($U$1,A:G,7,))/VLOOKUP($U$1,A:G,7,))*100)+100</f>
        <v/>
      </c>
      <c r="N27" s="76">
        <f>IF(VLOOKUP(A27,Database!$A:$AU,MATCH($N$1,Database!$A$1:$AU$1,0),FALSE)=0,#N/A,VLOOKUP(A27,Database!$A:$AU,MATCH($N$1,Database!$A$1:$AU$1,0),FALSE))</f>
        <v/>
      </c>
      <c r="O27" s="76">
        <f>(((Table134567891011121314151617343[[#This Row],[USA]]-VLOOKUP($U$1,A:N,14,))/VLOOKUP($U$1,A:N,14,))*100)+100</f>
        <v/>
      </c>
      <c r="P27" s="76">
        <f>IF(VLOOKUP(A27,Database!$A:$AS,MATCH($P$1,Database!$A$1:$AS$1,0),FALSE)=0,#N/A,VLOOKUP(A27,Database!$A:$AS,MATCH($P$1,Database!$A$1:$AS$1,0),FALSE))</f>
        <v/>
      </c>
      <c r="Q27" s="76">
        <f>(((Table134567891011121314151617343[[#This Row],[JPN]]-VLOOKUP($U$1,A:Q,16,))/VLOOKUP($U$1,A:Q,16,))*100)+100</f>
        <v/>
      </c>
      <c r="W27" s="86" t="inlineStr">
        <is>
          <t>OECD</t>
        </is>
      </c>
    </row>
    <row r="28" customFormat="1" s="86">
      <c r="A28" s="21" t="n">
        <v>33664</v>
      </c>
      <c r="B28" s="76">
        <f>IF(VLOOKUP(A28,Database!$A:$AS,MATCH($B$1,Database!$A$1:$AS$1,0),FALSE)=0,#N/A,VLOOKUP(A28,Database!$A:$AS,MATCH($B$1,Database!$A$1:$AS$1,0),FALSE))</f>
        <v/>
      </c>
      <c r="C28" s="76">
        <f>IF(VLOOKUP(A28,Database!$A:$AS,MATCH($C$1,Database!$A$1:$AS$1,0),FALSE)=0,#N/A,VLOOKUP(A28,Database!$A:$AS,MATCH($C$1,Database!$A$1:$AS$1,0),FALSE))</f>
        <v/>
      </c>
      <c r="D28" s="76">
        <f>IF(VLOOKUP(A28,Database!$A:$AS,MATCH($D$1,Database!$A$1:$AS$1,0),FALSE)=0,#N/A,VLOOKUP(A28,Database!$A:$AS,MATCH($D$1,Database!$A$1:$AS$1,0),FALSE))</f>
        <v/>
      </c>
      <c r="E28" s="76">
        <f>IF(VLOOKUP(A28,Database!$A:$AS,MATCH($E$1,Database!$A$1:$AS$1,0),FALSE)=0,#N/A,VLOOKUP(A28,Database!$A:$AS,MATCH($E$1,Database!$A$1:$AS$1,0),FALSE))</f>
        <v/>
      </c>
      <c r="F28" s="76">
        <f>IF(VLOOKUP(A28,Database!$A:$AS,MATCH($F$1,Database!$A$1:$AS$1,0),FALSE)=0,#N/A,VLOOKUP(A28,Database!$A:$AS,MATCH($F$1,Database!$A$1:$AS$1,0),FALSE))</f>
        <v/>
      </c>
      <c r="G28" s="76">
        <f>IF(VLOOKUP(A28,Database!$A:$AS,MATCH($G$1,Database!$A$1:$AS$1,0),FALSE)=0,#N/A,VLOOKUP(A28,Database!$A:$AS,MATCH($G$1,Database!$A$1:$AS$1,0),FALSE))</f>
        <v/>
      </c>
      <c r="H28" s="76">
        <f>(((Table134567891011121314151617343[[#This Row],[ITA]]-VLOOKUP($U$1,A:B,2,))/VLOOKUP($U$1,A:B,2,))*100)+100</f>
        <v/>
      </c>
      <c r="I28" s="76">
        <f>(((Table134567891011121314151617343[[#This Row],[FRA]]-VLOOKUP($U$1,A:C,3,))/VLOOKUP($U$1,A:C,3,))*100)+100</f>
        <v/>
      </c>
      <c r="J28" s="76">
        <f>(((Table134567891011121314151617343[[#This Row],[DEU]]-VLOOKUP($U$1,A:D,4,))/VLOOKUP($U$1,A:D,4,))*100)+100</f>
        <v/>
      </c>
      <c r="K28" s="76">
        <f>(((Table134567891011121314151617343[[#This Row],[ESP]]-VLOOKUP($U$1,A:E,5,))/VLOOKUP($U$1,A:E,5,))*100)+100</f>
        <v/>
      </c>
      <c r="L28" s="76">
        <f>(((Table134567891011121314151617343[[#This Row],[EA19]]-VLOOKUP($U$1,A:F,6,))/VLOOKUP($U$1,A:F,6,))*100)+100</f>
        <v/>
      </c>
      <c r="M28" s="76">
        <f>(((Table134567891011121314151617343[[#This Row],[GBR]]-VLOOKUP($U$1,A:G,7,))/VLOOKUP($U$1,A:G,7,))*100)+100</f>
        <v/>
      </c>
      <c r="N28" s="76">
        <f>IF(VLOOKUP(A28,Database!$A:$AU,MATCH($N$1,Database!$A$1:$AU$1,0),FALSE)=0,#N/A,VLOOKUP(A28,Database!$A:$AU,MATCH($N$1,Database!$A$1:$AU$1,0),FALSE))</f>
        <v/>
      </c>
      <c r="O28" s="76">
        <f>(((Table134567891011121314151617343[[#This Row],[USA]]-VLOOKUP($U$1,A:N,14,))/VLOOKUP($U$1,A:N,14,))*100)+100</f>
        <v/>
      </c>
      <c r="P28" s="76">
        <f>IF(VLOOKUP(A28,Database!$A:$AS,MATCH($P$1,Database!$A$1:$AS$1,0),FALSE)=0,#N/A,VLOOKUP(A28,Database!$A:$AS,MATCH($P$1,Database!$A$1:$AS$1,0),FALSE))</f>
        <v/>
      </c>
      <c r="Q28" s="76">
        <f>(((Table134567891011121314151617343[[#This Row],[JPN]]-VLOOKUP($U$1,A:Q,16,))/VLOOKUP($U$1,A:Q,16,))*100)+100</f>
        <v/>
      </c>
      <c r="W28" s="86" t="inlineStr">
        <is>
          <t>POL</t>
        </is>
      </c>
    </row>
    <row r="29" customFormat="1" s="86">
      <c r="A29" s="21" t="n">
        <v>33695</v>
      </c>
      <c r="B29" s="76">
        <f>IF(VLOOKUP(A29,Database!$A:$AS,MATCH($B$1,Database!$A$1:$AS$1,0),FALSE)=0,#N/A,VLOOKUP(A29,Database!$A:$AS,MATCH($B$1,Database!$A$1:$AS$1,0),FALSE))</f>
        <v/>
      </c>
      <c r="C29" s="76">
        <f>IF(VLOOKUP(A29,Database!$A:$AS,MATCH($C$1,Database!$A$1:$AS$1,0),FALSE)=0,#N/A,VLOOKUP(A29,Database!$A:$AS,MATCH($C$1,Database!$A$1:$AS$1,0),FALSE))</f>
        <v/>
      </c>
      <c r="D29" s="76">
        <f>IF(VLOOKUP(A29,Database!$A:$AS,MATCH($D$1,Database!$A$1:$AS$1,0),FALSE)=0,#N/A,VLOOKUP(A29,Database!$A:$AS,MATCH($D$1,Database!$A$1:$AS$1,0),FALSE))</f>
        <v/>
      </c>
      <c r="E29" s="76">
        <f>IF(VLOOKUP(A29,Database!$A:$AS,MATCH($E$1,Database!$A$1:$AS$1,0),FALSE)=0,#N/A,VLOOKUP(A29,Database!$A:$AS,MATCH($E$1,Database!$A$1:$AS$1,0),FALSE))</f>
        <v/>
      </c>
      <c r="F29" s="76">
        <f>IF(VLOOKUP(A29,Database!$A:$AS,MATCH($F$1,Database!$A$1:$AS$1,0),FALSE)=0,#N/A,VLOOKUP(A29,Database!$A:$AS,MATCH($F$1,Database!$A$1:$AS$1,0),FALSE))</f>
        <v/>
      </c>
      <c r="G29" s="76">
        <f>IF(VLOOKUP(A29,Database!$A:$AS,MATCH($G$1,Database!$A$1:$AS$1,0),FALSE)=0,#N/A,VLOOKUP(A29,Database!$A:$AS,MATCH($G$1,Database!$A$1:$AS$1,0),FALSE))</f>
        <v/>
      </c>
      <c r="H29" s="76">
        <f>(((Table134567891011121314151617343[[#This Row],[ITA]]-VLOOKUP($U$1,A:B,2,))/VLOOKUP($U$1,A:B,2,))*100)+100</f>
        <v/>
      </c>
      <c r="I29" s="76">
        <f>(((Table134567891011121314151617343[[#This Row],[FRA]]-VLOOKUP($U$1,A:C,3,))/VLOOKUP($U$1,A:C,3,))*100)+100</f>
        <v/>
      </c>
      <c r="J29" s="76">
        <f>(((Table134567891011121314151617343[[#This Row],[DEU]]-VLOOKUP($U$1,A:D,4,))/VLOOKUP($U$1,A:D,4,))*100)+100</f>
        <v/>
      </c>
      <c r="K29" s="76">
        <f>(((Table134567891011121314151617343[[#This Row],[ESP]]-VLOOKUP($U$1,A:E,5,))/VLOOKUP($U$1,A:E,5,))*100)+100</f>
        <v/>
      </c>
      <c r="L29" s="76">
        <f>(((Table134567891011121314151617343[[#This Row],[EA19]]-VLOOKUP($U$1,A:F,6,))/VLOOKUP($U$1,A:F,6,))*100)+100</f>
        <v/>
      </c>
      <c r="M29" s="76">
        <f>(((Table134567891011121314151617343[[#This Row],[GBR]]-VLOOKUP($U$1,A:G,7,))/VLOOKUP($U$1,A:G,7,))*100)+100</f>
        <v/>
      </c>
      <c r="N29" s="76">
        <f>IF(VLOOKUP(A29,Database!$A:$AU,MATCH($N$1,Database!$A$1:$AU$1,0),FALSE)=0,#N/A,VLOOKUP(A29,Database!$A:$AU,MATCH($N$1,Database!$A$1:$AU$1,0),FALSE))</f>
        <v/>
      </c>
      <c r="O29" s="76">
        <f>(((Table134567891011121314151617343[[#This Row],[USA]]-VLOOKUP($U$1,A:N,14,))/VLOOKUP($U$1,A:N,14,))*100)+100</f>
        <v/>
      </c>
      <c r="P29" s="76">
        <f>IF(VLOOKUP(A29,Database!$A:$AS,MATCH($P$1,Database!$A$1:$AS$1,0),FALSE)=0,#N/A,VLOOKUP(A29,Database!$A:$AS,MATCH($P$1,Database!$A$1:$AS$1,0),FALSE))</f>
        <v/>
      </c>
      <c r="Q29" s="76">
        <f>(((Table134567891011121314151617343[[#This Row],[JPN]]-VLOOKUP($U$1,A:Q,16,))/VLOOKUP($U$1,A:Q,16,))*100)+100</f>
        <v/>
      </c>
      <c r="W29" s="86" t="inlineStr">
        <is>
          <t>PRT</t>
        </is>
      </c>
    </row>
    <row r="30" customFormat="1" s="86">
      <c r="A30" s="21" t="n">
        <v>33725</v>
      </c>
      <c r="B30" s="76">
        <f>IF(VLOOKUP(A30,Database!$A:$AS,MATCH($B$1,Database!$A$1:$AS$1,0),FALSE)=0,#N/A,VLOOKUP(A30,Database!$A:$AS,MATCH($B$1,Database!$A$1:$AS$1,0),FALSE))</f>
        <v/>
      </c>
      <c r="C30" s="76">
        <f>IF(VLOOKUP(A30,Database!$A:$AS,MATCH($C$1,Database!$A$1:$AS$1,0),FALSE)=0,#N/A,VLOOKUP(A30,Database!$A:$AS,MATCH($C$1,Database!$A$1:$AS$1,0),FALSE))</f>
        <v/>
      </c>
      <c r="D30" s="76">
        <f>IF(VLOOKUP(A30,Database!$A:$AS,MATCH($D$1,Database!$A$1:$AS$1,0),FALSE)=0,#N/A,VLOOKUP(A30,Database!$A:$AS,MATCH($D$1,Database!$A$1:$AS$1,0),FALSE))</f>
        <v/>
      </c>
      <c r="E30" s="76">
        <f>IF(VLOOKUP(A30,Database!$A:$AS,MATCH($E$1,Database!$A$1:$AS$1,0),FALSE)=0,#N/A,VLOOKUP(A30,Database!$A:$AS,MATCH($E$1,Database!$A$1:$AS$1,0),FALSE))</f>
        <v/>
      </c>
      <c r="F30" s="76">
        <f>IF(VLOOKUP(A30,Database!$A:$AS,MATCH($F$1,Database!$A$1:$AS$1,0),FALSE)=0,#N/A,VLOOKUP(A30,Database!$A:$AS,MATCH($F$1,Database!$A$1:$AS$1,0),FALSE))</f>
        <v/>
      </c>
      <c r="G30" s="76">
        <f>IF(VLOOKUP(A30,Database!$A:$AS,MATCH($G$1,Database!$A$1:$AS$1,0),FALSE)=0,#N/A,VLOOKUP(A30,Database!$A:$AS,MATCH($G$1,Database!$A$1:$AS$1,0),FALSE))</f>
        <v/>
      </c>
      <c r="H30" s="76">
        <f>(((Table134567891011121314151617343[[#This Row],[ITA]]-VLOOKUP($U$1,A:B,2,))/VLOOKUP($U$1,A:B,2,))*100)+100</f>
        <v/>
      </c>
      <c r="I30" s="76">
        <f>(((Table134567891011121314151617343[[#This Row],[FRA]]-VLOOKUP($U$1,A:C,3,))/VLOOKUP($U$1,A:C,3,))*100)+100</f>
        <v/>
      </c>
      <c r="J30" s="76">
        <f>(((Table134567891011121314151617343[[#This Row],[DEU]]-VLOOKUP($U$1,A:D,4,))/VLOOKUP($U$1,A:D,4,))*100)+100</f>
        <v/>
      </c>
      <c r="K30" s="76">
        <f>(((Table134567891011121314151617343[[#This Row],[ESP]]-VLOOKUP($U$1,A:E,5,))/VLOOKUP($U$1,A:E,5,))*100)+100</f>
        <v/>
      </c>
      <c r="L30" s="76">
        <f>(((Table134567891011121314151617343[[#This Row],[EA19]]-VLOOKUP($U$1,A:F,6,))/VLOOKUP($U$1,A:F,6,))*100)+100</f>
        <v/>
      </c>
      <c r="M30" s="76">
        <f>(((Table134567891011121314151617343[[#This Row],[GBR]]-VLOOKUP($U$1,A:G,7,))/VLOOKUP($U$1,A:G,7,))*100)+100</f>
        <v/>
      </c>
      <c r="N30" s="76">
        <f>IF(VLOOKUP(A30,Database!$A:$AU,MATCH($N$1,Database!$A$1:$AU$1,0),FALSE)=0,#N/A,VLOOKUP(A30,Database!$A:$AU,MATCH($N$1,Database!$A$1:$AU$1,0),FALSE))</f>
        <v/>
      </c>
      <c r="O30" s="76">
        <f>(((Table134567891011121314151617343[[#This Row],[USA]]-VLOOKUP($U$1,A:N,14,))/VLOOKUP($U$1,A:N,14,))*100)+100</f>
        <v/>
      </c>
      <c r="P30" s="76">
        <f>IF(VLOOKUP(A30,Database!$A:$AS,MATCH($P$1,Database!$A$1:$AS$1,0),FALSE)=0,#N/A,VLOOKUP(A30,Database!$A:$AS,MATCH($P$1,Database!$A$1:$AS$1,0),FALSE))</f>
        <v/>
      </c>
      <c r="Q30" s="76">
        <f>(((Table134567891011121314151617343[[#This Row],[JPN]]-VLOOKUP($U$1,A:Q,16,))/VLOOKUP($U$1,A:Q,16,))*100)+100</f>
        <v/>
      </c>
      <c r="W30" s="86" t="inlineStr">
        <is>
          <t>SVK</t>
        </is>
      </c>
    </row>
    <row r="31" customFormat="1" s="86">
      <c r="A31" s="21" t="n">
        <v>33756</v>
      </c>
      <c r="B31" s="76">
        <f>IF(VLOOKUP(A31,Database!$A:$AS,MATCH($B$1,Database!$A$1:$AS$1,0),FALSE)=0,#N/A,VLOOKUP(A31,Database!$A:$AS,MATCH($B$1,Database!$A$1:$AS$1,0),FALSE))</f>
        <v/>
      </c>
      <c r="C31" s="76">
        <f>IF(VLOOKUP(A31,Database!$A:$AS,MATCH($C$1,Database!$A$1:$AS$1,0),FALSE)=0,#N/A,VLOOKUP(A31,Database!$A:$AS,MATCH($C$1,Database!$A$1:$AS$1,0),FALSE))</f>
        <v/>
      </c>
      <c r="D31" s="76">
        <f>IF(VLOOKUP(A31,Database!$A:$AS,MATCH($D$1,Database!$A$1:$AS$1,0),FALSE)=0,#N/A,VLOOKUP(A31,Database!$A:$AS,MATCH($D$1,Database!$A$1:$AS$1,0),FALSE))</f>
        <v/>
      </c>
      <c r="E31" s="76">
        <f>IF(VLOOKUP(A31,Database!$A:$AS,MATCH($E$1,Database!$A$1:$AS$1,0),FALSE)=0,#N/A,VLOOKUP(A31,Database!$A:$AS,MATCH($E$1,Database!$A$1:$AS$1,0),FALSE))</f>
        <v/>
      </c>
      <c r="F31" s="76">
        <f>IF(VLOOKUP(A31,Database!$A:$AS,MATCH($F$1,Database!$A$1:$AS$1,0),FALSE)=0,#N/A,VLOOKUP(A31,Database!$A:$AS,MATCH($F$1,Database!$A$1:$AS$1,0),FALSE))</f>
        <v/>
      </c>
      <c r="G31" s="76">
        <f>IF(VLOOKUP(A31,Database!$A:$AS,MATCH($G$1,Database!$A$1:$AS$1,0),FALSE)=0,#N/A,VLOOKUP(A31,Database!$A:$AS,MATCH($G$1,Database!$A$1:$AS$1,0),FALSE))</f>
        <v/>
      </c>
      <c r="H31" s="76">
        <f>(((Table134567891011121314151617343[[#This Row],[ITA]]-VLOOKUP($U$1,A:B,2,))/VLOOKUP($U$1,A:B,2,))*100)+100</f>
        <v/>
      </c>
      <c r="I31" s="76">
        <f>(((Table134567891011121314151617343[[#This Row],[FRA]]-VLOOKUP($U$1,A:C,3,))/VLOOKUP($U$1,A:C,3,))*100)+100</f>
        <v/>
      </c>
      <c r="J31" s="76">
        <f>(((Table134567891011121314151617343[[#This Row],[DEU]]-VLOOKUP($U$1,A:D,4,))/VLOOKUP($U$1,A:D,4,))*100)+100</f>
        <v/>
      </c>
      <c r="K31" s="76">
        <f>(((Table134567891011121314151617343[[#This Row],[ESP]]-VLOOKUP($U$1,A:E,5,))/VLOOKUP($U$1,A:E,5,))*100)+100</f>
        <v/>
      </c>
      <c r="L31" s="76">
        <f>(((Table134567891011121314151617343[[#This Row],[EA19]]-VLOOKUP($U$1,A:F,6,))/VLOOKUP($U$1,A:F,6,))*100)+100</f>
        <v/>
      </c>
      <c r="M31" s="76">
        <f>(((Table134567891011121314151617343[[#This Row],[GBR]]-VLOOKUP($U$1,A:G,7,))/VLOOKUP($U$1,A:G,7,))*100)+100</f>
        <v/>
      </c>
      <c r="N31" s="76">
        <f>IF(VLOOKUP(A31,Database!$A:$AU,MATCH($N$1,Database!$A$1:$AU$1,0),FALSE)=0,#N/A,VLOOKUP(A31,Database!$A:$AU,MATCH($N$1,Database!$A$1:$AU$1,0),FALSE))</f>
        <v/>
      </c>
      <c r="O31" s="76">
        <f>(((Table134567891011121314151617343[[#This Row],[USA]]-VLOOKUP($U$1,A:N,14,))/VLOOKUP($U$1,A:N,14,))*100)+100</f>
        <v/>
      </c>
      <c r="P31" s="76">
        <f>IF(VLOOKUP(A31,Database!$A:$AS,MATCH($P$1,Database!$A$1:$AS$1,0),FALSE)=0,#N/A,VLOOKUP(A31,Database!$A:$AS,MATCH($P$1,Database!$A$1:$AS$1,0),FALSE))</f>
        <v/>
      </c>
      <c r="Q31" s="76">
        <f>(((Table134567891011121314151617343[[#This Row],[JPN]]-VLOOKUP($U$1,A:Q,16,))/VLOOKUP($U$1,A:Q,16,))*100)+100</f>
        <v/>
      </c>
      <c r="W31" s="86" t="inlineStr">
        <is>
          <t>SVN</t>
        </is>
      </c>
    </row>
    <row r="32" customFormat="1" s="86">
      <c r="A32" s="21" t="n">
        <v>33786</v>
      </c>
      <c r="B32" s="76">
        <f>IF(VLOOKUP(A32,Database!$A:$AS,MATCH($B$1,Database!$A$1:$AS$1,0),FALSE)=0,#N/A,VLOOKUP(A32,Database!$A:$AS,MATCH($B$1,Database!$A$1:$AS$1,0),FALSE))</f>
        <v/>
      </c>
      <c r="C32" s="76">
        <f>IF(VLOOKUP(A32,Database!$A:$AS,MATCH($C$1,Database!$A$1:$AS$1,0),FALSE)=0,#N/A,VLOOKUP(A32,Database!$A:$AS,MATCH($C$1,Database!$A$1:$AS$1,0),FALSE))</f>
        <v/>
      </c>
      <c r="D32" s="76">
        <f>IF(VLOOKUP(A32,Database!$A:$AS,MATCH($D$1,Database!$A$1:$AS$1,0),FALSE)=0,#N/A,VLOOKUP(A32,Database!$A:$AS,MATCH($D$1,Database!$A$1:$AS$1,0),FALSE))</f>
        <v/>
      </c>
      <c r="E32" s="76">
        <f>IF(VLOOKUP(A32,Database!$A:$AS,MATCH($E$1,Database!$A$1:$AS$1,0),FALSE)=0,#N/A,VLOOKUP(A32,Database!$A:$AS,MATCH($E$1,Database!$A$1:$AS$1,0),FALSE))</f>
        <v/>
      </c>
      <c r="F32" s="76">
        <f>IF(VLOOKUP(A32,Database!$A:$AS,MATCH($F$1,Database!$A$1:$AS$1,0),FALSE)=0,#N/A,VLOOKUP(A32,Database!$A:$AS,MATCH($F$1,Database!$A$1:$AS$1,0),FALSE))</f>
        <v/>
      </c>
      <c r="G32" s="76">
        <f>IF(VLOOKUP(A32,Database!$A:$AS,MATCH($G$1,Database!$A$1:$AS$1,0),FALSE)=0,#N/A,VLOOKUP(A32,Database!$A:$AS,MATCH($G$1,Database!$A$1:$AS$1,0),FALSE))</f>
        <v/>
      </c>
      <c r="H32" s="76">
        <f>(((Table134567891011121314151617343[[#This Row],[ITA]]-VLOOKUP($U$1,A:B,2,))/VLOOKUP($U$1,A:B,2,))*100)+100</f>
        <v/>
      </c>
      <c r="I32" s="76">
        <f>(((Table134567891011121314151617343[[#This Row],[FRA]]-VLOOKUP($U$1,A:C,3,))/VLOOKUP($U$1,A:C,3,))*100)+100</f>
        <v/>
      </c>
      <c r="J32" s="76">
        <f>(((Table134567891011121314151617343[[#This Row],[DEU]]-VLOOKUP($U$1,A:D,4,))/VLOOKUP($U$1,A:D,4,))*100)+100</f>
        <v/>
      </c>
      <c r="K32" s="76">
        <f>(((Table134567891011121314151617343[[#This Row],[ESP]]-VLOOKUP($U$1,A:E,5,))/VLOOKUP($U$1,A:E,5,))*100)+100</f>
        <v/>
      </c>
      <c r="L32" s="76">
        <f>(((Table134567891011121314151617343[[#This Row],[EA19]]-VLOOKUP($U$1,A:F,6,))/VLOOKUP($U$1,A:F,6,))*100)+100</f>
        <v/>
      </c>
      <c r="M32" s="76">
        <f>(((Table134567891011121314151617343[[#This Row],[GBR]]-VLOOKUP($U$1,A:G,7,))/VLOOKUP($U$1,A:G,7,))*100)+100</f>
        <v/>
      </c>
      <c r="N32" s="76">
        <f>IF(VLOOKUP(A32,Database!$A:$AU,MATCH($N$1,Database!$A$1:$AU$1,0),FALSE)=0,#N/A,VLOOKUP(A32,Database!$A:$AU,MATCH($N$1,Database!$A$1:$AU$1,0),FALSE))</f>
        <v/>
      </c>
      <c r="O32" s="76">
        <f>(((Table134567891011121314151617343[[#This Row],[USA]]-VLOOKUP($U$1,A:N,14,))/VLOOKUP($U$1,A:N,14,))*100)+100</f>
        <v/>
      </c>
      <c r="P32" s="76">
        <f>IF(VLOOKUP(A32,Database!$A:$AS,MATCH($P$1,Database!$A$1:$AS$1,0),FALSE)=0,#N/A,VLOOKUP(A32,Database!$A:$AS,MATCH($P$1,Database!$A$1:$AS$1,0),FALSE))</f>
        <v/>
      </c>
      <c r="Q32" s="76">
        <f>(((Table134567891011121314151617343[[#This Row],[JPN]]-VLOOKUP($U$1,A:Q,16,))/VLOOKUP($U$1,A:Q,16,))*100)+100</f>
        <v/>
      </c>
      <c r="W32" s="86" t="inlineStr">
        <is>
          <t>SWE</t>
        </is>
      </c>
    </row>
    <row r="33" customFormat="1" s="86">
      <c r="A33" s="21" t="n">
        <v>33817</v>
      </c>
      <c r="B33" s="76">
        <f>IF(VLOOKUP(A33,Database!$A:$AS,MATCH($B$1,Database!$A$1:$AS$1,0),FALSE)=0,#N/A,VLOOKUP(A33,Database!$A:$AS,MATCH($B$1,Database!$A$1:$AS$1,0),FALSE))</f>
        <v/>
      </c>
      <c r="C33" s="76">
        <f>IF(VLOOKUP(A33,Database!$A:$AS,MATCH($C$1,Database!$A$1:$AS$1,0),FALSE)=0,#N/A,VLOOKUP(A33,Database!$A:$AS,MATCH($C$1,Database!$A$1:$AS$1,0),FALSE))</f>
        <v/>
      </c>
      <c r="D33" s="76">
        <f>IF(VLOOKUP(A33,Database!$A:$AS,MATCH($D$1,Database!$A$1:$AS$1,0),FALSE)=0,#N/A,VLOOKUP(A33,Database!$A:$AS,MATCH($D$1,Database!$A$1:$AS$1,0),FALSE))</f>
        <v/>
      </c>
      <c r="E33" s="76">
        <f>IF(VLOOKUP(A33,Database!$A:$AS,MATCH($E$1,Database!$A$1:$AS$1,0),FALSE)=0,#N/A,VLOOKUP(A33,Database!$A:$AS,MATCH($E$1,Database!$A$1:$AS$1,0),FALSE))</f>
        <v/>
      </c>
      <c r="F33" s="76">
        <f>IF(VLOOKUP(A33,Database!$A:$AS,MATCH($F$1,Database!$A$1:$AS$1,0),FALSE)=0,#N/A,VLOOKUP(A33,Database!$A:$AS,MATCH($F$1,Database!$A$1:$AS$1,0),FALSE))</f>
        <v/>
      </c>
      <c r="G33" s="76">
        <f>IF(VLOOKUP(A33,Database!$A:$AS,MATCH($G$1,Database!$A$1:$AS$1,0),FALSE)=0,#N/A,VLOOKUP(A33,Database!$A:$AS,MATCH($G$1,Database!$A$1:$AS$1,0),FALSE))</f>
        <v/>
      </c>
      <c r="H33" s="76">
        <f>(((Table134567891011121314151617343[[#This Row],[ITA]]-VLOOKUP($U$1,A:B,2,))/VLOOKUP($U$1,A:B,2,))*100)+100</f>
        <v/>
      </c>
      <c r="I33" s="76">
        <f>(((Table134567891011121314151617343[[#This Row],[FRA]]-VLOOKUP($U$1,A:C,3,))/VLOOKUP($U$1,A:C,3,))*100)+100</f>
        <v/>
      </c>
      <c r="J33" s="76">
        <f>(((Table134567891011121314151617343[[#This Row],[DEU]]-VLOOKUP($U$1,A:D,4,))/VLOOKUP($U$1,A:D,4,))*100)+100</f>
        <v/>
      </c>
      <c r="K33" s="76">
        <f>(((Table134567891011121314151617343[[#This Row],[ESP]]-VLOOKUP($U$1,A:E,5,))/VLOOKUP($U$1,A:E,5,))*100)+100</f>
        <v/>
      </c>
      <c r="L33" s="76">
        <f>(((Table134567891011121314151617343[[#This Row],[EA19]]-VLOOKUP($U$1,A:F,6,))/VLOOKUP($U$1,A:F,6,))*100)+100</f>
        <v/>
      </c>
      <c r="M33" s="76">
        <f>(((Table134567891011121314151617343[[#This Row],[GBR]]-VLOOKUP($U$1,A:G,7,))/VLOOKUP($U$1,A:G,7,))*100)+100</f>
        <v/>
      </c>
      <c r="N33" s="76">
        <f>IF(VLOOKUP(A33,Database!$A:$AU,MATCH($N$1,Database!$A$1:$AU$1,0),FALSE)=0,#N/A,VLOOKUP(A33,Database!$A:$AU,MATCH($N$1,Database!$A$1:$AU$1,0),FALSE))</f>
        <v/>
      </c>
      <c r="O33" s="76">
        <f>(((Table134567891011121314151617343[[#This Row],[USA]]-VLOOKUP($U$1,A:N,14,))/VLOOKUP($U$1,A:N,14,))*100)+100</f>
        <v/>
      </c>
      <c r="P33" s="76">
        <f>IF(VLOOKUP(A33,Database!$A:$AS,MATCH($P$1,Database!$A$1:$AS$1,0),FALSE)=0,#N/A,VLOOKUP(A33,Database!$A:$AS,MATCH($P$1,Database!$A$1:$AS$1,0),FALSE))</f>
        <v/>
      </c>
      <c r="Q33" s="76">
        <f>(((Table134567891011121314151617343[[#This Row],[JPN]]-VLOOKUP($U$1,A:Q,16,))/VLOOKUP($U$1,A:Q,16,))*100)+100</f>
        <v/>
      </c>
      <c r="W33" s="86" t="inlineStr">
        <is>
          <t>TUR</t>
        </is>
      </c>
    </row>
    <row r="34" customFormat="1" s="86">
      <c r="A34" s="21" t="n">
        <v>33848</v>
      </c>
      <c r="B34" s="76">
        <f>IF(VLOOKUP(A34,Database!$A:$AS,MATCH($B$1,Database!$A$1:$AS$1,0),FALSE)=0,#N/A,VLOOKUP(A34,Database!$A:$AS,MATCH($B$1,Database!$A$1:$AS$1,0),FALSE))</f>
        <v/>
      </c>
      <c r="C34" s="76">
        <f>IF(VLOOKUP(A34,Database!$A:$AS,MATCH($C$1,Database!$A$1:$AS$1,0),FALSE)=0,#N/A,VLOOKUP(A34,Database!$A:$AS,MATCH($C$1,Database!$A$1:$AS$1,0),FALSE))</f>
        <v/>
      </c>
      <c r="D34" s="76">
        <f>IF(VLOOKUP(A34,Database!$A:$AS,MATCH($D$1,Database!$A$1:$AS$1,0),FALSE)=0,#N/A,VLOOKUP(A34,Database!$A:$AS,MATCH($D$1,Database!$A$1:$AS$1,0),FALSE))</f>
        <v/>
      </c>
      <c r="E34" s="76">
        <f>IF(VLOOKUP(A34,Database!$A:$AS,MATCH($E$1,Database!$A$1:$AS$1,0),FALSE)=0,#N/A,VLOOKUP(A34,Database!$A:$AS,MATCH($E$1,Database!$A$1:$AS$1,0),FALSE))</f>
        <v/>
      </c>
      <c r="F34" s="76">
        <f>IF(VLOOKUP(A34,Database!$A:$AS,MATCH($F$1,Database!$A$1:$AS$1,0),FALSE)=0,#N/A,VLOOKUP(A34,Database!$A:$AS,MATCH($F$1,Database!$A$1:$AS$1,0),FALSE))</f>
        <v/>
      </c>
      <c r="G34" s="76">
        <f>IF(VLOOKUP(A34,Database!$A:$AS,MATCH($G$1,Database!$A$1:$AS$1,0),FALSE)=0,#N/A,VLOOKUP(A34,Database!$A:$AS,MATCH($G$1,Database!$A$1:$AS$1,0),FALSE))</f>
        <v/>
      </c>
      <c r="H34" s="76">
        <f>(((Table134567891011121314151617343[[#This Row],[ITA]]-VLOOKUP($U$1,A:B,2,))/VLOOKUP($U$1,A:B,2,))*100)+100</f>
        <v/>
      </c>
      <c r="I34" s="76">
        <f>(((Table134567891011121314151617343[[#This Row],[FRA]]-VLOOKUP($U$1,A:C,3,))/VLOOKUP($U$1,A:C,3,))*100)+100</f>
        <v/>
      </c>
      <c r="J34" s="76">
        <f>(((Table134567891011121314151617343[[#This Row],[DEU]]-VLOOKUP($U$1,A:D,4,))/VLOOKUP($U$1,A:D,4,))*100)+100</f>
        <v/>
      </c>
      <c r="K34" s="76">
        <f>(((Table134567891011121314151617343[[#This Row],[ESP]]-VLOOKUP($U$1,A:E,5,))/VLOOKUP($U$1,A:E,5,))*100)+100</f>
        <v/>
      </c>
      <c r="L34" s="76">
        <f>(((Table134567891011121314151617343[[#This Row],[EA19]]-VLOOKUP($U$1,A:F,6,))/VLOOKUP($U$1,A:F,6,))*100)+100</f>
        <v/>
      </c>
      <c r="M34" s="76">
        <f>(((Table134567891011121314151617343[[#This Row],[GBR]]-VLOOKUP($U$1,A:G,7,))/VLOOKUP($U$1,A:G,7,))*100)+100</f>
        <v/>
      </c>
      <c r="N34" s="76">
        <f>IF(VLOOKUP(A34,Database!$A:$AU,MATCH($N$1,Database!$A$1:$AU$1,0),FALSE)=0,#N/A,VLOOKUP(A34,Database!$A:$AU,MATCH($N$1,Database!$A$1:$AU$1,0),FALSE))</f>
        <v/>
      </c>
      <c r="O34" s="76">
        <f>(((Table134567891011121314151617343[[#This Row],[USA]]-VLOOKUP($U$1,A:N,14,))/VLOOKUP($U$1,A:N,14,))*100)+100</f>
        <v/>
      </c>
      <c r="P34" s="76">
        <f>IF(VLOOKUP(A34,Database!$A:$AS,MATCH($P$1,Database!$A$1:$AS$1,0),FALSE)=0,#N/A,VLOOKUP(A34,Database!$A:$AS,MATCH($P$1,Database!$A$1:$AS$1,0),FALSE))</f>
        <v/>
      </c>
      <c r="Q34" s="76">
        <f>(((Table134567891011121314151617343[[#This Row],[JPN]]-VLOOKUP($U$1,A:Q,16,))/VLOOKUP($U$1,A:Q,16,))*100)+100</f>
        <v/>
      </c>
      <c r="W34" s="86" t="inlineStr">
        <is>
          <t>USA</t>
        </is>
      </c>
    </row>
    <row r="35" customFormat="1" s="86">
      <c r="A35" s="21" t="n">
        <v>33878</v>
      </c>
      <c r="B35" s="76">
        <f>IF(VLOOKUP(A35,Database!$A:$AS,MATCH($B$1,Database!$A$1:$AS$1,0),FALSE)=0,#N/A,VLOOKUP(A35,Database!$A:$AS,MATCH($B$1,Database!$A$1:$AS$1,0),FALSE))</f>
        <v/>
      </c>
      <c r="C35" s="76">
        <f>IF(VLOOKUP(A35,Database!$A:$AS,MATCH($C$1,Database!$A$1:$AS$1,0),FALSE)=0,#N/A,VLOOKUP(A35,Database!$A:$AS,MATCH($C$1,Database!$A$1:$AS$1,0),FALSE))</f>
        <v/>
      </c>
      <c r="D35" s="76">
        <f>IF(VLOOKUP(A35,Database!$A:$AS,MATCH($D$1,Database!$A$1:$AS$1,0),FALSE)=0,#N/A,VLOOKUP(A35,Database!$A:$AS,MATCH($D$1,Database!$A$1:$AS$1,0),FALSE))</f>
        <v/>
      </c>
      <c r="E35" s="76">
        <f>IF(VLOOKUP(A35,Database!$A:$AS,MATCH($E$1,Database!$A$1:$AS$1,0),FALSE)=0,#N/A,VLOOKUP(A35,Database!$A:$AS,MATCH($E$1,Database!$A$1:$AS$1,0),FALSE))</f>
        <v/>
      </c>
      <c r="F35" s="76">
        <f>IF(VLOOKUP(A35,Database!$A:$AS,MATCH($F$1,Database!$A$1:$AS$1,0),FALSE)=0,#N/A,VLOOKUP(A35,Database!$A:$AS,MATCH($F$1,Database!$A$1:$AS$1,0),FALSE))</f>
        <v/>
      </c>
      <c r="G35" s="76">
        <f>IF(VLOOKUP(A35,Database!$A:$AS,MATCH($G$1,Database!$A$1:$AS$1,0),FALSE)=0,#N/A,VLOOKUP(A35,Database!$A:$AS,MATCH($G$1,Database!$A$1:$AS$1,0),FALSE))</f>
        <v/>
      </c>
      <c r="H35" s="76">
        <f>(((Table134567891011121314151617343[[#This Row],[ITA]]-VLOOKUP($U$1,A:B,2,))/VLOOKUP($U$1,A:B,2,))*100)+100</f>
        <v/>
      </c>
      <c r="I35" s="76">
        <f>(((Table134567891011121314151617343[[#This Row],[FRA]]-VLOOKUP($U$1,A:C,3,))/VLOOKUP($U$1,A:C,3,))*100)+100</f>
        <v/>
      </c>
      <c r="J35" s="76">
        <f>(((Table134567891011121314151617343[[#This Row],[DEU]]-VLOOKUP($U$1,A:D,4,))/VLOOKUP($U$1,A:D,4,))*100)+100</f>
        <v/>
      </c>
      <c r="K35" s="76">
        <f>(((Table134567891011121314151617343[[#This Row],[ESP]]-VLOOKUP($U$1,A:E,5,))/VLOOKUP($U$1,A:E,5,))*100)+100</f>
        <v/>
      </c>
      <c r="L35" s="76">
        <f>(((Table134567891011121314151617343[[#This Row],[EA19]]-VLOOKUP($U$1,A:F,6,))/VLOOKUP($U$1,A:F,6,))*100)+100</f>
        <v/>
      </c>
      <c r="M35" s="76">
        <f>(((Table134567891011121314151617343[[#This Row],[GBR]]-VLOOKUP($U$1,A:G,7,))/VLOOKUP($U$1,A:G,7,))*100)+100</f>
        <v/>
      </c>
      <c r="N35" s="76">
        <f>IF(VLOOKUP(A35,Database!$A:$AU,MATCH($N$1,Database!$A$1:$AU$1,0),FALSE)=0,#N/A,VLOOKUP(A35,Database!$A:$AU,MATCH($N$1,Database!$A$1:$AU$1,0),FALSE))</f>
        <v/>
      </c>
      <c r="O35" s="76">
        <f>(((Table134567891011121314151617343[[#This Row],[USA]]-VLOOKUP($U$1,A:N,14,))/VLOOKUP($U$1,A:N,14,))*100)+100</f>
        <v/>
      </c>
      <c r="P35" s="76">
        <f>IF(VLOOKUP(A35,Database!$A:$AS,MATCH($P$1,Database!$A$1:$AS$1,0),FALSE)=0,#N/A,VLOOKUP(A35,Database!$A:$AS,MATCH($P$1,Database!$A$1:$AS$1,0),FALSE))</f>
        <v/>
      </c>
      <c r="Q35" s="76">
        <f>(((Table134567891011121314151617343[[#This Row],[JPN]]-VLOOKUP($U$1,A:Q,16,))/VLOOKUP($U$1,A:Q,16,))*100)+100</f>
        <v/>
      </c>
      <c r="W35" s="86" t="inlineStr">
        <is>
          <t>EA19</t>
        </is>
      </c>
    </row>
    <row r="36" customFormat="1" s="86">
      <c r="A36" s="21" t="n">
        <v>33909</v>
      </c>
      <c r="B36" s="76">
        <f>IF(VLOOKUP(A36,Database!$A:$AS,MATCH($B$1,Database!$A$1:$AS$1,0),FALSE)=0,#N/A,VLOOKUP(A36,Database!$A:$AS,MATCH($B$1,Database!$A$1:$AS$1,0),FALSE))</f>
        <v/>
      </c>
      <c r="C36" s="76">
        <f>IF(VLOOKUP(A36,Database!$A:$AS,MATCH($C$1,Database!$A$1:$AS$1,0),FALSE)=0,#N/A,VLOOKUP(A36,Database!$A:$AS,MATCH($C$1,Database!$A$1:$AS$1,0),FALSE))</f>
        <v/>
      </c>
      <c r="D36" s="76">
        <f>IF(VLOOKUP(A36,Database!$A:$AS,MATCH($D$1,Database!$A$1:$AS$1,0),FALSE)=0,#N/A,VLOOKUP(A36,Database!$A:$AS,MATCH($D$1,Database!$A$1:$AS$1,0),FALSE))</f>
        <v/>
      </c>
      <c r="E36" s="76">
        <f>IF(VLOOKUP(A36,Database!$A:$AS,MATCH($E$1,Database!$A$1:$AS$1,0),FALSE)=0,#N/A,VLOOKUP(A36,Database!$A:$AS,MATCH($E$1,Database!$A$1:$AS$1,0),FALSE))</f>
        <v/>
      </c>
      <c r="F36" s="76">
        <f>IF(VLOOKUP(A36,Database!$A:$AS,MATCH($F$1,Database!$A$1:$AS$1,0),FALSE)=0,#N/A,VLOOKUP(A36,Database!$A:$AS,MATCH($F$1,Database!$A$1:$AS$1,0),FALSE))</f>
        <v/>
      </c>
      <c r="G36" s="76">
        <f>IF(VLOOKUP(A36,Database!$A:$AS,MATCH($G$1,Database!$A$1:$AS$1,0),FALSE)=0,#N/A,VLOOKUP(A36,Database!$A:$AS,MATCH($G$1,Database!$A$1:$AS$1,0),FALSE))</f>
        <v/>
      </c>
      <c r="H36" s="76">
        <f>(((Table134567891011121314151617343[[#This Row],[ITA]]-VLOOKUP($U$1,A:B,2,))/VLOOKUP($U$1,A:B,2,))*100)+100</f>
        <v/>
      </c>
      <c r="I36" s="76">
        <f>(((Table134567891011121314151617343[[#This Row],[FRA]]-VLOOKUP($U$1,A:C,3,))/VLOOKUP($U$1,A:C,3,))*100)+100</f>
        <v/>
      </c>
      <c r="J36" s="76">
        <f>(((Table134567891011121314151617343[[#This Row],[DEU]]-VLOOKUP($U$1,A:D,4,))/VLOOKUP($U$1,A:D,4,))*100)+100</f>
        <v/>
      </c>
      <c r="K36" s="76">
        <f>(((Table134567891011121314151617343[[#This Row],[ESP]]-VLOOKUP($U$1,A:E,5,))/VLOOKUP($U$1,A:E,5,))*100)+100</f>
        <v/>
      </c>
      <c r="L36" s="76">
        <f>(((Table134567891011121314151617343[[#This Row],[EA19]]-VLOOKUP($U$1,A:F,6,))/VLOOKUP($U$1,A:F,6,))*100)+100</f>
        <v/>
      </c>
      <c r="M36" s="76">
        <f>(((Table134567891011121314151617343[[#This Row],[GBR]]-VLOOKUP($U$1,A:G,7,))/VLOOKUP($U$1,A:G,7,))*100)+100</f>
        <v/>
      </c>
      <c r="N36" s="76">
        <f>IF(VLOOKUP(A36,Database!$A:$AU,MATCH($N$1,Database!$A$1:$AU$1,0),FALSE)=0,#N/A,VLOOKUP(A36,Database!$A:$AU,MATCH($N$1,Database!$A$1:$AU$1,0),FALSE))</f>
        <v/>
      </c>
      <c r="O36" s="76">
        <f>(((Table134567891011121314151617343[[#This Row],[USA]]-VLOOKUP($U$1,A:N,14,))/VLOOKUP($U$1,A:N,14,))*100)+100</f>
        <v/>
      </c>
      <c r="P36" s="76">
        <f>IF(VLOOKUP(A36,Database!$A:$AS,MATCH($P$1,Database!$A$1:$AS$1,0),FALSE)=0,#N/A,VLOOKUP(A36,Database!$A:$AS,MATCH($P$1,Database!$A$1:$AS$1,0),FALSE))</f>
        <v/>
      </c>
      <c r="Q36" s="76">
        <f>(((Table134567891011121314151617343[[#This Row],[JPN]]-VLOOKUP($U$1,A:Q,16,))/VLOOKUP($U$1,A:Q,16,))*100)+100</f>
        <v/>
      </c>
      <c r="W36" s="86" t="inlineStr">
        <is>
          <t>EU28</t>
        </is>
      </c>
    </row>
    <row r="37" customFormat="1" s="86">
      <c r="A37" s="21" t="n">
        <v>33939</v>
      </c>
      <c r="B37" s="76">
        <f>IF(VLOOKUP(A37,Database!$A:$AS,MATCH($B$1,Database!$A$1:$AS$1,0),FALSE)=0,#N/A,VLOOKUP(A37,Database!$A:$AS,MATCH($B$1,Database!$A$1:$AS$1,0),FALSE))</f>
        <v/>
      </c>
      <c r="C37" s="76">
        <f>IF(VLOOKUP(A37,Database!$A:$AS,MATCH($C$1,Database!$A$1:$AS$1,0),FALSE)=0,#N/A,VLOOKUP(A37,Database!$A:$AS,MATCH($C$1,Database!$A$1:$AS$1,0),FALSE))</f>
        <v/>
      </c>
      <c r="D37" s="76">
        <f>IF(VLOOKUP(A37,Database!$A:$AS,MATCH($D$1,Database!$A$1:$AS$1,0),FALSE)=0,#N/A,VLOOKUP(A37,Database!$A:$AS,MATCH($D$1,Database!$A$1:$AS$1,0),FALSE))</f>
        <v/>
      </c>
      <c r="E37" s="76">
        <f>IF(VLOOKUP(A37,Database!$A:$AS,MATCH($E$1,Database!$A$1:$AS$1,0),FALSE)=0,#N/A,VLOOKUP(A37,Database!$A:$AS,MATCH($E$1,Database!$A$1:$AS$1,0),FALSE))</f>
        <v/>
      </c>
      <c r="F37" s="76">
        <f>IF(VLOOKUP(A37,Database!$A:$AS,MATCH($F$1,Database!$A$1:$AS$1,0),FALSE)=0,#N/A,VLOOKUP(A37,Database!$A:$AS,MATCH($F$1,Database!$A$1:$AS$1,0),FALSE))</f>
        <v/>
      </c>
      <c r="G37" s="76">
        <f>IF(VLOOKUP(A37,Database!$A:$AS,MATCH($G$1,Database!$A$1:$AS$1,0),FALSE)=0,#N/A,VLOOKUP(A37,Database!$A:$AS,MATCH($G$1,Database!$A$1:$AS$1,0),FALSE))</f>
        <v/>
      </c>
      <c r="H37" s="76">
        <f>(((Table134567891011121314151617343[[#This Row],[ITA]]-VLOOKUP($U$1,A:B,2,))/VLOOKUP($U$1,A:B,2,))*100)+100</f>
        <v/>
      </c>
      <c r="I37" s="76">
        <f>(((Table134567891011121314151617343[[#This Row],[FRA]]-VLOOKUP($U$1,A:C,3,))/VLOOKUP($U$1,A:C,3,))*100)+100</f>
        <v/>
      </c>
      <c r="J37" s="76">
        <f>(((Table134567891011121314151617343[[#This Row],[DEU]]-VLOOKUP($U$1,A:D,4,))/VLOOKUP($U$1,A:D,4,))*100)+100</f>
        <v/>
      </c>
      <c r="K37" s="76">
        <f>(((Table134567891011121314151617343[[#This Row],[ESP]]-VLOOKUP($U$1,A:E,5,))/VLOOKUP($U$1,A:E,5,))*100)+100</f>
        <v/>
      </c>
      <c r="L37" s="76">
        <f>(((Table134567891011121314151617343[[#This Row],[EA19]]-VLOOKUP($U$1,A:F,6,))/VLOOKUP($U$1,A:F,6,))*100)+100</f>
        <v/>
      </c>
      <c r="M37" s="76">
        <f>(((Table134567891011121314151617343[[#This Row],[GBR]]-VLOOKUP($U$1,A:G,7,))/VLOOKUP($U$1,A:G,7,))*100)+100</f>
        <v/>
      </c>
      <c r="N37" s="76">
        <f>IF(VLOOKUP(A37,Database!$A:$AU,MATCH($N$1,Database!$A$1:$AU$1,0),FALSE)=0,#N/A,VLOOKUP(A37,Database!$A:$AU,MATCH($N$1,Database!$A$1:$AU$1,0),FALSE))</f>
        <v/>
      </c>
      <c r="O37" s="76">
        <f>(((Table134567891011121314151617343[[#This Row],[USA]]-VLOOKUP($U$1,A:N,14,))/VLOOKUP($U$1,A:N,14,))*100)+100</f>
        <v/>
      </c>
      <c r="P37" s="76">
        <f>IF(VLOOKUP(A37,Database!$A:$AS,MATCH($P$1,Database!$A$1:$AS$1,0),FALSE)=0,#N/A,VLOOKUP(A37,Database!$A:$AS,MATCH($P$1,Database!$A$1:$AS$1,0),FALSE))</f>
        <v/>
      </c>
      <c r="Q37" s="76">
        <f>(((Table134567891011121314151617343[[#This Row],[JPN]]-VLOOKUP($U$1,A:Q,16,))/VLOOKUP($U$1,A:Q,16,))*100)+100</f>
        <v/>
      </c>
      <c r="W37" s="86" t="inlineStr">
        <is>
          <t>G7</t>
        </is>
      </c>
    </row>
    <row r="38" customFormat="1" s="86">
      <c r="A38" s="21" t="n">
        <v>33970</v>
      </c>
      <c r="B38" s="76">
        <f>IF(VLOOKUP(A38,Database!$A:$AS,MATCH($B$1,Database!$A$1:$AS$1,0),FALSE)=0,#N/A,VLOOKUP(A38,Database!$A:$AS,MATCH($B$1,Database!$A$1:$AS$1,0),FALSE))</f>
        <v/>
      </c>
      <c r="C38" s="76">
        <f>IF(VLOOKUP(A38,Database!$A:$AS,MATCH($C$1,Database!$A$1:$AS$1,0),FALSE)=0,#N/A,VLOOKUP(A38,Database!$A:$AS,MATCH($C$1,Database!$A$1:$AS$1,0),FALSE))</f>
        <v/>
      </c>
      <c r="D38" s="76">
        <f>IF(VLOOKUP(A38,Database!$A:$AS,MATCH($D$1,Database!$A$1:$AS$1,0),FALSE)=0,#N/A,VLOOKUP(A38,Database!$A:$AS,MATCH($D$1,Database!$A$1:$AS$1,0),FALSE))</f>
        <v/>
      </c>
      <c r="E38" s="76">
        <f>IF(VLOOKUP(A38,Database!$A:$AS,MATCH($E$1,Database!$A$1:$AS$1,0),FALSE)=0,#N/A,VLOOKUP(A38,Database!$A:$AS,MATCH($E$1,Database!$A$1:$AS$1,0),FALSE))</f>
        <v/>
      </c>
      <c r="F38" s="76">
        <f>IF(VLOOKUP(A38,Database!$A:$AS,MATCH($F$1,Database!$A$1:$AS$1,0),FALSE)=0,#N/A,VLOOKUP(A38,Database!$A:$AS,MATCH($F$1,Database!$A$1:$AS$1,0),FALSE))</f>
        <v/>
      </c>
      <c r="G38" s="76">
        <f>IF(VLOOKUP(A38,Database!$A:$AS,MATCH($G$1,Database!$A$1:$AS$1,0),FALSE)=0,#N/A,VLOOKUP(A38,Database!$A:$AS,MATCH($G$1,Database!$A$1:$AS$1,0),FALSE))</f>
        <v/>
      </c>
      <c r="H38" s="76">
        <f>(((Table134567891011121314151617343[[#This Row],[ITA]]-VLOOKUP($U$1,A:B,2,))/VLOOKUP($U$1,A:B,2,))*100)+100</f>
        <v/>
      </c>
      <c r="I38" s="76">
        <f>(((Table134567891011121314151617343[[#This Row],[FRA]]-VLOOKUP($U$1,A:C,3,))/VLOOKUP($U$1,A:C,3,))*100)+100</f>
        <v/>
      </c>
      <c r="J38" s="76">
        <f>(((Table134567891011121314151617343[[#This Row],[DEU]]-VLOOKUP($U$1,A:D,4,))/VLOOKUP($U$1,A:D,4,))*100)+100</f>
        <v/>
      </c>
      <c r="K38" s="76">
        <f>(((Table134567891011121314151617343[[#This Row],[ESP]]-VLOOKUP($U$1,A:E,5,))/VLOOKUP($U$1,A:E,5,))*100)+100</f>
        <v/>
      </c>
      <c r="L38" s="76">
        <f>(((Table134567891011121314151617343[[#This Row],[EA19]]-VLOOKUP($U$1,A:F,6,))/VLOOKUP($U$1,A:F,6,))*100)+100</f>
        <v/>
      </c>
      <c r="M38" s="76">
        <f>(((Table134567891011121314151617343[[#This Row],[GBR]]-VLOOKUP($U$1,A:G,7,))/VLOOKUP($U$1,A:G,7,))*100)+100</f>
        <v/>
      </c>
      <c r="N38" s="76">
        <f>IF(VLOOKUP(A38,Database!$A:$AU,MATCH($N$1,Database!$A$1:$AU$1,0),FALSE)=0,#N/A,VLOOKUP(A38,Database!$A:$AU,MATCH($N$1,Database!$A$1:$AU$1,0),FALSE))</f>
        <v/>
      </c>
      <c r="O38" s="76">
        <f>(((Table134567891011121314151617343[[#This Row],[USA]]-VLOOKUP($U$1,A:N,14,))/VLOOKUP($U$1,A:N,14,))*100)+100</f>
        <v/>
      </c>
      <c r="P38" s="76">
        <f>IF(VLOOKUP(A38,Database!$A:$AS,MATCH($P$1,Database!$A$1:$AS$1,0),FALSE)=0,#N/A,VLOOKUP(A38,Database!$A:$AS,MATCH($P$1,Database!$A$1:$AS$1,0),FALSE))</f>
        <v/>
      </c>
      <c r="Q38" s="76">
        <f>(((Table134567891011121314151617343[[#This Row],[JPN]]-VLOOKUP($U$1,A:Q,16,))/VLOOKUP($U$1,A:Q,16,))*100)+100</f>
        <v/>
      </c>
      <c r="W38" s="86" t="inlineStr">
        <is>
          <t>CHE</t>
        </is>
      </c>
    </row>
    <row r="39" customFormat="1" s="86">
      <c r="A39" s="21" t="n">
        <v>34001</v>
      </c>
      <c r="B39" s="76">
        <f>IF(VLOOKUP(A39,Database!$A:$AS,MATCH($B$1,Database!$A$1:$AS$1,0),FALSE)=0,#N/A,VLOOKUP(A39,Database!$A:$AS,MATCH($B$1,Database!$A$1:$AS$1,0),FALSE))</f>
        <v/>
      </c>
      <c r="C39" s="76">
        <f>IF(VLOOKUP(A39,Database!$A:$AS,MATCH($C$1,Database!$A$1:$AS$1,0),FALSE)=0,#N/A,VLOOKUP(A39,Database!$A:$AS,MATCH($C$1,Database!$A$1:$AS$1,0),FALSE))</f>
        <v/>
      </c>
      <c r="D39" s="76">
        <f>IF(VLOOKUP(A39,Database!$A:$AS,MATCH($D$1,Database!$A$1:$AS$1,0),FALSE)=0,#N/A,VLOOKUP(A39,Database!$A:$AS,MATCH($D$1,Database!$A$1:$AS$1,0),FALSE))</f>
        <v/>
      </c>
      <c r="E39" s="76">
        <f>IF(VLOOKUP(A39,Database!$A:$AS,MATCH($E$1,Database!$A$1:$AS$1,0),FALSE)=0,#N/A,VLOOKUP(A39,Database!$A:$AS,MATCH($E$1,Database!$A$1:$AS$1,0),FALSE))</f>
        <v/>
      </c>
      <c r="F39" s="76">
        <f>IF(VLOOKUP(A39,Database!$A:$AS,MATCH($F$1,Database!$A$1:$AS$1,0),FALSE)=0,#N/A,VLOOKUP(A39,Database!$A:$AS,MATCH($F$1,Database!$A$1:$AS$1,0),FALSE))</f>
        <v/>
      </c>
      <c r="G39" s="76">
        <f>IF(VLOOKUP(A39,Database!$A:$AS,MATCH($G$1,Database!$A$1:$AS$1,0),FALSE)=0,#N/A,VLOOKUP(A39,Database!$A:$AS,MATCH($G$1,Database!$A$1:$AS$1,0),FALSE))</f>
        <v/>
      </c>
      <c r="H39" s="76">
        <f>(((Table134567891011121314151617343[[#This Row],[ITA]]-VLOOKUP($U$1,A:B,2,))/VLOOKUP($U$1,A:B,2,))*100)+100</f>
        <v/>
      </c>
      <c r="I39" s="76">
        <f>(((Table134567891011121314151617343[[#This Row],[FRA]]-VLOOKUP($U$1,A:C,3,))/VLOOKUP($U$1,A:C,3,))*100)+100</f>
        <v/>
      </c>
      <c r="J39" s="76">
        <f>(((Table134567891011121314151617343[[#This Row],[DEU]]-VLOOKUP($U$1,A:D,4,))/VLOOKUP($U$1,A:D,4,))*100)+100</f>
        <v/>
      </c>
      <c r="K39" s="76">
        <f>(((Table134567891011121314151617343[[#This Row],[ESP]]-VLOOKUP($U$1,A:E,5,))/VLOOKUP($U$1,A:E,5,))*100)+100</f>
        <v/>
      </c>
      <c r="L39" s="76">
        <f>(((Table134567891011121314151617343[[#This Row],[EA19]]-VLOOKUP($U$1,A:F,6,))/VLOOKUP($U$1,A:F,6,))*100)+100</f>
        <v/>
      </c>
      <c r="M39" s="76">
        <f>(((Table134567891011121314151617343[[#This Row],[GBR]]-VLOOKUP($U$1,A:G,7,))/VLOOKUP($U$1,A:G,7,))*100)+100</f>
        <v/>
      </c>
      <c r="N39" s="76">
        <f>IF(VLOOKUP(A39,Database!$A:$AU,MATCH($N$1,Database!$A$1:$AU$1,0),FALSE)=0,#N/A,VLOOKUP(A39,Database!$A:$AU,MATCH($N$1,Database!$A$1:$AU$1,0),FALSE))</f>
        <v/>
      </c>
      <c r="O39" s="76">
        <f>(((Table134567891011121314151617343[[#This Row],[USA]]-VLOOKUP($U$1,A:N,14,))/VLOOKUP($U$1,A:N,14,))*100)+100</f>
        <v/>
      </c>
      <c r="P39" s="76">
        <f>IF(VLOOKUP(A39,Database!$A:$AS,MATCH($P$1,Database!$A$1:$AS$1,0),FALSE)=0,#N/A,VLOOKUP(A39,Database!$A:$AS,MATCH($P$1,Database!$A$1:$AS$1,0),FALSE))</f>
        <v/>
      </c>
      <c r="Q39" s="76">
        <f>(((Table134567891011121314151617343[[#This Row],[JPN]]-VLOOKUP($U$1,A:Q,16,))/VLOOKUP($U$1,A:Q,16,))*100)+100</f>
        <v/>
      </c>
      <c r="W39" s="86" t="inlineStr">
        <is>
          <t>IND</t>
        </is>
      </c>
    </row>
    <row r="40" customFormat="1" s="86">
      <c r="A40" s="21" t="n">
        <v>34029</v>
      </c>
      <c r="B40" s="76">
        <f>IF(VLOOKUP(A40,Database!$A:$AS,MATCH($B$1,Database!$A$1:$AS$1,0),FALSE)=0,#N/A,VLOOKUP(A40,Database!$A:$AS,MATCH($B$1,Database!$A$1:$AS$1,0),FALSE))</f>
        <v/>
      </c>
      <c r="C40" s="76">
        <f>IF(VLOOKUP(A40,Database!$A:$AS,MATCH($C$1,Database!$A$1:$AS$1,0),FALSE)=0,#N/A,VLOOKUP(A40,Database!$A:$AS,MATCH($C$1,Database!$A$1:$AS$1,0),FALSE))</f>
        <v/>
      </c>
      <c r="D40" s="76">
        <f>IF(VLOOKUP(A40,Database!$A:$AS,MATCH($D$1,Database!$A$1:$AS$1,0),FALSE)=0,#N/A,VLOOKUP(A40,Database!$A:$AS,MATCH($D$1,Database!$A$1:$AS$1,0),FALSE))</f>
        <v/>
      </c>
      <c r="E40" s="76">
        <f>IF(VLOOKUP(A40,Database!$A:$AS,MATCH($E$1,Database!$A$1:$AS$1,0),FALSE)=0,#N/A,VLOOKUP(A40,Database!$A:$AS,MATCH($E$1,Database!$A$1:$AS$1,0),FALSE))</f>
        <v/>
      </c>
      <c r="F40" s="76">
        <f>IF(VLOOKUP(A40,Database!$A:$AS,MATCH($F$1,Database!$A$1:$AS$1,0),FALSE)=0,#N/A,VLOOKUP(A40,Database!$A:$AS,MATCH($F$1,Database!$A$1:$AS$1,0),FALSE))</f>
        <v/>
      </c>
      <c r="G40" s="76">
        <f>IF(VLOOKUP(A40,Database!$A:$AS,MATCH($G$1,Database!$A$1:$AS$1,0),FALSE)=0,#N/A,VLOOKUP(A40,Database!$A:$AS,MATCH($G$1,Database!$A$1:$AS$1,0),FALSE))</f>
        <v/>
      </c>
      <c r="H40" s="76">
        <f>(((Table134567891011121314151617343[[#This Row],[ITA]]-VLOOKUP($U$1,A:B,2,))/VLOOKUP($U$1,A:B,2,))*100)+100</f>
        <v/>
      </c>
      <c r="I40" s="76">
        <f>(((Table134567891011121314151617343[[#This Row],[FRA]]-VLOOKUP($U$1,A:C,3,))/VLOOKUP($U$1,A:C,3,))*100)+100</f>
        <v/>
      </c>
      <c r="J40" s="76">
        <f>(((Table134567891011121314151617343[[#This Row],[DEU]]-VLOOKUP($U$1,A:D,4,))/VLOOKUP($U$1,A:D,4,))*100)+100</f>
        <v/>
      </c>
      <c r="K40" s="76">
        <f>(((Table134567891011121314151617343[[#This Row],[ESP]]-VLOOKUP($U$1,A:E,5,))/VLOOKUP($U$1,A:E,5,))*100)+100</f>
        <v/>
      </c>
      <c r="L40" s="76">
        <f>(((Table134567891011121314151617343[[#This Row],[EA19]]-VLOOKUP($U$1,A:F,6,))/VLOOKUP($U$1,A:F,6,))*100)+100</f>
        <v/>
      </c>
      <c r="M40" s="76">
        <f>(((Table134567891011121314151617343[[#This Row],[GBR]]-VLOOKUP($U$1,A:G,7,))/VLOOKUP($U$1,A:G,7,))*100)+100</f>
        <v/>
      </c>
      <c r="N40" s="76">
        <f>IF(VLOOKUP(A40,Database!$A:$AU,MATCH($N$1,Database!$A$1:$AU$1,0),FALSE)=0,#N/A,VLOOKUP(A40,Database!$A:$AU,MATCH($N$1,Database!$A$1:$AU$1,0),FALSE))</f>
        <v/>
      </c>
      <c r="O40" s="76">
        <f>(((Table134567891011121314151617343[[#This Row],[USA]]-VLOOKUP($U$1,A:N,14,))/VLOOKUP($U$1,A:N,14,))*100)+100</f>
        <v/>
      </c>
      <c r="P40" s="76">
        <f>IF(VLOOKUP(A40,Database!$A:$AS,MATCH($P$1,Database!$A$1:$AS$1,0),FALSE)=0,#N/A,VLOOKUP(A40,Database!$A:$AS,MATCH($P$1,Database!$A$1:$AS$1,0),FALSE))</f>
        <v/>
      </c>
      <c r="Q40" s="76">
        <f>(((Table134567891011121314151617343[[#This Row],[JPN]]-VLOOKUP($U$1,A:Q,16,))/VLOOKUP($U$1,A:Q,16,))*100)+100</f>
        <v/>
      </c>
      <c r="W40" s="86" t="inlineStr">
        <is>
          <t>ZAF</t>
        </is>
      </c>
    </row>
    <row r="41" customFormat="1" s="86">
      <c r="A41" s="21" t="n">
        <v>34060</v>
      </c>
      <c r="B41" s="76">
        <f>IF(VLOOKUP(A41,Database!$A:$AS,MATCH($B$1,Database!$A$1:$AS$1,0),FALSE)=0,#N/A,VLOOKUP(A41,Database!$A:$AS,MATCH($B$1,Database!$A$1:$AS$1,0),FALSE))</f>
        <v/>
      </c>
      <c r="C41" s="76">
        <f>IF(VLOOKUP(A41,Database!$A:$AS,MATCH($C$1,Database!$A$1:$AS$1,0),FALSE)=0,#N/A,VLOOKUP(A41,Database!$A:$AS,MATCH($C$1,Database!$A$1:$AS$1,0),FALSE))</f>
        <v/>
      </c>
      <c r="D41" s="76">
        <f>IF(VLOOKUP(A41,Database!$A:$AS,MATCH($D$1,Database!$A$1:$AS$1,0),FALSE)=0,#N/A,VLOOKUP(A41,Database!$A:$AS,MATCH($D$1,Database!$A$1:$AS$1,0),FALSE))</f>
        <v/>
      </c>
      <c r="E41" s="76">
        <f>IF(VLOOKUP(A41,Database!$A:$AS,MATCH($E$1,Database!$A$1:$AS$1,0),FALSE)=0,#N/A,VLOOKUP(A41,Database!$A:$AS,MATCH($E$1,Database!$A$1:$AS$1,0),FALSE))</f>
        <v/>
      </c>
      <c r="F41" s="76">
        <f>IF(VLOOKUP(A41,Database!$A:$AS,MATCH($F$1,Database!$A$1:$AS$1,0),FALSE)=0,#N/A,VLOOKUP(A41,Database!$A:$AS,MATCH($F$1,Database!$A$1:$AS$1,0),FALSE))</f>
        <v/>
      </c>
      <c r="G41" s="76">
        <f>IF(VLOOKUP(A41,Database!$A:$AS,MATCH($G$1,Database!$A$1:$AS$1,0),FALSE)=0,#N/A,VLOOKUP(A41,Database!$A:$AS,MATCH($G$1,Database!$A$1:$AS$1,0),FALSE))</f>
        <v/>
      </c>
      <c r="H41" s="76">
        <f>(((Table134567891011121314151617343[[#This Row],[ITA]]-VLOOKUP($U$1,A:B,2,))/VLOOKUP($U$1,A:B,2,))*100)+100</f>
        <v/>
      </c>
      <c r="I41" s="76">
        <f>(((Table134567891011121314151617343[[#This Row],[FRA]]-VLOOKUP($U$1,A:C,3,))/VLOOKUP($U$1,A:C,3,))*100)+100</f>
        <v/>
      </c>
      <c r="J41" s="76">
        <f>(((Table134567891011121314151617343[[#This Row],[DEU]]-VLOOKUP($U$1,A:D,4,))/VLOOKUP($U$1,A:D,4,))*100)+100</f>
        <v/>
      </c>
      <c r="K41" s="76">
        <f>(((Table134567891011121314151617343[[#This Row],[ESP]]-VLOOKUP($U$1,A:E,5,))/VLOOKUP($U$1,A:E,5,))*100)+100</f>
        <v/>
      </c>
      <c r="L41" s="76">
        <f>(((Table134567891011121314151617343[[#This Row],[EA19]]-VLOOKUP($U$1,A:F,6,))/VLOOKUP($U$1,A:F,6,))*100)+100</f>
        <v/>
      </c>
      <c r="M41" s="76">
        <f>(((Table134567891011121314151617343[[#This Row],[GBR]]-VLOOKUP($U$1,A:G,7,))/VLOOKUP($U$1,A:G,7,))*100)+100</f>
        <v/>
      </c>
      <c r="N41" s="76">
        <f>IF(VLOOKUP(A41,Database!$A:$AU,MATCH($N$1,Database!$A$1:$AU$1,0),FALSE)=0,#N/A,VLOOKUP(A41,Database!$A:$AU,MATCH($N$1,Database!$A$1:$AU$1,0),FALSE))</f>
        <v/>
      </c>
      <c r="O41" s="76">
        <f>(((Table134567891011121314151617343[[#This Row],[USA]]-VLOOKUP($U$1,A:N,14,))/VLOOKUP($U$1,A:N,14,))*100)+100</f>
        <v/>
      </c>
      <c r="P41" s="76">
        <f>IF(VLOOKUP(A41,Database!$A:$AS,MATCH($P$1,Database!$A$1:$AS$1,0),FALSE)=0,#N/A,VLOOKUP(A41,Database!$A:$AS,MATCH($P$1,Database!$A$1:$AS$1,0),FALSE))</f>
        <v/>
      </c>
      <c r="Q41" s="76">
        <f>(((Table134567891011121314151617343[[#This Row],[JPN]]-VLOOKUP($U$1,A:Q,16,))/VLOOKUP($U$1,A:Q,16,))*100)+100</f>
        <v/>
      </c>
      <c r="W41" s="86" t="inlineStr">
        <is>
          <t>RUS</t>
        </is>
      </c>
    </row>
    <row r="42" customFormat="1" s="86">
      <c r="A42" s="21" t="n">
        <v>34090</v>
      </c>
      <c r="B42" s="76">
        <f>IF(VLOOKUP(A42,Database!$A:$AS,MATCH($B$1,Database!$A$1:$AS$1,0),FALSE)=0,#N/A,VLOOKUP(A42,Database!$A:$AS,MATCH($B$1,Database!$A$1:$AS$1,0),FALSE))</f>
        <v/>
      </c>
      <c r="C42" s="76">
        <f>IF(VLOOKUP(A42,Database!$A:$AS,MATCH($C$1,Database!$A$1:$AS$1,0),FALSE)=0,#N/A,VLOOKUP(A42,Database!$A:$AS,MATCH($C$1,Database!$A$1:$AS$1,0),FALSE))</f>
        <v/>
      </c>
      <c r="D42" s="76">
        <f>IF(VLOOKUP(A42,Database!$A:$AS,MATCH($D$1,Database!$A$1:$AS$1,0),FALSE)=0,#N/A,VLOOKUP(A42,Database!$A:$AS,MATCH($D$1,Database!$A$1:$AS$1,0),FALSE))</f>
        <v/>
      </c>
      <c r="E42" s="76">
        <f>IF(VLOOKUP(A42,Database!$A:$AS,MATCH($E$1,Database!$A$1:$AS$1,0),FALSE)=0,#N/A,VLOOKUP(A42,Database!$A:$AS,MATCH($E$1,Database!$A$1:$AS$1,0),FALSE))</f>
        <v/>
      </c>
      <c r="F42" s="76">
        <f>IF(VLOOKUP(A42,Database!$A:$AS,MATCH($F$1,Database!$A$1:$AS$1,0),FALSE)=0,#N/A,VLOOKUP(A42,Database!$A:$AS,MATCH($F$1,Database!$A$1:$AS$1,0),FALSE))</f>
        <v/>
      </c>
      <c r="G42" s="76">
        <f>IF(VLOOKUP(A42,Database!$A:$AS,MATCH($G$1,Database!$A$1:$AS$1,0),FALSE)=0,#N/A,VLOOKUP(A42,Database!$A:$AS,MATCH($G$1,Database!$A$1:$AS$1,0),FALSE))</f>
        <v/>
      </c>
      <c r="H42" s="76">
        <f>(((Table134567891011121314151617343[[#This Row],[ITA]]-VLOOKUP($U$1,A:B,2,))/VLOOKUP($U$1,A:B,2,))*100)+100</f>
        <v/>
      </c>
      <c r="I42" s="76">
        <f>(((Table134567891011121314151617343[[#This Row],[FRA]]-VLOOKUP($U$1,A:C,3,))/VLOOKUP($U$1,A:C,3,))*100)+100</f>
        <v/>
      </c>
      <c r="J42" s="76">
        <f>(((Table134567891011121314151617343[[#This Row],[DEU]]-VLOOKUP($U$1,A:D,4,))/VLOOKUP($U$1,A:D,4,))*100)+100</f>
        <v/>
      </c>
      <c r="K42" s="76">
        <f>(((Table134567891011121314151617343[[#This Row],[ESP]]-VLOOKUP($U$1,A:E,5,))/VLOOKUP($U$1,A:E,5,))*100)+100</f>
        <v/>
      </c>
      <c r="L42" s="76">
        <f>(((Table134567891011121314151617343[[#This Row],[EA19]]-VLOOKUP($U$1,A:F,6,))/VLOOKUP($U$1,A:F,6,))*100)+100</f>
        <v/>
      </c>
      <c r="M42" s="76">
        <f>(((Table134567891011121314151617343[[#This Row],[GBR]]-VLOOKUP($U$1,A:G,7,))/VLOOKUP($U$1,A:G,7,))*100)+100</f>
        <v/>
      </c>
      <c r="N42" s="76">
        <f>IF(VLOOKUP(A42,Database!$A:$AU,MATCH($N$1,Database!$A$1:$AU$1,0),FALSE)=0,#N/A,VLOOKUP(A42,Database!$A:$AU,MATCH($N$1,Database!$A$1:$AU$1,0),FALSE))</f>
        <v/>
      </c>
      <c r="O42" s="76">
        <f>(((Table134567891011121314151617343[[#This Row],[USA]]-VLOOKUP($U$1,A:N,14,))/VLOOKUP($U$1,A:N,14,))*100)+100</f>
        <v/>
      </c>
      <c r="P42" s="76">
        <f>IF(VLOOKUP(A42,Database!$A:$AS,MATCH($P$1,Database!$A$1:$AS$1,0),FALSE)=0,#N/A,VLOOKUP(A42,Database!$A:$AS,MATCH($P$1,Database!$A$1:$AS$1,0),FALSE))</f>
        <v/>
      </c>
      <c r="Q42" s="76">
        <f>(((Table134567891011121314151617343[[#This Row],[JPN]]-VLOOKUP($U$1,A:Q,16,))/VLOOKUP($U$1,A:Q,16,))*100)+100</f>
        <v/>
      </c>
    </row>
    <row r="43" customFormat="1" s="86">
      <c r="A43" s="21" t="n">
        <v>34121</v>
      </c>
      <c r="B43" s="76">
        <f>IF(VLOOKUP(A43,Database!$A:$AS,MATCH($B$1,Database!$A$1:$AS$1,0),FALSE)=0,#N/A,VLOOKUP(A43,Database!$A:$AS,MATCH($B$1,Database!$A$1:$AS$1,0),FALSE))</f>
        <v/>
      </c>
      <c r="C43" s="76">
        <f>IF(VLOOKUP(A43,Database!$A:$AS,MATCH($C$1,Database!$A$1:$AS$1,0),FALSE)=0,#N/A,VLOOKUP(A43,Database!$A:$AS,MATCH($C$1,Database!$A$1:$AS$1,0),FALSE))</f>
        <v/>
      </c>
      <c r="D43" s="76">
        <f>IF(VLOOKUP(A43,Database!$A:$AS,MATCH($D$1,Database!$A$1:$AS$1,0),FALSE)=0,#N/A,VLOOKUP(A43,Database!$A:$AS,MATCH($D$1,Database!$A$1:$AS$1,0),FALSE))</f>
        <v/>
      </c>
      <c r="E43" s="76">
        <f>IF(VLOOKUP(A43,Database!$A:$AS,MATCH($E$1,Database!$A$1:$AS$1,0),FALSE)=0,#N/A,VLOOKUP(A43,Database!$A:$AS,MATCH($E$1,Database!$A$1:$AS$1,0),FALSE))</f>
        <v/>
      </c>
      <c r="F43" s="76">
        <f>IF(VLOOKUP(A43,Database!$A:$AS,MATCH($F$1,Database!$A$1:$AS$1,0),FALSE)=0,#N/A,VLOOKUP(A43,Database!$A:$AS,MATCH($F$1,Database!$A$1:$AS$1,0),FALSE))</f>
        <v/>
      </c>
      <c r="G43" s="76">
        <f>IF(VLOOKUP(A43,Database!$A:$AS,MATCH($G$1,Database!$A$1:$AS$1,0),FALSE)=0,#N/A,VLOOKUP(A43,Database!$A:$AS,MATCH($G$1,Database!$A$1:$AS$1,0),FALSE))</f>
        <v/>
      </c>
      <c r="H43" s="76">
        <f>(((Table134567891011121314151617343[[#This Row],[ITA]]-VLOOKUP($U$1,A:B,2,))/VLOOKUP($U$1,A:B,2,))*100)+100</f>
        <v/>
      </c>
      <c r="I43" s="76">
        <f>(((Table134567891011121314151617343[[#This Row],[FRA]]-VLOOKUP($U$1,A:C,3,))/VLOOKUP($U$1,A:C,3,))*100)+100</f>
        <v/>
      </c>
      <c r="J43" s="76">
        <f>(((Table134567891011121314151617343[[#This Row],[DEU]]-VLOOKUP($U$1,A:D,4,))/VLOOKUP($U$1,A:D,4,))*100)+100</f>
        <v/>
      </c>
      <c r="K43" s="76">
        <f>(((Table134567891011121314151617343[[#This Row],[ESP]]-VLOOKUP($U$1,A:E,5,))/VLOOKUP($U$1,A:E,5,))*100)+100</f>
        <v/>
      </c>
      <c r="L43" s="76">
        <f>(((Table134567891011121314151617343[[#This Row],[EA19]]-VLOOKUP($U$1,A:F,6,))/VLOOKUP($U$1,A:F,6,))*100)+100</f>
        <v/>
      </c>
      <c r="M43" s="76">
        <f>(((Table134567891011121314151617343[[#This Row],[GBR]]-VLOOKUP($U$1,A:G,7,))/VLOOKUP($U$1,A:G,7,))*100)+100</f>
        <v/>
      </c>
      <c r="N43" s="76">
        <f>IF(VLOOKUP(A43,Database!$A:$AU,MATCH($N$1,Database!$A$1:$AU$1,0),FALSE)=0,#N/A,VLOOKUP(A43,Database!$A:$AU,MATCH($N$1,Database!$A$1:$AU$1,0),FALSE))</f>
        <v/>
      </c>
      <c r="O43" s="76">
        <f>(((Table134567891011121314151617343[[#This Row],[USA]]-VLOOKUP($U$1,A:N,14,))/VLOOKUP($U$1,A:N,14,))*100)+100</f>
        <v/>
      </c>
      <c r="P43" s="76">
        <f>IF(VLOOKUP(A43,Database!$A:$AS,MATCH($P$1,Database!$A$1:$AS$1,0),FALSE)=0,#N/A,VLOOKUP(A43,Database!$A:$AS,MATCH($P$1,Database!$A$1:$AS$1,0),FALSE))</f>
        <v/>
      </c>
      <c r="Q43" s="76">
        <f>(((Table134567891011121314151617343[[#This Row],[JPN]]-VLOOKUP($U$1,A:Q,16,))/VLOOKUP($U$1,A:Q,16,))*100)+100</f>
        <v/>
      </c>
    </row>
    <row r="44" customFormat="1" s="86">
      <c r="A44" s="21" t="n">
        <v>34151</v>
      </c>
      <c r="B44" s="76">
        <f>IF(VLOOKUP(A44,Database!$A:$AS,MATCH($B$1,Database!$A$1:$AS$1,0),FALSE)=0,#N/A,VLOOKUP(A44,Database!$A:$AS,MATCH($B$1,Database!$A$1:$AS$1,0),FALSE))</f>
        <v/>
      </c>
      <c r="C44" s="76">
        <f>IF(VLOOKUP(A44,Database!$A:$AS,MATCH($C$1,Database!$A$1:$AS$1,0),FALSE)=0,#N/A,VLOOKUP(A44,Database!$A:$AS,MATCH($C$1,Database!$A$1:$AS$1,0),FALSE))</f>
        <v/>
      </c>
      <c r="D44" s="76">
        <f>IF(VLOOKUP(A44,Database!$A:$AS,MATCH($D$1,Database!$A$1:$AS$1,0),FALSE)=0,#N/A,VLOOKUP(A44,Database!$A:$AS,MATCH($D$1,Database!$A$1:$AS$1,0),FALSE))</f>
        <v/>
      </c>
      <c r="E44" s="76">
        <f>IF(VLOOKUP(A44,Database!$A:$AS,MATCH($E$1,Database!$A$1:$AS$1,0),FALSE)=0,#N/A,VLOOKUP(A44,Database!$A:$AS,MATCH($E$1,Database!$A$1:$AS$1,0),FALSE))</f>
        <v/>
      </c>
      <c r="F44" s="76">
        <f>IF(VLOOKUP(A44,Database!$A:$AS,MATCH($F$1,Database!$A$1:$AS$1,0),FALSE)=0,#N/A,VLOOKUP(A44,Database!$A:$AS,MATCH($F$1,Database!$A$1:$AS$1,0),FALSE))</f>
        <v/>
      </c>
      <c r="G44" s="76">
        <f>IF(VLOOKUP(A44,Database!$A:$AS,MATCH($G$1,Database!$A$1:$AS$1,0),FALSE)=0,#N/A,VLOOKUP(A44,Database!$A:$AS,MATCH($G$1,Database!$A$1:$AS$1,0),FALSE))</f>
        <v/>
      </c>
      <c r="H44" s="76">
        <f>(((Table134567891011121314151617343[[#This Row],[ITA]]-VLOOKUP($U$1,A:B,2,))/VLOOKUP($U$1,A:B,2,))*100)+100</f>
        <v/>
      </c>
      <c r="I44" s="76">
        <f>(((Table134567891011121314151617343[[#This Row],[FRA]]-VLOOKUP($U$1,A:C,3,))/VLOOKUP($U$1,A:C,3,))*100)+100</f>
        <v/>
      </c>
      <c r="J44" s="76">
        <f>(((Table134567891011121314151617343[[#This Row],[DEU]]-VLOOKUP($U$1,A:D,4,))/VLOOKUP($U$1,A:D,4,))*100)+100</f>
        <v/>
      </c>
      <c r="K44" s="76">
        <f>(((Table134567891011121314151617343[[#This Row],[ESP]]-VLOOKUP($U$1,A:E,5,))/VLOOKUP($U$1,A:E,5,))*100)+100</f>
        <v/>
      </c>
      <c r="L44" s="76">
        <f>(((Table134567891011121314151617343[[#This Row],[EA19]]-VLOOKUP($U$1,A:F,6,))/VLOOKUP($U$1,A:F,6,))*100)+100</f>
        <v/>
      </c>
      <c r="M44" s="76">
        <f>(((Table134567891011121314151617343[[#This Row],[GBR]]-VLOOKUP($U$1,A:G,7,))/VLOOKUP($U$1,A:G,7,))*100)+100</f>
        <v/>
      </c>
      <c r="N44" s="76">
        <f>IF(VLOOKUP(A44,Database!$A:$AU,MATCH($N$1,Database!$A$1:$AU$1,0),FALSE)=0,#N/A,VLOOKUP(A44,Database!$A:$AU,MATCH($N$1,Database!$A$1:$AU$1,0),FALSE))</f>
        <v/>
      </c>
      <c r="O44" s="76">
        <f>(((Table134567891011121314151617343[[#This Row],[USA]]-VLOOKUP($U$1,A:N,14,))/VLOOKUP($U$1,A:N,14,))*100)+100</f>
        <v/>
      </c>
      <c r="P44" s="76">
        <f>IF(VLOOKUP(A44,Database!$A:$AS,MATCH($P$1,Database!$A$1:$AS$1,0),FALSE)=0,#N/A,VLOOKUP(A44,Database!$A:$AS,MATCH($P$1,Database!$A$1:$AS$1,0),FALSE))</f>
        <v/>
      </c>
      <c r="Q44" s="76">
        <f>(((Table134567891011121314151617343[[#This Row],[JPN]]-VLOOKUP($U$1,A:Q,16,))/VLOOKUP($U$1,A:Q,16,))*100)+100</f>
        <v/>
      </c>
    </row>
    <row r="45" customFormat="1" s="86">
      <c r="A45" s="21" t="n">
        <v>34182</v>
      </c>
      <c r="B45" s="76">
        <f>IF(VLOOKUP(A45,Database!$A:$AS,MATCH($B$1,Database!$A$1:$AS$1,0),FALSE)=0,#N/A,VLOOKUP(A45,Database!$A:$AS,MATCH($B$1,Database!$A$1:$AS$1,0),FALSE))</f>
        <v/>
      </c>
      <c r="C45" s="76">
        <f>IF(VLOOKUP(A45,Database!$A:$AS,MATCH($C$1,Database!$A$1:$AS$1,0),FALSE)=0,#N/A,VLOOKUP(A45,Database!$A:$AS,MATCH($C$1,Database!$A$1:$AS$1,0),FALSE))</f>
        <v/>
      </c>
      <c r="D45" s="76">
        <f>IF(VLOOKUP(A45,Database!$A:$AS,MATCH($D$1,Database!$A$1:$AS$1,0),FALSE)=0,#N/A,VLOOKUP(A45,Database!$A:$AS,MATCH($D$1,Database!$A$1:$AS$1,0),FALSE))</f>
        <v/>
      </c>
      <c r="E45" s="76">
        <f>IF(VLOOKUP(A45,Database!$A:$AS,MATCH($E$1,Database!$A$1:$AS$1,0),FALSE)=0,#N/A,VLOOKUP(A45,Database!$A:$AS,MATCH($E$1,Database!$A$1:$AS$1,0),FALSE))</f>
        <v/>
      </c>
      <c r="F45" s="76">
        <f>IF(VLOOKUP(A45,Database!$A:$AS,MATCH($F$1,Database!$A$1:$AS$1,0),FALSE)=0,#N/A,VLOOKUP(A45,Database!$A:$AS,MATCH($F$1,Database!$A$1:$AS$1,0),FALSE))</f>
        <v/>
      </c>
      <c r="G45" s="76">
        <f>IF(VLOOKUP(A45,Database!$A:$AS,MATCH($G$1,Database!$A$1:$AS$1,0),FALSE)=0,#N/A,VLOOKUP(A45,Database!$A:$AS,MATCH($G$1,Database!$A$1:$AS$1,0),FALSE))</f>
        <v/>
      </c>
      <c r="H45" s="76">
        <f>(((Table134567891011121314151617343[[#This Row],[ITA]]-VLOOKUP($U$1,A:B,2,))/VLOOKUP($U$1,A:B,2,))*100)+100</f>
        <v/>
      </c>
      <c r="I45" s="76">
        <f>(((Table134567891011121314151617343[[#This Row],[FRA]]-VLOOKUP($U$1,A:C,3,))/VLOOKUP($U$1,A:C,3,))*100)+100</f>
        <v/>
      </c>
      <c r="J45" s="76">
        <f>(((Table134567891011121314151617343[[#This Row],[DEU]]-VLOOKUP($U$1,A:D,4,))/VLOOKUP($U$1,A:D,4,))*100)+100</f>
        <v/>
      </c>
      <c r="K45" s="76">
        <f>(((Table134567891011121314151617343[[#This Row],[ESP]]-VLOOKUP($U$1,A:E,5,))/VLOOKUP($U$1,A:E,5,))*100)+100</f>
        <v/>
      </c>
      <c r="L45" s="76">
        <f>(((Table134567891011121314151617343[[#This Row],[EA19]]-VLOOKUP($U$1,A:F,6,))/VLOOKUP($U$1,A:F,6,))*100)+100</f>
        <v/>
      </c>
      <c r="M45" s="76">
        <f>(((Table134567891011121314151617343[[#This Row],[GBR]]-VLOOKUP($U$1,A:G,7,))/VLOOKUP($U$1,A:G,7,))*100)+100</f>
        <v/>
      </c>
      <c r="N45" s="76">
        <f>IF(VLOOKUP(A45,Database!$A:$AU,MATCH($N$1,Database!$A$1:$AU$1,0),FALSE)=0,#N/A,VLOOKUP(A45,Database!$A:$AU,MATCH($N$1,Database!$A$1:$AU$1,0),FALSE))</f>
        <v/>
      </c>
      <c r="O45" s="76">
        <f>(((Table134567891011121314151617343[[#This Row],[USA]]-VLOOKUP($U$1,A:N,14,))/VLOOKUP($U$1,A:N,14,))*100)+100</f>
        <v/>
      </c>
      <c r="P45" s="76">
        <f>IF(VLOOKUP(A45,Database!$A:$AS,MATCH($P$1,Database!$A$1:$AS$1,0),FALSE)=0,#N/A,VLOOKUP(A45,Database!$A:$AS,MATCH($P$1,Database!$A$1:$AS$1,0),FALSE))</f>
        <v/>
      </c>
      <c r="Q45" s="76">
        <f>(((Table134567891011121314151617343[[#This Row],[JPN]]-VLOOKUP($U$1,A:Q,16,))/VLOOKUP($U$1,A:Q,16,))*100)+100</f>
        <v/>
      </c>
    </row>
    <row r="46" customFormat="1" s="86">
      <c r="A46" s="21" t="n">
        <v>34213</v>
      </c>
      <c r="B46" s="76">
        <f>IF(VLOOKUP(A46,Database!$A:$AS,MATCH($B$1,Database!$A$1:$AS$1,0),FALSE)=0,#N/A,VLOOKUP(A46,Database!$A:$AS,MATCH($B$1,Database!$A$1:$AS$1,0),FALSE))</f>
        <v/>
      </c>
      <c r="C46" s="76">
        <f>IF(VLOOKUP(A46,Database!$A:$AS,MATCH($C$1,Database!$A$1:$AS$1,0),FALSE)=0,#N/A,VLOOKUP(A46,Database!$A:$AS,MATCH($C$1,Database!$A$1:$AS$1,0),FALSE))</f>
        <v/>
      </c>
      <c r="D46" s="76">
        <f>IF(VLOOKUP(A46,Database!$A:$AS,MATCH($D$1,Database!$A$1:$AS$1,0),FALSE)=0,#N/A,VLOOKUP(A46,Database!$A:$AS,MATCH($D$1,Database!$A$1:$AS$1,0),FALSE))</f>
        <v/>
      </c>
      <c r="E46" s="76">
        <f>IF(VLOOKUP(A46,Database!$A:$AS,MATCH($E$1,Database!$A$1:$AS$1,0),FALSE)=0,#N/A,VLOOKUP(A46,Database!$A:$AS,MATCH($E$1,Database!$A$1:$AS$1,0),FALSE))</f>
        <v/>
      </c>
      <c r="F46" s="76">
        <f>IF(VLOOKUP(A46,Database!$A:$AS,MATCH($F$1,Database!$A$1:$AS$1,0),FALSE)=0,#N/A,VLOOKUP(A46,Database!$A:$AS,MATCH($F$1,Database!$A$1:$AS$1,0),FALSE))</f>
        <v/>
      </c>
      <c r="G46" s="76">
        <f>IF(VLOOKUP(A46,Database!$A:$AS,MATCH($G$1,Database!$A$1:$AS$1,0),FALSE)=0,#N/A,VLOOKUP(A46,Database!$A:$AS,MATCH($G$1,Database!$A$1:$AS$1,0),FALSE))</f>
        <v/>
      </c>
      <c r="H46" s="76">
        <f>(((Table134567891011121314151617343[[#This Row],[ITA]]-VLOOKUP($U$1,A:B,2,))/VLOOKUP($U$1,A:B,2,))*100)+100</f>
        <v/>
      </c>
      <c r="I46" s="76">
        <f>(((Table134567891011121314151617343[[#This Row],[FRA]]-VLOOKUP($U$1,A:C,3,))/VLOOKUP($U$1,A:C,3,))*100)+100</f>
        <v/>
      </c>
      <c r="J46" s="76">
        <f>(((Table134567891011121314151617343[[#This Row],[DEU]]-VLOOKUP($U$1,A:D,4,))/VLOOKUP($U$1,A:D,4,))*100)+100</f>
        <v/>
      </c>
      <c r="K46" s="76">
        <f>(((Table134567891011121314151617343[[#This Row],[ESP]]-VLOOKUP($U$1,A:E,5,))/VLOOKUP($U$1,A:E,5,))*100)+100</f>
        <v/>
      </c>
      <c r="L46" s="76">
        <f>(((Table134567891011121314151617343[[#This Row],[EA19]]-VLOOKUP($U$1,A:F,6,))/VLOOKUP($U$1,A:F,6,))*100)+100</f>
        <v/>
      </c>
      <c r="M46" s="76">
        <f>(((Table134567891011121314151617343[[#This Row],[GBR]]-VLOOKUP($U$1,A:G,7,))/VLOOKUP($U$1,A:G,7,))*100)+100</f>
        <v/>
      </c>
      <c r="N46" s="76">
        <f>IF(VLOOKUP(A46,Database!$A:$AU,MATCH($N$1,Database!$A$1:$AU$1,0),FALSE)=0,#N/A,VLOOKUP(A46,Database!$A:$AU,MATCH($N$1,Database!$A$1:$AU$1,0),FALSE))</f>
        <v/>
      </c>
      <c r="O46" s="76">
        <f>(((Table134567891011121314151617343[[#This Row],[USA]]-VLOOKUP($U$1,A:N,14,))/VLOOKUP($U$1,A:N,14,))*100)+100</f>
        <v/>
      </c>
      <c r="P46" s="76">
        <f>IF(VLOOKUP(A46,Database!$A:$AS,MATCH($P$1,Database!$A$1:$AS$1,0),FALSE)=0,#N/A,VLOOKUP(A46,Database!$A:$AS,MATCH($P$1,Database!$A$1:$AS$1,0),FALSE))</f>
        <v/>
      </c>
      <c r="Q46" s="76">
        <f>(((Table134567891011121314151617343[[#This Row],[JPN]]-VLOOKUP($U$1,A:Q,16,))/VLOOKUP($U$1,A:Q,16,))*100)+100</f>
        <v/>
      </c>
    </row>
    <row r="47" customFormat="1" s="86">
      <c r="A47" s="21" t="n">
        <v>34243</v>
      </c>
      <c r="B47" s="76">
        <f>IF(VLOOKUP(A47,Database!$A:$AS,MATCH($B$1,Database!$A$1:$AS$1,0),FALSE)=0,#N/A,VLOOKUP(A47,Database!$A:$AS,MATCH($B$1,Database!$A$1:$AS$1,0),FALSE))</f>
        <v/>
      </c>
      <c r="C47" s="76">
        <f>IF(VLOOKUP(A47,Database!$A:$AS,MATCH($C$1,Database!$A$1:$AS$1,0),FALSE)=0,#N/A,VLOOKUP(A47,Database!$A:$AS,MATCH($C$1,Database!$A$1:$AS$1,0),FALSE))</f>
        <v/>
      </c>
      <c r="D47" s="76">
        <f>IF(VLOOKUP(A47,Database!$A:$AS,MATCH($D$1,Database!$A$1:$AS$1,0),FALSE)=0,#N/A,VLOOKUP(A47,Database!$A:$AS,MATCH($D$1,Database!$A$1:$AS$1,0),FALSE))</f>
        <v/>
      </c>
      <c r="E47" s="76">
        <f>IF(VLOOKUP(A47,Database!$A:$AS,MATCH($E$1,Database!$A$1:$AS$1,0),FALSE)=0,#N/A,VLOOKUP(A47,Database!$A:$AS,MATCH($E$1,Database!$A$1:$AS$1,0),FALSE))</f>
        <v/>
      </c>
      <c r="F47" s="76">
        <f>IF(VLOOKUP(A47,Database!$A:$AS,MATCH($F$1,Database!$A$1:$AS$1,0),FALSE)=0,#N/A,VLOOKUP(A47,Database!$A:$AS,MATCH($F$1,Database!$A$1:$AS$1,0),FALSE))</f>
        <v/>
      </c>
      <c r="G47" s="76">
        <f>IF(VLOOKUP(A47,Database!$A:$AS,MATCH($G$1,Database!$A$1:$AS$1,0),FALSE)=0,#N/A,VLOOKUP(A47,Database!$A:$AS,MATCH($G$1,Database!$A$1:$AS$1,0),FALSE))</f>
        <v/>
      </c>
      <c r="H47" s="76">
        <f>(((Table134567891011121314151617343[[#This Row],[ITA]]-VLOOKUP($U$1,A:B,2,))/VLOOKUP($U$1,A:B,2,))*100)+100</f>
        <v/>
      </c>
      <c r="I47" s="76">
        <f>(((Table134567891011121314151617343[[#This Row],[FRA]]-VLOOKUP($U$1,A:C,3,))/VLOOKUP($U$1,A:C,3,))*100)+100</f>
        <v/>
      </c>
      <c r="J47" s="76">
        <f>(((Table134567891011121314151617343[[#This Row],[DEU]]-VLOOKUP($U$1,A:D,4,))/VLOOKUP($U$1,A:D,4,))*100)+100</f>
        <v/>
      </c>
      <c r="K47" s="76">
        <f>(((Table134567891011121314151617343[[#This Row],[ESP]]-VLOOKUP($U$1,A:E,5,))/VLOOKUP($U$1,A:E,5,))*100)+100</f>
        <v/>
      </c>
      <c r="L47" s="76">
        <f>(((Table134567891011121314151617343[[#This Row],[EA19]]-VLOOKUP($U$1,A:F,6,))/VLOOKUP($U$1,A:F,6,))*100)+100</f>
        <v/>
      </c>
      <c r="M47" s="76">
        <f>(((Table134567891011121314151617343[[#This Row],[GBR]]-VLOOKUP($U$1,A:G,7,))/VLOOKUP($U$1,A:G,7,))*100)+100</f>
        <v/>
      </c>
      <c r="N47" s="76">
        <f>IF(VLOOKUP(A47,Database!$A:$AU,MATCH($N$1,Database!$A$1:$AU$1,0),FALSE)=0,#N/A,VLOOKUP(A47,Database!$A:$AU,MATCH($N$1,Database!$A$1:$AU$1,0),FALSE))</f>
        <v/>
      </c>
      <c r="O47" s="76">
        <f>(((Table134567891011121314151617343[[#This Row],[USA]]-VLOOKUP($U$1,A:N,14,))/VLOOKUP($U$1,A:N,14,))*100)+100</f>
        <v/>
      </c>
      <c r="P47" s="76">
        <f>IF(VLOOKUP(A47,Database!$A:$AS,MATCH($P$1,Database!$A$1:$AS$1,0),FALSE)=0,#N/A,VLOOKUP(A47,Database!$A:$AS,MATCH($P$1,Database!$A$1:$AS$1,0),FALSE))</f>
        <v/>
      </c>
      <c r="Q47" s="76">
        <f>(((Table134567891011121314151617343[[#This Row],[JPN]]-VLOOKUP($U$1,A:Q,16,))/VLOOKUP($U$1,A:Q,16,))*100)+100</f>
        <v/>
      </c>
    </row>
    <row r="48" customFormat="1" s="86">
      <c r="A48" s="21" t="n">
        <v>34274</v>
      </c>
      <c r="B48" s="76">
        <f>IF(VLOOKUP(A48,Database!$A:$AS,MATCH($B$1,Database!$A$1:$AS$1,0),FALSE)=0,#N/A,VLOOKUP(A48,Database!$A:$AS,MATCH($B$1,Database!$A$1:$AS$1,0),FALSE))</f>
        <v/>
      </c>
      <c r="C48" s="76">
        <f>IF(VLOOKUP(A48,Database!$A:$AS,MATCH($C$1,Database!$A$1:$AS$1,0),FALSE)=0,#N/A,VLOOKUP(A48,Database!$A:$AS,MATCH($C$1,Database!$A$1:$AS$1,0),FALSE))</f>
        <v/>
      </c>
      <c r="D48" s="76">
        <f>IF(VLOOKUP(A48,Database!$A:$AS,MATCH($D$1,Database!$A$1:$AS$1,0),FALSE)=0,#N/A,VLOOKUP(A48,Database!$A:$AS,MATCH($D$1,Database!$A$1:$AS$1,0),FALSE))</f>
        <v/>
      </c>
      <c r="E48" s="76">
        <f>IF(VLOOKUP(A48,Database!$A:$AS,MATCH($E$1,Database!$A$1:$AS$1,0),FALSE)=0,#N/A,VLOOKUP(A48,Database!$A:$AS,MATCH($E$1,Database!$A$1:$AS$1,0),FALSE))</f>
        <v/>
      </c>
      <c r="F48" s="76">
        <f>IF(VLOOKUP(A48,Database!$A:$AS,MATCH($F$1,Database!$A$1:$AS$1,0),FALSE)=0,#N/A,VLOOKUP(A48,Database!$A:$AS,MATCH($F$1,Database!$A$1:$AS$1,0),FALSE))</f>
        <v/>
      </c>
      <c r="G48" s="76">
        <f>IF(VLOOKUP(A48,Database!$A:$AS,MATCH($G$1,Database!$A$1:$AS$1,0),FALSE)=0,#N/A,VLOOKUP(A48,Database!$A:$AS,MATCH($G$1,Database!$A$1:$AS$1,0),FALSE))</f>
        <v/>
      </c>
      <c r="H48" s="76">
        <f>(((Table134567891011121314151617343[[#This Row],[ITA]]-VLOOKUP($U$1,A:B,2,))/VLOOKUP($U$1,A:B,2,))*100)+100</f>
        <v/>
      </c>
      <c r="I48" s="76">
        <f>(((Table134567891011121314151617343[[#This Row],[FRA]]-VLOOKUP($U$1,A:C,3,))/VLOOKUP($U$1,A:C,3,))*100)+100</f>
        <v/>
      </c>
      <c r="J48" s="76">
        <f>(((Table134567891011121314151617343[[#This Row],[DEU]]-VLOOKUP($U$1,A:D,4,))/VLOOKUP($U$1,A:D,4,))*100)+100</f>
        <v/>
      </c>
      <c r="K48" s="76">
        <f>(((Table134567891011121314151617343[[#This Row],[ESP]]-VLOOKUP($U$1,A:E,5,))/VLOOKUP($U$1,A:E,5,))*100)+100</f>
        <v/>
      </c>
      <c r="L48" s="76">
        <f>(((Table134567891011121314151617343[[#This Row],[EA19]]-VLOOKUP($U$1,A:F,6,))/VLOOKUP($U$1,A:F,6,))*100)+100</f>
        <v/>
      </c>
      <c r="M48" s="76">
        <f>(((Table134567891011121314151617343[[#This Row],[GBR]]-VLOOKUP($U$1,A:G,7,))/VLOOKUP($U$1,A:G,7,))*100)+100</f>
        <v/>
      </c>
      <c r="N48" s="76">
        <f>IF(VLOOKUP(A48,Database!$A:$AU,MATCH($N$1,Database!$A$1:$AU$1,0),FALSE)=0,#N/A,VLOOKUP(A48,Database!$A:$AU,MATCH($N$1,Database!$A$1:$AU$1,0),FALSE))</f>
        <v/>
      </c>
      <c r="O48" s="76">
        <f>(((Table134567891011121314151617343[[#This Row],[USA]]-VLOOKUP($U$1,A:N,14,))/VLOOKUP($U$1,A:N,14,))*100)+100</f>
        <v/>
      </c>
      <c r="P48" s="76">
        <f>IF(VLOOKUP(A48,Database!$A:$AS,MATCH($P$1,Database!$A$1:$AS$1,0),FALSE)=0,#N/A,VLOOKUP(A48,Database!$A:$AS,MATCH($P$1,Database!$A$1:$AS$1,0),FALSE))</f>
        <v/>
      </c>
      <c r="Q48" s="76">
        <f>(((Table134567891011121314151617343[[#This Row],[JPN]]-VLOOKUP($U$1,A:Q,16,))/VLOOKUP($U$1,A:Q,16,))*100)+100</f>
        <v/>
      </c>
    </row>
    <row r="49" customFormat="1" s="86">
      <c r="A49" s="21" t="n">
        <v>34304</v>
      </c>
      <c r="B49" s="76">
        <f>IF(VLOOKUP(A49,Database!$A:$AS,MATCH($B$1,Database!$A$1:$AS$1,0),FALSE)=0,#N/A,VLOOKUP(A49,Database!$A:$AS,MATCH($B$1,Database!$A$1:$AS$1,0),FALSE))</f>
        <v/>
      </c>
      <c r="C49" s="76">
        <f>IF(VLOOKUP(A49,Database!$A:$AS,MATCH($C$1,Database!$A$1:$AS$1,0),FALSE)=0,#N/A,VLOOKUP(A49,Database!$A:$AS,MATCH($C$1,Database!$A$1:$AS$1,0),FALSE))</f>
        <v/>
      </c>
      <c r="D49" s="76">
        <f>IF(VLOOKUP(A49,Database!$A:$AS,MATCH($D$1,Database!$A$1:$AS$1,0),FALSE)=0,#N/A,VLOOKUP(A49,Database!$A:$AS,MATCH($D$1,Database!$A$1:$AS$1,0),FALSE))</f>
        <v/>
      </c>
      <c r="E49" s="76">
        <f>IF(VLOOKUP(A49,Database!$A:$AS,MATCH($E$1,Database!$A$1:$AS$1,0),FALSE)=0,#N/A,VLOOKUP(A49,Database!$A:$AS,MATCH($E$1,Database!$A$1:$AS$1,0),FALSE))</f>
        <v/>
      </c>
      <c r="F49" s="76">
        <f>IF(VLOOKUP(A49,Database!$A:$AS,MATCH($F$1,Database!$A$1:$AS$1,0),FALSE)=0,#N/A,VLOOKUP(A49,Database!$A:$AS,MATCH($F$1,Database!$A$1:$AS$1,0),FALSE))</f>
        <v/>
      </c>
      <c r="G49" s="76">
        <f>IF(VLOOKUP(A49,Database!$A:$AS,MATCH($G$1,Database!$A$1:$AS$1,0),FALSE)=0,#N/A,VLOOKUP(A49,Database!$A:$AS,MATCH($G$1,Database!$A$1:$AS$1,0),FALSE))</f>
        <v/>
      </c>
      <c r="H49" s="76">
        <f>(((Table134567891011121314151617343[[#This Row],[ITA]]-VLOOKUP($U$1,A:B,2,))/VLOOKUP($U$1,A:B,2,))*100)+100</f>
        <v/>
      </c>
      <c r="I49" s="76">
        <f>(((Table134567891011121314151617343[[#This Row],[FRA]]-VLOOKUP($U$1,A:C,3,))/VLOOKUP($U$1,A:C,3,))*100)+100</f>
        <v/>
      </c>
      <c r="J49" s="76">
        <f>(((Table134567891011121314151617343[[#This Row],[DEU]]-VLOOKUP($U$1,A:D,4,))/VLOOKUP($U$1,A:D,4,))*100)+100</f>
        <v/>
      </c>
      <c r="K49" s="76">
        <f>(((Table134567891011121314151617343[[#This Row],[ESP]]-VLOOKUP($U$1,A:E,5,))/VLOOKUP($U$1,A:E,5,))*100)+100</f>
        <v/>
      </c>
      <c r="L49" s="76">
        <f>(((Table134567891011121314151617343[[#This Row],[EA19]]-VLOOKUP($U$1,A:F,6,))/VLOOKUP($U$1,A:F,6,))*100)+100</f>
        <v/>
      </c>
      <c r="M49" s="76">
        <f>(((Table134567891011121314151617343[[#This Row],[GBR]]-VLOOKUP($U$1,A:G,7,))/VLOOKUP($U$1,A:G,7,))*100)+100</f>
        <v/>
      </c>
      <c r="N49" s="76">
        <f>IF(VLOOKUP(A49,Database!$A:$AU,MATCH($N$1,Database!$A$1:$AU$1,0),FALSE)=0,#N/A,VLOOKUP(A49,Database!$A:$AU,MATCH($N$1,Database!$A$1:$AU$1,0),FALSE))</f>
        <v/>
      </c>
      <c r="O49" s="76">
        <f>(((Table134567891011121314151617343[[#This Row],[USA]]-VLOOKUP($U$1,A:N,14,))/VLOOKUP($U$1,A:N,14,))*100)+100</f>
        <v/>
      </c>
      <c r="P49" s="76">
        <f>IF(VLOOKUP(A49,Database!$A:$AS,MATCH($P$1,Database!$A$1:$AS$1,0),FALSE)=0,#N/A,VLOOKUP(A49,Database!$A:$AS,MATCH($P$1,Database!$A$1:$AS$1,0),FALSE))</f>
        <v/>
      </c>
      <c r="Q49" s="76">
        <f>(((Table134567891011121314151617343[[#This Row],[JPN]]-VLOOKUP($U$1,A:Q,16,))/VLOOKUP($U$1,A:Q,16,))*100)+100</f>
        <v/>
      </c>
    </row>
    <row r="50" customFormat="1" s="86">
      <c r="A50" s="21" t="n">
        <v>34335</v>
      </c>
      <c r="B50" s="76">
        <f>IF(VLOOKUP(A50,Database!$A:$AS,MATCH($B$1,Database!$A$1:$AS$1,0),FALSE)=0,#N/A,VLOOKUP(A50,Database!$A:$AS,MATCH($B$1,Database!$A$1:$AS$1,0),FALSE))</f>
        <v/>
      </c>
      <c r="C50" s="76">
        <f>IF(VLOOKUP(A50,Database!$A:$AS,MATCH($C$1,Database!$A$1:$AS$1,0),FALSE)=0,#N/A,VLOOKUP(A50,Database!$A:$AS,MATCH($C$1,Database!$A$1:$AS$1,0),FALSE))</f>
        <v/>
      </c>
      <c r="D50" s="76">
        <f>IF(VLOOKUP(A50,Database!$A:$AS,MATCH($D$1,Database!$A$1:$AS$1,0),FALSE)=0,#N/A,VLOOKUP(A50,Database!$A:$AS,MATCH($D$1,Database!$A$1:$AS$1,0),FALSE))</f>
        <v/>
      </c>
      <c r="E50" s="76">
        <f>IF(VLOOKUP(A50,Database!$A:$AS,MATCH($E$1,Database!$A$1:$AS$1,0),FALSE)=0,#N/A,VLOOKUP(A50,Database!$A:$AS,MATCH($E$1,Database!$A$1:$AS$1,0),FALSE))</f>
        <v/>
      </c>
      <c r="F50" s="76">
        <f>IF(VLOOKUP(A50,Database!$A:$AS,MATCH($F$1,Database!$A$1:$AS$1,0),FALSE)=0,#N/A,VLOOKUP(A50,Database!$A:$AS,MATCH($F$1,Database!$A$1:$AS$1,0),FALSE))</f>
        <v/>
      </c>
      <c r="G50" s="76">
        <f>IF(VLOOKUP(A50,Database!$A:$AS,MATCH($G$1,Database!$A$1:$AS$1,0),FALSE)=0,#N/A,VLOOKUP(A50,Database!$A:$AS,MATCH($G$1,Database!$A$1:$AS$1,0),FALSE))</f>
        <v/>
      </c>
      <c r="H50" s="76">
        <f>(((Table134567891011121314151617343[[#This Row],[ITA]]-VLOOKUP($U$1,A:B,2,))/VLOOKUP($U$1,A:B,2,))*100)+100</f>
        <v/>
      </c>
      <c r="I50" s="76">
        <f>(((Table134567891011121314151617343[[#This Row],[FRA]]-VLOOKUP($U$1,A:C,3,))/VLOOKUP($U$1,A:C,3,))*100)+100</f>
        <v/>
      </c>
      <c r="J50" s="76">
        <f>(((Table134567891011121314151617343[[#This Row],[DEU]]-VLOOKUP($U$1,A:D,4,))/VLOOKUP($U$1,A:D,4,))*100)+100</f>
        <v/>
      </c>
      <c r="K50" s="76">
        <f>(((Table134567891011121314151617343[[#This Row],[ESP]]-VLOOKUP($U$1,A:E,5,))/VLOOKUP($U$1,A:E,5,))*100)+100</f>
        <v/>
      </c>
      <c r="L50" s="76">
        <f>(((Table134567891011121314151617343[[#This Row],[EA19]]-VLOOKUP($U$1,A:F,6,))/VLOOKUP($U$1,A:F,6,))*100)+100</f>
        <v/>
      </c>
      <c r="M50" s="76">
        <f>(((Table134567891011121314151617343[[#This Row],[GBR]]-VLOOKUP($U$1,A:G,7,))/VLOOKUP($U$1,A:G,7,))*100)+100</f>
        <v/>
      </c>
      <c r="N50" s="76">
        <f>IF(VLOOKUP(A50,Database!$A:$AU,MATCH($N$1,Database!$A$1:$AU$1,0),FALSE)=0,#N/A,VLOOKUP(A50,Database!$A:$AU,MATCH($N$1,Database!$A$1:$AU$1,0),FALSE))</f>
        <v/>
      </c>
      <c r="O50" s="76">
        <f>(((Table134567891011121314151617343[[#This Row],[USA]]-VLOOKUP($U$1,A:N,14,))/VLOOKUP($U$1,A:N,14,))*100)+100</f>
        <v/>
      </c>
      <c r="P50" s="76">
        <f>IF(VLOOKUP(A50,Database!$A:$AS,MATCH($P$1,Database!$A$1:$AS$1,0),FALSE)=0,#N/A,VLOOKUP(A50,Database!$A:$AS,MATCH($P$1,Database!$A$1:$AS$1,0),FALSE))</f>
        <v/>
      </c>
      <c r="Q50" s="76">
        <f>(((Table134567891011121314151617343[[#This Row],[JPN]]-VLOOKUP($U$1,A:Q,16,))/VLOOKUP($U$1,A:Q,16,))*100)+100</f>
        <v/>
      </c>
    </row>
    <row r="51" customFormat="1" s="86">
      <c r="A51" s="21" t="n">
        <v>34366</v>
      </c>
      <c r="B51" s="76">
        <f>IF(VLOOKUP(A51,Database!$A:$AS,MATCH($B$1,Database!$A$1:$AS$1,0),FALSE)=0,#N/A,VLOOKUP(A51,Database!$A:$AS,MATCH($B$1,Database!$A$1:$AS$1,0),FALSE))</f>
        <v/>
      </c>
      <c r="C51" s="76">
        <f>IF(VLOOKUP(A51,Database!$A:$AS,MATCH($C$1,Database!$A$1:$AS$1,0),FALSE)=0,#N/A,VLOOKUP(A51,Database!$A:$AS,MATCH($C$1,Database!$A$1:$AS$1,0),FALSE))</f>
        <v/>
      </c>
      <c r="D51" s="76">
        <f>IF(VLOOKUP(A51,Database!$A:$AS,MATCH($D$1,Database!$A$1:$AS$1,0),FALSE)=0,#N/A,VLOOKUP(A51,Database!$A:$AS,MATCH($D$1,Database!$A$1:$AS$1,0),FALSE))</f>
        <v/>
      </c>
      <c r="E51" s="76">
        <f>IF(VLOOKUP(A51,Database!$A:$AS,MATCH($E$1,Database!$A$1:$AS$1,0),FALSE)=0,#N/A,VLOOKUP(A51,Database!$A:$AS,MATCH($E$1,Database!$A$1:$AS$1,0),FALSE))</f>
        <v/>
      </c>
      <c r="F51" s="76">
        <f>IF(VLOOKUP(A51,Database!$A:$AS,MATCH($F$1,Database!$A$1:$AS$1,0),FALSE)=0,#N/A,VLOOKUP(A51,Database!$A:$AS,MATCH($F$1,Database!$A$1:$AS$1,0),FALSE))</f>
        <v/>
      </c>
      <c r="G51" s="76">
        <f>IF(VLOOKUP(A51,Database!$A:$AS,MATCH($G$1,Database!$A$1:$AS$1,0),FALSE)=0,#N/A,VLOOKUP(A51,Database!$A:$AS,MATCH($G$1,Database!$A$1:$AS$1,0),FALSE))</f>
        <v/>
      </c>
      <c r="H51" s="76">
        <f>(((Table134567891011121314151617343[[#This Row],[ITA]]-VLOOKUP($U$1,A:B,2,))/VLOOKUP($U$1,A:B,2,))*100)+100</f>
        <v/>
      </c>
      <c r="I51" s="76">
        <f>(((Table134567891011121314151617343[[#This Row],[FRA]]-VLOOKUP($U$1,A:C,3,))/VLOOKUP($U$1,A:C,3,))*100)+100</f>
        <v/>
      </c>
      <c r="J51" s="76">
        <f>(((Table134567891011121314151617343[[#This Row],[DEU]]-VLOOKUP($U$1,A:D,4,))/VLOOKUP($U$1,A:D,4,))*100)+100</f>
        <v/>
      </c>
      <c r="K51" s="76">
        <f>(((Table134567891011121314151617343[[#This Row],[ESP]]-VLOOKUP($U$1,A:E,5,))/VLOOKUP($U$1,A:E,5,))*100)+100</f>
        <v/>
      </c>
      <c r="L51" s="76">
        <f>(((Table134567891011121314151617343[[#This Row],[EA19]]-VLOOKUP($U$1,A:F,6,))/VLOOKUP($U$1,A:F,6,))*100)+100</f>
        <v/>
      </c>
      <c r="M51" s="76">
        <f>(((Table134567891011121314151617343[[#This Row],[GBR]]-VLOOKUP($U$1,A:G,7,))/VLOOKUP($U$1,A:G,7,))*100)+100</f>
        <v/>
      </c>
      <c r="N51" s="76">
        <f>IF(VLOOKUP(A51,Database!$A:$AU,MATCH($N$1,Database!$A$1:$AU$1,0),FALSE)=0,#N/A,VLOOKUP(A51,Database!$A:$AU,MATCH($N$1,Database!$A$1:$AU$1,0),FALSE))</f>
        <v/>
      </c>
      <c r="O51" s="76">
        <f>(((Table134567891011121314151617343[[#This Row],[USA]]-VLOOKUP($U$1,A:N,14,))/VLOOKUP($U$1,A:N,14,))*100)+100</f>
        <v/>
      </c>
      <c r="P51" s="76">
        <f>IF(VLOOKUP(A51,Database!$A:$AS,MATCH($P$1,Database!$A$1:$AS$1,0),FALSE)=0,#N/A,VLOOKUP(A51,Database!$A:$AS,MATCH($P$1,Database!$A$1:$AS$1,0),FALSE))</f>
        <v/>
      </c>
      <c r="Q51" s="76">
        <f>(((Table134567891011121314151617343[[#This Row],[JPN]]-VLOOKUP($U$1,A:Q,16,))/VLOOKUP($U$1,A:Q,16,))*100)+100</f>
        <v/>
      </c>
    </row>
    <row r="52" customFormat="1" s="86">
      <c r="A52" s="21" t="n">
        <v>34394</v>
      </c>
      <c r="B52" s="76">
        <f>IF(VLOOKUP(A52,Database!$A:$AS,MATCH($B$1,Database!$A$1:$AS$1,0),FALSE)=0,#N/A,VLOOKUP(A52,Database!$A:$AS,MATCH($B$1,Database!$A$1:$AS$1,0),FALSE))</f>
        <v/>
      </c>
      <c r="C52" s="76">
        <f>IF(VLOOKUP(A52,Database!$A:$AS,MATCH($C$1,Database!$A$1:$AS$1,0),FALSE)=0,#N/A,VLOOKUP(A52,Database!$A:$AS,MATCH($C$1,Database!$A$1:$AS$1,0),FALSE))</f>
        <v/>
      </c>
      <c r="D52" s="76">
        <f>IF(VLOOKUP(A52,Database!$A:$AS,MATCH($D$1,Database!$A$1:$AS$1,0),FALSE)=0,#N/A,VLOOKUP(A52,Database!$A:$AS,MATCH($D$1,Database!$A$1:$AS$1,0),FALSE))</f>
        <v/>
      </c>
      <c r="E52" s="76">
        <f>IF(VLOOKUP(A52,Database!$A:$AS,MATCH($E$1,Database!$A$1:$AS$1,0),FALSE)=0,#N/A,VLOOKUP(A52,Database!$A:$AS,MATCH($E$1,Database!$A$1:$AS$1,0),FALSE))</f>
        <v/>
      </c>
      <c r="F52" s="76">
        <f>IF(VLOOKUP(A52,Database!$A:$AS,MATCH($F$1,Database!$A$1:$AS$1,0),FALSE)=0,#N/A,VLOOKUP(A52,Database!$A:$AS,MATCH($F$1,Database!$A$1:$AS$1,0),FALSE))</f>
        <v/>
      </c>
      <c r="G52" s="76">
        <f>IF(VLOOKUP(A52,Database!$A:$AS,MATCH($G$1,Database!$A$1:$AS$1,0),FALSE)=0,#N/A,VLOOKUP(A52,Database!$A:$AS,MATCH($G$1,Database!$A$1:$AS$1,0),FALSE))</f>
        <v/>
      </c>
      <c r="H52" s="76">
        <f>(((Table134567891011121314151617343[[#This Row],[ITA]]-VLOOKUP($U$1,A:B,2,))/VLOOKUP($U$1,A:B,2,))*100)+100</f>
        <v/>
      </c>
      <c r="I52" s="76">
        <f>(((Table134567891011121314151617343[[#This Row],[FRA]]-VLOOKUP($U$1,A:C,3,))/VLOOKUP($U$1,A:C,3,))*100)+100</f>
        <v/>
      </c>
      <c r="J52" s="76">
        <f>(((Table134567891011121314151617343[[#This Row],[DEU]]-VLOOKUP($U$1,A:D,4,))/VLOOKUP($U$1,A:D,4,))*100)+100</f>
        <v/>
      </c>
      <c r="K52" s="76">
        <f>(((Table134567891011121314151617343[[#This Row],[ESP]]-VLOOKUP($U$1,A:E,5,))/VLOOKUP($U$1,A:E,5,))*100)+100</f>
        <v/>
      </c>
      <c r="L52" s="76">
        <f>(((Table134567891011121314151617343[[#This Row],[EA19]]-VLOOKUP($U$1,A:F,6,))/VLOOKUP($U$1,A:F,6,))*100)+100</f>
        <v/>
      </c>
      <c r="M52" s="76">
        <f>(((Table134567891011121314151617343[[#This Row],[GBR]]-VLOOKUP($U$1,A:G,7,))/VLOOKUP($U$1,A:G,7,))*100)+100</f>
        <v/>
      </c>
      <c r="N52" s="76">
        <f>IF(VLOOKUP(A52,Database!$A:$AU,MATCH($N$1,Database!$A$1:$AU$1,0),FALSE)=0,#N/A,VLOOKUP(A52,Database!$A:$AU,MATCH($N$1,Database!$A$1:$AU$1,0),FALSE))</f>
        <v/>
      </c>
      <c r="O52" s="76">
        <f>(((Table134567891011121314151617343[[#This Row],[USA]]-VLOOKUP($U$1,A:N,14,))/VLOOKUP($U$1,A:N,14,))*100)+100</f>
        <v/>
      </c>
      <c r="P52" s="76">
        <f>IF(VLOOKUP(A52,Database!$A:$AS,MATCH($P$1,Database!$A$1:$AS$1,0),FALSE)=0,#N/A,VLOOKUP(A52,Database!$A:$AS,MATCH($P$1,Database!$A$1:$AS$1,0),FALSE))</f>
        <v/>
      </c>
      <c r="Q52" s="76">
        <f>(((Table134567891011121314151617343[[#This Row],[JPN]]-VLOOKUP($U$1,A:Q,16,))/VLOOKUP($U$1,A:Q,16,))*100)+100</f>
        <v/>
      </c>
    </row>
    <row r="53" customFormat="1" s="86">
      <c r="A53" s="21" t="n">
        <v>34425</v>
      </c>
      <c r="B53" s="76">
        <f>IF(VLOOKUP(A53,Database!$A:$AS,MATCH($B$1,Database!$A$1:$AS$1,0),FALSE)=0,#N/A,VLOOKUP(A53,Database!$A:$AS,MATCH($B$1,Database!$A$1:$AS$1,0),FALSE))</f>
        <v/>
      </c>
      <c r="C53" s="76">
        <f>IF(VLOOKUP(A53,Database!$A:$AS,MATCH($C$1,Database!$A$1:$AS$1,0),FALSE)=0,#N/A,VLOOKUP(A53,Database!$A:$AS,MATCH($C$1,Database!$A$1:$AS$1,0),FALSE))</f>
        <v/>
      </c>
      <c r="D53" s="76">
        <f>IF(VLOOKUP(A53,Database!$A:$AS,MATCH($D$1,Database!$A$1:$AS$1,0),FALSE)=0,#N/A,VLOOKUP(A53,Database!$A:$AS,MATCH($D$1,Database!$A$1:$AS$1,0),FALSE))</f>
        <v/>
      </c>
      <c r="E53" s="76">
        <f>IF(VLOOKUP(A53,Database!$A:$AS,MATCH($E$1,Database!$A$1:$AS$1,0),FALSE)=0,#N/A,VLOOKUP(A53,Database!$A:$AS,MATCH($E$1,Database!$A$1:$AS$1,0),FALSE))</f>
        <v/>
      </c>
      <c r="F53" s="76">
        <f>IF(VLOOKUP(A53,Database!$A:$AS,MATCH($F$1,Database!$A$1:$AS$1,0),FALSE)=0,#N/A,VLOOKUP(A53,Database!$A:$AS,MATCH($F$1,Database!$A$1:$AS$1,0),FALSE))</f>
        <v/>
      </c>
      <c r="G53" s="76">
        <f>IF(VLOOKUP(A53,Database!$A:$AS,MATCH($G$1,Database!$A$1:$AS$1,0),FALSE)=0,#N/A,VLOOKUP(A53,Database!$A:$AS,MATCH($G$1,Database!$A$1:$AS$1,0),FALSE))</f>
        <v/>
      </c>
      <c r="H53" s="76">
        <f>(((Table134567891011121314151617343[[#This Row],[ITA]]-VLOOKUP($U$1,A:B,2,))/VLOOKUP($U$1,A:B,2,))*100)+100</f>
        <v/>
      </c>
      <c r="I53" s="76">
        <f>(((Table134567891011121314151617343[[#This Row],[FRA]]-VLOOKUP($U$1,A:C,3,))/VLOOKUP($U$1,A:C,3,))*100)+100</f>
        <v/>
      </c>
      <c r="J53" s="76">
        <f>(((Table134567891011121314151617343[[#This Row],[DEU]]-VLOOKUP($U$1,A:D,4,))/VLOOKUP($U$1,A:D,4,))*100)+100</f>
        <v/>
      </c>
      <c r="K53" s="76">
        <f>(((Table134567891011121314151617343[[#This Row],[ESP]]-VLOOKUP($U$1,A:E,5,))/VLOOKUP($U$1,A:E,5,))*100)+100</f>
        <v/>
      </c>
      <c r="L53" s="76">
        <f>(((Table134567891011121314151617343[[#This Row],[EA19]]-VLOOKUP($U$1,A:F,6,))/VLOOKUP($U$1,A:F,6,))*100)+100</f>
        <v/>
      </c>
      <c r="M53" s="76">
        <f>(((Table134567891011121314151617343[[#This Row],[GBR]]-VLOOKUP($U$1,A:G,7,))/VLOOKUP($U$1,A:G,7,))*100)+100</f>
        <v/>
      </c>
      <c r="N53" s="76">
        <f>IF(VLOOKUP(A53,Database!$A:$AU,MATCH($N$1,Database!$A$1:$AU$1,0),FALSE)=0,#N/A,VLOOKUP(A53,Database!$A:$AU,MATCH($N$1,Database!$A$1:$AU$1,0),FALSE))</f>
        <v/>
      </c>
      <c r="O53" s="76">
        <f>(((Table134567891011121314151617343[[#This Row],[USA]]-VLOOKUP($U$1,A:N,14,))/VLOOKUP($U$1,A:N,14,))*100)+100</f>
        <v/>
      </c>
      <c r="P53" s="76">
        <f>IF(VLOOKUP(A53,Database!$A:$AS,MATCH($P$1,Database!$A$1:$AS$1,0),FALSE)=0,#N/A,VLOOKUP(A53,Database!$A:$AS,MATCH($P$1,Database!$A$1:$AS$1,0),FALSE))</f>
        <v/>
      </c>
      <c r="Q53" s="76">
        <f>(((Table134567891011121314151617343[[#This Row],[JPN]]-VLOOKUP($U$1,A:Q,16,))/VLOOKUP($U$1,A:Q,16,))*100)+100</f>
        <v/>
      </c>
    </row>
    <row r="54" customFormat="1" s="86">
      <c r="A54" s="21" t="n">
        <v>34455</v>
      </c>
      <c r="B54" s="76">
        <f>IF(VLOOKUP(A54,Database!$A:$AS,MATCH($B$1,Database!$A$1:$AS$1,0),FALSE)=0,#N/A,VLOOKUP(A54,Database!$A:$AS,MATCH($B$1,Database!$A$1:$AS$1,0),FALSE))</f>
        <v/>
      </c>
      <c r="C54" s="76">
        <f>IF(VLOOKUP(A54,Database!$A:$AS,MATCH($C$1,Database!$A$1:$AS$1,0),FALSE)=0,#N/A,VLOOKUP(A54,Database!$A:$AS,MATCH($C$1,Database!$A$1:$AS$1,0),FALSE))</f>
        <v/>
      </c>
      <c r="D54" s="76">
        <f>IF(VLOOKUP(A54,Database!$A:$AS,MATCH($D$1,Database!$A$1:$AS$1,0),FALSE)=0,#N/A,VLOOKUP(A54,Database!$A:$AS,MATCH($D$1,Database!$A$1:$AS$1,0),FALSE))</f>
        <v/>
      </c>
      <c r="E54" s="76">
        <f>IF(VLOOKUP(A54,Database!$A:$AS,MATCH($E$1,Database!$A$1:$AS$1,0),FALSE)=0,#N/A,VLOOKUP(A54,Database!$A:$AS,MATCH($E$1,Database!$A$1:$AS$1,0),FALSE))</f>
        <v/>
      </c>
      <c r="F54" s="76">
        <f>IF(VLOOKUP(A54,Database!$A:$AS,MATCH($F$1,Database!$A$1:$AS$1,0),FALSE)=0,#N/A,VLOOKUP(A54,Database!$A:$AS,MATCH($F$1,Database!$A$1:$AS$1,0),FALSE))</f>
        <v/>
      </c>
      <c r="G54" s="76">
        <f>IF(VLOOKUP(A54,Database!$A:$AS,MATCH($G$1,Database!$A$1:$AS$1,0),FALSE)=0,#N/A,VLOOKUP(A54,Database!$A:$AS,MATCH($G$1,Database!$A$1:$AS$1,0),FALSE))</f>
        <v/>
      </c>
      <c r="H54" s="76">
        <f>(((Table134567891011121314151617343[[#This Row],[ITA]]-VLOOKUP($U$1,A:B,2,))/VLOOKUP($U$1,A:B,2,))*100)+100</f>
        <v/>
      </c>
      <c r="I54" s="76">
        <f>(((Table134567891011121314151617343[[#This Row],[FRA]]-VLOOKUP($U$1,A:C,3,))/VLOOKUP($U$1,A:C,3,))*100)+100</f>
        <v/>
      </c>
      <c r="J54" s="76">
        <f>(((Table134567891011121314151617343[[#This Row],[DEU]]-VLOOKUP($U$1,A:D,4,))/VLOOKUP($U$1,A:D,4,))*100)+100</f>
        <v/>
      </c>
      <c r="K54" s="76">
        <f>(((Table134567891011121314151617343[[#This Row],[ESP]]-VLOOKUP($U$1,A:E,5,))/VLOOKUP($U$1,A:E,5,))*100)+100</f>
        <v/>
      </c>
      <c r="L54" s="76">
        <f>(((Table134567891011121314151617343[[#This Row],[EA19]]-VLOOKUP($U$1,A:F,6,))/VLOOKUP($U$1,A:F,6,))*100)+100</f>
        <v/>
      </c>
      <c r="M54" s="76">
        <f>(((Table134567891011121314151617343[[#This Row],[GBR]]-VLOOKUP($U$1,A:G,7,))/VLOOKUP($U$1,A:G,7,))*100)+100</f>
        <v/>
      </c>
      <c r="N54" s="76">
        <f>IF(VLOOKUP(A54,Database!$A:$AU,MATCH($N$1,Database!$A$1:$AU$1,0),FALSE)=0,#N/A,VLOOKUP(A54,Database!$A:$AU,MATCH($N$1,Database!$A$1:$AU$1,0),FALSE))</f>
        <v/>
      </c>
      <c r="O54" s="76">
        <f>(((Table134567891011121314151617343[[#This Row],[USA]]-VLOOKUP($U$1,A:N,14,))/VLOOKUP($U$1,A:N,14,))*100)+100</f>
        <v/>
      </c>
      <c r="P54" s="76">
        <f>IF(VLOOKUP(A54,Database!$A:$AS,MATCH($P$1,Database!$A$1:$AS$1,0),FALSE)=0,#N/A,VLOOKUP(A54,Database!$A:$AS,MATCH($P$1,Database!$A$1:$AS$1,0),FALSE))</f>
        <v/>
      </c>
      <c r="Q54" s="76">
        <f>(((Table134567891011121314151617343[[#This Row],[JPN]]-VLOOKUP($U$1,A:Q,16,))/VLOOKUP($U$1,A:Q,16,))*100)+100</f>
        <v/>
      </c>
    </row>
    <row r="55" customFormat="1" s="86">
      <c r="A55" s="21" t="n">
        <v>34486</v>
      </c>
      <c r="B55" s="76">
        <f>IF(VLOOKUP(A55,Database!$A:$AS,MATCH($B$1,Database!$A$1:$AS$1,0),FALSE)=0,#N/A,VLOOKUP(A55,Database!$A:$AS,MATCH($B$1,Database!$A$1:$AS$1,0),FALSE))</f>
        <v/>
      </c>
      <c r="C55" s="76">
        <f>IF(VLOOKUP(A55,Database!$A:$AS,MATCH($C$1,Database!$A$1:$AS$1,0),FALSE)=0,#N/A,VLOOKUP(A55,Database!$A:$AS,MATCH($C$1,Database!$A$1:$AS$1,0),FALSE))</f>
        <v/>
      </c>
      <c r="D55" s="76">
        <f>IF(VLOOKUP(A55,Database!$A:$AS,MATCH($D$1,Database!$A$1:$AS$1,0),FALSE)=0,#N/A,VLOOKUP(A55,Database!$A:$AS,MATCH($D$1,Database!$A$1:$AS$1,0),FALSE))</f>
        <v/>
      </c>
      <c r="E55" s="76">
        <f>IF(VLOOKUP(A55,Database!$A:$AS,MATCH($E$1,Database!$A$1:$AS$1,0),FALSE)=0,#N/A,VLOOKUP(A55,Database!$A:$AS,MATCH($E$1,Database!$A$1:$AS$1,0),FALSE))</f>
        <v/>
      </c>
      <c r="F55" s="76">
        <f>IF(VLOOKUP(A55,Database!$A:$AS,MATCH($F$1,Database!$A$1:$AS$1,0),FALSE)=0,#N/A,VLOOKUP(A55,Database!$A:$AS,MATCH($F$1,Database!$A$1:$AS$1,0),FALSE))</f>
        <v/>
      </c>
      <c r="G55" s="76">
        <f>IF(VLOOKUP(A55,Database!$A:$AS,MATCH($G$1,Database!$A$1:$AS$1,0),FALSE)=0,#N/A,VLOOKUP(A55,Database!$A:$AS,MATCH($G$1,Database!$A$1:$AS$1,0),FALSE))</f>
        <v/>
      </c>
      <c r="H55" s="76">
        <f>(((Table134567891011121314151617343[[#This Row],[ITA]]-VLOOKUP($U$1,A:B,2,))/VLOOKUP($U$1,A:B,2,))*100)+100</f>
        <v/>
      </c>
      <c r="I55" s="76">
        <f>(((Table134567891011121314151617343[[#This Row],[FRA]]-VLOOKUP($U$1,A:C,3,))/VLOOKUP($U$1,A:C,3,))*100)+100</f>
        <v/>
      </c>
      <c r="J55" s="76">
        <f>(((Table134567891011121314151617343[[#This Row],[DEU]]-VLOOKUP($U$1,A:D,4,))/VLOOKUP($U$1,A:D,4,))*100)+100</f>
        <v/>
      </c>
      <c r="K55" s="76">
        <f>(((Table134567891011121314151617343[[#This Row],[ESP]]-VLOOKUP($U$1,A:E,5,))/VLOOKUP($U$1,A:E,5,))*100)+100</f>
        <v/>
      </c>
      <c r="L55" s="76">
        <f>(((Table134567891011121314151617343[[#This Row],[EA19]]-VLOOKUP($U$1,A:F,6,))/VLOOKUP($U$1,A:F,6,))*100)+100</f>
        <v/>
      </c>
      <c r="M55" s="76">
        <f>(((Table134567891011121314151617343[[#This Row],[GBR]]-VLOOKUP($U$1,A:G,7,))/VLOOKUP($U$1,A:G,7,))*100)+100</f>
        <v/>
      </c>
      <c r="N55" s="76">
        <f>IF(VLOOKUP(A55,Database!$A:$AU,MATCH($N$1,Database!$A$1:$AU$1,0),FALSE)=0,#N/A,VLOOKUP(A55,Database!$A:$AU,MATCH($N$1,Database!$A$1:$AU$1,0),FALSE))</f>
        <v/>
      </c>
      <c r="O55" s="76">
        <f>(((Table134567891011121314151617343[[#This Row],[USA]]-VLOOKUP($U$1,A:N,14,))/VLOOKUP($U$1,A:N,14,))*100)+100</f>
        <v/>
      </c>
      <c r="P55" s="76">
        <f>IF(VLOOKUP(A55,Database!$A:$AS,MATCH($P$1,Database!$A$1:$AS$1,0),FALSE)=0,#N/A,VLOOKUP(A55,Database!$A:$AS,MATCH($P$1,Database!$A$1:$AS$1,0),FALSE))</f>
        <v/>
      </c>
      <c r="Q55" s="76">
        <f>(((Table134567891011121314151617343[[#This Row],[JPN]]-VLOOKUP($U$1,A:Q,16,))/VLOOKUP($U$1,A:Q,16,))*100)+100</f>
        <v/>
      </c>
    </row>
    <row r="56" customFormat="1" s="86">
      <c r="A56" s="21" t="n">
        <v>34516</v>
      </c>
      <c r="B56" s="76">
        <f>IF(VLOOKUP(A56,Database!$A:$AS,MATCH($B$1,Database!$A$1:$AS$1,0),FALSE)=0,#N/A,VLOOKUP(A56,Database!$A:$AS,MATCH($B$1,Database!$A$1:$AS$1,0),FALSE))</f>
        <v/>
      </c>
      <c r="C56" s="76">
        <f>IF(VLOOKUP(A56,Database!$A:$AS,MATCH($C$1,Database!$A$1:$AS$1,0),FALSE)=0,#N/A,VLOOKUP(A56,Database!$A:$AS,MATCH($C$1,Database!$A$1:$AS$1,0),FALSE))</f>
        <v/>
      </c>
      <c r="D56" s="76">
        <f>IF(VLOOKUP(A56,Database!$A:$AS,MATCH($D$1,Database!$A$1:$AS$1,0),FALSE)=0,#N/A,VLOOKUP(A56,Database!$A:$AS,MATCH($D$1,Database!$A$1:$AS$1,0),FALSE))</f>
        <v/>
      </c>
      <c r="E56" s="76">
        <f>IF(VLOOKUP(A56,Database!$A:$AS,MATCH($E$1,Database!$A$1:$AS$1,0),FALSE)=0,#N/A,VLOOKUP(A56,Database!$A:$AS,MATCH($E$1,Database!$A$1:$AS$1,0),FALSE))</f>
        <v/>
      </c>
      <c r="F56" s="76">
        <f>IF(VLOOKUP(A56,Database!$A:$AS,MATCH($F$1,Database!$A$1:$AS$1,0),FALSE)=0,#N/A,VLOOKUP(A56,Database!$A:$AS,MATCH($F$1,Database!$A$1:$AS$1,0),FALSE))</f>
        <v/>
      </c>
      <c r="G56" s="76">
        <f>IF(VLOOKUP(A56,Database!$A:$AS,MATCH($G$1,Database!$A$1:$AS$1,0),FALSE)=0,#N/A,VLOOKUP(A56,Database!$A:$AS,MATCH($G$1,Database!$A$1:$AS$1,0),FALSE))</f>
        <v/>
      </c>
      <c r="H56" s="76">
        <f>(((Table134567891011121314151617343[[#This Row],[ITA]]-VLOOKUP($U$1,A:B,2,))/VLOOKUP($U$1,A:B,2,))*100)+100</f>
        <v/>
      </c>
      <c r="I56" s="76">
        <f>(((Table134567891011121314151617343[[#This Row],[FRA]]-VLOOKUP($U$1,A:C,3,))/VLOOKUP($U$1,A:C,3,))*100)+100</f>
        <v/>
      </c>
      <c r="J56" s="76">
        <f>(((Table134567891011121314151617343[[#This Row],[DEU]]-VLOOKUP($U$1,A:D,4,))/VLOOKUP($U$1,A:D,4,))*100)+100</f>
        <v/>
      </c>
      <c r="K56" s="76">
        <f>(((Table134567891011121314151617343[[#This Row],[ESP]]-VLOOKUP($U$1,A:E,5,))/VLOOKUP($U$1,A:E,5,))*100)+100</f>
        <v/>
      </c>
      <c r="L56" s="76">
        <f>(((Table134567891011121314151617343[[#This Row],[EA19]]-VLOOKUP($U$1,A:F,6,))/VLOOKUP($U$1,A:F,6,))*100)+100</f>
        <v/>
      </c>
      <c r="M56" s="76">
        <f>(((Table134567891011121314151617343[[#This Row],[GBR]]-VLOOKUP($U$1,A:G,7,))/VLOOKUP($U$1,A:G,7,))*100)+100</f>
        <v/>
      </c>
      <c r="N56" s="76">
        <f>IF(VLOOKUP(A56,Database!$A:$AU,MATCH($N$1,Database!$A$1:$AU$1,0),FALSE)=0,#N/A,VLOOKUP(A56,Database!$A:$AU,MATCH($N$1,Database!$A$1:$AU$1,0),FALSE))</f>
        <v/>
      </c>
      <c r="O56" s="76">
        <f>(((Table134567891011121314151617343[[#This Row],[USA]]-VLOOKUP($U$1,A:N,14,))/VLOOKUP($U$1,A:N,14,))*100)+100</f>
        <v/>
      </c>
      <c r="P56" s="76">
        <f>IF(VLOOKUP(A56,Database!$A:$AS,MATCH($P$1,Database!$A$1:$AS$1,0),FALSE)=0,#N/A,VLOOKUP(A56,Database!$A:$AS,MATCH($P$1,Database!$A$1:$AS$1,0),FALSE))</f>
        <v/>
      </c>
      <c r="Q56" s="76">
        <f>(((Table134567891011121314151617343[[#This Row],[JPN]]-VLOOKUP($U$1,A:Q,16,))/VLOOKUP($U$1,A:Q,16,))*100)+100</f>
        <v/>
      </c>
    </row>
    <row r="57" customFormat="1" s="86">
      <c r="A57" s="21" t="n">
        <v>34547</v>
      </c>
      <c r="B57" s="76">
        <f>IF(VLOOKUP(A57,Database!$A:$AS,MATCH($B$1,Database!$A$1:$AS$1,0),FALSE)=0,#N/A,VLOOKUP(A57,Database!$A:$AS,MATCH($B$1,Database!$A$1:$AS$1,0),FALSE))</f>
        <v/>
      </c>
      <c r="C57" s="76">
        <f>IF(VLOOKUP(A57,Database!$A:$AS,MATCH($C$1,Database!$A$1:$AS$1,0),FALSE)=0,#N/A,VLOOKUP(A57,Database!$A:$AS,MATCH($C$1,Database!$A$1:$AS$1,0),FALSE))</f>
        <v/>
      </c>
      <c r="D57" s="76">
        <f>IF(VLOOKUP(A57,Database!$A:$AS,MATCH($D$1,Database!$A$1:$AS$1,0),FALSE)=0,#N/A,VLOOKUP(A57,Database!$A:$AS,MATCH($D$1,Database!$A$1:$AS$1,0),FALSE))</f>
        <v/>
      </c>
      <c r="E57" s="76">
        <f>IF(VLOOKUP(A57,Database!$A:$AS,MATCH($E$1,Database!$A$1:$AS$1,0),FALSE)=0,#N/A,VLOOKUP(A57,Database!$A:$AS,MATCH($E$1,Database!$A$1:$AS$1,0),FALSE))</f>
        <v/>
      </c>
      <c r="F57" s="76">
        <f>IF(VLOOKUP(A57,Database!$A:$AS,MATCH($F$1,Database!$A$1:$AS$1,0),FALSE)=0,#N/A,VLOOKUP(A57,Database!$A:$AS,MATCH($F$1,Database!$A$1:$AS$1,0),FALSE))</f>
        <v/>
      </c>
      <c r="G57" s="76">
        <f>IF(VLOOKUP(A57,Database!$A:$AS,MATCH($G$1,Database!$A$1:$AS$1,0),FALSE)=0,#N/A,VLOOKUP(A57,Database!$A:$AS,MATCH($G$1,Database!$A$1:$AS$1,0),FALSE))</f>
        <v/>
      </c>
      <c r="H57" s="76">
        <f>(((Table134567891011121314151617343[[#This Row],[ITA]]-VLOOKUP($U$1,A:B,2,))/VLOOKUP($U$1,A:B,2,))*100)+100</f>
        <v/>
      </c>
      <c r="I57" s="76">
        <f>(((Table134567891011121314151617343[[#This Row],[FRA]]-VLOOKUP($U$1,A:C,3,))/VLOOKUP($U$1,A:C,3,))*100)+100</f>
        <v/>
      </c>
      <c r="J57" s="76">
        <f>(((Table134567891011121314151617343[[#This Row],[DEU]]-VLOOKUP($U$1,A:D,4,))/VLOOKUP($U$1,A:D,4,))*100)+100</f>
        <v/>
      </c>
      <c r="K57" s="76">
        <f>(((Table134567891011121314151617343[[#This Row],[ESP]]-VLOOKUP($U$1,A:E,5,))/VLOOKUP($U$1,A:E,5,))*100)+100</f>
        <v/>
      </c>
      <c r="L57" s="76">
        <f>(((Table134567891011121314151617343[[#This Row],[EA19]]-VLOOKUP($U$1,A:F,6,))/VLOOKUP($U$1,A:F,6,))*100)+100</f>
        <v/>
      </c>
      <c r="M57" s="76">
        <f>(((Table134567891011121314151617343[[#This Row],[GBR]]-VLOOKUP($U$1,A:G,7,))/VLOOKUP($U$1,A:G,7,))*100)+100</f>
        <v/>
      </c>
      <c r="N57" s="76">
        <f>IF(VLOOKUP(A57,Database!$A:$AU,MATCH($N$1,Database!$A$1:$AU$1,0),FALSE)=0,#N/A,VLOOKUP(A57,Database!$A:$AU,MATCH($N$1,Database!$A$1:$AU$1,0),FALSE))</f>
        <v/>
      </c>
      <c r="O57" s="76">
        <f>(((Table134567891011121314151617343[[#This Row],[USA]]-VLOOKUP($U$1,A:N,14,))/VLOOKUP($U$1,A:N,14,))*100)+100</f>
        <v/>
      </c>
      <c r="P57" s="76">
        <f>IF(VLOOKUP(A57,Database!$A:$AS,MATCH($P$1,Database!$A$1:$AS$1,0),FALSE)=0,#N/A,VLOOKUP(A57,Database!$A:$AS,MATCH($P$1,Database!$A$1:$AS$1,0),FALSE))</f>
        <v/>
      </c>
      <c r="Q57" s="76">
        <f>(((Table134567891011121314151617343[[#This Row],[JPN]]-VLOOKUP($U$1,A:Q,16,))/VLOOKUP($U$1,A:Q,16,))*100)+100</f>
        <v/>
      </c>
    </row>
    <row r="58" customFormat="1" s="86">
      <c r="A58" s="21" t="n">
        <v>34578</v>
      </c>
      <c r="B58" s="76">
        <f>IF(VLOOKUP(A58,Database!$A:$AS,MATCH($B$1,Database!$A$1:$AS$1,0),FALSE)=0,#N/A,VLOOKUP(A58,Database!$A:$AS,MATCH($B$1,Database!$A$1:$AS$1,0),FALSE))</f>
        <v/>
      </c>
      <c r="C58" s="76">
        <f>IF(VLOOKUP(A58,Database!$A:$AS,MATCH($C$1,Database!$A$1:$AS$1,0),FALSE)=0,#N/A,VLOOKUP(A58,Database!$A:$AS,MATCH($C$1,Database!$A$1:$AS$1,0),FALSE))</f>
        <v/>
      </c>
      <c r="D58" s="76">
        <f>IF(VLOOKUP(A58,Database!$A:$AS,MATCH($D$1,Database!$A$1:$AS$1,0),FALSE)=0,#N/A,VLOOKUP(A58,Database!$A:$AS,MATCH($D$1,Database!$A$1:$AS$1,0),FALSE))</f>
        <v/>
      </c>
      <c r="E58" s="76">
        <f>IF(VLOOKUP(A58,Database!$A:$AS,MATCH($E$1,Database!$A$1:$AS$1,0),FALSE)=0,#N/A,VLOOKUP(A58,Database!$A:$AS,MATCH($E$1,Database!$A$1:$AS$1,0),FALSE))</f>
        <v/>
      </c>
      <c r="F58" s="76">
        <f>IF(VLOOKUP(A58,Database!$A:$AS,MATCH($F$1,Database!$A$1:$AS$1,0),FALSE)=0,#N/A,VLOOKUP(A58,Database!$A:$AS,MATCH($F$1,Database!$A$1:$AS$1,0),FALSE))</f>
        <v/>
      </c>
      <c r="G58" s="76">
        <f>IF(VLOOKUP(A58,Database!$A:$AS,MATCH($G$1,Database!$A$1:$AS$1,0),FALSE)=0,#N/A,VLOOKUP(A58,Database!$A:$AS,MATCH($G$1,Database!$A$1:$AS$1,0),FALSE))</f>
        <v/>
      </c>
      <c r="H58" s="76">
        <f>(((Table134567891011121314151617343[[#This Row],[ITA]]-VLOOKUP($U$1,A:B,2,))/VLOOKUP($U$1,A:B,2,))*100)+100</f>
        <v/>
      </c>
      <c r="I58" s="76">
        <f>(((Table134567891011121314151617343[[#This Row],[FRA]]-VLOOKUP($U$1,A:C,3,))/VLOOKUP($U$1,A:C,3,))*100)+100</f>
        <v/>
      </c>
      <c r="J58" s="76">
        <f>(((Table134567891011121314151617343[[#This Row],[DEU]]-VLOOKUP($U$1,A:D,4,))/VLOOKUP($U$1,A:D,4,))*100)+100</f>
        <v/>
      </c>
      <c r="K58" s="76">
        <f>(((Table134567891011121314151617343[[#This Row],[ESP]]-VLOOKUP($U$1,A:E,5,))/VLOOKUP($U$1,A:E,5,))*100)+100</f>
        <v/>
      </c>
      <c r="L58" s="76">
        <f>(((Table134567891011121314151617343[[#This Row],[EA19]]-VLOOKUP($U$1,A:F,6,))/VLOOKUP($U$1,A:F,6,))*100)+100</f>
        <v/>
      </c>
      <c r="M58" s="76">
        <f>(((Table134567891011121314151617343[[#This Row],[GBR]]-VLOOKUP($U$1,A:G,7,))/VLOOKUP($U$1,A:G,7,))*100)+100</f>
        <v/>
      </c>
      <c r="N58" s="76">
        <f>IF(VLOOKUP(A58,Database!$A:$AU,MATCH($N$1,Database!$A$1:$AU$1,0),FALSE)=0,#N/A,VLOOKUP(A58,Database!$A:$AU,MATCH($N$1,Database!$A$1:$AU$1,0),FALSE))</f>
        <v/>
      </c>
      <c r="O58" s="76">
        <f>(((Table134567891011121314151617343[[#This Row],[USA]]-VLOOKUP($U$1,A:N,14,))/VLOOKUP($U$1,A:N,14,))*100)+100</f>
        <v/>
      </c>
      <c r="P58" s="76">
        <f>IF(VLOOKUP(A58,Database!$A:$AS,MATCH($P$1,Database!$A$1:$AS$1,0),FALSE)=0,#N/A,VLOOKUP(A58,Database!$A:$AS,MATCH($P$1,Database!$A$1:$AS$1,0),FALSE))</f>
        <v/>
      </c>
      <c r="Q58" s="76">
        <f>(((Table134567891011121314151617343[[#This Row],[JPN]]-VLOOKUP($U$1,A:Q,16,))/VLOOKUP($U$1,A:Q,16,))*100)+100</f>
        <v/>
      </c>
    </row>
    <row r="59" customFormat="1" s="86">
      <c r="A59" s="21" t="n">
        <v>34608</v>
      </c>
      <c r="B59" s="76">
        <f>IF(VLOOKUP(A59,Database!$A:$AS,MATCH($B$1,Database!$A$1:$AS$1,0),FALSE)=0,#N/A,VLOOKUP(A59,Database!$A:$AS,MATCH($B$1,Database!$A$1:$AS$1,0),FALSE))</f>
        <v/>
      </c>
      <c r="C59" s="76">
        <f>IF(VLOOKUP(A59,Database!$A:$AS,MATCH($C$1,Database!$A$1:$AS$1,0),FALSE)=0,#N/A,VLOOKUP(A59,Database!$A:$AS,MATCH($C$1,Database!$A$1:$AS$1,0),FALSE))</f>
        <v/>
      </c>
      <c r="D59" s="76">
        <f>IF(VLOOKUP(A59,Database!$A:$AS,MATCH($D$1,Database!$A$1:$AS$1,0),FALSE)=0,#N/A,VLOOKUP(A59,Database!$A:$AS,MATCH($D$1,Database!$A$1:$AS$1,0),FALSE))</f>
        <v/>
      </c>
      <c r="E59" s="76">
        <f>IF(VLOOKUP(A59,Database!$A:$AS,MATCH($E$1,Database!$A$1:$AS$1,0),FALSE)=0,#N/A,VLOOKUP(A59,Database!$A:$AS,MATCH($E$1,Database!$A$1:$AS$1,0),FALSE))</f>
        <v/>
      </c>
      <c r="F59" s="76">
        <f>IF(VLOOKUP(A59,Database!$A:$AS,MATCH($F$1,Database!$A$1:$AS$1,0),FALSE)=0,#N/A,VLOOKUP(A59,Database!$A:$AS,MATCH($F$1,Database!$A$1:$AS$1,0),FALSE))</f>
        <v/>
      </c>
      <c r="G59" s="76">
        <f>IF(VLOOKUP(A59,Database!$A:$AS,MATCH($G$1,Database!$A$1:$AS$1,0),FALSE)=0,#N/A,VLOOKUP(A59,Database!$A:$AS,MATCH($G$1,Database!$A$1:$AS$1,0),FALSE))</f>
        <v/>
      </c>
      <c r="H59" s="76">
        <f>(((Table134567891011121314151617343[[#This Row],[ITA]]-VLOOKUP($U$1,A:B,2,))/VLOOKUP($U$1,A:B,2,))*100)+100</f>
        <v/>
      </c>
      <c r="I59" s="76">
        <f>(((Table134567891011121314151617343[[#This Row],[FRA]]-VLOOKUP($U$1,A:C,3,))/VLOOKUP($U$1,A:C,3,))*100)+100</f>
        <v/>
      </c>
      <c r="J59" s="76">
        <f>(((Table134567891011121314151617343[[#This Row],[DEU]]-VLOOKUP($U$1,A:D,4,))/VLOOKUP($U$1,A:D,4,))*100)+100</f>
        <v/>
      </c>
      <c r="K59" s="76">
        <f>(((Table134567891011121314151617343[[#This Row],[ESP]]-VLOOKUP($U$1,A:E,5,))/VLOOKUP($U$1,A:E,5,))*100)+100</f>
        <v/>
      </c>
      <c r="L59" s="76">
        <f>(((Table134567891011121314151617343[[#This Row],[EA19]]-VLOOKUP($U$1,A:F,6,))/VLOOKUP($U$1,A:F,6,))*100)+100</f>
        <v/>
      </c>
      <c r="M59" s="76">
        <f>(((Table134567891011121314151617343[[#This Row],[GBR]]-VLOOKUP($U$1,A:G,7,))/VLOOKUP($U$1,A:G,7,))*100)+100</f>
        <v/>
      </c>
      <c r="N59" s="76">
        <f>IF(VLOOKUP(A59,Database!$A:$AU,MATCH($N$1,Database!$A$1:$AU$1,0),FALSE)=0,#N/A,VLOOKUP(A59,Database!$A:$AU,MATCH($N$1,Database!$A$1:$AU$1,0),FALSE))</f>
        <v/>
      </c>
      <c r="O59" s="76">
        <f>(((Table134567891011121314151617343[[#This Row],[USA]]-VLOOKUP($U$1,A:N,14,))/VLOOKUP($U$1,A:N,14,))*100)+100</f>
        <v/>
      </c>
      <c r="P59" s="76">
        <f>IF(VLOOKUP(A59,Database!$A:$AS,MATCH($P$1,Database!$A$1:$AS$1,0),FALSE)=0,#N/A,VLOOKUP(A59,Database!$A:$AS,MATCH($P$1,Database!$A$1:$AS$1,0),FALSE))</f>
        <v/>
      </c>
      <c r="Q59" s="76">
        <f>(((Table134567891011121314151617343[[#This Row],[JPN]]-VLOOKUP($U$1,A:Q,16,))/VLOOKUP($U$1,A:Q,16,))*100)+100</f>
        <v/>
      </c>
    </row>
    <row r="60" customFormat="1" s="86">
      <c r="A60" s="21" t="n">
        <v>34639</v>
      </c>
      <c r="B60" s="76">
        <f>IF(VLOOKUP(A60,Database!$A:$AS,MATCH($B$1,Database!$A$1:$AS$1,0),FALSE)=0,#N/A,VLOOKUP(A60,Database!$A:$AS,MATCH($B$1,Database!$A$1:$AS$1,0),FALSE))</f>
        <v/>
      </c>
      <c r="C60" s="76">
        <f>IF(VLOOKUP(A60,Database!$A:$AS,MATCH($C$1,Database!$A$1:$AS$1,0),FALSE)=0,#N/A,VLOOKUP(A60,Database!$A:$AS,MATCH($C$1,Database!$A$1:$AS$1,0),FALSE))</f>
        <v/>
      </c>
      <c r="D60" s="76">
        <f>IF(VLOOKUP(A60,Database!$A:$AS,MATCH($D$1,Database!$A$1:$AS$1,0),FALSE)=0,#N/A,VLOOKUP(A60,Database!$A:$AS,MATCH($D$1,Database!$A$1:$AS$1,0),FALSE))</f>
        <v/>
      </c>
      <c r="E60" s="76">
        <f>IF(VLOOKUP(A60,Database!$A:$AS,MATCH($E$1,Database!$A$1:$AS$1,0),FALSE)=0,#N/A,VLOOKUP(A60,Database!$A:$AS,MATCH($E$1,Database!$A$1:$AS$1,0),FALSE))</f>
        <v/>
      </c>
      <c r="F60" s="76">
        <f>IF(VLOOKUP(A60,Database!$A:$AS,MATCH($F$1,Database!$A$1:$AS$1,0),FALSE)=0,#N/A,VLOOKUP(A60,Database!$A:$AS,MATCH($F$1,Database!$A$1:$AS$1,0),FALSE))</f>
        <v/>
      </c>
      <c r="G60" s="76">
        <f>IF(VLOOKUP(A60,Database!$A:$AS,MATCH($G$1,Database!$A$1:$AS$1,0),FALSE)=0,#N/A,VLOOKUP(A60,Database!$A:$AS,MATCH($G$1,Database!$A$1:$AS$1,0),FALSE))</f>
        <v/>
      </c>
      <c r="H60" s="76">
        <f>(((Table134567891011121314151617343[[#This Row],[ITA]]-VLOOKUP($U$1,A:B,2,))/VLOOKUP($U$1,A:B,2,))*100)+100</f>
        <v/>
      </c>
      <c r="I60" s="76">
        <f>(((Table134567891011121314151617343[[#This Row],[FRA]]-VLOOKUP($U$1,A:C,3,))/VLOOKUP($U$1,A:C,3,))*100)+100</f>
        <v/>
      </c>
      <c r="J60" s="76">
        <f>(((Table134567891011121314151617343[[#This Row],[DEU]]-VLOOKUP($U$1,A:D,4,))/VLOOKUP($U$1,A:D,4,))*100)+100</f>
        <v/>
      </c>
      <c r="K60" s="76">
        <f>(((Table134567891011121314151617343[[#This Row],[ESP]]-VLOOKUP($U$1,A:E,5,))/VLOOKUP($U$1,A:E,5,))*100)+100</f>
        <v/>
      </c>
      <c r="L60" s="76">
        <f>(((Table134567891011121314151617343[[#This Row],[EA19]]-VLOOKUP($U$1,A:F,6,))/VLOOKUP($U$1,A:F,6,))*100)+100</f>
        <v/>
      </c>
      <c r="M60" s="76">
        <f>(((Table134567891011121314151617343[[#This Row],[GBR]]-VLOOKUP($U$1,A:G,7,))/VLOOKUP($U$1,A:G,7,))*100)+100</f>
        <v/>
      </c>
      <c r="N60" s="76">
        <f>IF(VLOOKUP(A60,Database!$A:$AU,MATCH($N$1,Database!$A$1:$AU$1,0),FALSE)=0,#N/A,VLOOKUP(A60,Database!$A:$AU,MATCH($N$1,Database!$A$1:$AU$1,0),FALSE))</f>
        <v/>
      </c>
      <c r="O60" s="76">
        <f>(((Table134567891011121314151617343[[#This Row],[USA]]-VLOOKUP($U$1,A:N,14,))/VLOOKUP($U$1,A:N,14,))*100)+100</f>
        <v/>
      </c>
      <c r="P60" s="76">
        <f>IF(VLOOKUP(A60,Database!$A:$AS,MATCH($P$1,Database!$A$1:$AS$1,0),FALSE)=0,#N/A,VLOOKUP(A60,Database!$A:$AS,MATCH($P$1,Database!$A$1:$AS$1,0),FALSE))</f>
        <v/>
      </c>
      <c r="Q60" s="76">
        <f>(((Table134567891011121314151617343[[#This Row],[JPN]]-VLOOKUP($U$1,A:Q,16,))/VLOOKUP($U$1,A:Q,16,))*100)+100</f>
        <v/>
      </c>
    </row>
    <row r="61" customFormat="1" s="86">
      <c r="A61" s="21" t="n">
        <v>34669</v>
      </c>
      <c r="B61" s="76">
        <f>IF(VLOOKUP(A61,Database!$A:$AS,MATCH($B$1,Database!$A$1:$AS$1,0),FALSE)=0,#N/A,VLOOKUP(A61,Database!$A:$AS,MATCH($B$1,Database!$A$1:$AS$1,0),FALSE))</f>
        <v/>
      </c>
      <c r="C61" s="76">
        <f>IF(VLOOKUP(A61,Database!$A:$AS,MATCH($C$1,Database!$A$1:$AS$1,0),FALSE)=0,#N/A,VLOOKUP(A61,Database!$A:$AS,MATCH($C$1,Database!$A$1:$AS$1,0),FALSE))</f>
        <v/>
      </c>
      <c r="D61" s="76">
        <f>IF(VLOOKUP(A61,Database!$A:$AS,MATCH($D$1,Database!$A$1:$AS$1,0),FALSE)=0,#N/A,VLOOKUP(A61,Database!$A:$AS,MATCH($D$1,Database!$A$1:$AS$1,0),FALSE))</f>
        <v/>
      </c>
      <c r="E61" s="76">
        <f>IF(VLOOKUP(A61,Database!$A:$AS,MATCH($E$1,Database!$A$1:$AS$1,0),FALSE)=0,#N/A,VLOOKUP(A61,Database!$A:$AS,MATCH($E$1,Database!$A$1:$AS$1,0),FALSE))</f>
        <v/>
      </c>
      <c r="F61" s="76">
        <f>IF(VLOOKUP(A61,Database!$A:$AS,MATCH($F$1,Database!$A$1:$AS$1,0),FALSE)=0,#N/A,VLOOKUP(A61,Database!$A:$AS,MATCH($F$1,Database!$A$1:$AS$1,0),FALSE))</f>
        <v/>
      </c>
      <c r="G61" s="76">
        <f>IF(VLOOKUP(A61,Database!$A:$AS,MATCH($G$1,Database!$A$1:$AS$1,0),FALSE)=0,#N/A,VLOOKUP(A61,Database!$A:$AS,MATCH($G$1,Database!$A$1:$AS$1,0),FALSE))</f>
        <v/>
      </c>
      <c r="H61" s="76">
        <f>(((Table134567891011121314151617343[[#This Row],[ITA]]-VLOOKUP($U$1,A:B,2,))/VLOOKUP($U$1,A:B,2,))*100)+100</f>
        <v/>
      </c>
      <c r="I61" s="76">
        <f>(((Table134567891011121314151617343[[#This Row],[FRA]]-VLOOKUP($U$1,A:C,3,))/VLOOKUP($U$1,A:C,3,))*100)+100</f>
        <v/>
      </c>
      <c r="J61" s="76">
        <f>(((Table134567891011121314151617343[[#This Row],[DEU]]-VLOOKUP($U$1,A:D,4,))/VLOOKUP($U$1,A:D,4,))*100)+100</f>
        <v/>
      </c>
      <c r="K61" s="76">
        <f>(((Table134567891011121314151617343[[#This Row],[ESP]]-VLOOKUP($U$1,A:E,5,))/VLOOKUP($U$1,A:E,5,))*100)+100</f>
        <v/>
      </c>
      <c r="L61" s="76">
        <f>(((Table134567891011121314151617343[[#This Row],[EA19]]-VLOOKUP($U$1,A:F,6,))/VLOOKUP($U$1,A:F,6,))*100)+100</f>
        <v/>
      </c>
      <c r="M61" s="76">
        <f>(((Table134567891011121314151617343[[#This Row],[GBR]]-VLOOKUP($U$1,A:G,7,))/VLOOKUP($U$1,A:G,7,))*100)+100</f>
        <v/>
      </c>
      <c r="N61" s="76">
        <f>IF(VLOOKUP(A61,Database!$A:$AU,MATCH($N$1,Database!$A$1:$AU$1,0),FALSE)=0,#N/A,VLOOKUP(A61,Database!$A:$AU,MATCH($N$1,Database!$A$1:$AU$1,0),FALSE))</f>
        <v/>
      </c>
      <c r="O61" s="76">
        <f>(((Table134567891011121314151617343[[#This Row],[USA]]-VLOOKUP($U$1,A:N,14,))/VLOOKUP($U$1,A:N,14,))*100)+100</f>
        <v/>
      </c>
      <c r="P61" s="76">
        <f>IF(VLOOKUP(A61,Database!$A:$AS,MATCH($P$1,Database!$A$1:$AS$1,0),FALSE)=0,#N/A,VLOOKUP(A61,Database!$A:$AS,MATCH($P$1,Database!$A$1:$AS$1,0),FALSE))</f>
        <v/>
      </c>
      <c r="Q61" s="76">
        <f>(((Table134567891011121314151617343[[#This Row],[JPN]]-VLOOKUP($U$1,A:Q,16,))/VLOOKUP($U$1,A:Q,16,))*100)+100</f>
        <v/>
      </c>
    </row>
    <row r="62" customFormat="1" s="86">
      <c r="A62" s="21" t="n">
        <v>34700</v>
      </c>
      <c r="B62" s="76">
        <f>IF(VLOOKUP(A62,Database!$A:$AS,MATCH($B$1,Database!$A$1:$AS$1,0),FALSE)=0,#N/A,VLOOKUP(A62,Database!$A:$AS,MATCH($B$1,Database!$A$1:$AS$1,0),FALSE))</f>
        <v/>
      </c>
      <c r="C62" s="76">
        <f>IF(VLOOKUP(A62,Database!$A:$AS,MATCH($C$1,Database!$A$1:$AS$1,0),FALSE)=0,#N/A,VLOOKUP(A62,Database!$A:$AS,MATCH($C$1,Database!$A$1:$AS$1,0),FALSE))</f>
        <v/>
      </c>
      <c r="D62" s="76">
        <f>IF(VLOOKUP(A62,Database!$A:$AS,MATCH($D$1,Database!$A$1:$AS$1,0),FALSE)=0,#N/A,VLOOKUP(A62,Database!$A:$AS,MATCH($D$1,Database!$A$1:$AS$1,0),FALSE))</f>
        <v/>
      </c>
      <c r="E62" s="76">
        <f>IF(VLOOKUP(A62,Database!$A:$AS,MATCH($E$1,Database!$A$1:$AS$1,0),FALSE)=0,#N/A,VLOOKUP(A62,Database!$A:$AS,MATCH($E$1,Database!$A$1:$AS$1,0),FALSE))</f>
        <v/>
      </c>
      <c r="F62" s="76">
        <f>IF(VLOOKUP(A62,Database!$A:$AS,MATCH($F$1,Database!$A$1:$AS$1,0),FALSE)=0,#N/A,VLOOKUP(A62,Database!$A:$AS,MATCH($F$1,Database!$A$1:$AS$1,0),FALSE))</f>
        <v/>
      </c>
      <c r="G62" s="76">
        <f>IF(VLOOKUP(A62,Database!$A:$AS,MATCH($G$1,Database!$A$1:$AS$1,0),FALSE)=0,#N/A,VLOOKUP(A62,Database!$A:$AS,MATCH($G$1,Database!$A$1:$AS$1,0),FALSE))</f>
        <v/>
      </c>
      <c r="H62" s="76">
        <f>(((Table134567891011121314151617343[[#This Row],[ITA]]-VLOOKUP($U$1,A:B,2,))/VLOOKUP($U$1,A:B,2,))*100)+100</f>
        <v/>
      </c>
      <c r="I62" s="76">
        <f>(((Table134567891011121314151617343[[#This Row],[FRA]]-VLOOKUP($U$1,A:C,3,))/VLOOKUP($U$1,A:C,3,))*100)+100</f>
        <v/>
      </c>
      <c r="J62" s="76">
        <f>(((Table134567891011121314151617343[[#This Row],[DEU]]-VLOOKUP($U$1,A:D,4,))/VLOOKUP($U$1,A:D,4,))*100)+100</f>
        <v/>
      </c>
      <c r="K62" s="76">
        <f>(((Table134567891011121314151617343[[#This Row],[ESP]]-VLOOKUP($U$1,A:E,5,))/VLOOKUP($U$1,A:E,5,))*100)+100</f>
        <v/>
      </c>
      <c r="L62" s="76">
        <f>(((Table134567891011121314151617343[[#This Row],[EA19]]-VLOOKUP($U$1,A:F,6,))/VLOOKUP($U$1,A:F,6,))*100)+100</f>
        <v/>
      </c>
      <c r="M62" s="76">
        <f>(((Table134567891011121314151617343[[#This Row],[GBR]]-VLOOKUP($U$1,A:G,7,))/VLOOKUP($U$1,A:G,7,))*100)+100</f>
        <v/>
      </c>
      <c r="N62" s="76">
        <f>IF(VLOOKUP(A62,Database!$A:$AU,MATCH($N$1,Database!$A$1:$AU$1,0),FALSE)=0,#N/A,VLOOKUP(A62,Database!$A:$AU,MATCH($N$1,Database!$A$1:$AU$1,0),FALSE))</f>
        <v/>
      </c>
      <c r="O62" s="76">
        <f>(((Table134567891011121314151617343[[#This Row],[USA]]-VLOOKUP($U$1,A:N,14,))/VLOOKUP($U$1,A:N,14,))*100)+100</f>
        <v/>
      </c>
      <c r="P62" s="76">
        <f>IF(VLOOKUP(A62,Database!$A:$AS,MATCH($P$1,Database!$A$1:$AS$1,0),FALSE)=0,#N/A,VLOOKUP(A62,Database!$A:$AS,MATCH($P$1,Database!$A$1:$AS$1,0),FALSE))</f>
        <v/>
      </c>
      <c r="Q62" s="76">
        <f>(((Table134567891011121314151617343[[#This Row],[JPN]]-VLOOKUP($U$1,A:Q,16,))/VLOOKUP($U$1,A:Q,16,))*100)+100</f>
        <v/>
      </c>
    </row>
    <row r="63" customFormat="1" s="86">
      <c r="A63" s="21" t="n">
        <v>34731</v>
      </c>
      <c r="B63" s="76">
        <f>IF(VLOOKUP(A63,Database!$A:$AS,MATCH($B$1,Database!$A$1:$AS$1,0),FALSE)=0,#N/A,VLOOKUP(A63,Database!$A:$AS,MATCH($B$1,Database!$A$1:$AS$1,0),FALSE))</f>
        <v/>
      </c>
      <c r="C63" s="76">
        <f>IF(VLOOKUP(A63,Database!$A:$AS,MATCH($C$1,Database!$A$1:$AS$1,0),FALSE)=0,#N/A,VLOOKUP(A63,Database!$A:$AS,MATCH($C$1,Database!$A$1:$AS$1,0),FALSE))</f>
        <v/>
      </c>
      <c r="D63" s="76">
        <f>IF(VLOOKUP(A63,Database!$A:$AS,MATCH($D$1,Database!$A$1:$AS$1,0),FALSE)=0,#N/A,VLOOKUP(A63,Database!$A:$AS,MATCH($D$1,Database!$A$1:$AS$1,0),FALSE))</f>
        <v/>
      </c>
      <c r="E63" s="76">
        <f>IF(VLOOKUP(A63,Database!$A:$AS,MATCH($E$1,Database!$A$1:$AS$1,0),FALSE)=0,#N/A,VLOOKUP(A63,Database!$A:$AS,MATCH($E$1,Database!$A$1:$AS$1,0),FALSE))</f>
        <v/>
      </c>
      <c r="F63" s="76">
        <f>IF(VLOOKUP(A63,Database!$A:$AS,MATCH($F$1,Database!$A$1:$AS$1,0),FALSE)=0,#N/A,VLOOKUP(A63,Database!$A:$AS,MATCH($F$1,Database!$A$1:$AS$1,0),FALSE))</f>
        <v/>
      </c>
      <c r="G63" s="76">
        <f>IF(VLOOKUP(A63,Database!$A:$AS,MATCH($G$1,Database!$A$1:$AS$1,0),FALSE)=0,#N/A,VLOOKUP(A63,Database!$A:$AS,MATCH($G$1,Database!$A$1:$AS$1,0),FALSE))</f>
        <v/>
      </c>
      <c r="H63" s="76">
        <f>(((Table134567891011121314151617343[[#This Row],[ITA]]-VLOOKUP($U$1,A:B,2,))/VLOOKUP($U$1,A:B,2,))*100)+100</f>
        <v/>
      </c>
      <c r="I63" s="76">
        <f>(((Table134567891011121314151617343[[#This Row],[FRA]]-VLOOKUP($U$1,A:C,3,))/VLOOKUP($U$1,A:C,3,))*100)+100</f>
        <v/>
      </c>
      <c r="J63" s="76">
        <f>(((Table134567891011121314151617343[[#This Row],[DEU]]-VLOOKUP($U$1,A:D,4,))/VLOOKUP($U$1,A:D,4,))*100)+100</f>
        <v/>
      </c>
      <c r="K63" s="76">
        <f>(((Table134567891011121314151617343[[#This Row],[ESP]]-VLOOKUP($U$1,A:E,5,))/VLOOKUP($U$1,A:E,5,))*100)+100</f>
        <v/>
      </c>
      <c r="L63" s="76">
        <f>(((Table134567891011121314151617343[[#This Row],[EA19]]-VLOOKUP($U$1,A:F,6,))/VLOOKUP($U$1,A:F,6,))*100)+100</f>
        <v/>
      </c>
      <c r="M63" s="76">
        <f>(((Table134567891011121314151617343[[#This Row],[GBR]]-VLOOKUP($U$1,A:G,7,))/VLOOKUP($U$1,A:G,7,))*100)+100</f>
        <v/>
      </c>
      <c r="N63" s="76">
        <f>IF(VLOOKUP(A63,Database!$A:$AU,MATCH($N$1,Database!$A$1:$AU$1,0),FALSE)=0,#N/A,VLOOKUP(A63,Database!$A:$AU,MATCH($N$1,Database!$A$1:$AU$1,0),FALSE))</f>
        <v/>
      </c>
      <c r="O63" s="76">
        <f>(((Table134567891011121314151617343[[#This Row],[USA]]-VLOOKUP($U$1,A:N,14,))/VLOOKUP($U$1,A:N,14,))*100)+100</f>
        <v/>
      </c>
      <c r="P63" s="76">
        <f>IF(VLOOKUP(A63,Database!$A:$AS,MATCH($P$1,Database!$A$1:$AS$1,0),FALSE)=0,#N/A,VLOOKUP(A63,Database!$A:$AS,MATCH($P$1,Database!$A$1:$AS$1,0),FALSE))</f>
        <v/>
      </c>
      <c r="Q63" s="76">
        <f>(((Table134567891011121314151617343[[#This Row],[JPN]]-VLOOKUP($U$1,A:Q,16,))/VLOOKUP($U$1,A:Q,16,))*100)+100</f>
        <v/>
      </c>
    </row>
    <row r="64" customFormat="1" s="86">
      <c r="A64" s="21" t="n">
        <v>34759</v>
      </c>
      <c r="B64" s="76">
        <f>IF(VLOOKUP(A64,Database!$A:$AS,MATCH($B$1,Database!$A$1:$AS$1,0),FALSE)=0,#N/A,VLOOKUP(A64,Database!$A:$AS,MATCH($B$1,Database!$A$1:$AS$1,0),FALSE))</f>
        <v/>
      </c>
      <c r="C64" s="76">
        <f>IF(VLOOKUP(A64,Database!$A:$AS,MATCH($C$1,Database!$A$1:$AS$1,0),FALSE)=0,#N/A,VLOOKUP(A64,Database!$A:$AS,MATCH($C$1,Database!$A$1:$AS$1,0),FALSE))</f>
        <v/>
      </c>
      <c r="D64" s="76">
        <f>IF(VLOOKUP(A64,Database!$A:$AS,MATCH($D$1,Database!$A$1:$AS$1,0),FALSE)=0,#N/A,VLOOKUP(A64,Database!$A:$AS,MATCH($D$1,Database!$A$1:$AS$1,0),FALSE))</f>
        <v/>
      </c>
      <c r="E64" s="76">
        <f>IF(VLOOKUP(A64,Database!$A:$AS,MATCH($E$1,Database!$A$1:$AS$1,0),FALSE)=0,#N/A,VLOOKUP(A64,Database!$A:$AS,MATCH($E$1,Database!$A$1:$AS$1,0),FALSE))</f>
        <v/>
      </c>
      <c r="F64" s="76">
        <f>IF(VLOOKUP(A64,Database!$A:$AS,MATCH($F$1,Database!$A$1:$AS$1,0),FALSE)=0,#N/A,VLOOKUP(A64,Database!$A:$AS,MATCH($F$1,Database!$A$1:$AS$1,0),FALSE))</f>
        <v/>
      </c>
      <c r="G64" s="76">
        <f>IF(VLOOKUP(A64,Database!$A:$AS,MATCH($G$1,Database!$A$1:$AS$1,0),FALSE)=0,#N/A,VLOOKUP(A64,Database!$A:$AS,MATCH($G$1,Database!$A$1:$AS$1,0),FALSE))</f>
        <v/>
      </c>
      <c r="H64" s="76">
        <f>(((Table134567891011121314151617343[[#This Row],[ITA]]-VLOOKUP($U$1,A:B,2,))/VLOOKUP($U$1,A:B,2,))*100)+100</f>
        <v/>
      </c>
      <c r="I64" s="76">
        <f>(((Table134567891011121314151617343[[#This Row],[FRA]]-VLOOKUP($U$1,A:C,3,))/VLOOKUP($U$1,A:C,3,))*100)+100</f>
        <v/>
      </c>
      <c r="J64" s="76">
        <f>(((Table134567891011121314151617343[[#This Row],[DEU]]-VLOOKUP($U$1,A:D,4,))/VLOOKUP($U$1,A:D,4,))*100)+100</f>
        <v/>
      </c>
      <c r="K64" s="76">
        <f>(((Table134567891011121314151617343[[#This Row],[ESP]]-VLOOKUP($U$1,A:E,5,))/VLOOKUP($U$1,A:E,5,))*100)+100</f>
        <v/>
      </c>
      <c r="L64" s="76">
        <f>(((Table134567891011121314151617343[[#This Row],[EA19]]-VLOOKUP($U$1,A:F,6,))/VLOOKUP($U$1,A:F,6,))*100)+100</f>
        <v/>
      </c>
      <c r="M64" s="76">
        <f>(((Table134567891011121314151617343[[#This Row],[GBR]]-VLOOKUP($U$1,A:G,7,))/VLOOKUP($U$1,A:G,7,))*100)+100</f>
        <v/>
      </c>
      <c r="N64" s="76">
        <f>IF(VLOOKUP(A64,Database!$A:$AU,MATCH($N$1,Database!$A$1:$AU$1,0),FALSE)=0,#N/A,VLOOKUP(A64,Database!$A:$AU,MATCH($N$1,Database!$A$1:$AU$1,0),FALSE))</f>
        <v/>
      </c>
      <c r="O64" s="76">
        <f>(((Table134567891011121314151617343[[#This Row],[USA]]-VLOOKUP($U$1,A:N,14,))/VLOOKUP($U$1,A:N,14,))*100)+100</f>
        <v/>
      </c>
      <c r="P64" s="76">
        <f>IF(VLOOKUP(A64,Database!$A:$AS,MATCH($P$1,Database!$A$1:$AS$1,0),FALSE)=0,#N/A,VLOOKUP(A64,Database!$A:$AS,MATCH($P$1,Database!$A$1:$AS$1,0),FALSE))</f>
        <v/>
      </c>
      <c r="Q64" s="76">
        <f>(((Table134567891011121314151617343[[#This Row],[JPN]]-VLOOKUP($U$1,A:Q,16,))/VLOOKUP($U$1,A:Q,16,))*100)+100</f>
        <v/>
      </c>
    </row>
    <row r="65" customFormat="1" s="86">
      <c r="A65" s="21" t="n">
        <v>34790</v>
      </c>
      <c r="B65" s="76">
        <f>IF(VLOOKUP(A65,Database!$A:$AS,MATCH($B$1,Database!$A$1:$AS$1,0),FALSE)=0,#N/A,VLOOKUP(A65,Database!$A:$AS,MATCH($B$1,Database!$A$1:$AS$1,0),FALSE))</f>
        <v/>
      </c>
      <c r="C65" s="76">
        <f>IF(VLOOKUP(A65,Database!$A:$AS,MATCH($C$1,Database!$A$1:$AS$1,0),FALSE)=0,#N/A,VLOOKUP(A65,Database!$A:$AS,MATCH($C$1,Database!$A$1:$AS$1,0),FALSE))</f>
        <v/>
      </c>
      <c r="D65" s="76">
        <f>IF(VLOOKUP(A65,Database!$A:$AS,MATCH($D$1,Database!$A$1:$AS$1,0),FALSE)=0,#N/A,VLOOKUP(A65,Database!$A:$AS,MATCH($D$1,Database!$A$1:$AS$1,0),FALSE))</f>
        <v/>
      </c>
      <c r="E65" s="76">
        <f>IF(VLOOKUP(A65,Database!$A:$AS,MATCH($E$1,Database!$A$1:$AS$1,0),FALSE)=0,#N/A,VLOOKUP(A65,Database!$A:$AS,MATCH($E$1,Database!$A$1:$AS$1,0),FALSE))</f>
        <v/>
      </c>
      <c r="F65" s="76">
        <f>IF(VLOOKUP(A65,Database!$A:$AS,MATCH($F$1,Database!$A$1:$AS$1,0),FALSE)=0,#N/A,VLOOKUP(A65,Database!$A:$AS,MATCH($F$1,Database!$A$1:$AS$1,0),FALSE))</f>
        <v/>
      </c>
      <c r="G65" s="76">
        <f>IF(VLOOKUP(A65,Database!$A:$AS,MATCH($G$1,Database!$A$1:$AS$1,0),FALSE)=0,#N/A,VLOOKUP(A65,Database!$A:$AS,MATCH($G$1,Database!$A$1:$AS$1,0),FALSE))</f>
        <v/>
      </c>
      <c r="H65" s="76">
        <f>(((Table134567891011121314151617343[[#This Row],[ITA]]-VLOOKUP($U$1,A:B,2,))/VLOOKUP($U$1,A:B,2,))*100)+100</f>
        <v/>
      </c>
      <c r="I65" s="76">
        <f>(((Table134567891011121314151617343[[#This Row],[FRA]]-VLOOKUP($U$1,A:C,3,))/VLOOKUP($U$1,A:C,3,))*100)+100</f>
        <v/>
      </c>
      <c r="J65" s="76">
        <f>(((Table134567891011121314151617343[[#This Row],[DEU]]-VLOOKUP($U$1,A:D,4,))/VLOOKUP($U$1,A:D,4,))*100)+100</f>
        <v/>
      </c>
      <c r="K65" s="76">
        <f>(((Table134567891011121314151617343[[#This Row],[ESP]]-VLOOKUP($U$1,A:E,5,))/VLOOKUP($U$1,A:E,5,))*100)+100</f>
        <v/>
      </c>
      <c r="L65" s="76">
        <f>(((Table134567891011121314151617343[[#This Row],[EA19]]-VLOOKUP($U$1,A:F,6,))/VLOOKUP($U$1,A:F,6,))*100)+100</f>
        <v/>
      </c>
      <c r="M65" s="76">
        <f>(((Table134567891011121314151617343[[#This Row],[GBR]]-VLOOKUP($U$1,A:G,7,))/VLOOKUP($U$1,A:G,7,))*100)+100</f>
        <v/>
      </c>
      <c r="N65" s="76">
        <f>IF(VLOOKUP(A65,Database!$A:$AU,MATCH($N$1,Database!$A$1:$AU$1,0),FALSE)=0,#N/A,VLOOKUP(A65,Database!$A:$AU,MATCH($N$1,Database!$A$1:$AU$1,0),FALSE))</f>
        <v/>
      </c>
      <c r="O65" s="76">
        <f>(((Table134567891011121314151617343[[#This Row],[USA]]-VLOOKUP($U$1,A:N,14,))/VLOOKUP($U$1,A:N,14,))*100)+100</f>
        <v/>
      </c>
      <c r="P65" s="76">
        <f>IF(VLOOKUP(A65,Database!$A:$AS,MATCH($P$1,Database!$A$1:$AS$1,0),FALSE)=0,#N/A,VLOOKUP(A65,Database!$A:$AS,MATCH($P$1,Database!$A$1:$AS$1,0),FALSE))</f>
        <v/>
      </c>
      <c r="Q65" s="76">
        <f>(((Table134567891011121314151617343[[#This Row],[JPN]]-VLOOKUP($U$1,A:Q,16,))/VLOOKUP($U$1,A:Q,16,))*100)+100</f>
        <v/>
      </c>
    </row>
    <row r="66" customFormat="1" s="86">
      <c r="A66" s="21" t="n">
        <v>34820</v>
      </c>
      <c r="B66" s="76">
        <f>IF(VLOOKUP(A66,Database!$A:$AS,MATCH($B$1,Database!$A$1:$AS$1,0),FALSE)=0,#N/A,VLOOKUP(A66,Database!$A:$AS,MATCH($B$1,Database!$A$1:$AS$1,0),FALSE))</f>
        <v/>
      </c>
      <c r="C66" s="76">
        <f>IF(VLOOKUP(A66,Database!$A:$AS,MATCH($C$1,Database!$A$1:$AS$1,0),FALSE)=0,#N/A,VLOOKUP(A66,Database!$A:$AS,MATCH($C$1,Database!$A$1:$AS$1,0),FALSE))</f>
        <v/>
      </c>
      <c r="D66" s="76">
        <f>IF(VLOOKUP(A66,Database!$A:$AS,MATCH($D$1,Database!$A$1:$AS$1,0),FALSE)=0,#N/A,VLOOKUP(A66,Database!$A:$AS,MATCH($D$1,Database!$A$1:$AS$1,0),FALSE))</f>
        <v/>
      </c>
      <c r="E66" s="76">
        <f>IF(VLOOKUP(A66,Database!$A:$AS,MATCH($E$1,Database!$A$1:$AS$1,0),FALSE)=0,#N/A,VLOOKUP(A66,Database!$A:$AS,MATCH($E$1,Database!$A$1:$AS$1,0),FALSE))</f>
        <v/>
      </c>
      <c r="F66" s="76">
        <f>IF(VLOOKUP(A66,Database!$A:$AS,MATCH($F$1,Database!$A$1:$AS$1,0),FALSE)=0,#N/A,VLOOKUP(A66,Database!$A:$AS,MATCH($F$1,Database!$A$1:$AS$1,0),FALSE))</f>
        <v/>
      </c>
      <c r="G66" s="76">
        <f>IF(VLOOKUP(A66,Database!$A:$AS,MATCH($G$1,Database!$A$1:$AS$1,0),FALSE)=0,#N/A,VLOOKUP(A66,Database!$A:$AS,MATCH($G$1,Database!$A$1:$AS$1,0),FALSE))</f>
        <v/>
      </c>
      <c r="H66" s="76">
        <f>(((Table134567891011121314151617343[[#This Row],[ITA]]-VLOOKUP($U$1,A:B,2,))/VLOOKUP($U$1,A:B,2,))*100)+100</f>
        <v/>
      </c>
      <c r="I66" s="76">
        <f>(((Table134567891011121314151617343[[#This Row],[FRA]]-VLOOKUP($U$1,A:C,3,))/VLOOKUP($U$1,A:C,3,))*100)+100</f>
        <v/>
      </c>
      <c r="J66" s="76">
        <f>(((Table134567891011121314151617343[[#This Row],[DEU]]-VLOOKUP($U$1,A:D,4,))/VLOOKUP($U$1,A:D,4,))*100)+100</f>
        <v/>
      </c>
      <c r="K66" s="76">
        <f>(((Table134567891011121314151617343[[#This Row],[ESP]]-VLOOKUP($U$1,A:E,5,))/VLOOKUP($U$1,A:E,5,))*100)+100</f>
        <v/>
      </c>
      <c r="L66" s="76">
        <f>(((Table134567891011121314151617343[[#This Row],[EA19]]-VLOOKUP($U$1,A:F,6,))/VLOOKUP($U$1,A:F,6,))*100)+100</f>
        <v/>
      </c>
      <c r="M66" s="76">
        <f>(((Table134567891011121314151617343[[#This Row],[GBR]]-VLOOKUP($U$1,A:G,7,))/VLOOKUP($U$1,A:G,7,))*100)+100</f>
        <v/>
      </c>
      <c r="N66" s="76">
        <f>IF(VLOOKUP(A66,Database!$A:$AU,MATCH($N$1,Database!$A$1:$AU$1,0),FALSE)=0,#N/A,VLOOKUP(A66,Database!$A:$AU,MATCH($N$1,Database!$A$1:$AU$1,0),FALSE))</f>
        <v/>
      </c>
      <c r="O66" s="76">
        <f>(((Table134567891011121314151617343[[#This Row],[USA]]-VLOOKUP($U$1,A:N,14,))/VLOOKUP($U$1,A:N,14,))*100)+100</f>
        <v/>
      </c>
      <c r="P66" s="76">
        <f>IF(VLOOKUP(A66,Database!$A:$AS,MATCH($P$1,Database!$A$1:$AS$1,0),FALSE)=0,#N/A,VLOOKUP(A66,Database!$A:$AS,MATCH($P$1,Database!$A$1:$AS$1,0),FALSE))</f>
        <v/>
      </c>
      <c r="Q66" s="76">
        <f>(((Table134567891011121314151617343[[#This Row],[JPN]]-VLOOKUP($U$1,A:Q,16,))/VLOOKUP($U$1,A:Q,16,))*100)+100</f>
        <v/>
      </c>
    </row>
    <row r="67" customFormat="1" s="86">
      <c r="A67" s="21" t="n">
        <v>34851</v>
      </c>
      <c r="B67" s="76">
        <f>IF(VLOOKUP(A67,Database!$A:$AS,MATCH($B$1,Database!$A$1:$AS$1,0),FALSE)=0,#N/A,VLOOKUP(A67,Database!$A:$AS,MATCH($B$1,Database!$A$1:$AS$1,0),FALSE))</f>
        <v/>
      </c>
      <c r="C67" s="76">
        <f>IF(VLOOKUP(A67,Database!$A:$AS,MATCH($C$1,Database!$A$1:$AS$1,0),FALSE)=0,#N/A,VLOOKUP(A67,Database!$A:$AS,MATCH($C$1,Database!$A$1:$AS$1,0),FALSE))</f>
        <v/>
      </c>
      <c r="D67" s="76">
        <f>IF(VLOOKUP(A67,Database!$A:$AS,MATCH($D$1,Database!$A$1:$AS$1,0),FALSE)=0,#N/A,VLOOKUP(A67,Database!$A:$AS,MATCH($D$1,Database!$A$1:$AS$1,0),FALSE))</f>
        <v/>
      </c>
      <c r="E67" s="76">
        <f>IF(VLOOKUP(A67,Database!$A:$AS,MATCH($E$1,Database!$A$1:$AS$1,0),FALSE)=0,#N/A,VLOOKUP(A67,Database!$A:$AS,MATCH($E$1,Database!$A$1:$AS$1,0),FALSE))</f>
        <v/>
      </c>
      <c r="F67" s="76">
        <f>IF(VLOOKUP(A67,Database!$A:$AS,MATCH($F$1,Database!$A$1:$AS$1,0),FALSE)=0,#N/A,VLOOKUP(A67,Database!$A:$AS,MATCH($F$1,Database!$A$1:$AS$1,0),FALSE))</f>
        <v/>
      </c>
      <c r="G67" s="76">
        <f>IF(VLOOKUP(A67,Database!$A:$AS,MATCH($G$1,Database!$A$1:$AS$1,0),FALSE)=0,#N/A,VLOOKUP(A67,Database!$A:$AS,MATCH($G$1,Database!$A$1:$AS$1,0),FALSE))</f>
        <v/>
      </c>
      <c r="H67" s="76">
        <f>(((Table134567891011121314151617343[[#This Row],[ITA]]-VLOOKUP($U$1,A:B,2,))/VLOOKUP($U$1,A:B,2,))*100)+100</f>
        <v/>
      </c>
      <c r="I67" s="76">
        <f>(((Table134567891011121314151617343[[#This Row],[FRA]]-VLOOKUP($U$1,A:C,3,))/VLOOKUP($U$1,A:C,3,))*100)+100</f>
        <v/>
      </c>
      <c r="J67" s="76">
        <f>(((Table134567891011121314151617343[[#This Row],[DEU]]-VLOOKUP($U$1,A:D,4,))/VLOOKUP($U$1,A:D,4,))*100)+100</f>
        <v/>
      </c>
      <c r="K67" s="76">
        <f>(((Table134567891011121314151617343[[#This Row],[ESP]]-VLOOKUP($U$1,A:E,5,))/VLOOKUP($U$1,A:E,5,))*100)+100</f>
        <v/>
      </c>
      <c r="L67" s="76">
        <f>(((Table134567891011121314151617343[[#This Row],[EA19]]-VLOOKUP($U$1,A:F,6,))/VLOOKUP($U$1,A:F,6,))*100)+100</f>
        <v/>
      </c>
      <c r="M67" s="76">
        <f>(((Table134567891011121314151617343[[#This Row],[GBR]]-VLOOKUP($U$1,A:G,7,))/VLOOKUP($U$1,A:G,7,))*100)+100</f>
        <v/>
      </c>
      <c r="N67" s="76">
        <f>IF(VLOOKUP(A67,Database!$A:$AU,MATCH($N$1,Database!$A$1:$AU$1,0),FALSE)=0,#N/A,VLOOKUP(A67,Database!$A:$AU,MATCH($N$1,Database!$A$1:$AU$1,0),FALSE))</f>
        <v/>
      </c>
      <c r="O67" s="76">
        <f>(((Table134567891011121314151617343[[#This Row],[USA]]-VLOOKUP($U$1,A:N,14,))/VLOOKUP($U$1,A:N,14,))*100)+100</f>
        <v/>
      </c>
      <c r="P67" s="76">
        <f>IF(VLOOKUP(A67,Database!$A:$AS,MATCH($P$1,Database!$A$1:$AS$1,0),FALSE)=0,#N/A,VLOOKUP(A67,Database!$A:$AS,MATCH($P$1,Database!$A$1:$AS$1,0),FALSE))</f>
        <v/>
      </c>
      <c r="Q67" s="76">
        <f>(((Table134567891011121314151617343[[#This Row],[JPN]]-VLOOKUP($U$1,A:Q,16,))/VLOOKUP($U$1,A:Q,16,))*100)+100</f>
        <v/>
      </c>
    </row>
    <row r="68" customFormat="1" s="86">
      <c r="A68" s="21" t="n">
        <v>34881</v>
      </c>
      <c r="B68" s="76">
        <f>IF(VLOOKUP(A68,Database!$A:$AS,MATCH($B$1,Database!$A$1:$AS$1,0),FALSE)=0,#N/A,VLOOKUP(A68,Database!$A:$AS,MATCH($B$1,Database!$A$1:$AS$1,0),FALSE))</f>
        <v/>
      </c>
      <c r="C68" s="76">
        <f>IF(VLOOKUP(A68,Database!$A:$AS,MATCH($C$1,Database!$A$1:$AS$1,0),FALSE)=0,#N/A,VLOOKUP(A68,Database!$A:$AS,MATCH($C$1,Database!$A$1:$AS$1,0),FALSE))</f>
        <v/>
      </c>
      <c r="D68" s="76">
        <f>IF(VLOOKUP(A68,Database!$A:$AS,MATCH($D$1,Database!$A$1:$AS$1,0),FALSE)=0,#N/A,VLOOKUP(A68,Database!$A:$AS,MATCH($D$1,Database!$A$1:$AS$1,0),FALSE))</f>
        <v/>
      </c>
      <c r="E68" s="76">
        <f>IF(VLOOKUP(A68,Database!$A:$AS,MATCH($E$1,Database!$A$1:$AS$1,0),FALSE)=0,#N/A,VLOOKUP(A68,Database!$A:$AS,MATCH($E$1,Database!$A$1:$AS$1,0),FALSE))</f>
        <v/>
      </c>
      <c r="F68" s="76">
        <f>IF(VLOOKUP(A68,Database!$A:$AS,MATCH($F$1,Database!$A$1:$AS$1,0),FALSE)=0,#N/A,VLOOKUP(A68,Database!$A:$AS,MATCH($F$1,Database!$A$1:$AS$1,0),FALSE))</f>
        <v/>
      </c>
      <c r="G68" s="76">
        <f>IF(VLOOKUP(A68,Database!$A:$AS,MATCH($G$1,Database!$A$1:$AS$1,0),FALSE)=0,#N/A,VLOOKUP(A68,Database!$A:$AS,MATCH($G$1,Database!$A$1:$AS$1,0),FALSE))</f>
        <v/>
      </c>
      <c r="H68" s="76">
        <f>(((Table134567891011121314151617343[[#This Row],[ITA]]-VLOOKUP($U$1,A:B,2,))/VLOOKUP($U$1,A:B,2,))*100)+100</f>
        <v/>
      </c>
      <c r="I68" s="76">
        <f>(((Table134567891011121314151617343[[#This Row],[FRA]]-VLOOKUP($U$1,A:C,3,))/VLOOKUP($U$1,A:C,3,))*100)+100</f>
        <v/>
      </c>
      <c r="J68" s="76">
        <f>(((Table134567891011121314151617343[[#This Row],[DEU]]-VLOOKUP($U$1,A:D,4,))/VLOOKUP($U$1,A:D,4,))*100)+100</f>
        <v/>
      </c>
      <c r="K68" s="76">
        <f>(((Table134567891011121314151617343[[#This Row],[ESP]]-VLOOKUP($U$1,A:E,5,))/VLOOKUP($U$1,A:E,5,))*100)+100</f>
        <v/>
      </c>
      <c r="L68" s="76">
        <f>(((Table134567891011121314151617343[[#This Row],[EA19]]-VLOOKUP($U$1,A:F,6,))/VLOOKUP($U$1,A:F,6,))*100)+100</f>
        <v/>
      </c>
      <c r="M68" s="76">
        <f>(((Table134567891011121314151617343[[#This Row],[GBR]]-VLOOKUP($U$1,A:G,7,))/VLOOKUP($U$1,A:G,7,))*100)+100</f>
        <v/>
      </c>
      <c r="N68" s="76">
        <f>IF(VLOOKUP(A68,Database!$A:$AU,MATCH($N$1,Database!$A$1:$AU$1,0),FALSE)=0,#N/A,VLOOKUP(A68,Database!$A:$AU,MATCH($N$1,Database!$A$1:$AU$1,0),FALSE))</f>
        <v/>
      </c>
      <c r="O68" s="76">
        <f>(((Table134567891011121314151617343[[#This Row],[USA]]-VLOOKUP($U$1,A:N,14,))/VLOOKUP($U$1,A:N,14,))*100)+100</f>
        <v/>
      </c>
      <c r="P68" s="76">
        <f>IF(VLOOKUP(A68,Database!$A:$AS,MATCH($P$1,Database!$A$1:$AS$1,0),FALSE)=0,#N/A,VLOOKUP(A68,Database!$A:$AS,MATCH($P$1,Database!$A$1:$AS$1,0),FALSE))</f>
        <v/>
      </c>
      <c r="Q68" s="76">
        <f>(((Table134567891011121314151617343[[#This Row],[JPN]]-VLOOKUP($U$1,A:Q,16,))/VLOOKUP($U$1,A:Q,16,))*100)+100</f>
        <v/>
      </c>
    </row>
    <row r="69" customFormat="1" s="86">
      <c r="A69" s="21" t="n">
        <v>34912</v>
      </c>
      <c r="B69" s="76">
        <f>IF(VLOOKUP(A69,Database!$A:$AS,MATCH($B$1,Database!$A$1:$AS$1,0),FALSE)=0,#N/A,VLOOKUP(A69,Database!$A:$AS,MATCH($B$1,Database!$A$1:$AS$1,0),FALSE))</f>
        <v/>
      </c>
      <c r="C69" s="76">
        <f>IF(VLOOKUP(A69,Database!$A:$AS,MATCH($C$1,Database!$A$1:$AS$1,0),FALSE)=0,#N/A,VLOOKUP(A69,Database!$A:$AS,MATCH($C$1,Database!$A$1:$AS$1,0),FALSE))</f>
        <v/>
      </c>
      <c r="D69" s="76">
        <f>IF(VLOOKUP(A69,Database!$A:$AS,MATCH($D$1,Database!$A$1:$AS$1,0),FALSE)=0,#N/A,VLOOKUP(A69,Database!$A:$AS,MATCH($D$1,Database!$A$1:$AS$1,0),FALSE))</f>
        <v/>
      </c>
      <c r="E69" s="76">
        <f>IF(VLOOKUP(A69,Database!$A:$AS,MATCH($E$1,Database!$A$1:$AS$1,0),FALSE)=0,#N/A,VLOOKUP(A69,Database!$A:$AS,MATCH($E$1,Database!$A$1:$AS$1,0),FALSE))</f>
        <v/>
      </c>
      <c r="F69" s="76">
        <f>IF(VLOOKUP(A69,Database!$A:$AS,MATCH($F$1,Database!$A$1:$AS$1,0),FALSE)=0,#N/A,VLOOKUP(A69,Database!$A:$AS,MATCH($F$1,Database!$A$1:$AS$1,0),FALSE))</f>
        <v/>
      </c>
      <c r="G69" s="76">
        <f>IF(VLOOKUP(A69,Database!$A:$AS,MATCH($G$1,Database!$A$1:$AS$1,0),FALSE)=0,#N/A,VLOOKUP(A69,Database!$A:$AS,MATCH($G$1,Database!$A$1:$AS$1,0),FALSE))</f>
        <v/>
      </c>
      <c r="H69" s="76">
        <f>(((Table134567891011121314151617343[[#This Row],[ITA]]-VLOOKUP($U$1,A:B,2,))/VLOOKUP($U$1,A:B,2,))*100)+100</f>
        <v/>
      </c>
      <c r="I69" s="76">
        <f>(((Table134567891011121314151617343[[#This Row],[FRA]]-VLOOKUP($U$1,A:C,3,))/VLOOKUP($U$1,A:C,3,))*100)+100</f>
        <v/>
      </c>
      <c r="J69" s="76">
        <f>(((Table134567891011121314151617343[[#This Row],[DEU]]-VLOOKUP($U$1,A:D,4,))/VLOOKUP($U$1,A:D,4,))*100)+100</f>
        <v/>
      </c>
      <c r="K69" s="76">
        <f>(((Table134567891011121314151617343[[#This Row],[ESP]]-VLOOKUP($U$1,A:E,5,))/VLOOKUP($U$1,A:E,5,))*100)+100</f>
        <v/>
      </c>
      <c r="L69" s="76">
        <f>(((Table134567891011121314151617343[[#This Row],[EA19]]-VLOOKUP($U$1,A:F,6,))/VLOOKUP($U$1,A:F,6,))*100)+100</f>
        <v/>
      </c>
      <c r="M69" s="76">
        <f>(((Table134567891011121314151617343[[#This Row],[GBR]]-VLOOKUP($U$1,A:G,7,))/VLOOKUP($U$1,A:G,7,))*100)+100</f>
        <v/>
      </c>
      <c r="N69" s="76">
        <f>IF(VLOOKUP(A69,Database!$A:$AU,MATCH($N$1,Database!$A$1:$AU$1,0),FALSE)=0,#N/A,VLOOKUP(A69,Database!$A:$AU,MATCH($N$1,Database!$A$1:$AU$1,0),FALSE))</f>
        <v/>
      </c>
      <c r="O69" s="76">
        <f>(((Table134567891011121314151617343[[#This Row],[USA]]-VLOOKUP($U$1,A:N,14,))/VLOOKUP($U$1,A:N,14,))*100)+100</f>
        <v/>
      </c>
      <c r="P69" s="76">
        <f>IF(VLOOKUP(A69,Database!$A:$AS,MATCH($P$1,Database!$A$1:$AS$1,0),FALSE)=0,#N/A,VLOOKUP(A69,Database!$A:$AS,MATCH($P$1,Database!$A$1:$AS$1,0),FALSE))</f>
        <v/>
      </c>
      <c r="Q69" s="76">
        <f>(((Table134567891011121314151617343[[#This Row],[JPN]]-VLOOKUP($U$1,A:Q,16,))/VLOOKUP($U$1,A:Q,16,))*100)+100</f>
        <v/>
      </c>
    </row>
    <row r="70" customFormat="1" s="86">
      <c r="A70" s="21" t="n">
        <v>34943</v>
      </c>
      <c r="B70" s="76">
        <f>IF(VLOOKUP(A70,Database!$A:$AS,MATCH($B$1,Database!$A$1:$AS$1,0),FALSE)=0,#N/A,VLOOKUP(A70,Database!$A:$AS,MATCH($B$1,Database!$A$1:$AS$1,0),FALSE))</f>
        <v/>
      </c>
      <c r="C70" s="76">
        <f>IF(VLOOKUP(A70,Database!$A:$AS,MATCH($C$1,Database!$A$1:$AS$1,0),FALSE)=0,#N/A,VLOOKUP(A70,Database!$A:$AS,MATCH($C$1,Database!$A$1:$AS$1,0),FALSE))</f>
        <v/>
      </c>
      <c r="D70" s="76">
        <f>IF(VLOOKUP(A70,Database!$A:$AS,MATCH($D$1,Database!$A$1:$AS$1,0),FALSE)=0,#N/A,VLOOKUP(A70,Database!$A:$AS,MATCH($D$1,Database!$A$1:$AS$1,0),FALSE))</f>
        <v/>
      </c>
      <c r="E70" s="76">
        <f>IF(VLOOKUP(A70,Database!$A:$AS,MATCH($E$1,Database!$A$1:$AS$1,0),FALSE)=0,#N/A,VLOOKUP(A70,Database!$A:$AS,MATCH($E$1,Database!$A$1:$AS$1,0),FALSE))</f>
        <v/>
      </c>
      <c r="F70" s="76">
        <f>IF(VLOOKUP(A70,Database!$A:$AS,MATCH($F$1,Database!$A$1:$AS$1,0),FALSE)=0,#N/A,VLOOKUP(A70,Database!$A:$AS,MATCH($F$1,Database!$A$1:$AS$1,0),FALSE))</f>
        <v/>
      </c>
      <c r="G70" s="76">
        <f>IF(VLOOKUP(A70,Database!$A:$AS,MATCH($G$1,Database!$A$1:$AS$1,0),FALSE)=0,#N/A,VLOOKUP(A70,Database!$A:$AS,MATCH($G$1,Database!$A$1:$AS$1,0),FALSE))</f>
        <v/>
      </c>
      <c r="H70" s="76">
        <f>(((Table134567891011121314151617343[[#This Row],[ITA]]-VLOOKUP($U$1,A:B,2,))/VLOOKUP($U$1,A:B,2,))*100)+100</f>
        <v/>
      </c>
      <c r="I70" s="76">
        <f>(((Table134567891011121314151617343[[#This Row],[FRA]]-VLOOKUP($U$1,A:C,3,))/VLOOKUP($U$1,A:C,3,))*100)+100</f>
        <v/>
      </c>
      <c r="J70" s="76">
        <f>(((Table134567891011121314151617343[[#This Row],[DEU]]-VLOOKUP($U$1,A:D,4,))/VLOOKUP($U$1,A:D,4,))*100)+100</f>
        <v/>
      </c>
      <c r="K70" s="76">
        <f>(((Table134567891011121314151617343[[#This Row],[ESP]]-VLOOKUP($U$1,A:E,5,))/VLOOKUP($U$1,A:E,5,))*100)+100</f>
        <v/>
      </c>
      <c r="L70" s="76">
        <f>(((Table134567891011121314151617343[[#This Row],[EA19]]-VLOOKUP($U$1,A:F,6,))/VLOOKUP($U$1,A:F,6,))*100)+100</f>
        <v/>
      </c>
      <c r="M70" s="76">
        <f>(((Table134567891011121314151617343[[#This Row],[GBR]]-VLOOKUP($U$1,A:G,7,))/VLOOKUP($U$1,A:G,7,))*100)+100</f>
        <v/>
      </c>
      <c r="N70" s="76">
        <f>IF(VLOOKUP(A70,Database!$A:$AU,MATCH($N$1,Database!$A$1:$AU$1,0),FALSE)=0,#N/A,VLOOKUP(A70,Database!$A:$AU,MATCH($N$1,Database!$A$1:$AU$1,0),FALSE))</f>
        <v/>
      </c>
      <c r="O70" s="76">
        <f>(((Table134567891011121314151617343[[#This Row],[USA]]-VLOOKUP($U$1,A:N,14,))/VLOOKUP($U$1,A:N,14,))*100)+100</f>
        <v/>
      </c>
      <c r="P70" s="76">
        <f>IF(VLOOKUP(A70,Database!$A:$AS,MATCH($P$1,Database!$A$1:$AS$1,0),FALSE)=0,#N/A,VLOOKUP(A70,Database!$A:$AS,MATCH($P$1,Database!$A$1:$AS$1,0),FALSE))</f>
        <v/>
      </c>
      <c r="Q70" s="76">
        <f>(((Table134567891011121314151617343[[#This Row],[JPN]]-VLOOKUP($U$1,A:Q,16,))/VLOOKUP($U$1,A:Q,16,))*100)+100</f>
        <v/>
      </c>
    </row>
    <row r="71" customFormat="1" s="86">
      <c r="A71" s="21" t="n">
        <v>34973</v>
      </c>
      <c r="B71" s="76">
        <f>IF(VLOOKUP(A71,Database!$A:$AS,MATCH($B$1,Database!$A$1:$AS$1,0),FALSE)=0,#N/A,VLOOKUP(A71,Database!$A:$AS,MATCH($B$1,Database!$A$1:$AS$1,0),FALSE))</f>
        <v/>
      </c>
      <c r="C71" s="76">
        <f>IF(VLOOKUP(A71,Database!$A:$AS,MATCH($C$1,Database!$A$1:$AS$1,0),FALSE)=0,#N/A,VLOOKUP(A71,Database!$A:$AS,MATCH($C$1,Database!$A$1:$AS$1,0),FALSE))</f>
        <v/>
      </c>
      <c r="D71" s="76">
        <f>IF(VLOOKUP(A71,Database!$A:$AS,MATCH($D$1,Database!$A$1:$AS$1,0),FALSE)=0,#N/A,VLOOKUP(A71,Database!$A:$AS,MATCH($D$1,Database!$A$1:$AS$1,0),FALSE))</f>
        <v/>
      </c>
      <c r="E71" s="76">
        <f>IF(VLOOKUP(A71,Database!$A:$AS,MATCH($E$1,Database!$A$1:$AS$1,0),FALSE)=0,#N/A,VLOOKUP(A71,Database!$A:$AS,MATCH($E$1,Database!$A$1:$AS$1,0),FALSE))</f>
        <v/>
      </c>
      <c r="F71" s="76">
        <f>IF(VLOOKUP(A71,Database!$A:$AS,MATCH($F$1,Database!$A$1:$AS$1,0),FALSE)=0,#N/A,VLOOKUP(A71,Database!$A:$AS,MATCH($F$1,Database!$A$1:$AS$1,0),FALSE))</f>
        <v/>
      </c>
      <c r="G71" s="76">
        <f>IF(VLOOKUP(A71,Database!$A:$AS,MATCH($G$1,Database!$A$1:$AS$1,0),FALSE)=0,#N/A,VLOOKUP(A71,Database!$A:$AS,MATCH($G$1,Database!$A$1:$AS$1,0),FALSE))</f>
        <v/>
      </c>
      <c r="H71" s="76">
        <f>(((Table134567891011121314151617343[[#This Row],[ITA]]-VLOOKUP($U$1,A:B,2,))/VLOOKUP($U$1,A:B,2,))*100)+100</f>
        <v/>
      </c>
      <c r="I71" s="76">
        <f>(((Table134567891011121314151617343[[#This Row],[FRA]]-VLOOKUP($U$1,A:C,3,))/VLOOKUP($U$1,A:C,3,))*100)+100</f>
        <v/>
      </c>
      <c r="J71" s="76">
        <f>(((Table134567891011121314151617343[[#This Row],[DEU]]-VLOOKUP($U$1,A:D,4,))/VLOOKUP($U$1,A:D,4,))*100)+100</f>
        <v/>
      </c>
      <c r="K71" s="76">
        <f>(((Table134567891011121314151617343[[#This Row],[ESP]]-VLOOKUP($U$1,A:E,5,))/VLOOKUP($U$1,A:E,5,))*100)+100</f>
        <v/>
      </c>
      <c r="L71" s="76">
        <f>(((Table134567891011121314151617343[[#This Row],[EA19]]-VLOOKUP($U$1,A:F,6,))/VLOOKUP($U$1,A:F,6,))*100)+100</f>
        <v/>
      </c>
      <c r="M71" s="76">
        <f>(((Table134567891011121314151617343[[#This Row],[GBR]]-VLOOKUP($U$1,A:G,7,))/VLOOKUP($U$1,A:G,7,))*100)+100</f>
        <v/>
      </c>
      <c r="N71" s="76">
        <f>IF(VLOOKUP(A71,Database!$A:$AU,MATCH($N$1,Database!$A$1:$AU$1,0),FALSE)=0,#N/A,VLOOKUP(A71,Database!$A:$AU,MATCH($N$1,Database!$A$1:$AU$1,0),FALSE))</f>
        <v/>
      </c>
      <c r="O71" s="76">
        <f>(((Table134567891011121314151617343[[#This Row],[USA]]-VLOOKUP($U$1,A:N,14,))/VLOOKUP($U$1,A:N,14,))*100)+100</f>
        <v/>
      </c>
      <c r="P71" s="76">
        <f>IF(VLOOKUP(A71,Database!$A:$AS,MATCH($P$1,Database!$A$1:$AS$1,0),FALSE)=0,#N/A,VLOOKUP(A71,Database!$A:$AS,MATCH($P$1,Database!$A$1:$AS$1,0),FALSE))</f>
        <v/>
      </c>
      <c r="Q71" s="76">
        <f>(((Table134567891011121314151617343[[#This Row],[JPN]]-VLOOKUP($U$1,A:Q,16,))/VLOOKUP($U$1,A:Q,16,))*100)+100</f>
        <v/>
      </c>
    </row>
    <row r="72" customFormat="1" s="86">
      <c r="A72" s="21" t="n">
        <v>35004</v>
      </c>
      <c r="B72" s="76">
        <f>IF(VLOOKUP(A72,Database!$A:$AS,MATCH($B$1,Database!$A$1:$AS$1,0),FALSE)=0,#N/A,VLOOKUP(A72,Database!$A:$AS,MATCH($B$1,Database!$A$1:$AS$1,0),FALSE))</f>
        <v/>
      </c>
      <c r="C72" s="76">
        <f>IF(VLOOKUP(A72,Database!$A:$AS,MATCH($C$1,Database!$A$1:$AS$1,0),FALSE)=0,#N/A,VLOOKUP(A72,Database!$A:$AS,MATCH($C$1,Database!$A$1:$AS$1,0),FALSE))</f>
        <v/>
      </c>
      <c r="D72" s="76">
        <f>IF(VLOOKUP(A72,Database!$A:$AS,MATCH($D$1,Database!$A$1:$AS$1,0),FALSE)=0,#N/A,VLOOKUP(A72,Database!$A:$AS,MATCH($D$1,Database!$A$1:$AS$1,0),FALSE))</f>
        <v/>
      </c>
      <c r="E72" s="76">
        <f>IF(VLOOKUP(A72,Database!$A:$AS,MATCH($E$1,Database!$A$1:$AS$1,0),FALSE)=0,#N/A,VLOOKUP(A72,Database!$A:$AS,MATCH($E$1,Database!$A$1:$AS$1,0),FALSE))</f>
        <v/>
      </c>
      <c r="F72" s="76">
        <f>IF(VLOOKUP(A72,Database!$A:$AS,MATCH($F$1,Database!$A$1:$AS$1,0),FALSE)=0,#N/A,VLOOKUP(A72,Database!$A:$AS,MATCH($F$1,Database!$A$1:$AS$1,0),FALSE))</f>
        <v/>
      </c>
      <c r="G72" s="76">
        <f>IF(VLOOKUP(A72,Database!$A:$AS,MATCH($G$1,Database!$A$1:$AS$1,0),FALSE)=0,#N/A,VLOOKUP(A72,Database!$A:$AS,MATCH($G$1,Database!$A$1:$AS$1,0),FALSE))</f>
        <v/>
      </c>
      <c r="H72" s="76">
        <f>(((Table134567891011121314151617343[[#This Row],[ITA]]-VLOOKUP($U$1,A:B,2,))/VLOOKUP($U$1,A:B,2,))*100)+100</f>
        <v/>
      </c>
      <c r="I72" s="76">
        <f>(((Table134567891011121314151617343[[#This Row],[FRA]]-VLOOKUP($U$1,A:C,3,))/VLOOKUP($U$1,A:C,3,))*100)+100</f>
        <v/>
      </c>
      <c r="J72" s="76">
        <f>(((Table134567891011121314151617343[[#This Row],[DEU]]-VLOOKUP($U$1,A:D,4,))/VLOOKUP($U$1,A:D,4,))*100)+100</f>
        <v/>
      </c>
      <c r="K72" s="76">
        <f>(((Table134567891011121314151617343[[#This Row],[ESP]]-VLOOKUP($U$1,A:E,5,))/VLOOKUP($U$1,A:E,5,))*100)+100</f>
        <v/>
      </c>
      <c r="L72" s="76">
        <f>(((Table134567891011121314151617343[[#This Row],[EA19]]-VLOOKUP($U$1,A:F,6,))/VLOOKUP($U$1,A:F,6,))*100)+100</f>
        <v/>
      </c>
      <c r="M72" s="76">
        <f>(((Table134567891011121314151617343[[#This Row],[GBR]]-VLOOKUP($U$1,A:G,7,))/VLOOKUP($U$1,A:G,7,))*100)+100</f>
        <v/>
      </c>
      <c r="N72" s="76">
        <f>IF(VLOOKUP(A72,Database!$A:$AU,MATCH($N$1,Database!$A$1:$AU$1,0),FALSE)=0,#N/A,VLOOKUP(A72,Database!$A:$AU,MATCH($N$1,Database!$A$1:$AU$1,0),FALSE))</f>
        <v/>
      </c>
      <c r="O72" s="76">
        <f>(((Table134567891011121314151617343[[#This Row],[USA]]-VLOOKUP($U$1,A:N,14,))/VLOOKUP($U$1,A:N,14,))*100)+100</f>
        <v/>
      </c>
      <c r="P72" s="76">
        <f>IF(VLOOKUP(A72,Database!$A:$AS,MATCH($P$1,Database!$A$1:$AS$1,0),FALSE)=0,#N/A,VLOOKUP(A72,Database!$A:$AS,MATCH($P$1,Database!$A$1:$AS$1,0),FALSE))</f>
        <v/>
      </c>
      <c r="Q72" s="76">
        <f>(((Table134567891011121314151617343[[#This Row],[JPN]]-VLOOKUP($U$1,A:Q,16,))/VLOOKUP($U$1,A:Q,16,))*100)+100</f>
        <v/>
      </c>
    </row>
    <row r="73" customFormat="1" s="86">
      <c r="A73" s="21" t="n">
        <v>35034</v>
      </c>
      <c r="B73" s="76">
        <f>IF(VLOOKUP(A73,Database!$A:$AS,MATCH($B$1,Database!$A$1:$AS$1,0),FALSE)=0,#N/A,VLOOKUP(A73,Database!$A:$AS,MATCH($B$1,Database!$A$1:$AS$1,0),FALSE))</f>
        <v/>
      </c>
      <c r="C73" s="76">
        <f>IF(VLOOKUP(A73,Database!$A:$AS,MATCH($C$1,Database!$A$1:$AS$1,0),FALSE)=0,#N/A,VLOOKUP(A73,Database!$A:$AS,MATCH($C$1,Database!$A$1:$AS$1,0),FALSE))</f>
        <v/>
      </c>
      <c r="D73" s="76">
        <f>IF(VLOOKUP(A73,Database!$A:$AS,MATCH($D$1,Database!$A$1:$AS$1,0),FALSE)=0,#N/A,VLOOKUP(A73,Database!$A:$AS,MATCH($D$1,Database!$A$1:$AS$1,0),FALSE))</f>
        <v/>
      </c>
      <c r="E73" s="76">
        <f>IF(VLOOKUP(A73,Database!$A:$AS,MATCH($E$1,Database!$A$1:$AS$1,0),FALSE)=0,#N/A,VLOOKUP(A73,Database!$A:$AS,MATCH($E$1,Database!$A$1:$AS$1,0),FALSE))</f>
        <v/>
      </c>
      <c r="F73" s="76">
        <f>IF(VLOOKUP(A73,Database!$A:$AS,MATCH($F$1,Database!$A$1:$AS$1,0),FALSE)=0,#N/A,VLOOKUP(A73,Database!$A:$AS,MATCH($F$1,Database!$A$1:$AS$1,0),FALSE))</f>
        <v/>
      </c>
      <c r="G73" s="76">
        <f>IF(VLOOKUP(A73,Database!$A:$AS,MATCH($G$1,Database!$A$1:$AS$1,0),FALSE)=0,#N/A,VLOOKUP(A73,Database!$A:$AS,MATCH($G$1,Database!$A$1:$AS$1,0),FALSE))</f>
        <v/>
      </c>
      <c r="H73" s="76">
        <f>(((Table134567891011121314151617343[[#This Row],[ITA]]-VLOOKUP($U$1,A:B,2,))/VLOOKUP($U$1,A:B,2,))*100)+100</f>
        <v/>
      </c>
      <c r="I73" s="76">
        <f>(((Table134567891011121314151617343[[#This Row],[FRA]]-VLOOKUP($U$1,A:C,3,))/VLOOKUP($U$1,A:C,3,))*100)+100</f>
        <v/>
      </c>
      <c r="J73" s="76">
        <f>(((Table134567891011121314151617343[[#This Row],[DEU]]-VLOOKUP($U$1,A:D,4,))/VLOOKUP($U$1,A:D,4,))*100)+100</f>
        <v/>
      </c>
      <c r="K73" s="76">
        <f>(((Table134567891011121314151617343[[#This Row],[ESP]]-VLOOKUP($U$1,A:E,5,))/VLOOKUP($U$1,A:E,5,))*100)+100</f>
        <v/>
      </c>
      <c r="L73" s="76">
        <f>(((Table134567891011121314151617343[[#This Row],[EA19]]-VLOOKUP($U$1,A:F,6,))/VLOOKUP($U$1,A:F,6,))*100)+100</f>
        <v/>
      </c>
      <c r="M73" s="76">
        <f>(((Table134567891011121314151617343[[#This Row],[GBR]]-VLOOKUP($U$1,A:G,7,))/VLOOKUP($U$1,A:G,7,))*100)+100</f>
        <v/>
      </c>
      <c r="N73" s="76">
        <f>IF(VLOOKUP(A73,Database!$A:$AU,MATCH($N$1,Database!$A$1:$AU$1,0),FALSE)=0,#N/A,VLOOKUP(A73,Database!$A:$AU,MATCH($N$1,Database!$A$1:$AU$1,0),FALSE))</f>
        <v/>
      </c>
      <c r="O73" s="76">
        <f>(((Table134567891011121314151617343[[#This Row],[USA]]-VLOOKUP($U$1,A:N,14,))/VLOOKUP($U$1,A:N,14,))*100)+100</f>
        <v/>
      </c>
      <c r="P73" s="76">
        <f>IF(VLOOKUP(A73,Database!$A:$AS,MATCH($P$1,Database!$A$1:$AS$1,0),FALSE)=0,#N/A,VLOOKUP(A73,Database!$A:$AS,MATCH($P$1,Database!$A$1:$AS$1,0),FALSE))</f>
        <v/>
      </c>
      <c r="Q73" s="76">
        <f>(((Table134567891011121314151617343[[#This Row],[JPN]]-VLOOKUP($U$1,A:Q,16,))/VLOOKUP($U$1,A:Q,16,))*100)+100</f>
        <v/>
      </c>
    </row>
    <row r="74" customFormat="1" s="86">
      <c r="A74" s="21" t="n">
        <v>35065</v>
      </c>
      <c r="B74" s="76">
        <f>IF(VLOOKUP(A74,Database!$A:$AS,MATCH($B$1,Database!$A$1:$AS$1,0),FALSE)=0,#N/A,VLOOKUP(A74,Database!$A:$AS,MATCH($B$1,Database!$A$1:$AS$1,0),FALSE))</f>
        <v/>
      </c>
      <c r="C74" s="76">
        <f>IF(VLOOKUP(A74,Database!$A:$AS,MATCH($C$1,Database!$A$1:$AS$1,0),FALSE)=0,#N/A,VLOOKUP(A74,Database!$A:$AS,MATCH($C$1,Database!$A$1:$AS$1,0),FALSE))</f>
        <v/>
      </c>
      <c r="D74" s="76">
        <f>IF(VLOOKUP(A74,Database!$A:$AS,MATCH($D$1,Database!$A$1:$AS$1,0),FALSE)=0,#N/A,VLOOKUP(A74,Database!$A:$AS,MATCH($D$1,Database!$A$1:$AS$1,0),FALSE))</f>
        <v/>
      </c>
      <c r="E74" s="76">
        <f>IF(VLOOKUP(A74,Database!$A:$AS,MATCH($E$1,Database!$A$1:$AS$1,0),FALSE)=0,#N/A,VLOOKUP(A74,Database!$A:$AS,MATCH($E$1,Database!$A$1:$AS$1,0),FALSE))</f>
        <v/>
      </c>
      <c r="F74" s="76">
        <f>IF(VLOOKUP(A74,Database!$A:$AS,MATCH($F$1,Database!$A$1:$AS$1,0),FALSE)=0,#N/A,VLOOKUP(A74,Database!$A:$AS,MATCH($F$1,Database!$A$1:$AS$1,0),FALSE))</f>
        <v/>
      </c>
      <c r="G74" s="76">
        <f>IF(VLOOKUP(A74,Database!$A:$AS,MATCH($G$1,Database!$A$1:$AS$1,0),FALSE)=0,#N/A,VLOOKUP(A74,Database!$A:$AS,MATCH($G$1,Database!$A$1:$AS$1,0),FALSE))</f>
        <v/>
      </c>
      <c r="H74" s="76">
        <f>(((Table134567891011121314151617343[[#This Row],[ITA]]-VLOOKUP($U$1,A:B,2,))/VLOOKUP($U$1,A:B,2,))*100)+100</f>
        <v/>
      </c>
      <c r="I74" s="76">
        <f>(((Table134567891011121314151617343[[#This Row],[FRA]]-VLOOKUP($U$1,A:C,3,))/VLOOKUP($U$1,A:C,3,))*100)+100</f>
        <v/>
      </c>
      <c r="J74" s="76">
        <f>(((Table134567891011121314151617343[[#This Row],[DEU]]-VLOOKUP($U$1,A:D,4,))/VLOOKUP($U$1,A:D,4,))*100)+100</f>
        <v/>
      </c>
      <c r="K74" s="76">
        <f>(((Table134567891011121314151617343[[#This Row],[ESP]]-VLOOKUP($U$1,A:E,5,))/VLOOKUP($U$1,A:E,5,))*100)+100</f>
        <v/>
      </c>
      <c r="L74" s="76">
        <f>(((Table134567891011121314151617343[[#This Row],[EA19]]-VLOOKUP($U$1,A:F,6,))/VLOOKUP($U$1,A:F,6,))*100)+100</f>
        <v/>
      </c>
      <c r="M74" s="76">
        <f>(((Table134567891011121314151617343[[#This Row],[GBR]]-VLOOKUP($U$1,A:G,7,))/VLOOKUP($U$1,A:G,7,))*100)+100</f>
        <v/>
      </c>
      <c r="N74" s="76">
        <f>IF(VLOOKUP(A74,Database!$A:$AU,MATCH($N$1,Database!$A$1:$AU$1,0),FALSE)=0,#N/A,VLOOKUP(A74,Database!$A:$AU,MATCH($N$1,Database!$A$1:$AU$1,0),FALSE))</f>
        <v/>
      </c>
      <c r="O74" s="76">
        <f>(((Table134567891011121314151617343[[#This Row],[USA]]-VLOOKUP($U$1,A:N,14,))/VLOOKUP($U$1,A:N,14,))*100)+100</f>
        <v/>
      </c>
      <c r="P74" s="76">
        <f>IF(VLOOKUP(A74,Database!$A:$AS,MATCH($P$1,Database!$A$1:$AS$1,0),FALSE)=0,#N/A,VLOOKUP(A74,Database!$A:$AS,MATCH($P$1,Database!$A$1:$AS$1,0),FALSE))</f>
        <v/>
      </c>
      <c r="Q74" s="76">
        <f>(((Table134567891011121314151617343[[#This Row],[JPN]]-VLOOKUP($U$1,A:Q,16,))/VLOOKUP($U$1,A:Q,16,))*100)+100</f>
        <v/>
      </c>
    </row>
    <row r="75" customFormat="1" s="86">
      <c r="A75" s="21" t="n">
        <v>35096</v>
      </c>
      <c r="B75" s="76">
        <f>IF(VLOOKUP(A75,Database!$A:$AS,MATCH($B$1,Database!$A$1:$AS$1,0),FALSE)=0,#N/A,VLOOKUP(A75,Database!$A:$AS,MATCH($B$1,Database!$A$1:$AS$1,0),FALSE))</f>
        <v/>
      </c>
      <c r="C75" s="76">
        <f>IF(VLOOKUP(A75,Database!$A:$AS,MATCH($C$1,Database!$A$1:$AS$1,0),FALSE)=0,#N/A,VLOOKUP(A75,Database!$A:$AS,MATCH($C$1,Database!$A$1:$AS$1,0),FALSE))</f>
        <v/>
      </c>
      <c r="D75" s="76">
        <f>IF(VLOOKUP(A75,Database!$A:$AS,MATCH($D$1,Database!$A$1:$AS$1,0),FALSE)=0,#N/A,VLOOKUP(A75,Database!$A:$AS,MATCH($D$1,Database!$A$1:$AS$1,0),FALSE))</f>
        <v/>
      </c>
      <c r="E75" s="76">
        <f>IF(VLOOKUP(A75,Database!$A:$AS,MATCH($E$1,Database!$A$1:$AS$1,0),FALSE)=0,#N/A,VLOOKUP(A75,Database!$A:$AS,MATCH($E$1,Database!$A$1:$AS$1,0),FALSE))</f>
        <v/>
      </c>
      <c r="F75" s="76">
        <f>IF(VLOOKUP(A75,Database!$A:$AS,MATCH($F$1,Database!$A$1:$AS$1,0),FALSE)=0,#N/A,VLOOKUP(A75,Database!$A:$AS,MATCH($F$1,Database!$A$1:$AS$1,0),FALSE))</f>
        <v/>
      </c>
      <c r="G75" s="76">
        <f>IF(VLOOKUP(A75,Database!$A:$AS,MATCH($G$1,Database!$A$1:$AS$1,0),FALSE)=0,#N/A,VLOOKUP(A75,Database!$A:$AS,MATCH($G$1,Database!$A$1:$AS$1,0),FALSE))</f>
        <v/>
      </c>
      <c r="H75" s="76">
        <f>(((Table134567891011121314151617343[[#This Row],[ITA]]-VLOOKUP($U$1,A:B,2,))/VLOOKUP($U$1,A:B,2,))*100)+100</f>
        <v/>
      </c>
      <c r="I75" s="76">
        <f>(((Table134567891011121314151617343[[#This Row],[FRA]]-VLOOKUP($U$1,A:C,3,))/VLOOKUP($U$1,A:C,3,))*100)+100</f>
        <v/>
      </c>
      <c r="J75" s="76">
        <f>(((Table134567891011121314151617343[[#This Row],[DEU]]-VLOOKUP($U$1,A:D,4,))/VLOOKUP($U$1,A:D,4,))*100)+100</f>
        <v/>
      </c>
      <c r="K75" s="76">
        <f>(((Table134567891011121314151617343[[#This Row],[ESP]]-VLOOKUP($U$1,A:E,5,))/VLOOKUP($U$1,A:E,5,))*100)+100</f>
        <v/>
      </c>
      <c r="L75" s="76">
        <f>(((Table134567891011121314151617343[[#This Row],[EA19]]-VLOOKUP($U$1,A:F,6,))/VLOOKUP($U$1,A:F,6,))*100)+100</f>
        <v/>
      </c>
      <c r="M75" s="76">
        <f>(((Table134567891011121314151617343[[#This Row],[GBR]]-VLOOKUP($U$1,A:G,7,))/VLOOKUP($U$1,A:G,7,))*100)+100</f>
        <v/>
      </c>
      <c r="N75" s="76">
        <f>IF(VLOOKUP(A75,Database!$A:$AU,MATCH($N$1,Database!$A$1:$AU$1,0),FALSE)=0,#N/A,VLOOKUP(A75,Database!$A:$AU,MATCH($N$1,Database!$A$1:$AU$1,0),FALSE))</f>
        <v/>
      </c>
      <c r="O75" s="76">
        <f>(((Table134567891011121314151617343[[#This Row],[USA]]-VLOOKUP($U$1,A:N,14,))/VLOOKUP($U$1,A:N,14,))*100)+100</f>
        <v/>
      </c>
      <c r="P75" s="76">
        <f>IF(VLOOKUP(A75,Database!$A:$AS,MATCH($P$1,Database!$A$1:$AS$1,0),FALSE)=0,#N/A,VLOOKUP(A75,Database!$A:$AS,MATCH($P$1,Database!$A$1:$AS$1,0),FALSE))</f>
        <v/>
      </c>
      <c r="Q75" s="76">
        <f>(((Table134567891011121314151617343[[#This Row],[JPN]]-VLOOKUP($U$1,A:Q,16,))/VLOOKUP($U$1,A:Q,16,))*100)+100</f>
        <v/>
      </c>
    </row>
    <row r="76" customFormat="1" s="86">
      <c r="A76" s="21" t="n">
        <v>35125</v>
      </c>
      <c r="B76" s="76">
        <f>IF(VLOOKUP(A76,Database!$A:$AS,MATCH($B$1,Database!$A$1:$AS$1,0),FALSE)=0,#N/A,VLOOKUP(A76,Database!$A:$AS,MATCH($B$1,Database!$A$1:$AS$1,0),FALSE))</f>
        <v/>
      </c>
      <c r="C76" s="76">
        <f>IF(VLOOKUP(A76,Database!$A:$AS,MATCH($C$1,Database!$A$1:$AS$1,0),FALSE)=0,#N/A,VLOOKUP(A76,Database!$A:$AS,MATCH($C$1,Database!$A$1:$AS$1,0),FALSE))</f>
        <v/>
      </c>
      <c r="D76" s="76">
        <f>IF(VLOOKUP(A76,Database!$A:$AS,MATCH($D$1,Database!$A$1:$AS$1,0),FALSE)=0,#N/A,VLOOKUP(A76,Database!$A:$AS,MATCH($D$1,Database!$A$1:$AS$1,0),FALSE))</f>
        <v/>
      </c>
      <c r="E76" s="76">
        <f>IF(VLOOKUP(A76,Database!$A:$AS,MATCH($E$1,Database!$A$1:$AS$1,0),FALSE)=0,#N/A,VLOOKUP(A76,Database!$A:$AS,MATCH($E$1,Database!$A$1:$AS$1,0),FALSE))</f>
        <v/>
      </c>
      <c r="F76" s="76">
        <f>IF(VLOOKUP(A76,Database!$A:$AS,MATCH($F$1,Database!$A$1:$AS$1,0),FALSE)=0,#N/A,VLOOKUP(A76,Database!$A:$AS,MATCH($F$1,Database!$A$1:$AS$1,0),FALSE))</f>
        <v/>
      </c>
      <c r="G76" s="76">
        <f>IF(VLOOKUP(A76,Database!$A:$AS,MATCH($G$1,Database!$A$1:$AS$1,0),FALSE)=0,#N/A,VLOOKUP(A76,Database!$A:$AS,MATCH($G$1,Database!$A$1:$AS$1,0),FALSE))</f>
        <v/>
      </c>
      <c r="H76" s="76">
        <f>(((Table134567891011121314151617343[[#This Row],[ITA]]-VLOOKUP($U$1,A:B,2,))/VLOOKUP($U$1,A:B,2,))*100)+100</f>
        <v/>
      </c>
      <c r="I76" s="76">
        <f>(((Table134567891011121314151617343[[#This Row],[FRA]]-VLOOKUP($U$1,A:C,3,))/VLOOKUP($U$1,A:C,3,))*100)+100</f>
        <v/>
      </c>
      <c r="J76" s="76">
        <f>(((Table134567891011121314151617343[[#This Row],[DEU]]-VLOOKUP($U$1,A:D,4,))/VLOOKUP($U$1,A:D,4,))*100)+100</f>
        <v/>
      </c>
      <c r="K76" s="76">
        <f>(((Table134567891011121314151617343[[#This Row],[ESP]]-VLOOKUP($U$1,A:E,5,))/VLOOKUP($U$1,A:E,5,))*100)+100</f>
        <v/>
      </c>
      <c r="L76" s="76">
        <f>(((Table134567891011121314151617343[[#This Row],[EA19]]-VLOOKUP($U$1,A:F,6,))/VLOOKUP($U$1,A:F,6,))*100)+100</f>
        <v/>
      </c>
      <c r="M76" s="76">
        <f>(((Table134567891011121314151617343[[#This Row],[GBR]]-VLOOKUP($U$1,A:G,7,))/VLOOKUP($U$1,A:G,7,))*100)+100</f>
        <v/>
      </c>
      <c r="N76" s="76">
        <f>IF(VLOOKUP(A76,Database!$A:$AU,MATCH($N$1,Database!$A$1:$AU$1,0),FALSE)=0,#N/A,VLOOKUP(A76,Database!$A:$AU,MATCH($N$1,Database!$A$1:$AU$1,0),FALSE))</f>
        <v/>
      </c>
      <c r="O76" s="76">
        <f>(((Table134567891011121314151617343[[#This Row],[USA]]-VLOOKUP($U$1,A:N,14,))/VLOOKUP($U$1,A:N,14,))*100)+100</f>
        <v/>
      </c>
      <c r="P76" s="76">
        <f>IF(VLOOKUP(A76,Database!$A:$AS,MATCH($P$1,Database!$A$1:$AS$1,0),FALSE)=0,#N/A,VLOOKUP(A76,Database!$A:$AS,MATCH($P$1,Database!$A$1:$AS$1,0),FALSE))</f>
        <v/>
      </c>
      <c r="Q76" s="76">
        <f>(((Table134567891011121314151617343[[#This Row],[JPN]]-VLOOKUP($U$1,A:Q,16,))/VLOOKUP($U$1,A:Q,16,))*100)+100</f>
        <v/>
      </c>
    </row>
    <row r="77" customFormat="1" s="86">
      <c r="A77" s="21" t="n">
        <v>35156</v>
      </c>
      <c r="B77" s="76">
        <f>IF(VLOOKUP(A77,Database!$A:$AS,MATCH($B$1,Database!$A$1:$AS$1,0),FALSE)=0,#N/A,VLOOKUP(A77,Database!$A:$AS,MATCH($B$1,Database!$A$1:$AS$1,0),FALSE))</f>
        <v/>
      </c>
      <c r="C77" s="76">
        <f>IF(VLOOKUP(A77,Database!$A:$AS,MATCH($C$1,Database!$A$1:$AS$1,0),FALSE)=0,#N/A,VLOOKUP(A77,Database!$A:$AS,MATCH($C$1,Database!$A$1:$AS$1,0),FALSE))</f>
        <v/>
      </c>
      <c r="D77" s="76">
        <f>IF(VLOOKUP(A77,Database!$A:$AS,MATCH($D$1,Database!$A$1:$AS$1,0),FALSE)=0,#N/A,VLOOKUP(A77,Database!$A:$AS,MATCH($D$1,Database!$A$1:$AS$1,0),FALSE))</f>
        <v/>
      </c>
      <c r="E77" s="76">
        <f>IF(VLOOKUP(A77,Database!$A:$AS,MATCH($E$1,Database!$A$1:$AS$1,0),FALSE)=0,#N/A,VLOOKUP(A77,Database!$A:$AS,MATCH($E$1,Database!$A$1:$AS$1,0),FALSE))</f>
        <v/>
      </c>
      <c r="F77" s="76">
        <f>IF(VLOOKUP(A77,Database!$A:$AS,MATCH($F$1,Database!$A$1:$AS$1,0),FALSE)=0,#N/A,VLOOKUP(A77,Database!$A:$AS,MATCH($F$1,Database!$A$1:$AS$1,0),FALSE))</f>
        <v/>
      </c>
      <c r="G77" s="76">
        <f>IF(VLOOKUP(A77,Database!$A:$AS,MATCH($G$1,Database!$A$1:$AS$1,0),FALSE)=0,#N/A,VLOOKUP(A77,Database!$A:$AS,MATCH($G$1,Database!$A$1:$AS$1,0),FALSE))</f>
        <v/>
      </c>
      <c r="H77" s="76">
        <f>(((Table134567891011121314151617343[[#This Row],[ITA]]-VLOOKUP($U$1,A:B,2,))/VLOOKUP($U$1,A:B,2,))*100)+100</f>
        <v/>
      </c>
      <c r="I77" s="76">
        <f>(((Table134567891011121314151617343[[#This Row],[FRA]]-VLOOKUP($U$1,A:C,3,))/VLOOKUP($U$1,A:C,3,))*100)+100</f>
        <v/>
      </c>
      <c r="J77" s="76">
        <f>(((Table134567891011121314151617343[[#This Row],[DEU]]-VLOOKUP($U$1,A:D,4,))/VLOOKUP($U$1,A:D,4,))*100)+100</f>
        <v/>
      </c>
      <c r="K77" s="76">
        <f>(((Table134567891011121314151617343[[#This Row],[ESP]]-VLOOKUP($U$1,A:E,5,))/VLOOKUP($U$1,A:E,5,))*100)+100</f>
        <v/>
      </c>
      <c r="L77" s="76">
        <f>(((Table134567891011121314151617343[[#This Row],[EA19]]-VLOOKUP($U$1,A:F,6,))/VLOOKUP($U$1,A:F,6,))*100)+100</f>
        <v/>
      </c>
      <c r="M77" s="76">
        <f>(((Table134567891011121314151617343[[#This Row],[GBR]]-VLOOKUP($U$1,A:G,7,))/VLOOKUP($U$1,A:G,7,))*100)+100</f>
        <v/>
      </c>
      <c r="N77" s="76">
        <f>IF(VLOOKUP(A77,Database!$A:$AU,MATCH($N$1,Database!$A$1:$AU$1,0),FALSE)=0,#N/A,VLOOKUP(A77,Database!$A:$AU,MATCH($N$1,Database!$A$1:$AU$1,0),FALSE))</f>
        <v/>
      </c>
      <c r="O77" s="76">
        <f>(((Table134567891011121314151617343[[#This Row],[USA]]-VLOOKUP($U$1,A:N,14,))/VLOOKUP($U$1,A:N,14,))*100)+100</f>
        <v/>
      </c>
      <c r="P77" s="76">
        <f>IF(VLOOKUP(A77,Database!$A:$AS,MATCH($P$1,Database!$A$1:$AS$1,0),FALSE)=0,#N/A,VLOOKUP(A77,Database!$A:$AS,MATCH($P$1,Database!$A$1:$AS$1,0),FALSE))</f>
        <v/>
      </c>
      <c r="Q77" s="76">
        <f>(((Table134567891011121314151617343[[#This Row],[JPN]]-VLOOKUP($U$1,A:Q,16,))/VLOOKUP($U$1,A:Q,16,))*100)+100</f>
        <v/>
      </c>
    </row>
    <row r="78" customFormat="1" s="86">
      <c r="A78" s="21" t="n">
        <v>35186</v>
      </c>
      <c r="B78" s="76">
        <f>IF(VLOOKUP(A78,Database!$A:$AS,MATCH($B$1,Database!$A$1:$AS$1,0),FALSE)=0,#N/A,VLOOKUP(A78,Database!$A:$AS,MATCH($B$1,Database!$A$1:$AS$1,0),FALSE))</f>
        <v/>
      </c>
      <c r="C78" s="76">
        <f>IF(VLOOKUP(A78,Database!$A:$AS,MATCH($C$1,Database!$A$1:$AS$1,0),FALSE)=0,#N/A,VLOOKUP(A78,Database!$A:$AS,MATCH($C$1,Database!$A$1:$AS$1,0),FALSE))</f>
        <v/>
      </c>
      <c r="D78" s="76">
        <f>IF(VLOOKUP(A78,Database!$A:$AS,MATCH($D$1,Database!$A$1:$AS$1,0),FALSE)=0,#N/A,VLOOKUP(A78,Database!$A:$AS,MATCH($D$1,Database!$A$1:$AS$1,0),FALSE))</f>
        <v/>
      </c>
      <c r="E78" s="76">
        <f>IF(VLOOKUP(A78,Database!$A:$AS,MATCH($E$1,Database!$A$1:$AS$1,0),FALSE)=0,#N/A,VLOOKUP(A78,Database!$A:$AS,MATCH($E$1,Database!$A$1:$AS$1,0),FALSE))</f>
        <v/>
      </c>
      <c r="F78" s="76">
        <f>IF(VLOOKUP(A78,Database!$A:$AS,MATCH($F$1,Database!$A$1:$AS$1,0),FALSE)=0,#N/A,VLOOKUP(A78,Database!$A:$AS,MATCH($F$1,Database!$A$1:$AS$1,0),FALSE))</f>
        <v/>
      </c>
      <c r="G78" s="76">
        <f>IF(VLOOKUP(A78,Database!$A:$AS,MATCH($G$1,Database!$A$1:$AS$1,0),FALSE)=0,#N/A,VLOOKUP(A78,Database!$A:$AS,MATCH($G$1,Database!$A$1:$AS$1,0),FALSE))</f>
        <v/>
      </c>
      <c r="H78" s="76">
        <f>(((Table134567891011121314151617343[[#This Row],[ITA]]-VLOOKUP($U$1,A:B,2,))/VLOOKUP($U$1,A:B,2,))*100)+100</f>
        <v/>
      </c>
      <c r="I78" s="76">
        <f>(((Table134567891011121314151617343[[#This Row],[FRA]]-VLOOKUP($U$1,A:C,3,))/VLOOKUP($U$1,A:C,3,))*100)+100</f>
        <v/>
      </c>
      <c r="J78" s="76">
        <f>(((Table134567891011121314151617343[[#This Row],[DEU]]-VLOOKUP($U$1,A:D,4,))/VLOOKUP($U$1,A:D,4,))*100)+100</f>
        <v/>
      </c>
      <c r="K78" s="76">
        <f>(((Table134567891011121314151617343[[#This Row],[ESP]]-VLOOKUP($U$1,A:E,5,))/VLOOKUP($U$1,A:E,5,))*100)+100</f>
        <v/>
      </c>
      <c r="L78" s="76">
        <f>(((Table134567891011121314151617343[[#This Row],[EA19]]-VLOOKUP($U$1,A:F,6,))/VLOOKUP($U$1,A:F,6,))*100)+100</f>
        <v/>
      </c>
      <c r="M78" s="76">
        <f>(((Table134567891011121314151617343[[#This Row],[GBR]]-VLOOKUP($U$1,A:G,7,))/VLOOKUP($U$1,A:G,7,))*100)+100</f>
        <v/>
      </c>
      <c r="N78" s="76">
        <f>IF(VLOOKUP(A78,Database!$A:$AU,MATCH($N$1,Database!$A$1:$AU$1,0),FALSE)=0,#N/A,VLOOKUP(A78,Database!$A:$AU,MATCH($N$1,Database!$A$1:$AU$1,0),FALSE))</f>
        <v/>
      </c>
      <c r="O78" s="76">
        <f>(((Table134567891011121314151617343[[#This Row],[USA]]-VLOOKUP($U$1,A:N,14,))/VLOOKUP($U$1,A:N,14,))*100)+100</f>
        <v/>
      </c>
      <c r="P78" s="76">
        <f>IF(VLOOKUP(A78,Database!$A:$AS,MATCH($P$1,Database!$A$1:$AS$1,0),FALSE)=0,#N/A,VLOOKUP(A78,Database!$A:$AS,MATCH($P$1,Database!$A$1:$AS$1,0),FALSE))</f>
        <v/>
      </c>
      <c r="Q78" s="76">
        <f>(((Table134567891011121314151617343[[#This Row],[JPN]]-VLOOKUP($U$1,A:Q,16,))/VLOOKUP($U$1,A:Q,16,))*100)+100</f>
        <v/>
      </c>
    </row>
    <row r="79" customFormat="1" s="86">
      <c r="A79" s="21" t="n">
        <v>35217</v>
      </c>
      <c r="B79" s="76">
        <f>IF(VLOOKUP(A79,Database!$A:$AS,MATCH($B$1,Database!$A$1:$AS$1,0),FALSE)=0,#N/A,VLOOKUP(A79,Database!$A:$AS,MATCH($B$1,Database!$A$1:$AS$1,0),FALSE))</f>
        <v/>
      </c>
      <c r="C79" s="76">
        <f>IF(VLOOKUP(A79,Database!$A:$AS,MATCH($C$1,Database!$A$1:$AS$1,0),FALSE)=0,#N/A,VLOOKUP(A79,Database!$A:$AS,MATCH($C$1,Database!$A$1:$AS$1,0),FALSE))</f>
        <v/>
      </c>
      <c r="D79" s="76">
        <f>IF(VLOOKUP(A79,Database!$A:$AS,MATCH($D$1,Database!$A$1:$AS$1,0),FALSE)=0,#N/A,VLOOKUP(A79,Database!$A:$AS,MATCH($D$1,Database!$A$1:$AS$1,0),FALSE))</f>
        <v/>
      </c>
      <c r="E79" s="76">
        <f>IF(VLOOKUP(A79,Database!$A:$AS,MATCH($E$1,Database!$A$1:$AS$1,0),FALSE)=0,#N/A,VLOOKUP(A79,Database!$A:$AS,MATCH($E$1,Database!$A$1:$AS$1,0),FALSE))</f>
        <v/>
      </c>
      <c r="F79" s="76">
        <f>IF(VLOOKUP(A79,Database!$A:$AS,MATCH($F$1,Database!$A$1:$AS$1,0),FALSE)=0,#N/A,VLOOKUP(A79,Database!$A:$AS,MATCH($F$1,Database!$A$1:$AS$1,0),FALSE))</f>
        <v/>
      </c>
      <c r="G79" s="76">
        <f>IF(VLOOKUP(A79,Database!$A:$AS,MATCH($G$1,Database!$A$1:$AS$1,0),FALSE)=0,#N/A,VLOOKUP(A79,Database!$A:$AS,MATCH($G$1,Database!$A$1:$AS$1,0),FALSE))</f>
        <v/>
      </c>
      <c r="H79" s="76">
        <f>(((Table134567891011121314151617343[[#This Row],[ITA]]-VLOOKUP($U$1,A:B,2,))/VLOOKUP($U$1,A:B,2,))*100)+100</f>
        <v/>
      </c>
      <c r="I79" s="76">
        <f>(((Table134567891011121314151617343[[#This Row],[FRA]]-VLOOKUP($U$1,A:C,3,))/VLOOKUP($U$1,A:C,3,))*100)+100</f>
        <v/>
      </c>
      <c r="J79" s="76">
        <f>(((Table134567891011121314151617343[[#This Row],[DEU]]-VLOOKUP($U$1,A:D,4,))/VLOOKUP($U$1,A:D,4,))*100)+100</f>
        <v/>
      </c>
      <c r="K79" s="76">
        <f>(((Table134567891011121314151617343[[#This Row],[ESP]]-VLOOKUP($U$1,A:E,5,))/VLOOKUP($U$1,A:E,5,))*100)+100</f>
        <v/>
      </c>
      <c r="L79" s="76">
        <f>(((Table134567891011121314151617343[[#This Row],[EA19]]-VLOOKUP($U$1,A:F,6,))/VLOOKUP($U$1,A:F,6,))*100)+100</f>
        <v/>
      </c>
      <c r="M79" s="76">
        <f>(((Table134567891011121314151617343[[#This Row],[GBR]]-VLOOKUP($U$1,A:G,7,))/VLOOKUP($U$1,A:G,7,))*100)+100</f>
        <v/>
      </c>
      <c r="N79" s="76">
        <f>IF(VLOOKUP(A79,Database!$A:$AU,MATCH($N$1,Database!$A$1:$AU$1,0),FALSE)=0,#N/A,VLOOKUP(A79,Database!$A:$AU,MATCH($N$1,Database!$A$1:$AU$1,0),FALSE))</f>
        <v/>
      </c>
      <c r="O79" s="76">
        <f>(((Table134567891011121314151617343[[#This Row],[USA]]-VLOOKUP($U$1,A:N,14,))/VLOOKUP($U$1,A:N,14,))*100)+100</f>
        <v/>
      </c>
      <c r="P79" s="76">
        <f>IF(VLOOKUP(A79,Database!$A:$AS,MATCH($P$1,Database!$A$1:$AS$1,0),FALSE)=0,#N/A,VLOOKUP(A79,Database!$A:$AS,MATCH($P$1,Database!$A$1:$AS$1,0),FALSE))</f>
        <v/>
      </c>
      <c r="Q79" s="76">
        <f>(((Table134567891011121314151617343[[#This Row],[JPN]]-VLOOKUP($U$1,A:Q,16,))/VLOOKUP($U$1,A:Q,16,))*100)+100</f>
        <v/>
      </c>
    </row>
    <row r="80" customFormat="1" s="86">
      <c r="A80" s="21" t="n">
        <v>35247</v>
      </c>
      <c r="B80" s="76">
        <f>IF(VLOOKUP(A80,Database!$A:$AS,MATCH($B$1,Database!$A$1:$AS$1,0),FALSE)=0,#N/A,VLOOKUP(A80,Database!$A:$AS,MATCH($B$1,Database!$A$1:$AS$1,0),FALSE))</f>
        <v/>
      </c>
      <c r="C80" s="76">
        <f>IF(VLOOKUP(A80,Database!$A:$AS,MATCH($C$1,Database!$A$1:$AS$1,0),FALSE)=0,#N/A,VLOOKUP(A80,Database!$A:$AS,MATCH($C$1,Database!$A$1:$AS$1,0),FALSE))</f>
        <v/>
      </c>
      <c r="D80" s="76">
        <f>IF(VLOOKUP(A80,Database!$A:$AS,MATCH($D$1,Database!$A$1:$AS$1,0),FALSE)=0,#N/A,VLOOKUP(A80,Database!$A:$AS,MATCH($D$1,Database!$A$1:$AS$1,0),FALSE))</f>
        <v/>
      </c>
      <c r="E80" s="76">
        <f>IF(VLOOKUP(A80,Database!$A:$AS,MATCH($E$1,Database!$A$1:$AS$1,0),FALSE)=0,#N/A,VLOOKUP(A80,Database!$A:$AS,MATCH($E$1,Database!$A$1:$AS$1,0),FALSE))</f>
        <v/>
      </c>
      <c r="F80" s="76">
        <f>IF(VLOOKUP(A80,Database!$A:$AS,MATCH($F$1,Database!$A$1:$AS$1,0),FALSE)=0,#N/A,VLOOKUP(A80,Database!$A:$AS,MATCH($F$1,Database!$A$1:$AS$1,0),FALSE))</f>
        <v/>
      </c>
      <c r="G80" s="76">
        <f>IF(VLOOKUP(A80,Database!$A:$AS,MATCH($G$1,Database!$A$1:$AS$1,0),FALSE)=0,#N/A,VLOOKUP(A80,Database!$A:$AS,MATCH($G$1,Database!$A$1:$AS$1,0),FALSE))</f>
        <v/>
      </c>
      <c r="H80" s="76">
        <f>(((Table134567891011121314151617343[[#This Row],[ITA]]-VLOOKUP($U$1,A:B,2,))/VLOOKUP($U$1,A:B,2,))*100)+100</f>
        <v/>
      </c>
      <c r="I80" s="76">
        <f>(((Table134567891011121314151617343[[#This Row],[FRA]]-VLOOKUP($U$1,A:C,3,))/VLOOKUP($U$1,A:C,3,))*100)+100</f>
        <v/>
      </c>
      <c r="J80" s="76">
        <f>(((Table134567891011121314151617343[[#This Row],[DEU]]-VLOOKUP($U$1,A:D,4,))/VLOOKUP($U$1,A:D,4,))*100)+100</f>
        <v/>
      </c>
      <c r="K80" s="76">
        <f>(((Table134567891011121314151617343[[#This Row],[ESP]]-VLOOKUP($U$1,A:E,5,))/VLOOKUP($U$1,A:E,5,))*100)+100</f>
        <v/>
      </c>
      <c r="L80" s="76">
        <f>(((Table134567891011121314151617343[[#This Row],[EA19]]-VLOOKUP($U$1,A:F,6,))/VLOOKUP($U$1,A:F,6,))*100)+100</f>
        <v/>
      </c>
      <c r="M80" s="76">
        <f>(((Table134567891011121314151617343[[#This Row],[GBR]]-VLOOKUP($U$1,A:G,7,))/VLOOKUP($U$1,A:G,7,))*100)+100</f>
        <v/>
      </c>
      <c r="N80" s="76">
        <f>IF(VLOOKUP(A80,Database!$A:$AU,MATCH($N$1,Database!$A$1:$AU$1,0),FALSE)=0,#N/A,VLOOKUP(A80,Database!$A:$AU,MATCH($N$1,Database!$A$1:$AU$1,0),FALSE))</f>
        <v/>
      </c>
      <c r="O80" s="76">
        <f>(((Table134567891011121314151617343[[#This Row],[USA]]-VLOOKUP($U$1,A:N,14,))/VLOOKUP($U$1,A:N,14,))*100)+100</f>
        <v/>
      </c>
      <c r="P80" s="76">
        <f>IF(VLOOKUP(A80,Database!$A:$AS,MATCH($P$1,Database!$A$1:$AS$1,0),FALSE)=0,#N/A,VLOOKUP(A80,Database!$A:$AS,MATCH($P$1,Database!$A$1:$AS$1,0),FALSE))</f>
        <v/>
      </c>
      <c r="Q80" s="76">
        <f>(((Table134567891011121314151617343[[#This Row],[JPN]]-VLOOKUP($U$1,A:Q,16,))/VLOOKUP($U$1,A:Q,16,))*100)+100</f>
        <v/>
      </c>
    </row>
    <row r="81" customFormat="1" s="86">
      <c r="A81" s="21" t="n">
        <v>35278</v>
      </c>
      <c r="B81" s="76">
        <f>IF(VLOOKUP(A81,Database!$A:$AS,MATCH($B$1,Database!$A$1:$AS$1,0),FALSE)=0,#N/A,VLOOKUP(A81,Database!$A:$AS,MATCH($B$1,Database!$A$1:$AS$1,0),FALSE))</f>
        <v/>
      </c>
      <c r="C81" s="76">
        <f>IF(VLOOKUP(A81,Database!$A:$AS,MATCH($C$1,Database!$A$1:$AS$1,0),FALSE)=0,#N/A,VLOOKUP(A81,Database!$A:$AS,MATCH($C$1,Database!$A$1:$AS$1,0),FALSE))</f>
        <v/>
      </c>
      <c r="D81" s="76">
        <f>IF(VLOOKUP(A81,Database!$A:$AS,MATCH($D$1,Database!$A$1:$AS$1,0),FALSE)=0,#N/A,VLOOKUP(A81,Database!$A:$AS,MATCH($D$1,Database!$A$1:$AS$1,0),FALSE))</f>
        <v/>
      </c>
      <c r="E81" s="76">
        <f>IF(VLOOKUP(A81,Database!$A:$AS,MATCH($E$1,Database!$A$1:$AS$1,0),FALSE)=0,#N/A,VLOOKUP(A81,Database!$A:$AS,MATCH($E$1,Database!$A$1:$AS$1,0),FALSE))</f>
        <v/>
      </c>
      <c r="F81" s="76">
        <f>IF(VLOOKUP(A81,Database!$A:$AS,MATCH($F$1,Database!$A$1:$AS$1,0),FALSE)=0,#N/A,VLOOKUP(A81,Database!$A:$AS,MATCH($F$1,Database!$A$1:$AS$1,0),FALSE))</f>
        <v/>
      </c>
      <c r="G81" s="76">
        <f>IF(VLOOKUP(A81,Database!$A:$AS,MATCH($G$1,Database!$A$1:$AS$1,0),FALSE)=0,#N/A,VLOOKUP(A81,Database!$A:$AS,MATCH($G$1,Database!$A$1:$AS$1,0),FALSE))</f>
        <v/>
      </c>
      <c r="H81" s="76">
        <f>(((Table134567891011121314151617343[[#This Row],[ITA]]-VLOOKUP($U$1,A:B,2,))/VLOOKUP($U$1,A:B,2,))*100)+100</f>
        <v/>
      </c>
      <c r="I81" s="76">
        <f>(((Table134567891011121314151617343[[#This Row],[FRA]]-VLOOKUP($U$1,A:C,3,))/VLOOKUP($U$1,A:C,3,))*100)+100</f>
        <v/>
      </c>
      <c r="J81" s="76">
        <f>(((Table134567891011121314151617343[[#This Row],[DEU]]-VLOOKUP($U$1,A:D,4,))/VLOOKUP($U$1,A:D,4,))*100)+100</f>
        <v/>
      </c>
      <c r="K81" s="76">
        <f>(((Table134567891011121314151617343[[#This Row],[ESP]]-VLOOKUP($U$1,A:E,5,))/VLOOKUP($U$1,A:E,5,))*100)+100</f>
        <v/>
      </c>
      <c r="L81" s="76">
        <f>(((Table134567891011121314151617343[[#This Row],[EA19]]-VLOOKUP($U$1,A:F,6,))/VLOOKUP($U$1,A:F,6,))*100)+100</f>
        <v/>
      </c>
      <c r="M81" s="76">
        <f>(((Table134567891011121314151617343[[#This Row],[GBR]]-VLOOKUP($U$1,A:G,7,))/VLOOKUP($U$1,A:G,7,))*100)+100</f>
        <v/>
      </c>
      <c r="N81" s="76">
        <f>IF(VLOOKUP(A81,Database!$A:$AU,MATCH($N$1,Database!$A$1:$AU$1,0),FALSE)=0,#N/A,VLOOKUP(A81,Database!$A:$AU,MATCH($N$1,Database!$A$1:$AU$1,0),FALSE))</f>
        <v/>
      </c>
      <c r="O81" s="76">
        <f>(((Table134567891011121314151617343[[#This Row],[USA]]-VLOOKUP($U$1,A:N,14,))/VLOOKUP($U$1,A:N,14,))*100)+100</f>
        <v/>
      </c>
      <c r="P81" s="76">
        <f>IF(VLOOKUP(A81,Database!$A:$AS,MATCH($P$1,Database!$A$1:$AS$1,0),FALSE)=0,#N/A,VLOOKUP(A81,Database!$A:$AS,MATCH($P$1,Database!$A$1:$AS$1,0),FALSE))</f>
        <v/>
      </c>
      <c r="Q81" s="76">
        <f>(((Table134567891011121314151617343[[#This Row],[JPN]]-VLOOKUP($U$1,A:Q,16,))/VLOOKUP($U$1,A:Q,16,))*100)+100</f>
        <v/>
      </c>
    </row>
    <row r="82" customFormat="1" s="86">
      <c r="A82" s="21" t="n">
        <v>35309</v>
      </c>
      <c r="B82" s="76">
        <f>IF(VLOOKUP(A82,Database!$A:$AS,MATCH($B$1,Database!$A$1:$AS$1,0),FALSE)=0,#N/A,VLOOKUP(A82,Database!$A:$AS,MATCH($B$1,Database!$A$1:$AS$1,0),FALSE))</f>
        <v/>
      </c>
      <c r="C82" s="76">
        <f>IF(VLOOKUP(A82,Database!$A:$AS,MATCH($C$1,Database!$A$1:$AS$1,0),FALSE)=0,#N/A,VLOOKUP(A82,Database!$A:$AS,MATCH($C$1,Database!$A$1:$AS$1,0),FALSE))</f>
        <v/>
      </c>
      <c r="D82" s="76">
        <f>IF(VLOOKUP(A82,Database!$A:$AS,MATCH($D$1,Database!$A$1:$AS$1,0),FALSE)=0,#N/A,VLOOKUP(A82,Database!$A:$AS,MATCH($D$1,Database!$A$1:$AS$1,0),FALSE))</f>
        <v/>
      </c>
      <c r="E82" s="76">
        <f>IF(VLOOKUP(A82,Database!$A:$AS,MATCH($E$1,Database!$A$1:$AS$1,0),FALSE)=0,#N/A,VLOOKUP(A82,Database!$A:$AS,MATCH($E$1,Database!$A$1:$AS$1,0),FALSE))</f>
        <v/>
      </c>
      <c r="F82" s="76">
        <f>IF(VLOOKUP(A82,Database!$A:$AS,MATCH($F$1,Database!$A$1:$AS$1,0),FALSE)=0,#N/A,VLOOKUP(A82,Database!$A:$AS,MATCH($F$1,Database!$A$1:$AS$1,0),FALSE))</f>
        <v/>
      </c>
      <c r="G82" s="76">
        <f>IF(VLOOKUP(A82,Database!$A:$AS,MATCH($G$1,Database!$A$1:$AS$1,0),FALSE)=0,#N/A,VLOOKUP(A82,Database!$A:$AS,MATCH($G$1,Database!$A$1:$AS$1,0),FALSE))</f>
        <v/>
      </c>
      <c r="H82" s="76">
        <f>(((Table134567891011121314151617343[[#This Row],[ITA]]-VLOOKUP($U$1,A:B,2,))/VLOOKUP($U$1,A:B,2,))*100)+100</f>
        <v/>
      </c>
      <c r="I82" s="76">
        <f>(((Table134567891011121314151617343[[#This Row],[FRA]]-VLOOKUP($U$1,A:C,3,))/VLOOKUP($U$1,A:C,3,))*100)+100</f>
        <v/>
      </c>
      <c r="J82" s="76">
        <f>(((Table134567891011121314151617343[[#This Row],[DEU]]-VLOOKUP($U$1,A:D,4,))/VLOOKUP($U$1,A:D,4,))*100)+100</f>
        <v/>
      </c>
      <c r="K82" s="76">
        <f>(((Table134567891011121314151617343[[#This Row],[ESP]]-VLOOKUP($U$1,A:E,5,))/VLOOKUP($U$1,A:E,5,))*100)+100</f>
        <v/>
      </c>
      <c r="L82" s="76">
        <f>(((Table134567891011121314151617343[[#This Row],[EA19]]-VLOOKUP($U$1,A:F,6,))/VLOOKUP($U$1,A:F,6,))*100)+100</f>
        <v/>
      </c>
      <c r="M82" s="76">
        <f>(((Table134567891011121314151617343[[#This Row],[GBR]]-VLOOKUP($U$1,A:G,7,))/VLOOKUP($U$1,A:G,7,))*100)+100</f>
        <v/>
      </c>
      <c r="N82" s="76">
        <f>IF(VLOOKUP(A82,Database!$A:$AU,MATCH($N$1,Database!$A$1:$AU$1,0),FALSE)=0,#N/A,VLOOKUP(A82,Database!$A:$AU,MATCH($N$1,Database!$A$1:$AU$1,0),FALSE))</f>
        <v/>
      </c>
      <c r="O82" s="76">
        <f>(((Table134567891011121314151617343[[#This Row],[USA]]-VLOOKUP($U$1,A:N,14,))/VLOOKUP($U$1,A:N,14,))*100)+100</f>
        <v/>
      </c>
      <c r="P82" s="76">
        <f>IF(VLOOKUP(A82,Database!$A:$AS,MATCH($P$1,Database!$A$1:$AS$1,0),FALSE)=0,#N/A,VLOOKUP(A82,Database!$A:$AS,MATCH($P$1,Database!$A$1:$AS$1,0),FALSE))</f>
        <v/>
      </c>
      <c r="Q82" s="76">
        <f>(((Table134567891011121314151617343[[#This Row],[JPN]]-VLOOKUP($U$1,A:Q,16,))/VLOOKUP($U$1,A:Q,16,))*100)+100</f>
        <v/>
      </c>
    </row>
    <row r="83" customFormat="1" s="86">
      <c r="A83" s="21" t="n">
        <v>35339</v>
      </c>
      <c r="B83" s="76">
        <f>IF(VLOOKUP(A83,Database!$A:$AS,MATCH($B$1,Database!$A$1:$AS$1,0),FALSE)=0,#N/A,VLOOKUP(A83,Database!$A:$AS,MATCH($B$1,Database!$A$1:$AS$1,0),FALSE))</f>
        <v/>
      </c>
      <c r="C83" s="76">
        <f>IF(VLOOKUP(A83,Database!$A:$AS,MATCH($C$1,Database!$A$1:$AS$1,0),FALSE)=0,#N/A,VLOOKUP(A83,Database!$A:$AS,MATCH($C$1,Database!$A$1:$AS$1,0),FALSE))</f>
        <v/>
      </c>
      <c r="D83" s="76">
        <f>IF(VLOOKUP(A83,Database!$A:$AS,MATCH($D$1,Database!$A$1:$AS$1,0),FALSE)=0,#N/A,VLOOKUP(A83,Database!$A:$AS,MATCH($D$1,Database!$A$1:$AS$1,0),FALSE))</f>
        <v/>
      </c>
      <c r="E83" s="76">
        <f>IF(VLOOKUP(A83,Database!$A:$AS,MATCH($E$1,Database!$A$1:$AS$1,0),FALSE)=0,#N/A,VLOOKUP(A83,Database!$A:$AS,MATCH($E$1,Database!$A$1:$AS$1,0),FALSE))</f>
        <v/>
      </c>
      <c r="F83" s="76">
        <f>IF(VLOOKUP(A83,Database!$A:$AS,MATCH($F$1,Database!$A$1:$AS$1,0),FALSE)=0,#N/A,VLOOKUP(A83,Database!$A:$AS,MATCH($F$1,Database!$A$1:$AS$1,0),FALSE))</f>
        <v/>
      </c>
      <c r="G83" s="76">
        <f>IF(VLOOKUP(A83,Database!$A:$AS,MATCH($G$1,Database!$A$1:$AS$1,0),FALSE)=0,#N/A,VLOOKUP(A83,Database!$A:$AS,MATCH($G$1,Database!$A$1:$AS$1,0),FALSE))</f>
        <v/>
      </c>
      <c r="H83" s="76">
        <f>(((Table134567891011121314151617343[[#This Row],[ITA]]-VLOOKUP($U$1,A:B,2,))/VLOOKUP($U$1,A:B,2,))*100)+100</f>
        <v/>
      </c>
      <c r="I83" s="76">
        <f>(((Table134567891011121314151617343[[#This Row],[FRA]]-VLOOKUP($U$1,A:C,3,))/VLOOKUP($U$1,A:C,3,))*100)+100</f>
        <v/>
      </c>
      <c r="J83" s="76">
        <f>(((Table134567891011121314151617343[[#This Row],[DEU]]-VLOOKUP($U$1,A:D,4,))/VLOOKUP($U$1,A:D,4,))*100)+100</f>
        <v/>
      </c>
      <c r="K83" s="76">
        <f>(((Table134567891011121314151617343[[#This Row],[ESP]]-VLOOKUP($U$1,A:E,5,))/VLOOKUP($U$1,A:E,5,))*100)+100</f>
        <v/>
      </c>
      <c r="L83" s="76">
        <f>(((Table134567891011121314151617343[[#This Row],[EA19]]-VLOOKUP($U$1,A:F,6,))/VLOOKUP($U$1,A:F,6,))*100)+100</f>
        <v/>
      </c>
      <c r="M83" s="76">
        <f>(((Table134567891011121314151617343[[#This Row],[GBR]]-VLOOKUP($U$1,A:G,7,))/VLOOKUP($U$1,A:G,7,))*100)+100</f>
        <v/>
      </c>
      <c r="N83" s="76">
        <f>IF(VLOOKUP(A83,Database!$A:$AU,MATCH($N$1,Database!$A$1:$AU$1,0),FALSE)=0,#N/A,VLOOKUP(A83,Database!$A:$AU,MATCH($N$1,Database!$A$1:$AU$1,0),FALSE))</f>
        <v/>
      </c>
      <c r="O83" s="76">
        <f>(((Table134567891011121314151617343[[#This Row],[USA]]-VLOOKUP($U$1,A:N,14,))/VLOOKUP($U$1,A:N,14,))*100)+100</f>
        <v/>
      </c>
      <c r="P83" s="76">
        <f>IF(VLOOKUP(A83,Database!$A:$AS,MATCH($P$1,Database!$A$1:$AS$1,0),FALSE)=0,#N/A,VLOOKUP(A83,Database!$A:$AS,MATCH($P$1,Database!$A$1:$AS$1,0),FALSE))</f>
        <v/>
      </c>
      <c r="Q83" s="76">
        <f>(((Table134567891011121314151617343[[#This Row],[JPN]]-VLOOKUP($U$1,A:Q,16,))/VLOOKUP($U$1,A:Q,16,))*100)+100</f>
        <v/>
      </c>
    </row>
    <row r="84" customFormat="1" s="86">
      <c r="A84" s="21" t="n">
        <v>35370</v>
      </c>
      <c r="B84" s="76">
        <f>IF(VLOOKUP(A84,Database!$A:$AS,MATCH($B$1,Database!$A$1:$AS$1,0),FALSE)=0,#N/A,VLOOKUP(A84,Database!$A:$AS,MATCH($B$1,Database!$A$1:$AS$1,0),FALSE))</f>
        <v/>
      </c>
      <c r="C84" s="76">
        <f>IF(VLOOKUP(A84,Database!$A:$AS,MATCH($C$1,Database!$A$1:$AS$1,0),FALSE)=0,#N/A,VLOOKUP(A84,Database!$A:$AS,MATCH($C$1,Database!$A$1:$AS$1,0),FALSE))</f>
        <v/>
      </c>
      <c r="D84" s="76">
        <f>IF(VLOOKUP(A84,Database!$A:$AS,MATCH($D$1,Database!$A$1:$AS$1,0),FALSE)=0,#N/A,VLOOKUP(A84,Database!$A:$AS,MATCH($D$1,Database!$A$1:$AS$1,0),FALSE))</f>
        <v/>
      </c>
      <c r="E84" s="76">
        <f>IF(VLOOKUP(A84,Database!$A:$AS,MATCH($E$1,Database!$A$1:$AS$1,0),FALSE)=0,#N/A,VLOOKUP(A84,Database!$A:$AS,MATCH($E$1,Database!$A$1:$AS$1,0),FALSE))</f>
        <v/>
      </c>
      <c r="F84" s="76">
        <f>IF(VLOOKUP(A84,Database!$A:$AS,MATCH($F$1,Database!$A$1:$AS$1,0),FALSE)=0,#N/A,VLOOKUP(A84,Database!$A:$AS,MATCH($F$1,Database!$A$1:$AS$1,0),FALSE))</f>
        <v/>
      </c>
      <c r="G84" s="76">
        <f>IF(VLOOKUP(A84,Database!$A:$AS,MATCH($G$1,Database!$A$1:$AS$1,0),FALSE)=0,#N/A,VLOOKUP(A84,Database!$A:$AS,MATCH($G$1,Database!$A$1:$AS$1,0),FALSE))</f>
        <v/>
      </c>
      <c r="H84" s="76">
        <f>(((Table134567891011121314151617343[[#This Row],[ITA]]-VLOOKUP($U$1,A:B,2,))/VLOOKUP($U$1,A:B,2,))*100)+100</f>
        <v/>
      </c>
      <c r="I84" s="76">
        <f>(((Table134567891011121314151617343[[#This Row],[FRA]]-VLOOKUP($U$1,A:C,3,))/VLOOKUP($U$1,A:C,3,))*100)+100</f>
        <v/>
      </c>
      <c r="J84" s="76">
        <f>(((Table134567891011121314151617343[[#This Row],[DEU]]-VLOOKUP($U$1,A:D,4,))/VLOOKUP($U$1,A:D,4,))*100)+100</f>
        <v/>
      </c>
      <c r="K84" s="76">
        <f>(((Table134567891011121314151617343[[#This Row],[ESP]]-VLOOKUP($U$1,A:E,5,))/VLOOKUP($U$1,A:E,5,))*100)+100</f>
        <v/>
      </c>
      <c r="L84" s="76">
        <f>(((Table134567891011121314151617343[[#This Row],[EA19]]-VLOOKUP($U$1,A:F,6,))/VLOOKUP($U$1,A:F,6,))*100)+100</f>
        <v/>
      </c>
      <c r="M84" s="76">
        <f>(((Table134567891011121314151617343[[#This Row],[GBR]]-VLOOKUP($U$1,A:G,7,))/VLOOKUP($U$1,A:G,7,))*100)+100</f>
        <v/>
      </c>
      <c r="N84" s="76">
        <f>IF(VLOOKUP(A84,Database!$A:$AU,MATCH($N$1,Database!$A$1:$AU$1,0),FALSE)=0,#N/A,VLOOKUP(A84,Database!$A:$AU,MATCH($N$1,Database!$A$1:$AU$1,0),FALSE))</f>
        <v/>
      </c>
      <c r="O84" s="76">
        <f>(((Table134567891011121314151617343[[#This Row],[USA]]-VLOOKUP($U$1,A:N,14,))/VLOOKUP($U$1,A:N,14,))*100)+100</f>
        <v/>
      </c>
      <c r="P84" s="76">
        <f>IF(VLOOKUP(A84,Database!$A:$AS,MATCH($P$1,Database!$A$1:$AS$1,0),FALSE)=0,#N/A,VLOOKUP(A84,Database!$A:$AS,MATCH($P$1,Database!$A$1:$AS$1,0),FALSE))</f>
        <v/>
      </c>
      <c r="Q84" s="76">
        <f>(((Table134567891011121314151617343[[#This Row],[JPN]]-VLOOKUP($U$1,A:Q,16,))/VLOOKUP($U$1,A:Q,16,))*100)+100</f>
        <v/>
      </c>
    </row>
    <row r="85" customFormat="1" s="86">
      <c r="A85" s="21" t="n">
        <v>35400</v>
      </c>
      <c r="B85" s="76">
        <f>IF(VLOOKUP(A85,Database!$A:$AS,MATCH($B$1,Database!$A$1:$AS$1,0),FALSE)=0,#N/A,VLOOKUP(A85,Database!$A:$AS,MATCH($B$1,Database!$A$1:$AS$1,0),FALSE))</f>
        <v/>
      </c>
      <c r="C85" s="76">
        <f>IF(VLOOKUP(A85,Database!$A:$AS,MATCH($C$1,Database!$A$1:$AS$1,0),FALSE)=0,#N/A,VLOOKUP(A85,Database!$A:$AS,MATCH($C$1,Database!$A$1:$AS$1,0),FALSE))</f>
        <v/>
      </c>
      <c r="D85" s="76">
        <f>IF(VLOOKUP(A85,Database!$A:$AS,MATCH($D$1,Database!$A$1:$AS$1,0),FALSE)=0,#N/A,VLOOKUP(A85,Database!$A:$AS,MATCH($D$1,Database!$A$1:$AS$1,0),FALSE))</f>
        <v/>
      </c>
      <c r="E85" s="76">
        <f>IF(VLOOKUP(A85,Database!$A:$AS,MATCH($E$1,Database!$A$1:$AS$1,0),FALSE)=0,#N/A,VLOOKUP(A85,Database!$A:$AS,MATCH($E$1,Database!$A$1:$AS$1,0),FALSE))</f>
        <v/>
      </c>
      <c r="F85" s="76">
        <f>IF(VLOOKUP(A85,Database!$A:$AS,MATCH($F$1,Database!$A$1:$AS$1,0),FALSE)=0,#N/A,VLOOKUP(A85,Database!$A:$AS,MATCH($F$1,Database!$A$1:$AS$1,0),FALSE))</f>
        <v/>
      </c>
      <c r="G85" s="76">
        <f>IF(VLOOKUP(A85,Database!$A:$AS,MATCH($G$1,Database!$A$1:$AS$1,0),FALSE)=0,#N/A,VLOOKUP(A85,Database!$A:$AS,MATCH($G$1,Database!$A$1:$AS$1,0),FALSE))</f>
        <v/>
      </c>
      <c r="H85" s="76">
        <f>(((Table134567891011121314151617343[[#This Row],[ITA]]-VLOOKUP($U$1,A:B,2,))/VLOOKUP($U$1,A:B,2,))*100)+100</f>
        <v/>
      </c>
      <c r="I85" s="76">
        <f>(((Table134567891011121314151617343[[#This Row],[FRA]]-VLOOKUP($U$1,A:C,3,))/VLOOKUP($U$1,A:C,3,))*100)+100</f>
        <v/>
      </c>
      <c r="J85" s="76">
        <f>(((Table134567891011121314151617343[[#This Row],[DEU]]-VLOOKUP($U$1,A:D,4,))/VLOOKUP($U$1,A:D,4,))*100)+100</f>
        <v/>
      </c>
      <c r="K85" s="76">
        <f>(((Table134567891011121314151617343[[#This Row],[ESP]]-VLOOKUP($U$1,A:E,5,))/VLOOKUP($U$1,A:E,5,))*100)+100</f>
        <v/>
      </c>
      <c r="L85" s="76">
        <f>(((Table134567891011121314151617343[[#This Row],[EA19]]-VLOOKUP($U$1,A:F,6,))/VLOOKUP($U$1,A:F,6,))*100)+100</f>
        <v/>
      </c>
      <c r="M85" s="76">
        <f>(((Table134567891011121314151617343[[#This Row],[GBR]]-VLOOKUP($U$1,A:G,7,))/VLOOKUP($U$1,A:G,7,))*100)+100</f>
        <v/>
      </c>
      <c r="N85" s="76">
        <f>IF(VLOOKUP(A85,Database!$A:$AU,MATCH($N$1,Database!$A$1:$AU$1,0),FALSE)=0,#N/A,VLOOKUP(A85,Database!$A:$AU,MATCH($N$1,Database!$A$1:$AU$1,0),FALSE))</f>
        <v/>
      </c>
      <c r="O85" s="76">
        <f>(((Table134567891011121314151617343[[#This Row],[USA]]-VLOOKUP($U$1,A:N,14,))/VLOOKUP($U$1,A:N,14,))*100)+100</f>
        <v/>
      </c>
      <c r="P85" s="76">
        <f>IF(VLOOKUP(A85,Database!$A:$AS,MATCH($P$1,Database!$A$1:$AS$1,0),FALSE)=0,#N/A,VLOOKUP(A85,Database!$A:$AS,MATCH($P$1,Database!$A$1:$AS$1,0),FALSE))</f>
        <v/>
      </c>
      <c r="Q85" s="76">
        <f>(((Table134567891011121314151617343[[#This Row],[JPN]]-VLOOKUP($U$1,A:Q,16,))/VLOOKUP($U$1,A:Q,16,))*100)+100</f>
        <v/>
      </c>
    </row>
    <row r="86" customFormat="1" s="86">
      <c r="A86" s="21" t="n">
        <v>35431</v>
      </c>
      <c r="B86" s="76">
        <f>IF(VLOOKUP(A86,Database!$A:$AS,MATCH($B$1,Database!$A$1:$AS$1,0),FALSE)=0,#N/A,VLOOKUP(A86,Database!$A:$AS,MATCH($B$1,Database!$A$1:$AS$1,0),FALSE))</f>
        <v/>
      </c>
      <c r="C86" s="76">
        <f>IF(VLOOKUP(A86,Database!$A:$AS,MATCH($C$1,Database!$A$1:$AS$1,0),FALSE)=0,#N/A,VLOOKUP(A86,Database!$A:$AS,MATCH($C$1,Database!$A$1:$AS$1,0),FALSE))</f>
        <v/>
      </c>
      <c r="D86" s="76">
        <f>IF(VLOOKUP(A86,Database!$A:$AS,MATCH($D$1,Database!$A$1:$AS$1,0),FALSE)=0,#N/A,VLOOKUP(A86,Database!$A:$AS,MATCH($D$1,Database!$A$1:$AS$1,0),FALSE))</f>
        <v/>
      </c>
      <c r="E86" s="76">
        <f>IF(VLOOKUP(A86,Database!$A:$AS,MATCH($E$1,Database!$A$1:$AS$1,0),FALSE)=0,#N/A,VLOOKUP(A86,Database!$A:$AS,MATCH($E$1,Database!$A$1:$AS$1,0),FALSE))</f>
        <v/>
      </c>
      <c r="F86" s="76">
        <f>IF(VLOOKUP(A86,Database!$A:$AS,MATCH($F$1,Database!$A$1:$AS$1,0),FALSE)=0,#N/A,VLOOKUP(A86,Database!$A:$AS,MATCH($F$1,Database!$A$1:$AS$1,0),FALSE))</f>
        <v/>
      </c>
      <c r="G86" s="76">
        <f>IF(VLOOKUP(A86,Database!$A:$AS,MATCH($G$1,Database!$A$1:$AS$1,0),FALSE)=0,#N/A,VLOOKUP(A86,Database!$A:$AS,MATCH($G$1,Database!$A$1:$AS$1,0),FALSE))</f>
        <v/>
      </c>
      <c r="H86" s="76">
        <f>(((Table134567891011121314151617343[[#This Row],[ITA]]-VLOOKUP($U$1,A:B,2,))/VLOOKUP($U$1,A:B,2,))*100)+100</f>
        <v/>
      </c>
      <c r="I86" s="76">
        <f>(((Table134567891011121314151617343[[#This Row],[FRA]]-VLOOKUP($U$1,A:C,3,))/VLOOKUP($U$1,A:C,3,))*100)+100</f>
        <v/>
      </c>
      <c r="J86" s="76">
        <f>(((Table134567891011121314151617343[[#This Row],[DEU]]-VLOOKUP($U$1,A:D,4,))/VLOOKUP($U$1,A:D,4,))*100)+100</f>
        <v/>
      </c>
      <c r="K86" s="76">
        <f>(((Table134567891011121314151617343[[#This Row],[ESP]]-VLOOKUP($U$1,A:E,5,))/VLOOKUP($U$1,A:E,5,))*100)+100</f>
        <v/>
      </c>
      <c r="L86" s="76">
        <f>(((Table134567891011121314151617343[[#This Row],[EA19]]-VLOOKUP($U$1,A:F,6,))/VLOOKUP($U$1,A:F,6,))*100)+100</f>
        <v/>
      </c>
      <c r="M86" s="76">
        <f>(((Table134567891011121314151617343[[#This Row],[GBR]]-VLOOKUP($U$1,A:G,7,))/VLOOKUP($U$1,A:G,7,))*100)+100</f>
        <v/>
      </c>
      <c r="N86" s="76">
        <f>IF(VLOOKUP(A86,Database!$A:$AU,MATCH($N$1,Database!$A$1:$AU$1,0),FALSE)=0,#N/A,VLOOKUP(A86,Database!$A:$AU,MATCH($N$1,Database!$A$1:$AU$1,0),FALSE))</f>
        <v/>
      </c>
      <c r="O86" s="76">
        <f>(((Table134567891011121314151617343[[#This Row],[USA]]-VLOOKUP($U$1,A:N,14,))/VLOOKUP($U$1,A:N,14,))*100)+100</f>
        <v/>
      </c>
      <c r="P86" s="76">
        <f>IF(VLOOKUP(A86,Database!$A:$AS,MATCH($P$1,Database!$A$1:$AS$1,0),FALSE)=0,#N/A,VLOOKUP(A86,Database!$A:$AS,MATCH($P$1,Database!$A$1:$AS$1,0),FALSE))</f>
        <v/>
      </c>
      <c r="Q86" s="76">
        <f>(((Table134567891011121314151617343[[#This Row],[JPN]]-VLOOKUP($U$1,A:Q,16,))/VLOOKUP($U$1,A:Q,16,))*100)+100</f>
        <v/>
      </c>
    </row>
    <row r="87" customFormat="1" s="86">
      <c r="A87" s="21" t="n">
        <v>35462</v>
      </c>
      <c r="B87" s="76">
        <f>IF(VLOOKUP(A87,Database!$A:$AS,MATCH($B$1,Database!$A$1:$AS$1,0),FALSE)=0,#N/A,VLOOKUP(A87,Database!$A:$AS,MATCH($B$1,Database!$A$1:$AS$1,0),FALSE))</f>
        <v/>
      </c>
      <c r="C87" s="76">
        <f>IF(VLOOKUP(A87,Database!$A:$AS,MATCH($C$1,Database!$A$1:$AS$1,0),FALSE)=0,#N/A,VLOOKUP(A87,Database!$A:$AS,MATCH($C$1,Database!$A$1:$AS$1,0),FALSE))</f>
        <v/>
      </c>
      <c r="D87" s="76">
        <f>IF(VLOOKUP(A87,Database!$A:$AS,MATCH($D$1,Database!$A$1:$AS$1,0),FALSE)=0,#N/A,VLOOKUP(A87,Database!$A:$AS,MATCH($D$1,Database!$A$1:$AS$1,0),FALSE))</f>
        <v/>
      </c>
      <c r="E87" s="76">
        <f>IF(VLOOKUP(A87,Database!$A:$AS,MATCH($E$1,Database!$A$1:$AS$1,0),FALSE)=0,#N/A,VLOOKUP(A87,Database!$A:$AS,MATCH($E$1,Database!$A$1:$AS$1,0),FALSE))</f>
        <v/>
      </c>
      <c r="F87" s="76">
        <f>IF(VLOOKUP(A87,Database!$A:$AS,MATCH($F$1,Database!$A$1:$AS$1,0),FALSE)=0,#N/A,VLOOKUP(A87,Database!$A:$AS,MATCH($F$1,Database!$A$1:$AS$1,0),FALSE))</f>
        <v/>
      </c>
      <c r="G87" s="76">
        <f>IF(VLOOKUP(A87,Database!$A:$AS,MATCH($G$1,Database!$A$1:$AS$1,0),FALSE)=0,#N/A,VLOOKUP(A87,Database!$A:$AS,MATCH($G$1,Database!$A$1:$AS$1,0),FALSE))</f>
        <v/>
      </c>
      <c r="H87" s="76">
        <f>(((Table134567891011121314151617343[[#This Row],[ITA]]-VLOOKUP($U$1,A:B,2,))/VLOOKUP($U$1,A:B,2,))*100)+100</f>
        <v/>
      </c>
      <c r="I87" s="76">
        <f>(((Table134567891011121314151617343[[#This Row],[FRA]]-VLOOKUP($U$1,A:C,3,))/VLOOKUP($U$1,A:C,3,))*100)+100</f>
        <v/>
      </c>
      <c r="J87" s="76">
        <f>(((Table134567891011121314151617343[[#This Row],[DEU]]-VLOOKUP($U$1,A:D,4,))/VLOOKUP($U$1,A:D,4,))*100)+100</f>
        <v/>
      </c>
      <c r="K87" s="76">
        <f>(((Table134567891011121314151617343[[#This Row],[ESP]]-VLOOKUP($U$1,A:E,5,))/VLOOKUP($U$1,A:E,5,))*100)+100</f>
        <v/>
      </c>
      <c r="L87" s="76">
        <f>(((Table134567891011121314151617343[[#This Row],[EA19]]-VLOOKUP($U$1,A:F,6,))/VLOOKUP($U$1,A:F,6,))*100)+100</f>
        <v/>
      </c>
      <c r="M87" s="76">
        <f>(((Table134567891011121314151617343[[#This Row],[GBR]]-VLOOKUP($U$1,A:G,7,))/VLOOKUP($U$1,A:G,7,))*100)+100</f>
        <v/>
      </c>
      <c r="N87" s="76">
        <f>IF(VLOOKUP(A87,Database!$A:$AU,MATCH($N$1,Database!$A$1:$AU$1,0),FALSE)=0,#N/A,VLOOKUP(A87,Database!$A:$AU,MATCH($N$1,Database!$A$1:$AU$1,0),FALSE))</f>
        <v/>
      </c>
      <c r="O87" s="76">
        <f>(((Table134567891011121314151617343[[#This Row],[USA]]-VLOOKUP($U$1,A:N,14,))/VLOOKUP($U$1,A:N,14,))*100)+100</f>
        <v/>
      </c>
      <c r="P87" s="76">
        <f>IF(VLOOKUP(A87,Database!$A:$AS,MATCH($P$1,Database!$A$1:$AS$1,0),FALSE)=0,#N/A,VLOOKUP(A87,Database!$A:$AS,MATCH($P$1,Database!$A$1:$AS$1,0),FALSE))</f>
        <v/>
      </c>
      <c r="Q87" s="76">
        <f>(((Table134567891011121314151617343[[#This Row],[JPN]]-VLOOKUP($U$1,A:Q,16,))/VLOOKUP($U$1,A:Q,16,))*100)+100</f>
        <v/>
      </c>
    </row>
    <row r="88" customFormat="1" s="86">
      <c r="A88" s="21" t="n">
        <v>35490</v>
      </c>
      <c r="B88" s="76">
        <f>IF(VLOOKUP(A88,Database!$A:$AS,MATCH($B$1,Database!$A$1:$AS$1,0),FALSE)=0,#N/A,VLOOKUP(A88,Database!$A:$AS,MATCH($B$1,Database!$A$1:$AS$1,0),FALSE))</f>
        <v/>
      </c>
      <c r="C88" s="76">
        <f>IF(VLOOKUP(A88,Database!$A:$AS,MATCH($C$1,Database!$A$1:$AS$1,0),FALSE)=0,#N/A,VLOOKUP(A88,Database!$A:$AS,MATCH($C$1,Database!$A$1:$AS$1,0),FALSE))</f>
        <v/>
      </c>
      <c r="D88" s="76">
        <f>IF(VLOOKUP(A88,Database!$A:$AS,MATCH($D$1,Database!$A$1:$AS$1,0),FALSE)=0,#N/A,VLOOKUP(A88,Database!$A:$AS,MATCH($D$1,Database!$A$1:$AS$1,0),FALSE))</f>
        <v/>
      </c>
      <c r="E88" s="76">
        <f>IF(VLOOKUP(A88,Database!$A:$AS,MATCH($E$1,Database!$A$1:$AS$1,0),FALSE)=0,#N/A,VLOOKUP(A88,Database!$A:$AS,MATCH($E$1,Database!$A$1:$AS$1,0),FALSE))</f>
        <v/>
      </c>
      <c r="F88" s="76">
        <f>IF(VLOOKUP(A88,Database!$A:$AS,MATCH($F$1,Database!$A$1:$AS$1,0),FALSE)=0,#N/A,VLOOKUP(A88,Database!$A:$AS,MATCH($F$1,Database!$A$1:$AS$1,0),FALSE))</f>
        <v/>
      </c>
      <c r="G88" s="76">
        <f>IF(VLOOKUP(A88,Database!$A:$AS,MATCH($G$1,Database!$A$1:$AS$1,0),FALSE)=0,#N/A,VLOOKUP(A88,Database!$A:$AS,MATCH($G$1,Database!$A$1:$AS$1,0),FALSE))</f>
        <v/>
      </c>
      <c r="H88" s="76">
        <f>(((Table134567891011121314151617343[[#This Row],[ITA]]-VLOOKUP($U$1,A:B,2,))/VLOOKUP($U$1,A:B,2,))*100)+100</f>
        <v/>
      </c>
      <c r="I88" s="76">
        <f>(((Table134567891011121314151617343[[#This Row],[FRA]]-VLOOKUP($U$1,A:C,3,))/VLOOKUP($U$1,A:C,3,))*100)+100</f>
        <v/>
      </c>
      <c r="J88" s="76">
        <f>(((Table134567891011121314151617343[[#This Row],[DEU]]-VLOOKUP($U$1,A:D,4,))/VLOOKUP($U$1,A:D,4,))*100)+100</f>
        <v/>
      </c>
      <c r="K88" s="76">
        <f>(((Table134567891011121314151617343[[#This Row],[ESP]]-VLOOKUP($U$1,A:E,5,))/VLOOKUP($U$1,A:E,5,))*100)+100</f>
        <v/>
      </c>
      <c r="L88" s="76">
        <f>(((Table134567891011121314151617343[[#This Row],[EA19]]-VLOOKUP($U$1,A:F,6,))/VLOOKUP($U$1,A:F,6,))*100)+100</f>
        <v/>
      </c>
      <c r="M88" s="76">
        <f>(((Table134567891011121314151617343[[#This Row],[GBR]]-VLOOKUP($U$1,A:G,7,))/VLOOKUP($U$1,A:G,7,))*100)+100</f>
        <v/>
      </c>
      <c r="N88" s="76">
        <f>IF(VLOOKUP(A88,Database!$A:$AU,MATCH($N$1,Database!$A$1:$AU$1,0),FALSE)=0,#N/A,VLOOKUP(A88,Database!$A:$AU,MATCH($N$1,Database!$A$1:$AU$1,0),FALSE))</f>
        <v/>
      </c>
      <c r="O88" s="76">
        <f>(((Table134567891011121314151617343[[#This Row],[USA]]-VLOOKUP($U$1,A:N,14,))/VLOOKUP($U$1,A:N,14,))*100)+100</f>
        <v/>
      </c>
      <c r="P88" s="76">
        <f>IF(VLOOKUP(A88,Database!$A:$AS,MATCH($P$1,Database!$A$1:$AS$1,0),FALSE)=0,#N/A,VLOOKUP(A88,Database!$A:$AS,MATCH($P$1,Database!$A$1:$AS$1,0),FALSE))</f>
        <v/>
      </c>
      <c r="Q88" s="76">
        <f>(((Table134567891011121314151617343[[#This Row],[JPN]]-VLOOKUP($U$1,A:Q,16,))/VLOOKUP($U$1,A:Q,16,))*100)+100</f>
        <v/>
      </c>
    </row>
    <row r="89" customFormat="1" s="86">
      <c r="A89" s="21" t="n">
        <v>35521</v>
      </c>
      <c r="B89" s="76">
        <f>IF(VLOOKUP(A89,Database!$A:$AS,MATCH($B$1,Database!$A$1:$AS$1,0),FALSE)=0,#N/A,VLOOKUP(A89,Database!$A:$AS,MATCH($B$1,Database!$A$1:$AS$1,0),FALSE))</f>
        <v/>
      </c>
      <c r="C89" s="76">
        <f>IF(VLOOKUP(A89,Database!$A:$AS,MATCH($C$1,Database!$A$1:$AS$1,0),FALSE)=0,#N/A,VLOOKUP(A89,Database!$A:$AS,MATCH($C$1,Database!$A$1:$AS$1,0),FALSE))</f>
        <v/>
      </c>
      <c r="D89" s="76">
        <f>IF(VLOOKUP(A89,Database!$A:$AS,MATCH($D$1,Database!$A$1:$AS$1,0),FALSE)=0,#N/A,VLOOKUP(A89,Database!$A:$AS,MATCH($D$1,Database!$A$1:$AS$1,0),FALSE))</f>
        <v/>
      </c>
      <c r="E89" s="76">
        <f>IF(VLOOKUP(A89,Database!$A:$AS,MATCH($E$1,Database!$A$1:$AS$1,0),FALSE)=0,#N/A,VLOOKUP(A89,Database!$A:$AS,MATCH($E$1,Database!$A$1:$AS$1,0),FALSE))</f>
        <v/>
      </c>
      <c r="F89" s="76">
        <f>IF(VLOOKUP(A89,Database!$A:$AS,MATCH($F$1,Database!$A$1:$AS$1,0),FALSE)=0,#N/A,VLOOKUP(A89,Database!$A:$AS,MATCH($F$1,Database!$A$1:$AS$1,0),FALSE))</f>
        <v/>
      </c>
      <c r="G89" s="76">
        <f>IF(VLOOKUP(A89,Database!$A:$AS,MATCH($G$1,Database!$A$1:$AS$1,0),FALSE)=0,#N/A,VLOOKUP(A89,Database!$A:$AS,MATCH($G$1,Database!$A$1:$AS$1,0),FALSE))</f>
        <v/>
      </c>
      <c r="H89" s="76">
        <f>(((Table134567891011121314151617343[[#This Row],[ITA]]-VLOOKUP($U$1,A:B,2,))/VLOOKUP($U$1,A:B,2,))*100)+100</f>
        <v/>
      </c>
      <c r="I89" s="76">
        <f>(((Table134567891011121314151617343[[#This Row],[FRA]]-VLOOKUP($U$1,A:C,3,))/VLOOKUP($U$1,A:C,3,))*100)+100</f>
        <v/>
      </c>
      <c r="J89" s="76">
        <f>(((Table134567891011121314151617343[[#This Row],[DEU]]-VLOOKUP($U$1,A:D,4,))/VLOOKUP($U$1,A:D,4,))*100)+100</f>
        <v/>
      </c>
      <c r="K89" s="76">
        <f>(((Table134567891011121314151617343[[#This Row],[ESP]]-VLOOKUP($U$1,A:E,5,))/VLOOKUP($U$1,A:E,5,))*100)+100</f>
        <v/>
      </c>
      <c r="L89" s="76">
        <f>(((Table134567891011121314151617343[[#This Row],[EA19]]-VLOOKUP($U$1,A:F,6,))/VLOOKUP($U$1,A:F,6,))*100)+100</f>
        <v/>
      </c>
      <c r="M89" s="76">
        <f>(((Table134567891011121314151617343[[#This Row],[GBR]]-VLOOKUP($U$1,A:G,7,))/VLOOKUP($U$1,A:G,7,))*100)+100</f>
        <v/>
      </c>
      <c r="N89" s="76">
        <f>IF(VLOOKUP(A89,Database!$A:$AU,MATCH($N$1,Database!$A$1:$AU$1,0),FALSE)=0,#N/A,VLOOKUP(A89,Database!$A:$AU,MATCH($N$1,Database!$A$1:$AU$1,0),FALSE))</f>
        <v/>
      </c>
      <c r="O89" s="76">
        <f>(((Table134567891011121314151617343[[#This Row],[USA]]-VLOOKUP($U$1,A:N,14,))/VLOOKUP($U$1,A:N,14,))*100)+100</f>
        <v/>
      </c>
      <c r="P89" s="76">
        <f>IF(VLOOKUP(A89,Database!$A:$AS,MATCH($P$1,Database!$A$1:$AS$1,0),FALSE)=0,#N/A,VLOOKUP(A89,Database!$A:$AS,MATCH($P$1,Database!$A$1:$AS$1,0),FALSE))</f>
        <v/>
      </c>
      <c r="Q89" s="76">
        <f>(((Table134567891011121314151617343[[#This Row],[JPN]]-VLOOKUP($U$1,A:Q,16,))/VLOOKUP($U$1,A:Q,16,))*100)+100</f>
        <v/>
      </c>
    </row>
    <row r="90" customFormat="1" s="86">
      <c r="A90" s="21" t="n">
        <v>35551</v>
      </c>
      <c r="B90" s="76">
        <f>IF(VLOOKUP(A90,Database!$A:$AS,MATCH($B$1,Database!$A$1:$AS$1,0),FALSE)=0,#N/A,VLOOKUP(A90,Database!$A:$AS,MATCH($B$1,Database!$A$1:$AS$1,0),FALSE))</f>
        <v/>
      </c>
      <c r="C90" s="76">
        <f>IF(VLOOKUP(A90,Database!$A:$AS,MATCH($C$1,Database!$A$1:$AS$1,0),FALSE)=0,#N/A,VLOOKUP(A90,Database!$A:$AS,MATCH($C$1,Database!$A$1:$AS$1,0),FALSE))</f>
        <v/>
      </c>
      <c r="D90" s="76">
        <f>IF(VLOOKUP(A90,Database!$A:$AS,MATCH($D$1,Database!$A$1:$AS$1,0),FALSE)=0,#N/A,VLOOKUP(A90,Database!$A:$AS,MATCH($D$1,Database!$A$1:$AS$1,0),FALSE))</f>
        <v/>
      </c>
      <c r="E90" s="76">
        <f>IF(VLOOKUP(A90,Database!$A:$AS,MATCH($E$1,Database!$A$1:$AS$1,0),FALSE)=0,#N/A,VLOOKUP(A90,Database!$A:$AS,MATCH($E$1,Database!$A$1:$AS$1,0),FALSE))</f>
        <v/>
      </c>
      <c r="F90" s="76">
        <f>IF(VLOOKUP(A90,Database!$A:$AS,MATCH($F$1,Database!$A$1:$AS$1,0),FALSE)=0,#N/A,VLOOKUP(A90,Database!$A:$AS,MATCH($F$1,Database!$A$1:$AS$1,0),FALSE))</f>
        <v/>
      </c>
      <c r="G90" s="76">
        <f>IF(VLOOKUP(A90,Database!$A:$AS,MATCH($G$1,Database!$A$1:$AS$1,0),FALSE)=0,#N/A,VLOOKUP(A90,Database!$A:$AS,MATCH($G$1,Database!$A$1:$AS$1,0),FALSE))</f>
        <v/>
      </c>
      <c r="H90" s="76">
        <f>(((Table134567891011121314151617343[[#This Row],[ITA]]-VLOOKUP($U$1,A:B,2,))/VLOOKUP($U$1,A:B,2,))*100)+100</f>
        <v/>
      </c>
      <c r="I90" s="76">
        <f>(((Table134567891011121314151617343[[#This Row],[FRA]]-VLOOKUP($U$1,A:C,3,))/VLOOKUP($U$1,A:C,3,))*100)+100</f>
        <v/>
      </c>
      <c r="J90" s="76">
        <f>(((Table134567891011121314151617343[[#This Row],[DEU]]-VLOOKUP($U$1,A:D,4,))/VLOOKUP($U$1,A:D,4,))*100)+100</f>
        <v/>
      </c>
      <c r="K90" s="76">
        <f>(((Table134567891011121314151617343[[#This Row],[ESP]]-VLOOKUP($U$1,A:E,5,))/VLOOKUP($U$1,A:E,5,))*100)+100</f>
        <v/>
      </c>
      <c r="L90" s="76">
        <f>(((Table134567891011121314151617343[[#This Row],[EA19]]-VLOOKUP($U$1,A:F,6,))/VLOOKUP($U$1,A:F,6,))*100)+100</f>
        <v/>
      </c>
      <c r="M90" s="76">
        <f>(((Table134567891011121314151617343[[#This Row],[GBR]]-VLOOKUP($U$1,A:G,7,))/VLOOKUP($U$1,A:G,7,))*100)+100</f>
        <v/>
      </c>
      <c r="N90" s="76">
        <f>IF(VLOOKUP(A90,Database!$A:$AU,MATCH($N$1,Database!$A$1:$AU$1,0),FALSE)=0,#N/A,VLOOKUP(A90,Database!$A:$AU,MATCH($N$1,Database!$A$1:$AU$1,0),FALSE))</f>
        <v/>
      </c>
      <c r="O90" s="76">
        <f>(((Table134567891011121314151617343[[#This Row],[USA]]-VLOOKUP($U$1,A:N,14,))/VLOOKUP($U$1,A:N,14,))*100)+100</f>
        <v/>
      </c>
      <c r="P90" s="76">
        <f>IF(VLOOKUP(A90,Database!$A:$AS,MATCH($P$1,Database!$A$1:$AS$1,0),FALSE)=0,#N/A,VLOOKUP(A90,Database!$A:$AS,MATCH($P$1,Database!$A$1:$AS$1,0),FALSE))</f>
        <v/>
      </c>
      <c r="Q90" s="76">
        <f>(((Table134567891011121314151617343[[#This Row],[JPN]]-VLOOKUP($U$1,A:Q,16,))/VLOOKUP($U$1,A:Q,16,))*100)+100</f>
        <v/>
      </c>
    </row>
    <row r="91" customFormat="1" s="86">
      <c r="A91" s="21" t="n">
        <v>35582</v>
      </c>
      <c r="B91" s="76">
        <f>IF(VLOOKUP(A91,Database!$A:$AS,MATCH($B$1,Database!$A$1:$AS$1,0),FALSE)=0,#N/A,VLOOKUP(A91,Database!$A:$AS,MATCH($B$1,Database!$A$1:$AS$1,0),FALSE))</f>
        <v/>
      </c>
      <c r="C91" s="76">
        <f>IF(VLOOKUP(A91,Database!$A:$AS,MATCH($C$1,Database!$A$1:$AS$1,0),FALSE)=0,#N/A,VLOOKUP(A91,Database!$A:$AS,MATCH($C$1,Database!$A$1:$AS$1,0),FALSE))</f>
        <v/>
      </c>
      <c r="D91" s="76">
        <f>IF(VLOOKUP(A91,Database!$A:$AS,MATCH($D$1,Database!$A$1:$AS$1,0),FALSE)=0,#N/A,VLOOKUP(A91,Database!$A:$AS,MATCH($D$1,Database!$A$1:$AS$1,0),FALSE))</f>
        <v/>
      </c>
      <c r="E91" s="76">
        <f>IF(VLOOKUP(A91,Database!$A:$AS,MATCH($E$1,Database!$A$1:$AS$1,0),FALSE)=0,#N/A,VLOOKUP(A91,Database!$A:$AS,MATCH($E$1,Database!$A$1:$AS$1,0),FALSE))</f>
        <v/>
      </c>
      <c r="F91" s="76">
        <f>IF(VLOOKUP(A91,Database!$A:$AS,MATCH($F$1,Database!$A$1:$AS$1,0),FALSE)=0,#N/A,VLOOKUP(A91,Database!$A:$AS,MATCH($F$1,Database!$A$1:$AS$1,0),FALSE))</f>
        <v/>
      </c>
      <c r="G91" s="76">
        <f>IF(VLOOKUP(A91,Database!$A:$AS,MATCH($G$1,Database!$A$1:$AS$1,0),FALSE)=0,#N/A,VLOOKUP(A91,Database!$A:$AS,MATCH($G$1,Database!$A$1:$AS$1,0),FALSE))</f>
        <v/>
      </c>
      <c r="H91" s="76">
        <f>(((Table134567891011121314151617343[[#This Row],[ITA]]-VLOOKUP($U$1,A:B,2,))/VLOOKUP($U$1,A:B,2,))*100)+100</f>
        <v/>
      </c>
      <c r="I91" s="76">
        <f>(((Table134567891011121314151617343[[#This Row],[FRA]]-VLOOKUP($U$1,A:C,3,))/VLOOKUP($U$1,A:C,3,))*100)+100</f>
        <v/>
      </c>
      <c r="J91" s="76">
        <f>(((Table134567891011121314151617343[[#This Row],[DEU]]-VLOOKUP($U$1,A:D,4,))/VLOOKUP($U$1,A:D,4,))*100)+100</f>
        <v/>
      </c>
      <c r="K91" s="76">
        <f>(((Table134567891011121314151617343[[#This Row],[ESP]]-VLOOKUP($U$1,A:E,5,))/VLOOKUP($U$1,A:E,5,))*100)+100</f>
        <v/>
      </c>
      <c r="L91" s="76">
        <f>(((Table134567891011121314151617343[[#This Row],[EA19]]-VLOOKUP($U$1,A:F,6,))/VLOOKUP($U$1,A:F,6,))*100)+100</f>
        <v/>
      </c>
      <c r="M91" s="76">
        <f>(((Table134567891011121314151617343[[#This Row],[GBR]]-VLOOKUP($U$1,A:G,7,))/VLOOKUP($U$1,A:G,7,))*100)+100</f>
        <v/>
      </c>
      <c r="N91" s="76">
        <f>IF(VLOOKUP(A91,Database!$A:$AU,MATCH($N$1,Database!$A$1:$AU$1,0),FALSE)=0,#N/A,VLOOKUP(A91,Database!$A:$AU,MATCH($N$1,Database!$A$1:$AU$1,0),FALSE))</f>
        <v/>
      </c>
      <c r="O91" s="76">
        <f>(((Table134567891011121314151617343[[#This Row],[USA]]-VLOOKUP($U$1,A:N,14,))/VLOOKUP($U$1,A:N,14,))*100)+100</f>
        <v/>
      </c>
      <c r="P91" s="76">
        <f>IF(VLOOKUP(A91,Database!$A:$AS,MATCH($P$1,Database!$A$1:$AS$1,0),FALSE)=0,#N/A,VLOOKUP(A91,Database!$A:$AS,MATCH($P$1,Database!$A$1:$AS$1,0),FALSE))</f>
        <v/>
      </c>
      <c r="Q91" s="76">
        <f>(((Table134567891011121314151617343[[#This Row],[JPN]]-VLOOKUP($U$1,A:Q,16,))/VLOOKUP($U$1,A:Q,16,))*100)+100</f>
        <v/>
      </c>
    </row>
    <row r="92" customFormat="1" s="86">
      <c r="A92" s="21" t="n">
        <v>35612</v>
      </c>
      <c r="B92" s="76">
        <f>IF(VLOOKUP(A92,Database!$A:$AS,MATCH($B$1,Database!$A$1:$AS$1,0),FALSE)=0,#N/A,VLOOKUP(A92,Database!$A:$AS,MATCH($B$1,Database!$A$1:$AS$1,0),FALSE))</f>
        <v/>
      </c>
      <c r="C92" s="76">
        <f>IF(VLOOKUP(A92,Database!$A:$AS,MATCH($C$1,Database!$A$1:$AS$1,0),FALSE)=0,#N/A,VLOOKUP(A92,Database!$A:$AS,MATCH($C$1,Database!$A$1:$AS$1,0),FALSE))</f>
        <v/>
      </c>
      <c r="D92" s="76">
        <f>IF(VLOOKUP(A92,Database!$A:$AS,MATCH($D$1,Database!$A$1:$AS$1,0),FALSE)=0,#N/A,VLOOKUP(A92,Database!$A:$AS,MATCH($D$1,Database!$A$1:$AS$1,0),FALSE))</f>
        <v/>
      </c>
      <c r="E92" s="76">
        <f>IF(VLOOKUP(A92,Database!$A:$AS,MATCH($E$1,Database!$A$1:$AS$1,0),FALSE)=0,#N/A,VLOOKUP(A92,Database!$A:$AS,MATCH($E$1,Database!$A$1:$AS$1,0),FALSE))</f>
        <v/>
      </c>
      <c r="F92" s="76">
        <f>IF(VLOOKUP(A92,Database!$A:$AS,MATCH($F$1,Database!$A$1:$AS$1,0),FALSE)=0,#N/A,VLOOKUP(A92,Database!$A:$AS,MATCH($F$1,Database!$A$1:$AS$1,0),FALSE))</f>
        <v/>
      </c>
      <c r="G92" s="76">
        <f>IF(VLOOKUP(A92,Database!$A:$AS,MATCH($G$1,Database!$A$1:$AS$1,0),FALSE)=0,#N/A,VLOOKUP(A92,Database!$A:$AS,MATCH($G$1,Database!$A$1:$AS$1,0),FALSE))</f>
        <v/>
      </c>
      <c r="H92" s="76">
        <f>(((Table134567891011121314151617343[[#This Row],[ITA]]-VLOOKUP($U$1,A:B,2,))/VLOOKUP($U$1,A:B,2,))*100)+100</f>
        <v/>
      </c>
      <c r="I92" s="76">
        <f>(((Table134567891011121314151617343[[#This Row],[FRA]]-VLOOKUP($U$1,A:C,3,))/VLOOKUP($U$1,A:C,3,))*100)+100</f>
        <v/>
      </c>
      <c r="J92" s="76">
        <f>(((Table134567891011121314151617343[[#This Row],[DEU]]-VLOOKUP($U$1,A:D,4,))/VLOOKUP($U$1,A:D,4,))*100)+100</f>
        <v/>
      </c>
      <c r="K92" s="76">
        <f>(((Table134567891011121314151617343[[#This Row],[ESP]]-VLOOKUP($U$1,A:E,5,))/VLOOKUP($U$1,A:E,5,))*100)+100</f>
        <v/>
      </c>
      <c r="L92" s="76">
        <f>(((Table134567891011121314151617343[[#This Row],[EA19]]-VLOOKUP($U$1,A:F,6,))/VLOOKUP($U$1,A:F,6,))*100)+100</f>
        <v/>
      </c>
      <c r="M92" s="76">
        <f>(((Table134567891011121314151617343[[#This Row],[GBR]]-VLOOKUP($U$1,A:G,7,))/VLOOKUP($U$1,A:G,7,))*100)+100</f>
        <v/>
      </c>
      <c r="N92" s="76">
        <f>IF(VLOOKUP(A92,Database!$A:$AU,MATCH($N$1,Database!$A$1:$AU$1,0),FALSE)=0,#N/A,VLOOKUP(A92,Database!$A:$AU,MATCH($N$1,Database!$A$1:$AU$1,0),FALSE))</f>
        <v/>
      </c>
      <c r="O92" s="76">
        <f>(((Table134567891011121314151617343[[#This Row],[USA]]-VLOOKUP($U$1,A:N,14,))/VLOOKUP($U$1,A:N,14,))*100)+100</f>
        <v/>
      </c>
      <c r="P92" s="76">
        <f>IF(VLOOKUP(A92,Database!$A:$AS,MATCH($P$1,Database!$A$1:$AS$1,0),FALSE)=0,#N/A,VLOOKUP(A92,Database!$A:$AS,MATCH($P$1,Database!$A$1:$AS$1,0),FALSE))</f>
        <v/>
      </c>
      <c r="Q92" s="76">
        <f>(((Table134567891011121314151617343[[#This Row],[JPN]]-VLOOKUP($U$1,A:Q,16,))/VLOOKUP($U$1,A:Q,16,))*100)+100</f>
        <v/>
      </c>
    </row>
    <row r="93" customFormat="1" s="86">
      <c r="A93" s="21" t="n">
        <v>35643</v>
      </c>
      <c r="B93" s="76">
        <f>IF(VLOOKUP(A93,Database!$A:$AS,MATCH($B$1,Database!$A$1:$AS$1,0),FALSE)=0,#N/A,VLOOKUP(A93,Database!$A:$AS,MATCH($B$1,Database!$A$1:$AS$1,0),FALSE))</f>
        <v/>
      </c>
      <c r="C93" s="76">
        <f>IF(VLOOKUP(A93,Database!$A:$AS,MATCH($C$1,Database!$A$1:$AS$1,0),FALSE)=0,#N/A,VLOOKUP(A93,Database!$A:$AS,MATCH($C$1,Database!$A$1:$AS$1,0),FALSE))</f>
        <v/>
      </c>
      <c r="D93" s="76">
        <f>IF(VLOOKUP(A93,Database!$A:$AS,MATCH($D$1,Database!$A$1:$AS$1,0),FALSE)=0,#N/A,VLOOKUP(A93,Database!$A:$AS,MATCH($D$1,Database!$A$1:$AS$1,0),FALSE))</f>
        <v/>
      </c>
      <c r="E93" s="76">
        <f>IF(VLOOKUP(A93,Database!$A:$AS,MATCH($E$1,Database!$A$1:$AS$1,0),FALSE)=0,#N/A,VLOOKUP(A93,Database!$A:$AS,MATCH($E$1,Database!$A$1:$AS$1,0),FALSE))</f>
        <v/>
      </c>
      <c r="F93" s="76">
        <f>IF(VLOOKUP(A93,Database!$A:$AS,MATCH($F$1,Database!$A$1:$AS$1,0),FALSE)=0,#N/A,VLOOKUP(A93,Database!$A:$AS,MATCH($F$1,Database!$A$1:$AS$1,0),FALSE))</f>
        <v/>
      </c>
      <c r="G93" s="76">
        <f>IF(VLOOKUP(A93,Database!$A:$AS,MATCH($G$1,Database!$A$1:$AS$1,0),FALSE)=0,#N/A,VLOOKUP(A93,Database!$A:$AS,MATCH($G$1,Database!$A$1:$AS$1,0),FALSE))</f>
        <v/>
      </c>
      <c r="H93" s="76">
        <f>(((Table134567891011121314151617343[[#This Row],[ITA]]-VLOOKUP($U$1,A:B,2,))/VLOOKUP($U$1,A:B,2,))*100)+100</f>
        <v/>
      </c>
      <c r="I93" s="76">
        <f>(((Table134567891011121314151617343[[#This Row],[FRA]]-VLOOKUP($U$1,A:C,3,))/VLOOKUP($U$1,A:C,3,))*100)+100</f>
        <v/>
      </c>
      <c r="J93" s="76">
        <f>(((Table134567891011121314151617343[[#This Row],[DEU]]-VLOOKUP($U$1,A:D,4,))/VLOOKUP($U$1,A:D,4,))*100)+100</f>
        <v/>
      </c>
      <c r="K93" s="76">
        <f>(((Table134567891011121314151617343[[#This Row],[ESP]]-VLOOKUP($U$1,A:E,5,))/VLOOKUP($U$1,A:E,5,))*100)+100</f>
        <v/>
      </c>
      <c r="L93" s="76">
        <f>(((Table134567891011121314151617343[[#This Row],[EA19]]-VLOOKUP($U$1,A:F,6,))/VLOOKUP($U$1,A:F,6,))*100)+100</f>
        <v/>
      </c>
      <c r="M93" s="76">
        <f>(((Table134567891011121314151617343[[#This Row],[GBR]]-VLOOKUP($U$1,A:G,7,))/VLOOKUP($U$1,A:G,7,))*100)+100</f>
        <v/>
      </c>
      <c r="N93" s="76">
        <f>IF(VLOOKUP(A93,Database!$A:$AU,MATCH($N$1,Database!$A$1:$AU$1,0),FALSE)=0,#N/A,VLOOKUP(A93,Database!$A:$AU,MATCH($N$1,Database!$A$1:$AU$1,0),FALSE))</f>
        <v/>
      </c>
      <c r="O93" s="76">
        <f>(((Table134567891011121314151617343[[#This Row],[USA]]-VLOOKUP($U$1,A:N,14,))/VLOOKUP($U$1,A:N,14,))*100)+100</f>
        <v/>
      </c>
      <c r="P93" s="76">
        <f>IF(VLOOKUP(A93,Database!$A:$AS,MATCH($P$1,Database!$A$1:$AS$1,0),FALSE)=0,#N/A,VLOOKUP(A93,Database!$A:$AS,MATCH($P$1,Database!$A$1:$AS$1,0),FALSE))</f>
        <v/>
      </c>
      <c r="Q93" s="76">
        <f>(((Table134567891011121314151617343[[#This Row],[JPN]]-VLOOKUP($U$1,A:Q,16,))/VLOOKUP($U$1,A:Q,16,))*100)+100</f>
        <v/>
      </c>
    </row>
    <row r="94" customFormat="1" s="86">
      <c r="A94" s="21" t="n">
        <v>35674</v>
      </c>
      <c r="B94" s="76">
        <f>IF(VLOOKUP(A94,Database!$A:$AS,MATCH($B$1,Database!$A$1:$AS$1,0),FALSE)=0,#N/A,VLOOKUP(A94,Database!$A:$AS,MATCH($B$1,Database!$A$1:$AS$1,0),FALSE))</f>
        <v/>
      </c>
      <c r="C94" s="76">
        <f>IF(VLOOKUP(A94,Database!$A:$AS,MATCH($C$1,Database!$A$1:$AS$1,0),FALSE)=0,#N/A,VLOOKUP(A94,Database!$A:$AS,MATCH($C$1,Database!$A$1:$AS$1,0),FALSE))</f>
        <v/>
      </c>
      <c r="D94" s="76">
        <f>IF(VLOOKUP(A94,Database!$A:$AS,MATCH($D$1,Database!$A$1:$AS$1,0),FALSE)=0,#N/A,VLOOKUP(A94,Database!$A:$AS,MATCH($D$1,Database!$A$1:$AS$1,0),FALSE))</f>
        <v/>
      </c>
      <c r="E94" s="76">
        <f>IF(VLOOKUP(A94,Database!$A:$AS,MATCH($E$1,Database!$A$1:$AS$1,0),FALSE)=0,#N/A,VLOOKUP(A94,Database!$A:$AS,MATCH($E$1,Database!$A$1:$AS$1,0),FALSE))</f>
        <v/>
      </c>
      <c r="F94" s="76">
        <f>IF(VLOOKUP(A94,Database!$A:$AS,MATCH($F$1,Database!$A$1:$AS$1,0),FALSE)=0,#N/A,VLOOKUP(A94,Database!$A:$AS,MATCH($F$1,Database!$A$1:$AS$1,0),FALSE))</f>
        <v/>
      </c>
      <c r="G94" s="76">
        <f>IF(VLOOKUP(A94,Database!$A:$AS,MATCH($G$1,Database!$A$1:$AS$1,0),FALSE)=0,#N/A,VLOOKUP(A94,Database!$A:$AS,MATCH($G$1,Database!$A$1:$AS$1,0),FALSE))</f>
        <v/>
      </c>
      <c r="H94" s="76">
        <f>(((Table134567891011121314151617343[[#This Row],[ITA]]-VLOOKUP($U$1,A:B,2,))/VLOOKUP($U$1,A:B,2,))*100)+100</f>
        <v/>
      </c>
      <c r="I94" s="76">
        <f>(((Table134567891011121314151617343[[#This Row],[FRA]]-VLOOKUP($U$1,A:C,3,))/VLOOKUP($U$1,A:C,3,))*100)+100</f>
        <v/>
      </c>
      <c r="J94" s="76">
        <f>(((Table134567891011121314151617343[[#This Row],[DEU]]-VLOOKUP($U$1,A:D,4,))/VLOOKUP($U$1,A:D,4,))*100)+100</f>
        <v/>
      </c>
      <c r="K94" s="76">
        <f>(((Table134567891011121314151617343[[#This Row],[ESP]]-VLOOKUP($U$1,A:E,5,))/VLOOKUP($U$1,A:E,5,))*100)+100</f>
        <v/>
      </c>
      <c r="L94" s="76">
        <f>(((Table134567891011121314151617343[[#This Row],[EA19]]-VLOOKUP($U$1,A:F,6,))/VLOOKUP($U$1,A:F,6,))*100)+100</f>
        <v/>
      </c>
      <c r="M94" s="76">
        <f>(((Table134567891011121314151617343[[#This Row],[GBR]]-VLOOKUP($U$1,A:G,7,))/VLOOKUP($U$1,A:G,7,))*100)+100</f>
        <v/>
      </c>
      <c r="N94" s="76">
        <f>IF(VLOOKUP(A94,Database!$A:$AU,MATCH($N$1,Database!$A$1:$AU$1,0),FALSE)=0,#N/A,VLOOKUP(A94,Database!$A:$AU,MATCH($N$1,Database!$A$1:$AU$1,0),FALSE))</f>
        <v/>
      </c>
      <c r="O94" s="76">
        <f>(((Table134567891011121314151617343[[#This Row],[USA]]-VLOOKUP($U$1,A:N,14,))/VLOOKUP($U$1,A:N,14,))*100)+100</f>
        <v/>
      </c>
      <c r="P94" s="76">
        <f>IF(VLOOKUP(A94,Database!$A:$AS,MATCH($P$1,Database!$A$1:$AS$1,0),FALSE)=0,#N/A,VLOOKUP(A94,Database!$A:$AS,MATCH($P$1,Database!$A$1:$AS$1,0),FALSE))</f>
        <v/>
      </c>
      <c r="Q94" s="76">
        <f>(((Table134567891011121314151617343[[#This Row],[JPN]]-VLOOKUP($U$1,A:Q,16,))/VLOOKUP($U$1,A:Q,16,))*100)+100</f>
        <v/>
      </c>
    </row>
    <row r="95" customFormat="1" s="86">
      <c r="A95" s="21" t="n">
        <v>35704</v>
      </c>
      <c r="B95" s="76">
        <f>IF(VLOOKUP(A95,Database!$A:$AS,MATCH($B$1,Database!$A$1:$AS$1,0),FALSE)=0,#N/A,VLOOKUP(A95,Database!$A:$AS,MATCH($B$1,Database!$A$1:$AS$1,0),FALSE))</f>
        <v/>
      </c>
      <c r="C95" s="76">
        <f>IF(VLOOKUP(A95,Database!$A:$AS,MATCH($C$1,Database!$A$1:$AS$1,0),FALSE)=0,#N/A,VLOOKUP(A95,Database!$A:$AS,MATCH($C$1,Database!$A$1:$AS$1,0),FALSE))</f>
        <v/>
      </c>
      <c r="D95" s="76">
        <f>IF(VLOOKUP(A95,Database!$A:$AS,MATCH($D$1,Database!$A$1:$AS$1,0),FALSE)=0,#N/A,VLOOKUP(A95,Database!$A:$AS,MATCH($D$1,Database!$A$1:$AS$1,0),FALSE))</f>
        <v/>
      </c>
      <c r="E95" s="76">
        <f>IF(VLOOKUP(A95,Database!$A:$AS,MATCH($E$1,Database!$A$1:$AS$1,0),FALSE)=0,#N/A,VLOOKUP(A95,Database!$A:$AS,MATCH($E$1,Database!$A$1:$AS$1,0),FALSE))</f>
        <v/>
      </c>
      <c r="F95" s="76">
        <f>IF(VLOOKUP(A95,Database!$A:$AS,MATCH($F$1,Database!$A$1:$AS$1,0),FALSE)=0,#N/A,VLOOKUP(A95,Database!$A:$AS,MATCH($F$1,Database!$A$1:$AS$1,0),FALSE))</f>
        <v/>
      </c>
      <c r="G95" s="76">
        <f>IF(VLOOKUP(A95,Database!$A:$AS,MATCH($G$1,Database!$A$1:$AS$1,0),FALSE)=0,#N/A,VLOOKUP(A95,Database!$A:$AS,MATCH($G$1,Database!$A$1:$AS$1,0),FALSE))</f>
        <v/>
      </c>
      <c r="H95" s="76">
        <f>(((Table134567891011121314151617343[[#This Row],[ITA]]-VLOOKUP($U$1,A:B,2,))/VLOOKUP($U$1,A:B,2,))*100)+100</f>
        <v/>
      </c>
      <c r="I95" s="76">
        <f>(((Table134567891011121314151617343[[#This Row],[FRA]]-VLOOKUP($U$1,A:C,3,))/VLOOKUP($U$1,A:C,3,))*100)+100</f>
        <v/>
      </c>
      <c r="J95" s="76">
        <f>(((Table134567891011121314151617343[[#This Row],[DEU]]-VLOOKUP($U$1,A:D,4,))/VLOOKUP($U$1,A:D,4,))*100)+100</f>
        <v/>
      </c>
      <c r="K95" s="76">
        <f>(((Table134567891011121314151617343[[#This Row],[ESP]]-VLOOKUP($U$1,A:E,5,))/VLOOKUP($U$1,A:E,5,))*100)+100</f>
        <v/>
      </c>
      <c r="L95" s="76">
        <f>(((Table134567891011121314151617343[[#This Row],[EA19]]-VLOOKUP($U$1,A:F,6,))/VLOOKUP($U$1,A:F,6,))*100)+100</f>
        <v/>
      </c>
      <c r="M95" s="76">
        <f>(((Table134567891011121314151617343[[#This Row],[GBR]]-VLOOKUP($U$1,A:G,7,))/VLOOKUP($U$1,A:G,7,))*100)+100</f>
        <v/>
      </c>
      <c r="N95" s="76">
        <f>IF(VLOOKUP(A95,Database!$A:$AU,MATCH($N$1,Database!$A$1:$AU$1,0),FALSE)=0,#N/A,VLOOKUP(A95,Database!$A:$AU,MATCH($N$1,Database!$A$1:$AU$1,0),FALSE))</f>
        <v/>
      </c>
      <c r="O95" s="76">
        <f>(((Table134567891011121314151617343[[#This Row],[USA]]-VLOOKUP($U$1,A:N,14,))/VLOOKUP($U$1,A:N,14,))*100)+100</f>
        <v/>
      </c>
      <c r="P95" s="76">
        <f>IF(VLOOKUP(A95,Database!$A:$AS,MATCH($P$1,Database!$A$1:$AS$1,0),FALSE)=0,#N/A,VLOOKUP(A95,Database!$A:$AS,MATCH($P$1,Database!$A$1:$AS$1,0),FALSE))</f>
        <v/>
      </c>
      <c r="Q95" s="76">
        <f>(((Table134567891011121314151617343[[#This Row],[JPN]]-VLOOKUP($U$1,A:Q,16,))/VLOOKUP($U$1,A:Q,16,))*100)+100</f>
        <v/>
      </c>
    </row>
    <row r="96" customFormat="1" s="86">
      <c r="A96" s="21" t="n">
        <v>35735</v>
      </c>
      <c r="B96" s="76">
        <f>IF(VLOOKUP(A96,Database!$A:$AS,MATCH($B$1,Database!$A$1:$AS$1,0),FALSE)=0,#N/A,VLOOKUP(A96,Database!$A:$AS,MATCH($B$1,Database!$A$1:$AS$1,0),FALSE))</f>
        <v/>
      </c>
      <c r="C96" s="76">
        <f>IF(VLOOKUP(A96,Database!$A:$AS,MATCH($C$1,Database!$A$1:$AS$1,0),FALSE)=0,#N/A,VLOOKUP(A96,Database!$A:$AS,MATCH($C$1,Database!$A$1:$AS$1,0),FALSE))</f>
        <v/>
      </c>
      <c r="D96" s="76">
        <f>IF(VLOOKUP(A96,Database!$A:$AS,MATCH($D$1,Database!$A$1:$AS$1,0),FALSE)=0,#N/A,VLOOKUP(A96,Database!$A:$AS,MATCH($D$1,Database!$A$1:$AS$1,0),FALSE))</f>
        <v/>
      </c>
      <c r="E96" s="76">
        <f>IF(VLOOKUP(A96,Database!$A:$AS,MATCH($E$1,Database!$A$1:$AS$1,0),FALSE)=0,#N/A,VLOOKUP(A96,Database!$A:$AS,MATCH($E$1,Database!$A$1:$AS$1,0),FALSE))</f>
        <v/>
      </c>
      <c r="F96" s="76">
        <f>IF(VLOOKUP(A96,Database!$A:$AS,MATCH($F$1,Database!$A$1:$AS$1,0),FALSE)=0,#N/A,VLOOKUP(A96,Database!$A:$AS,MATCH($F$1,Database!$A$1:$AS$1,0),FALSE))</f>
        <v/>
      </c>
      <c r="G96" s="76">
        <f>IF(VLOOKUP(A96,Database!$A:$AS,MATCH($G$1,Database!$A$1:$AS$1,0),FALSE)=0,#N/A,VLOOKUP(A96,Database!$A:$AS,MATCH($G$1,Database!$A$1:$AS$1,0),FALSE))</f>
        <v/>
      </c>
      <c r="H96" s="76">
        <f>(((Table134567891011121314151617343[[#This Row],[ITA]]-VLOOKUP($U$1,A:B,2,))/VLOOKUP($U$1,A:B,2,))*100)+100</f>
        <v/>
      </c>
      <c r="I96" s="76">
        <f>(((Table134567891011121314151617343[[#This Row],[FRA]]-VLOOKUP($U$1,A:C,3,))/VLOOKUP($U$1,A:C,3,))*100)+100</f>
        <v/>
      </c>
      <c r="J96" s="76">
        <f>(((Table134567891011121314151617343[[#This Row],[DEU]]-VLOOKUP($U$1,A:D,4,))/VLOOKUP($U$1,A:D,4,))*100)+100</f>
        <v/>
      </c>
      <c r="K96" s="76">
        <f>(((Table134567891011121314151617343[[#This Row],[ESP]]-VLOOKUP($U$1,A:E,5,))/VLOOKUP($U$1,A:E,5,))*100)+100</f>
        <v/>
      </c>
      <c r="L96" s="76">
        <f>(((Table134567891011121314151617343[[#This Row],[EA19]]-VLOOKUP($U$1,A:F,6,))/VLOOKUP($U$1,A:F,6,))*100)+100</f>
        <v/>
      </c>
      <c r="M96" s="76">
        <f>(((Table134567891011121314151617343[[#This Row],[GBR]]-VLOOKUP($U$1,A:G,7,))/VLOOKUP($U$1,A:G,7,))*100)+100</f>
        <v/>
      </c>
      <c r="N96" s="76">
        <f>IF(VLOOKUP(A96,Database!$A:$AU,MATCH($N$1,Database!$A$1:$AU$1,0),FALSE)=0,#N/A,VLOOKUP(A96,Database!$A:$AU,MATCH($N$1,Database!$A$1:$AU$1,0),FALSE))</f>
        <v/>
      </c>
      <c r="O96" s="76">
        <f>(((Table134567891011121314151617343[[#This Row],[USA]]-VLOOKUP($U$1,A:N,14,))/VLOOKUP($U$1,A:N,14,))*100)+100</f>
        <v/>
      </c>
      <c r="P96" s="76">
        <f>IF(VLOOKUP(A96,Database!$A:$AS,MATCH($P$1,Database!$A$1:$AS$1,0),FALSE)=0,#N/A,VLOOKUP(A96,Database!$A:$AS,MATCH($P$1,Database!$A$1:$AS$1,0),FALSE))</f>
        <v/>
      </c>
      <c r="Q96" s="76">
        <f>(((Table134567891011121314151617343[[#This Row],[JPN]]-VLOOKUP($U$1,A:Q,16,))/VLOOKUP($U$1,A:Q,16,))*100)+100</f>
        <v/>
      </c>
    </row>
    <row r="97" customFormat="1" s="86">
      <c r="A97" s="21" t="n">
        <v>35765</v>
      </c>
      <c r="B97" s="76">
        <f>IF(VLOOKUP(A97,Database!$A:$AS,MATCH($B$1,Database!$A$1:$AS$1,0),FALSE)=0,#N/A,VLOOKUP(A97,Database!$A:$AS,MATCH($B$1,Database!$A$1:$AS$1,0),FALSE))</f>
        <v/>
      </c>
      <c r="C97" s="76">
        <f>IF(VLOOKUP(A97,Database!$A:$AS,MATCH($C$1,Database!$A$1:$AS$1,0),FALSE)=0,#N/A,VLOOKUP(A97,Database!$A:$AS,MATCH($C$1,Database!$A$1:$AS$1,0),FALSE))</f>
        <v/>
      </c>
      <c r="D97" s="76">
        <f>IF(VLOOKUP(A97,Database!$A:$AS,MATCH($D$1,Database!$A$1:$AS$1,0),FALSE)=0,#N/A,VLOOKUP(A97,Database!$A:$AS,MATCH($D$1,Database!$A$1:$AS$1,0),FALSE))</f>
        <v/>
      </c>
      <c r="E97" s="76">
        <f>IF(VLOOKUP(A97,Database!$A:$AS,MATCH($E$1,Database!$A$1:$AS$1,0),FALSE)=0,#N/A,VLOOKUP(A97,Database!$A:$AS,MATCH($E$1,Database!$A$1:$AS$1,0),FALSE))</f>
        <v/>
      </c>
      <c r="F97" s="76">
        <f>IF(VLOOKUP(A97,Database!$A:$AS,MATCH($F$1,Database!$A$1:$AS$1,0),FALSE)=0,#N/A,VLOOKUP(A97,Database!$A:$AS,MATCH($F$1,Database!$A$1:$AS$1,0),FALSE))</f>
        <v/>
      </c>
      <c r="G97" s="76">
        <f>IF(VLOOKUP(A97,Database!$A:$AS,MATCH($G$1,Database!$A$1:$AS$1,0),FALSE)=0,#N/A,VLOOKUP(A97,Database!$A:$AS,MATCH($G$1,Database!$A$1:$AS$1,0),FALSE))</f>
        <v/>
      </c>
      <c r="H97" s="76">
        <f>(((Table134567891011121314151617343[[#This Row],[ITA]]-VLOOKUP($U$1,A:B,2,))/VLOOKUP($U$1,A:B,2,))*100)+100</f>
        <v/>
      </c>
      <c r="I97" s="76">
        <f>(((Table134567891011121314151617343[[#This Row],[FRA]]-VLOOKUP($U$1,A:C,3,))/VLOOKUP($U$1,A:C,3,))*100)+100</f>
        <v/>
      </c>
      <c r="J97" s="76">
        <f>(((Table134567891011121314151617343[[#This Row],[DEU]]-VLOOKUP($U$1,A:D,4,))/VLOOKUP($U$1,A:D,4,))*100)+100</f>
        <v/>
      </c>
      <c r="K97" s="76">
        <f>(((Table134567891011121314151617343[[#This Row],[ESP]]-VLOOKUP($U$1,A:E,5,))/VLOOKUP($U$1,A:E,5,))*100)+100</f>
        <v/>
      </c>
      <c r="L97" s="76">
        <f>(((Table134567891011121314151617343[[#This Row],[EA19]]-VLOOKUP($U$1,A:F,6,))/VLOOKUP($U$1,A:F,6,))*100)+100</f>
        <v/>
      </c>
      <c r="M97" s="76">
        <f>(((Table134567891011121314151617343[[#This Row],[GBR]]-VLOOKUP($U$1,A:G,7,))/VLOOKUP($U$1,A:G,7,))*100)+100</f>
        <v/>
      </c>
      <c r="N97" s="76">
        <f>IF(VLOOKUP(A97,Database!$A:$AU,MATCH($N$1,Database!$A$1:$AU$1,0),FALSE)=0,#N/A,VLOOKUP(A97,Database!$A:$AU,MATCH($N$1,Database!$A$1:$AU$1,0),FALSE))</f>
        <v/>
      </c>
      <c r="O97" s="76">
        <f>(((Table134567891011121314151617343[[#This Row],[USA]]-VLOOKUP($U$1,A:N,14,))/VLOOKUP($U$1,A:N,14,))*100)+100</f>
        <v/>
      </c>
      <c r="P97" s="76">
        <f>IF(VLOOKUP(A97,Database!$A:$AS,MATCH($P$1,Database!$A$1:$AS$1,0),FALSE)=0,#N/A,VLOOKUP(A97,Database!$A:$AS,MATCH($P$1,Database!$A$1:$AS$1,0),FALSE))</f>
        <v/>
      </c>
      <c r="Q97" s="76">
        <f>(((Table134567891011121314151617343[[#This Row],[JPN]]-VLOOKUP($U$1,A:Q,16,))/VLOOKUP($U$1,A:Q,16,))*100)+100</f>
        <v/>
      </c>
    </row>
    <row r="98" customFormat="1" s="86">
      <c r="A98" s="21" t="n">
        <v>35796</v>
      </c>
      <c r="B98" s="76">
        <f>IF(VLOOKUP(A98,Database!$A:$AS,MATCH($B$1,Database!$A$1:$AS$1,0),FALSE)=0,#N/A,VLOOKUP(A98,Database!$A:$AS,MATCH($B$1,Database!$A$1:$AS$1,0),FALSE))</f>
        <v/>
      </c>
      <c r="C98" s="76">
        <f>IF(VLOOKUP(A98,Database!$A:$AS,MATCH($C$1,Database!$A$1:$AS$1,0),FALSE)=0,#N/A,VLOOKUP(A98,Database!$A:$AS,MATCH($C$1,Database!$A$1:$AS$1,0),FALSE))</f>
        <v/>
      </c>
      <c r="D98" s="76">
        <f>IF(VLOOKUP(A98,Database!$A:$AS,MATCH($D$1,Database!$A$1:$AS$1,0),FALSE)=0,#N/A,VLOOKUP(A98,Database!$A:$AS,MATCH($D$1,Database!$A$1:$AS$1,0),FALSE))</f>
        <v/>
      </c>
      <c r="E98" s="76">
        <f>IF(VLOOKUP(A98,Database!$A:$AS,MATCH($E$1,Database!$A$1:$AS$1,0),FALSE)=0,#N/A,VLOOKUP(A98,Database!$A:$AS,MATCH($E$1,Database!$A$1:$AS$1,0),FALSE))</f>
        <v/>
      </c>
      <c r="F98" s="76">
        <f>IF(VLOOKUP(A98,Database!$A:$AS,MATCH($F$1,Database!$A$1:$AS$1,0),FALSE)=0,#N/A,VLOOKUP(A98,Database!$A:$AS,MATCH($F$1,Database!$A$1:$AS$1,0),FALSE))</f>
        <v/>
      </c>
      <c r="G98" s="76">
        <f>IF(VLOOKUP(A98,Database!$A:$AS,MATCH($G$1,Database!$A$1:$AS$1,0),FALSE)=0,#N/A,VLOOKUP(A98,Database!$A:$AS,MATCH($G$1,Database!$A$1:$AS$1,0),FALSE))</f>
        <v/>
      </c>
      <c r="H98" s="76">
        <f>(((Table134567891011121314151617343[[#This Row],[ITA]]-VLOOKUP($U$1,A:B,2,))/VLOOKUP($U$1,A:B,2,))*100)+100</f>
        <v/>
      </c>
      <c r="I98" s="76">
        <f>(((Table134567891011121314151617343[[#This Row],[FRA]]-VLOOKUP($U$1,A:C,3,))/VLOOKUP($U$1,A:C,3,))*100)+100</f>
        <v/>
      </c>
      <c r="J98" s="76">
        <f>(((Table134567891011121314151617343[[#This Row],[DEU]]-VLOOKUP($U$1,A:D,4,))/VLOOKUP($U$1,A:D,4,))*100)+100</f>
        <v/>
      </c>
      <c r="K98" s="76">
        <f>(((Table134567891011121314151617343[[#This Row],[ESP]]-VLOOKUP($U$1,A:E,5,))/VLOOKUP($U$1,A:E,5,))*100)+100</f>
        <v/>
      </c>
      <c r="L98" s="76">
        <f>(((Table134567891011121314151617343[[#This Row],[EA19]]-VLOOKUP($U$1,A:F,6,))/VLOOKUP($U$1,A:F,6,))*100)+100</f>
        <v/>
      </c>
      <c r="M98" s="76">
        <f>(((Table134567891011121314151617343[[#This Row],[GBR]]-VLOOKUP($U$1,A:G,7,))/VLOOKUP($U$1,A:G,7,))*100)+100</f>
        <v/>
      </c>
      <c r="N98" s="76">
        <f>IF(VLOOKUP(A98,Database!$A:$AU,MATCH($N$1,Database!$A$1:$AU$1,0),FALSE)=0,#N/A,VLOOKUP(A98,Database!$A:$AU,MATCH($N$1,Database!$A$1:$AU$1,0),FALSE))</f>
        <v/>
      </c>
      <c r="O98" s="76">
        <f>(((Table134567891011121314151617343[[#This Row],[USA]]-VLOOKUP($U$1,A:N,14,))/VLOOKUP($U$1,A:N,14,))*100)+100</f>
        <v/>
      </c>
      <c r="P98" s="76">
        <f>IF(VLOOKUP(A98,Database!$A:$AS,MATCH($P$1,Database!$A$1:$AS$1,0),FALSE)=0,#N/A,VLOOKUP(A98,Database!$A:$AS,MATCH($P$1,Database!$A$1:$AS$1,0),FALSE))</f>
        <v/>
      </c>
      <c r="Q98" s="76">
        <f>(((Table134567891011121314151617343[[#This Row],[JPN]]-VLOOKUP($U$1,A:Q,16,))/VLOOKUP($U$1,A:Q,16,))*100)+100</f>
        <v/>
      </c>
    </row>
    <row r="99" customFormat="1" s="86">
      <c r="A99" s="21" t="n">
        <v>35827</v>
      </c>
      <c r="B99" s="76">
        <f>IF(VLOOKUP(A99,Database!$A:$AS,MATCH($B$1,Database!$A$1:$AS$1,0),FALSE)=0,#N/A,VLOOKUP(A99,Database!$A:$AS,MATCH($B$1,Database!$A$1:$AS$1,0),FALSE))</f>
        <v/>
      </c>
      <c r="C99" s="76">
        <f>IF(VLOOKUP(A99,Database!$A:$AS,MATCH($C$1,Database!$A$1:$AS$1,0),FALSE)=0,#N/A,VLOOKUP(A99,Database!$A:$AS,MATCH($C$1,Database!$A$1:$AS$1,0),FALSE))</f>
        <v/>
      </c>
      <c r="D99" s="76">
        <f>IF(VLOOKUP(A99,Database!$A:$AS,MATCH($D$1,Database!$A$1:$AS$1,0),FALSE)=0,#N/A,VLOOKUP(A99,Database!$A:$AS,MATCH($D$1,Database!$A$1:$AS$1,0),FALSE))</f>
        <v/>
      </c>
      <c r="E99" s="76">
        <f>IF(VLOOKUP(A99,Database!$A:$AS,MATCH($E$1,Database!$A$1:$AS$1,0),FALSE)=0,#N/A,VLOOKUP(A99,Database!$A:$AS,MATCH($E$1,Database!$A$1:$AS$1,0),FALSE))</f>
        <v/>
      </c>
      <c r="F99" s="76">
        <f>IF(VLOOKUP(A99,Database!$A:$AS,MATCH($F$1,Database!$A$1:$AS$1,0),FALSE)=0,#N/A,VLOOKUP(A99,Database!$A:$AS,MATCH($F$1,Database!$A$1:$AS$1,0),FALSE))</f>
        <v/>
      </c>
      <c r="G99" s="76">
        <f>IF(VLOOKUP(A99,Database!$A:$AS,MATCH($G$1,Database!$A$1:$AS$1,0),FALSE)=0,#N/A,VLOOKUP(A99,Database!$A:$AS,MATCH($G$1,Database!$A$1:$AS$1,0),FALSE))</f>
        <v/>
      </c>
      <c r="H99" s="76">
        <f>(((Table134567891011121314151617343[[#This Row],[ITA]]-VLOOKUP($U$1,A:B,2,))/VLOOKUP($U$1,A:B,2,))*100)+100</f>
        <v/>
      </c>
      <c r="I99" s="76">
        <f>(((Table134567891011121314151617343[[#This Row],[FRA]]-VLOOKUP($U$1,A:C,3,))/VLOOKUP($U$1,A:C,3,))*100)+100</f>
        <v/>
      </c>
      <c r="J99" s="76">
        <f>(((Table134567891011121314151617343[[#This Row],[DEU]]-VLOOKUP($U$1,A:D,4,))/VLOOKUP($U$1,A:D,4,))*100)+100</f>
        <v/>
      </c>
      <c r="K99" s="76">
        <f>(((Table134567891011121314151617343[[#This Row],[ESP]]-VLOOKUP($U$1,A:E,5,))/VLOOKUP($U$1,A:E,5,))*100)+100</f>
        <v/>
      </c>
      <c r="L99" s="76">
        <f>(((Table134567891011121314151617343[[#This Row],[EA19]]-VLOOKUP($U$1,A:F,6,))/VLOOKUP($U$1,A:F,6,))*100)+100</f>
        <v/>
      </c>
      <c r="M99" s="76">
        <f>(((Table134567891011121314151617343[[#This Row],[GBR]]-VLOOKUP($U$1,A:G,7,))/VLOOKUP($U$1,A:G,7,))*100)+100</f>
        <v/>
      </c>
      <c r="N99" s="76">
        <f>IF(VLOOKUP(A99,Database!$A:$AU,MATCH($N$1,Database!$A$1:$AU$1,0),FALSE)=0,#N/A,VLOOKUP(A99,Database!$A:$AU,MATCH($N$1,Database!$A$1:$AU$1,0),FALSE))</f>
        <v/>
      </c>
      <c r="O99" s="76">
        <f>(((Table134567891011121314151617343[[#This Row],[USA]]-VLOOKUP($U$1,A:N,14,))/VLOOKUP($U$1,A:N,14,))*100)+100</f>
        <v/>
      </c>
      <c r="P99" s="76">
        <f>IF(VLOOKUP(A99,Database!$A:$AS,MATCH($P$1,Database!$A$1:$AS$1,0),FALSE)=0,#N/A,VLOOKUP(A99,Database!$A:$AS,MATCH($P$1,Database!$A$1:$AS$1,0),FALSE))</f>
        <v/>
      </c>
      <c r="Q99" s="76">
        <f>(((Table134567891011121314151617343[[#This Row],[JPN]]-VLOOKUP($U$1,A:Q,16,))/VLOOKUP($U$1,A:Q,16,))*100)+100</f>
        <v/>
      </c>
    </row>
    <row r="100" customFormat="1" s="86">
      <c r="A100" s="21" t="n">
        <v>35855</v>
      </c>
      <c r="B100" s="76">
        <f>IF(VLOOKUP(A100,Database!$A:$AS,MATCH($B$1,Database!$A$1:$AS$1,0),FALSE)=0,#N/A,VLOOKUP(A100,Database!$A:$AS,MATCH($B$1,Database!$A$1:$AS$1,0),FALSE))</f>
        <v/>
      </c>
      <c r="C100" s="76">
        <f>IF(VLOOKUP(A100,Database!$A:$AS,MATCH($C$1,Database!$A$1:$AS$1,0),FALSE)=0,#N/A,VLOOKUP(A100,Database!$A:$AS,MATCH($C$1,Database!$A$1:$AS$1,0),FALSE))</f>
        <v/>
      </c>
      <c r="D100" s="76">
        <f>IF(VLOOKUP(A100,Database!$A:$AS,MATCH($D$1,Database!$A$1:$AS$1,0),FALSE)=0,#N/A,VLOOKUP(A100,Database!$A:$AS,MATCH($D$1,Database!$A$1:$AS$1,0),FALSE))</f>
        <v/>
      </c>
      <c r="E100" s="76">
        <f>IF(VLOOKUP(A100,Database!$A:$AS,MATCH($E$1,Database!$A$1:$AS$1,0),FALSE)=0,#N/A,VLOOKUP(A100,Database!$A:$AS,MATCH($E$1,Database!$A$1:$AS$1,0),FALSE))</f>
        <v/>
      </c>
      <c r="F100" s="76">
        <f>IF(VLOOKUP(A100,Database!$A:$AS,MATCH($F$1,Database!$A$1:$AS$1,0),FALSE)=0,#N/A,VLOOKUP(A100,Database!$A:$AS,MATCH($F$1,Database!$A$1:$AS$1,0),FALSE))</f>
        <v/>
      </c>
      <c r="G100" s="76">
        <f>IF(VLOOKUP(A100,Database!$A:$AS,MATCH($G$1,Database!$A$1:$AS$1,0),FALSE)=0,#N/A,VLOOKUP(A100,Database!$A:$AS,MATCH($G$1,Database!$A$1:$AS$1,0),FALSE))</f>
        <v/>
      </c>
      <c r="H100" s="76">
        <f>(((Table134567891011121314151617343[[#This Row],[ITA]]-VLOOKUP($U$1,A:B,2,))/VLOOKUP($U$1,A:B,2,))*100)+100</f>
        <v/>
      </c>
      <c r="I100" s="76">
        <f>(((Table134567891011121314151617343[[#This Row],[FRA]]-VLOOKUP($U$1,A:C,3,))/VLOOKUP($U$1,A:C,3,))*100)+100</f>
        <v/>
      </c>
      <c r="J100" s="76">
        <f>(((Table134567891011121314151617343[[#This Row],[DEU]]-VLOOKUP($U$1,A:D,4,))/VLOOKUP($U$1,A:D,4,))*100)+100</f>
        <v/>
      </c>
      <c r="K100" s="76">
        <f>(((Table134567891011121314151617343[[#This Row],[ESP]]-VLOOKUP($U$1,A:E,5,))/VLOOKUP($U$1,A:E,5,))*100)+100</f>
        <v/>
      </c>
      <c r="L100" s="76">
        <f>(((Table134567891011121314151617343[[#This Row],[EA19]]-VLOOKUP($U$1,A:F,6,))/VLOOKUP($U$1,A:F,6,))*100)+100</f>
        <v/>
      </c>
      <c r="M100" s="76">
        <f>(((Table134567891011121314151617343[[#This Row],[GBR]]-VLOOKUP($U$1,A:G,7,))/VLOOKUP($U$1,A:G,7,))*100)+100</f>
        <v/>
      </c>
      <c r="N100" s="76">
        <f>IF(VLOOKUP(A100,Database!$A:$AU,MATCH($N$1,Database!$A$1:$AU$1,0),FALSE)=0,#N/A,VLOOKUP(A100,Database!$A:$AU,MATCH($N$1,Database!$A$1:$AU$1,0),FALSE))</f>
        <v/>
      </c>
      <c r="O100" s="76">
        <f>(((Table134567891011121314151617343[[#This Row],[USA]]-VLOOKUP($U$1,A:N,14,))/VLOOKUP($U$1,A:N,14,))*100)+100</f>
        <v/>
      </c>
      <c r="P100" s="76">
        <f>IF(VLOOKUP(A100,Database!$A:$AS,MATCH($P$1,Database!$A$1:$AS$1,0),FALSE)=0,#N/A,VLOOKUP(A100,Database!$A:$AS,MATCH($P$1,Database!$A$1:$AS$1,0),FALSE))</f>
        <v/>
      </c>
      <c r="Q100" s="76">
        <f>(((Table134567891011121314151617343[[#This Row],[JPN]]-VLOOKUP($U$1,A:Q,16,))/VLOOKUP($U$1,A:Q,16,))*100)+100</f>
        <v/>
      </c>
    </row>
    <row r="101" customFormat="1" s="86">
      <c r="A101" s="21" t="n">
        <v>35886</v>
      </c>
      <c r="B101" s="76">
        <f>IF(VLOOKUP(A101,Database!$A:$AS,MATCH($B$1,Database!$A$1:$AS$1,0),FALSE)=0,#N/A,VLOOKUP(A101,Database!$A:$AS,MATCH($B$1,Database!$A$1:$AS$1,0),FALSE))</f>
        <v/>
      </c>
      <c r="C101" s="76">
        <f>IF(VLOOKUP(A101,Database!$A:$AS,MATCH($C$1,Database!$A$1:$AS$1,0),FALSE)=0,#N/A,VLOOKUP(A101,Database!$A:$AS,MATCH($C$1,Database!$A$1:$AS$1,0),FALSE))</f>
        <v/>
      </c>
      <c r="D101" s="76">
        <f>IF(VLOOKUP(A101,Database!$A:$AS,MATCH($D$1,Database!$A$1:$AS$1,0),FALSE)=0,#N/A,VLOOKUP(A101,Database!$A:$AS,MATCH($D$1,Database!$A$1:$AS$1,0),FALSE))</f>
        <v/>
      </c>
      <c r="E101" s="76">
        <f>IF(VLOOKUP(A101,Database!$A:$AS,MATCH($E$1,Database!$A$1:$AS$1,0),FALSE)=0,#N/A,VLOOKUP(A101,Database!$A:$AS,MATCH($E$1,Database!$A$1:$AS$1,0),FALSE))</f>
        <v/>
      </c>
      <c r="F101" s="76">
        <f>IF(VLOOKUP(A101,Database!$A:$AS,MATCH($F$1,Database!$A$1:$AS$1,0),FALSE)=0,#N/A,VLOOKUP(A101,Database!$A:$AS,MATCH($F$1,Database!$A$1:$AS$1,0),FALSE))</f>
        <v/>
      </c>
      <c r="G101" s="76">
        <f>IF(VLOOKUP(A101,Database!$A:$AS,MATCH($G$1,Database!$A$1:$AS$1,0),FALSE)=0,#N/A,VLOOKUP(A101,Database!$A:$AS,MATCH($G$1,Database!$A$1:$AS$1,0),FALSE))</f>
        <v/>
      </c>
      <c r="H101" s="76">
        <f>(((Table134567891011121314151617343[[#This Row],[ITA]]-VLOOKUP($U$1,A:B,2,))/VLOOKUP($U$1,A:B,2,))*100)+100</f>
        <v/>
      </c>
      <c r="I101" s="76">
        <f>(((Table134567891011121314151617343[[#This Row],[FRA]]-VLOOKUP($U$1,A:C,3,))/VLOOKUP($U$1,A:C,3,))*100)+100</f>
        <v/>
      </c>
      <c r="J101" s="76">
        <f>(((Table134567891011121314151617343[[#This Row],[DEU]]-VLOOKUP($U$1,A:D,4,))/VLOOKUP($U$1,A:D,4,))*100)+100</f>
        <v/>
      </c>
      <c r="K101" s="76">
        <f>(((Table134567891011121314151617343[[#This Row],[ESP]]-VLOOKUP($U$1,A:E,5,))/VLOOKUP($U$1,A:E,5,))*100)+100</f>
        <v/>
      </c>
      <c r="L101" s="76">
        <f>(((Table134567891011121314151617343[[#This Row],[EA19]]-VLOOKUP($U$1,A:F,6,))/VLOOKUP($U$1,A:F,6,))*100)+100</f>
        <v/>
      </c>
      <c r="M101" s="76">
        <f>(((Table134567891011121314151617343[[#This Row],[GBR]]-VLOOKUP($U$1,A:G,7,))/VLOOKUP($U$1,A:G,7,))*100)+100</f>
        <v/>
      </c>
      <c r="N101" s="76">
        <f>IF(VLOOKUP(A101,Database!$A:$AU,MATCH($N$1,Database!$A$1:$AU$1,0),FALSE)=0,#N/A,VLOOKUP(A101,Database!$A:$AU,MATCH($N$1,Database!$A$1:$AU$1,0),FALSE))</f>
        <v/>
      </c>
      <c r="O101" s="76">
        <f>(((Table134567891011121314151617343[[#This Row],[USA]]-VLOOKUP($U$1,A:N,14,))/VLOOKUP($U$1,A:N,14,))*100)+100</f>
        <v/>
      </c>
      <c r="P101" s="76">
        <f>IF(VLOOKUP(A101,Database!$A:$AS,MATCH($P$1,Database!$A$1:$AS$1,0),FALSE)=0,#N/A,VLOOKUP(A101,Database!$A:$AS,MATCH($P$1,Database!$A$1:$AS$1,0),FALSE))</f>
        <v/>
      </c>
      <c r="Q101" s="76">
        <f>(((Table134567891011121314151617343[[#This Row],[JPN]]-VLOOKUP($U$1,A:Q,16,))/VLOOKUP($U$1,A:Q,16,))*100)+100</f>
        <v/>
      </c>
    </row>
    <row r="102" customFormat="1" s="86">
      <c r="A102" s="21" t="n">
        <v>35916</v>
      </c>
      <c r="B102" s="76">
        <f>IF(VLOOKUP(A102,Database!$A:$AS,MATCH($B$1,Database!$A$1:$AS$1,0),FALSE)=0,#N/A,VLOOKUP(A102,Database!$A:$AS,MATCH($B$1,Database!$A$1:$AS$1,0),FALSE))</f>
        <v/>
      </c>
      <c r="C102" s="76">
        <f>IF(VLOOKUP(A102,Database!$A:$AS,MATCH($C$1,Database!$A$1:$AS$1,0),FALSE)=0,#N/A,VLOOKUP(A102,Database!$A:$AS,MATCH($C$1,Database!$A$1:$AS$1,0),FALSE))</f>
        <v/>
      </c>
      <c r="D102" s="76">
        <f>IF(VLOOKUP(A102,Database!$A:$AS,MATCH($D$1,Database!$A$1:$AS$1,0),FALSE)=0,#N/A,VLOOKUP(A102,Database!$A:$AS,MATCH($D$1,Database!$A$1:$AS$1,0),FALSE))</f>
        <v/>
      </c>
      <c r="E102" s="76">
        <f>IF(VLOOKUP(A102,Database!$A:$AS,MATCH($E$1,Database!$A$1:$AS$1,0),FALSE)=0,#N/A,VLOOKUP(A102,Database!$A:$AS,MATCH($E$1,Database!$A$1:$AS$1,0),FALSE))</f>
        <v/>
      </c>
      <c r="F102" s="76">
        <f>IF(VLOOKUP(A102,Database!$A:$AS,MATCH($F$1,Database!$A$1:$AS$1,0),FALSE)=0,#N/A,VLOOKUP(A102,Database!$A:$AS,MATCH($F$1,Database!$A$1:$AS$1,0),FALSE))</f>
        <v/>
      </c>
      <c r="G102" s="76">
        <f>IF(VLOOKUP(A102,Database!$A:$AS,MATCH($G$1,Database!$A$1:$AS$1,0),FALSE)=0,#N/A,VLOOKUP(A102,Database!$A:$AS,MATCH($G$1,Database!$A$1:$AS$1,0),FALSE))</f>
        <v/>
      </c>
      <c r="H102" s="76">
        <f>(((Table134567891011121314151617343[[#This Row],[ITA]]-VLOOKUP($U$1,A:B,2,))/VLOOKUP($U$1,A:B,2,))*100)+100</f>
        <v/>
      </c>
      <c r="I102" s="76">
        <f>(((Table134567891011121314151617343[[#This Row],[FRA]]-VLOOKUP($U$1,A:C,3,))/VLOOKUP($U$1,A:C,3,))*100)+100</f>
        <v/>
      </c>
      <c r="J102" s="76">
        <f>(((Table134567891011121314151617343[[#This Row],[DEU]]-VLOOKUP($U$1,A:D,4,))/VLOOKUP($U$1,A:D,4,))*100)+100</f>
        <v/>
      </c>
      <c r="K102" s="76">
        <f>(((Table134567891011121314151617343[[#This Row],[ESP]]-VLOOKUP($U$1,A:E,5,))/VLOOKUP($U$1,A:E,5,))*100)+100</f>
        <v/>
      </c>
      <c r="L102" s="76">
        <f>(((Table134567891011121314151617343[[#This Row],[EA19]]-VLOOKUP($U$1,A:F,6,))/VLOOKUP($U$1,A:F,6,))*100)+100</f>
        <v/>
      </c>
      <c r="M102" s="76">
        <f>(((Table134567891011121314151617343[[#This Row],[GBR]]-VLOOKUP($U$1,A:G,7,))/VLOOKUP($U$1,A:G,7,))*100)+100</f>
        <v/>
      </c>
      <c r="N102" s="76">
        <f>IF(VLOOKUP(A102,Database!$A:$AU,MATCH($N$1,Database!$A$1:$AU$1,0),FALSE)=0,#N/A,VLOOKUP(A102,Database!$A:$AU,MATCH($N$1,Database!$A$1:$AU$1,0),FALSE))</f>
        <v/>
      </c>
      <c r="O102" s="76">
        <f>(((Table134567891011121314151617343[[#This Row],[USA]]-VLOOKUP($U$1,A:N,14,))/VLOOKUP($U$1,A:N,14,))*100)+100</f>
        <v/>
      </c>
      <c r="P102" s="76">
        <f>IF(VLOOKUP(A102,Database!$A:$AS,MATCH($P$1,Database!$A$1:$AS$1,0),FALSE)=0,#N/A,VLOOKUP(A102,Database!$A:$AS,MATCH($P$1,Database!$A$1:$AS$1,0),FALSE))</f>
        <v/>
      </c>
      <c r="Q102" s="76">
        <f>(((Table134567891011121314151617343[[#This Row],[JPN]]-VLOOKUP($U$1,A:Q,16,))/VLOOKUP($U$1,A:Q,16,))*100)+100</f>
        <v/>
      </c>
    </row>
    <row r="103" customFormat="1" s="86">
      <c r="A103" s="21" t="n">
        <v>35947</v>
      </c>
      <c r="B103" s="76">
        <f>IF(VLOOKUP(A103,Database!$A:$AS,MATCH($B$1,Database!$A$1:$AS$1,0),FALSE)=0,#N/A,VLOOKUP(A103,Database!$A:$AS,MATCH($B$1,Database!$A$1:$AS$1,0),FALSE))</f>
        <v/>
      </c>
      <c r="C103" s="76">
        <f>IF(VLOOKUP(A103,Database!$A:$AS,MATCH($C$1,Database!$A$1:$AS$1,0),FALSE)=0,#N/A,VLOOKUP(A103,Database!$A:$AS,MATCH($C$1,Database!$A$1:$AS$1,0),FALSE))</f>
        <v/>
      </c>
      <c r="D103" s="76">
        <f>IF(VLOOKUP(A103,Database!$A:$AS,MATCH($D$1,Database!$A$1:$AS$1,0),FALSE)=0,#N/A,VLOOKUP(A103,Database!$A:$AS,MATCH($D$1,Database!$A$1:$AS$1,0),FALSE))</f>
        <v/>
      </c>
      <c r="E103" s="76">
        <f>IF(VLOOKUP(A103,Database!$A:$AS,MATCH($E$1,Database!$A$1:$AS$1,0),FALSE)=0,#N/A,VLOOKUP(A103,Database!$A:$AS,MATCH($E$1,Database!$A$1:$AS$1,0),FALSE))</f>
        <v/>
      </c>
      <c r="F103" s="76">
        <f>IF(VLOOKUP(A103,Database!$A:$AS,MATCH($F$1,Database!$A$1:$AS$1,0),FALSE)=0,#N/A,VLOOKUP(A103,Database!$A:$AS,MATCH($F$1,Database!$A$1:$AS$1,0),FALSE))</f>
        <v/>
      </c>
      <c r="G103" s="76">
        <f>IF(VLOOKUP(A103,Database!$A:$AS,MATCH($G$1,Database!$A$1:$AS$1,0),FALSE)=0,#N/A,VLOOKUP(A103,Database!$A:$AS,MATCH($G$1,Database!$A$1:$AS$1,0),FALSE))</f>
        <v/>
      </c>
      <c r="H103" s="76">
        <f>(((Table134567891011121314151617343[[#This Row],[ITA]]-VLOOKUP($U$1,A:B,2,))/VLOOKUP($U$1,A:B,2,))*100)+100</f>
        <v/>
      </c>
      <c r="I103" s="76">
        <f>(((Table134567891011121314151617343[[#This Row],[FRA]]-VLOOKUP($U$1,A:C,3,))/VLOOKUP($U$1,A:C,3,))*100)+100</f>
        <v/>
      </c>
      <c r="J103" s="76">
        <f>(((Table134567891011121314151617343[[#This Row],[DEU]]-VLOOKUP($U$1,A:D,4,))/VLOOKUP($U$1,A:D,4,))*100)+100</f>
        <v/>
      </c>
      <c r="K103" s="76">
        <f>(((Table134567891011121314151617343[[#This Row],[ESP]]-VLOOKUP($U$1,A:E,5,))/VLOOKUP($U$1,A:E,5,))*100)+100</f>
        <v/>
      </c>
      <c r="L103" s="76">
        <f>(((Table134567891011121314151617343[[#This Row],[EA19]]-VLOOKUP($U$1,A:F,6,))/VLOOKUP($U$1,A:F,6,))*100)+100</f>
        <v/>
      </c>
      <c r="M103" s="76">
        <f>(((Table134567891011121314151617343[[#This Row],[GBR]]-VLOOKUP($U$1,A:G,7,))/VLOOKUP($U$1,A:G,7,))*100)+100</f>
        <v/>
      </c>
      <c r="N103" s="76">
        <f>IF(VLOOKUP(A103,Database!$A:$AU,MATCH($N$1,Database!$A$1:$AU$1,0),FALSE)=0,#N/A,VLOOKUP(A103,Database!$A:$AU,MATCH($N$1,Database!$A$1:$AU$1,0),FALSE))</f>
        <v/>
      </c>
      <c r="O103" s="76">
        <f>(((Table134567891011121314151617343[[#This Row],[USA]]-VLOOKUP($U$1,A:N,14,))/VLOOKUP($U$1,A:N,14,))*100)+100</f>
        <v/>
      </c>
      <c r="P103" s="76">
        <f>IF(VLOOKUP(A103,Database!$A:$AS,MATCH($P$1,Database!$A$1:$AS$1,0),FALSE)=0,#N/A,VLOOKUP(A103,Database!$A:$AS,MATCH($P$1,Database!$A$1:$AS$1,0),FALSE))</f>
        <v/>
      </c>
      <c r="Q103" s="76">
        <f>(((Table134567891011121314151617343[[#This Row],[JPN]]-VLOOKUP($U$1,A:Q,16,))/VLOOKUP($U$1,A:Q,16,))*100)+100</f>
        <v/>
      </c>
    </row>
    <row r="104" customFormat="1" s="86">
      <c r="A104" s="21" t="n">
        <v>35977</v>
      </c>
      <c r="B104" s="76">
        <f>IF(VLOOKUP(A104,Database!$A:$AS,MATCH($B$1,Database!$A$1:$AS$1,0),FALSE)=0,#N/A,VLOOKUP(A104,Database!$A:$AS,MATCH($B$1,Database!$A$1:$AS$1,0),FALSE))</f>
        <v/>
      </c>
      <c r="C104" s="76">
        <f>IF(VLOOKUP(A104,Database!$A:$AS,MATCH($C$1,Database!$A$1:$AS$1,0),FALSE)=0,#N/A,VLOOKUP(A104,Database!$A:$AS,MATCH($C$1,Database!$A$1:$AS$1,0),FALSE))</f>
        <v/>
      </c>
      <c r="D104" s="76">
        <f>IF(VLOOKUP(A104,Database!$A:$AS,MATCH($D$1,Database!$A$1:$AS$1,0),FALSE)=0,#N/A,VLOOKUP(A104,Database!$A:$AS,MATCH($D$1,Database!$A$1:$AS$1,0),FALSE))</f>
        <v/>
      </c>
      <c r="E104" s="76">
        <f>IF(VLOOKUP(A104,Database!$A:$AS,MATCH($E$1,Database!$A$1:$AS$1,0),FALSE)=0,#N/A,VLOOKUP(A104,Database!$A:$AS,MATCH($E$1,Database!$A$1:$AS$1,0),FALSE))</f>
        <v/>
      </c>
      <c r="F104" s="76">
        <f>IF(VLOOKUP(A104,Database!$A:$AS,MATCH($F$1,Database!$A$1:$AS$1,0),FALSE)=0,#N/A,VLOOKUP(A104,Database!$A:$AS,MATCH($F$1,Database!$A$1:$AS$1,0),FALSE))</f>
        <v/>
      </c>
      <c r="G104" s="76">
        <f>IF(VLOOKUP(A104,Database!$A:$AS,MATCH($G$1,Database!$A$1:$AS$1,0),FALSE)=0,#N/A,VLOOKUP(A104,Database!$A:$AS,MATCH($G$1,Database!$A$1:$AS$1,0),FALSE))</f>
        <v/>
      </c>
      <c r="H104" s="76">
        <f>(((Table134567891011121314151617343[[#This Row],[ITA]]-VLOOKUP($U$1,A:B,2,))/VLOOKUP($U$1,A:B,2,))*100)+100</f>
        <v/>
      </c>
      <c r="I104" s="76">
        <f>(((Table134567891011121314151617343[[#This Row],[FRA]]-VLOOKUP($U$1,A:C,3,))/VLOOKUP($U$1,A:C,3,))*100)+100</f>
        <v/>
      </c>
      <c r="J104" s="76">
        <f>(((Table134567891011121314151617343[[#This Row],[DEU]]-VLOOKUP($U$1,A:D,4,))/VLOOKUP($U$1,A:D,4,))*100)+100</f>
        <v/>
      </c>
      <c r="K104" s="76">
        <f>(((Table134567891011121314151617343[[#This Row],[ESP]]-VLOOKUP($U$1,A:E,5,))/VLOOKUP($U$1,A:E,5,))*100)+100</f>
        <v/>
      </c>
      <c r="L104" s="76">
        <f>(((Table134567891011121314151617343[[#This Row],[EA19]]-VLOOKUP($U$1,A:F,6,))/VLOOKUP($U$1,A:F,6,))*100)+100</f>
        <v/>
      </c>
      <c r="M104" s="76">
        <f>(((Table134567891011121314151617343[[#This Row],[GBR]]-VLOOKUP($U$1,A:G,7,))/VLOOKUP($U$1,A:G,7,))*100)+100</f>
        <v/>
      </c>
      <c r="N104" s="76">
        <f>IF(VLOOKUP(A104,Database!$A:$AU,MATCH($N$1,Database!$A$1:$AU$1,0),FALSE)=0,#N/A,VLOOKUP(A104,Database!$A:$AU,MATCH($N$1,Database!$A$1:$AU$1,0),FALSE))</f>
        <v/>
      </c>
      <c r="O104" s="76">
        <f>(((Table134567891011121314151617343[[#This Row],[USA]]-VLOOKUP($U$1,A:N,14,))/VLOOKUP($U$1,A:N,14,))*100)+100</f>
        <v/>
      </c>
      <c r="P104" s="76">
        <f>IF(VLOOKUP(A104,Database!$A:$AS,MATCH($P$1,Database!$A$1:$AS$1,0),FALSE)=0,#N/A,VLOOKUP(A104,Database!$A:$AS,MATCH($P$1,Database!$A$1:$AS$1,0),FALSE))</f>
        <v/>
      </c>
      <c r="Q104" s="76">
        <f>(((Table134567891011121314151617343[[#This Row],[JPN]]-VLOOKUP($U$1,A:Q,16,))/VLOOKUP($U$1,A:Q,16,))*100)+100</f>
        <v/>
      </c>
    </row>
    <row r="105" customFormat="1" s="86">
      <c r="A105" s="21" t="n">
        <v>36008</v>
      </c>
      <c r="B105" s="76">
        <f>IF(VLOOKUP(A105,Database!$A:$AS,MATCH($B$1,Database!$A$1:$AS$1,0),FALSE)=0,#N/A,VLOOKUP(A105,Database!$A:$AS,MATCH($B$1,Database!$A$1:$AS$1,0),FALSE))</f>
        <v/>
      </c>
      <c r="C105" s="76">
        <f>IF(VLOOKUP(A105,Database!$A:$AS,MATCH($C$1,Database!$A$1:$AS$1,0),FALSE)=0,#N/A,VLOOKUP(A105,Database!$A:$AS,MATCH($C$1,Database!$A$1:$AS$1,0),FALSE))</f>
        <v/>
      </c>
      <c r="D105" s="76">
        <f>IF(VLOOKUP(A105,Database!$A:$AS,MATCH($D$1,Database!$A$1:$AS$1,0),FALSE)=0,#N/A,VLOOKUP(A105,Database!$A:$AS,MATCH($D$1,Database!$A$1:$AS$1,0),FALSE))</f>
        <v/>
      </c>
      <c r="E105" s="76">
        <f>IF(VLOOKUP(A105,Database!$A:$AS,MATCH($E$1,Database!$A$1:$AS$1,0),FALSE)=0,#N/A,VLOOKUP(A105,Database!$A:$AS,MATCH($E$1,Database!$A$1:$AS$1,0),FALSE))</f>
        <v/>
      </c>
      <c r="F105" s="76">
        <f>IF(VLOOKUP(A105,Database!$A:$AS,MATCH($F$1,Database!$A$1:$AS$1,0),FALSE)=0,#N/A,VLOOKUP(A105,Database!$A:$AS,MATCH($F$1,Database!$A$1:$AS$1,0),FALSE))</f>
        <v/>
      </c>
      <c r="G105" s="76">
        <f>IF(VLOOKUP(A105,Database!$A:$AS,MATCH($G$1,Database!$A$1:$AS$1,0),FALSE)=0,#N/A,VLOOKUP(A105,Database!$A:$AS,MATCH($G$1,Database!$A$1:$AS$1,0),FALSE))</f>
        <v/>
      </c>
      <c r="H105" s="76">
        <f>(((Table134567891011121314151617343[[#This Row],[ITA]]-VLOOKUP($U$1,A:B,2,))/VLOOKUP($U$1,A:B,2,))*100)+100</f>
        <v/>
      </c>
      <c r="I105" s="76">
        <f>(((Table134567891011121314151617343[[#This Row],[FRA]]-VLOOKUP($U$1,A:C,3,))/VLOOKUP($U$1,A:C,3,))*100)+100</f>
        <v/>
      </c>
      <c r="J105" s="76">
        <f>(((Table134567891011121314151617343[[#This Row],[DEU]]-VLOOKUP($U$1,A:D,4,))/VLOOKUP($U$1,A:D,4,))*100)+100</f>
        <v/>
      </c>
      <c r="K105" s="76">
        <f>(((Table134567891011121314151617343[[#This Row],[ESP]]-VLOOKUP($U$1,A:E,5,))/VLOOKUP($U$1,A:E,5,))*100)+100</f>
        <v/>
      </c>
      <c r="L105" s="76">
        <f>(((Table134567891011121314151617343[[#This Row],[EA19]]-VLOOKUP($U$1,A:F,6,))/VLOOKUP($U$1,A:F,6,))*100)+100</f>
        <v/>
      </c>
      <c r="M105" s="76">
        <f>(((Table134567891011121314151617343[[#This Row],[GBR]]-VLOOKUP($U$1,A:G,7,))/VLOOKUP($U$1,A:G,7,))*100)+100</f>
        <v/>
      </c>
      <c r="N105" s="76">
        <f>IF(VLOOKUP(A105,Database!$A:$AU,MATCH($N$1,Database!$A$1:$AU$1,0),FALSE)=0,#N/A,VLOOKUP(A105,Database!$A:$AU,MATCH($N$1,Database!$A$1:$AU$1,0),FALSE))</f>
        <v/>
      </c>
      <c r="O105" s="76">
        <f>(((Table134567891011121314151617343[[#This Row],[USA]]-VLOOKUP($U$1,A:N,14,))/VLOOKUP($U$1,A:N,14,))*100)+100</f>
        <v/>
      </c>
      <c r="P105" s="76">
        <f>IF(VLOOKUP(A105,Database!$A:$AS,MATCH($P$1,Database!$A$1:$AS$1,0),FALSE)=0,#N/A,VLOOKUP(A105,Database!$A:$AS,MATCH($P$1,Database!$A$1:$AS$1,0),FALSE))</f>
        <v/>
      </c>
      <c r="Q105" s="76">
        <f>(((Table134567891011121314151617343[[#This Row],[JPN]]-VLOOKUP($U$1,A:Q,16,))/VLOOKUP($U$1,A:Q,16,))*100)+100</f>
        <v/>
      </c>
    </row>
    <row r="106" customFormat="1" s="86">
      <c r="A106" s="21" t="n">
        <v>36039</v>
      </c>
      <c r="B106" s="76">
        <f>IF(VLOOKUP(A106,Database!$A:$AS,MATCH($B$1,Database!$A$1:$AS$1,0),FALSE)=0,#N/A,VLOOKUP(A106,Database!$A:$AS,MATCH($B$1,Database!$A$1:$AS$1,0),FALSE))</f>
        <v/>
      </c>
      <c r="C106" s="76">
        <f>IF(VLOOKUP(A106,Database!$A:$AS,MATCH($C$1,Database!$A$1:$AS$1,0),FALSE)=0,#N/A,VLOOKUP(A106,Database!$A:$AS,MATCH($C$1,Database!$A$1:$AS$1,0),FALSE))</f>
        <v/>
      </c>
      <c r="D106" s="76">
        <f>IF(VLOOKUP(A106,Database!$A:$AS,MATCH($D$1,Database!$A$1:$AS$1,0),FALSE)=0,#N/A,VLOOKUP(A106,Database!$A:$AS,MATCH($D$1,Database!$A$1:$AS$1,0),FALSE))</f>
        <v/>
      </c>
      <c r="E106" s="76">
        <f>IF(VLOOKUP(A106,Database!$A:$AS,MATCH($E$1,Database!$A$1:$AS$1,0),FALSE)=0,#N/A,VLOOKUP(A106,Database!$A:$AS,MATCH($E$1,Database!$A$1:$AS$1,0),FALSE))</f>
        <v/>
      </c>
      <c r="F106" s="76">
        <f>IF(VLOOKUP(A106,Database!$A:$AS,MATCH($F$1,Database!$A$1:$AS$1,0),FALSE)=0,#N/A,VLOOKUP(A106,Database!$A:$AS,MATCH($F$1,Database!$A$1:$AS$1,0),FALSE))</f>
        <v/>
      </c>
      <c r="G106" s="76">
        <f>IF(VLOOKUP(A106,Database!$A:$AS,MATCH($G$1,Database!$A$1:$AS$1,0),FALSE)=0,#N/A,VLOOKUP(A106,Database!$A:$AS,MATCH($G$1,Database!$A$1:$AS$1,0),FALSE))</f>
        <v/>
      </c>
      <c r="H106" s="76">
        <f>(((Table134567891011121314151617343[[#This Row],[ITA]]-VLOOKUP($U$1,A:B,2,))/VLOOKUP($U$1,A:B,2,))*100)+100</f>
        <v/>
      </c>
      <c r="I106" s="76">
        <f>(((Table134567891011121314151617343[[#This Row],[FRA]]-VLOOKUP($U$1,A:C,3,))/VLOOKUP($U$1,A:C,3,))*100)+100</f>
        <v/>
      </c>
      <c r="J106" s="76">
        <f>(((Table134567891011121314151617343[[#This Row],[DEU]]-VLOOKUP($U$1,A:D,4,))/VLOOKUP($U$1,A:D,4,))*100)+100</f>
        <v/>
      </c>
      <c r="K106" s="76">
        <f>(((Table134567891011121314151617343[[#This Row],[ESP]]-VLOOKUP($U$1,A:E,5,))/VLOOKUP($U$1,A:E,5,))*100)+100</f>
        <v/>
      </c>
      <c r="L106" s="76">
        <f>(((Table134567891011121314151617343[[#This Row],[EA19]]-VLOOKUP($U$1,A:F,6,))/VLOOKUP($U$1,A:F,6,))*100)+100</f>
        <v/>
      </c>
      <c r="M106" s="76">
        <f>(((Table134567891011121314151617343[[#This Row],[GBR]]-VLOOKUP($U$1,A:G,7,))/VLOOKUP($U$1,A:G,7,))*100)+100</f>
        <v/>
      </c>
      <c r="N106" s="76">
        <f>IF(VLOOKUP(A106,Database!$A:$AU,MATCH($N$1,Database!$A$1:$AU$1,0),FALSE)=0,#N/A,VLOOKUP(A106,Database!$A:$AU,MATCH($N$1,Database!$A$1:$AU$1,0),FALSE))</f>
        <v/>
      </c>
      <c r="O106" s="76">
        <f>(((Table134567891011121314151617343[[#This Row],[USA]]-VLOOKUP($U$1,A:N,14,))/VLOOKUP($U$1,A:N,14,))*100)+100</f>
        <v/>
      </c>
      <c r="P106" s="76">
        <f>IF(VLOOKUP(A106,Database!$A:$AS,MATCH($P$1,Database!$A$1:$AS$1,0),FALSE)=0,#N/A,VLOOKUP(A106,Database!$A:$AS,MATCH($P$1,Database!$A$1:$AS$1,0),FALSE))</f>
        <v/>
      </c>
      <c r="Q106" s="76">
        <f>(((Table134567891011121314151617343[[#This Row],[JPN]]-VLOOKUP($U$1,A:Q,16,))/VLOOKUP($U$1,A:Q,16,))*100)+100</f>
        <v/>
      </c>
    </row>
    <row r="107" customFormat="1" s="86">
      <c r="A107" s="21" t="n">
        <v>36069</v>
      </c>
      <c r="B107" s="76">
        <f>IF(VLOOKUP(A107,Database!$A:$AS,MATCH($B$1,Database!$A$1:$AS$1,0),FALSE)=0,#N/A,VLOOKUP(A107,Database!$A:$AS,MATCH($B$1,Database!$A$1:$AS$1,0),FALSE))</f>
        <v/>
      </c>
      <c r="C107" s="76">
        <f>IF(VLOOKUP(A107,Database!$A:$AS,MATCH($C$1,Database!$A$1:$AS$1,0),FALSE)=0,#N/A,VLOOKUP(A107,Database!$A:$AS,MATCH($C$1,Database!$A$1:$AS$1,0),FALSE))</f>
        <v/>
      </c>
      <c r="D107" s="76">
        <f>IF(VLOOKUP(A107,Database!$A:$AS,MATCH($D$1,Database!$A$1:$AS$1,0),FALSE)=0,#N/A,VLOOKUP(A107,Database!$A:$AS,MATCH($D$1,Database!$A$1:$AS$1,0),FALSE))</f>
        <v/>
      </c>
      <c r="E107" s="76">
        <f>IF(VLOOKUP(A107,Database!$A:$AS,MATCH($E$1,Database!$A$1:$AS$1,0),FALSE)=0,#N/A,VLOOKUP(A107,Database!$A:$AS,MATCH($E$1,Database!$A$1:$AS$1,0),FALSE))</f>
        <v/>
      </c>
      <c r="F107" s="76">
        <f>IF(VLOOKUP(A107,Database!$A:$AS,MATCH($F$1,Database!$A$1:$AS$1,0),FALSE)=0,#N/A,VLOOKUP(A107,Database!$A:$AS,MATCH($F$1,Database!$A$1:$AS$1,0),FALSE))</f>
        <v/>
      </c>
      <c r="G107" s="76">
        <f>IF(VLOOKUP(A107,Database!$A:$AS,MATCH($G$1,Database!$A$1:$AS$1,0),FALSE)=0,#N/A,VLOOKUP(A107,Database!$A:$AS,MATCH($G$1,Database!$A$1:$AS$1,0),FALSE))</f>
        <v/>
      </c>
      <c r="H107" s="76">
        <f>(((Table134567891011121314151617343[[#This Row],[ITA]]-VLOOKUP($U$1,A:B,2,))/VLOOKUP($U$1,A:B,2,))*100)+100</f>
        <v/>
      </c>
      <c r="I107" s="76">
        <f>(((Table134567891011121314151617343[[#This Row],[FRA]]-VLOOKUP($U$1,A:C,3,))/VLOOKUP($U$1,A:C,3,))*100)+100</f>
        <v/>
      </c>
      <c r="J107" s="76">
        <f>(((Table134567891011121314151617343[[#This Row],[DEU]]-VLOOKUP($U$1,A:D,4,))/VLOOKUP($U$1,A:D,4,))*100)+100</f>
        <v/>
      </c>
      <c r="K107" s="76">
        <f>(((Table134567891011121314151617343[[#This Row],[ESP]]-VLOOKUP($U$1,A:E,5,))/VLOOKUP($U$1,A:E,5,))*100)+100</f>
        <v/>
      </c>
      <c r="L107" s="76">
        <f>(((Table134567891011121314151617343[[#This Row],[EA19]]-VLOOKUP($U$1,A:F,6,))/VLOOKUP($U$1,A:F,6,))*100)+100</f>
        <v/>
      </c>
      <c r="M107" s="76">
        <f>(((Table134567891011121314151617343[[#This Row],[GBR]]-VLOOKUP($U$1,A:G,7,))/VLOOKUP($U$1,A:G,7,))*100)+100</f>
        <v/>
      </c>
      <c r="N107" s="76">
        <f>IF(VLOOKUP(A107,Database!$A:$AU,MATCH($N$1,Database!$A$1:$AU$1,0),FALSE)=0,#N/A,VLOOKUP(A107,Database!$A:$AU,MATCH($N$1,Database!$A$1:$AU$1,0),FALSE))</f>
        <v/>
      </c>
      <c r="O107" s="76">
        <f>(((Table134567891011121314151617343[[#This Row],[USA]]-VLOOKUP($U$1,A:N,14,))/VLOOKUP($U$1,A:N,14,))*100)+100</f>
        <v/>
      </c>
      <c r="P107" s="76">
        <f>IF(VLOOKUP(A107,Database!$A:$AS,MATCH($P$1,Database!$A$1:$AS$1,0),FALSE)=0,#N/A,VLOOKUP(A107,Database!$A:$AS,MATCH($P$1,Database!$A$1:$AS$1,0),FALSE))</f>
        <v/>
      </c>
      <c r="Q107" s="76">
        <f>(((Table134567891011121314151617343[[#This Row],[JPN]]-VLOOKUP($U$1,A:Q,16,))/VLOOKUP($U$1,A:Q,16,))*100)+100</f>
        <v/>
      </c>
    </row>
    <row r="108" customFormat="1" s="86">
      <c r="A108" s="21" t="n">
        <v>36100</v>
      </c>
      <c r="B108" s="76">
        <f>IF(VLOOKUP(A108,Database!$A:$AS,MATCH($B$1,Database!$A$1:$AS$1,0),FALSE)=0,#N/A,VLOOKUP(A108,Database!$A:$AS,MATCH($B$1,Database!$A$1:$AS$1,0),FALSE))</f>
        <v/>
      </c>
      <c r="C108" s="76">
        <f>IF(VLOOKUP(A108,Database!$A:$AS,MATCH($C$1,Database!$A$1:$AS$1,0),FALSE)=0,#N/A,VLOOKUP(A108,Database!$A:$AS,MATCH($C$1,Database!$A$1:$AS$1,0),FALSE))</f>
        <v/>
      </c>
      <c r="D108" s="76">
        <f>IF(VLOOKUP(A108,Database!$A:$AS,MATCH($D$1,Database!$A$1:$AS$1,0),FALSE)=0,#N/A,VLOOKUP(A108,Database!$A:$AS,MATCH($D$1,Database!$A$1:$AS$1,0),FALSE))</f>
        <v/>
      </c>
      <c r="E108" s="76">
        <f>IF(VLOOKUP(A108,Database!$A:$AS,MATCH($E$1,Database!$A$1:$AS$1,0),FALSE)=0,#N/A,VLOOKUP(A108,Database!$A:$AS,MATCH($E$1,Database!$A$1:$AS$1,0),FALSE))</f>
        <v/>
      </c>
      <c r="F108" s="76">
        <f>IF(VLOOKUP(A108,Database!$A:$AS,MATCH($F$1,Database!$A$1:$AS$1,0),FALSE)=0,#N/A,VLOOKUP(A108,Database!$A:$AS,MATCH($F$1,Database!$A$1:$AS$1,0),FALSE))</f>
        <v/>
      </c>
      <c r="G108" s="76">
        <f>IF(VLOOKUP(A108,Database!$A:$AS,MATCH($G$1,Database!$A$1:$AS$1,0),FALSE)=0,#N/A,VLOOKUP(A108,Database!$A:$AS,MATCH($G$1,Database!$A$1:$AS$1,0),FALSE))</f>
        <v/>
      </c>
      <c r="H108" s="76">
        <f>(((Table134567891011121314151617343[[#This Row],[ITA]]-VLOOKUP($U$1,A:B,2,))/VLOOKUP($U$1,A:B,2,))*100)+100</f>
        <v/>
      </c>
      <c r="I108" s="76">
        <f>(((Table134567891011121314151617343[[#This Row],[FRA]]-VLOOKUP($U$1,A:C,3,))/VLOOKUP($U$1,A:C,3,))*100)+100</f>
        <v/>
      </c>
      <c r="J108" s="76">
        <f>(((Table134567891011121314151617343[[#This Row],[DEU]]-VLOOKUP($U$1,A:D,4,))/VLOOKUP($U$1,A:D,4,))*100)+100</f>
        <v/>
      </c>
      <c r="K108" s="76">
        <f>(((Table134567891011121314151617343[[#This Row],[ESP]]-VLOOKUP($U$1,A:E,5,))/VLOOKUP($U$1,A:E,5,))*100)+100</f>
        <v/>
      </c>
      <c r="L108" s="76">
        <f>(((Table134567891011121314151617343[[#This Row],[EA19]]-VLOOKUP($U$1,A:F,6,))/VLOOKUP($U$1,A:F,6,))*100)+100</f>
        <v/>
      </c>
      <c r="M108" s="76">
        <f>(((Table134567891011121314151617343[[#This Row],[GBR]]-VLOOKUP($U$1,A:G,7,))/VLOOKUP($U$1,A:G,7,))*100)+100</f>
        <v/>
      </c>
      <c r="N108" s="76">
        <f>IF(VLOOKUP(A108,Database!$A:$AU,MATCH($N$1,Database!$A$1:$AU$1,0),FALSE)=0,#N/A,VLOOKUP(A108,Database!$A:$AU,MATCH($N$1,Database!$A$1:$AU$1,0),FALSE))</f>
        <v/>
      </c>
      <c r="O108" s="76">
        <f>(((Table134567891011121314151617343[[#This Row],[USA]]-VLOOKUP($U$1,A:N,14,))/VLOOKUP($U$1,A:N,14,))*100)+100</f>
        <v/>
      </c>
      <c r="P108" s="76">
        <f>IF(VLOOKUP(A108,Database!$A:$AS,MATCH($P$1,Database!$A$1:$AS$1,0),FALSE)=0,#N/A,VLOOKUP(A108,Database!$A:$AS,MATCH($P$1,Database!$A$1:$AS$1,0),FALSE))</f>
        <v/>
      </c>
      <c r="Q108" s="76">
        <f>(((Table134567891011121314151617343[[#This Row],[JPN]]-VLOOKUP($U$1,A:Q,16,))/VLOOKUP($U$1,A:Q,16,))*100)+100</f>
        <v/>
      </c>
    </row>
    <row r="109" customFormat="1" s="86">
      <c r="A109" s="21" t="n">
        <v>36130</v>
      </c>
      <c r="B109" s="76">
        <f>IF(VLOOKUP(A109,Database!$A:$AS,MATCH($B$1,Database!$A$1:$AS$1,0),FALSE)=0,#N/A,VLOOKUP(A109,Database!$A:$AS,MATCH($B$1,Database!$A$1:$AS$1,0),FALSE))</f>
        <v/>
      </c>
      <c r="C109" s="76">
        <f>IF(VLOOKUP(A109,Database!$A:$AS,MATCH($C$1,Database!$A$1:$AS$1,0),FALSE)=0,#N/A,VLOOKUP(A109,Database!$A:$AS,MATCH($C$1,Database!$A$1:$AS$1,0),FALSE))</f>
        <v/>
      </c>
      <c r="D109" s="76">
        <f>IF(VLOOKUP(A109,Database!$A:$AS,MATCH($D$1,Database!$A$1:$AS$1,0),FALSE)=0,#N/A,VLOOKUP(A109,Database!$A:$AS,MATCH($D$1,Database!$A$1:$AS$1,0),FALSE))</f>
        <v/>
      </c>
      <c r="E109" s="76">
        <f>IF(VLOOKUP(A109,Database!$A:$AS,MATCH($E$1,Database!$A$1:$AS$1,0),FALSE)=0,#N/A,VLOOKUP(A109,Database!$A:$AS,MATCH($E$1,Database!$A$1:$AS$1,0),FALSE))</f>
        <v/>
      </c>
      <c r="F109" s="76">
        <f>IF(VLOOKUP(A109,Database!$A:$AS,MATCH($F$1,Database!$A$1:$AS$1,0),FALSE)=0,#N/A,VLOOKUP(A109,Database!$A:$AS,MATCH($F$1,Database!$A$1:$AS$1,0),FALSE))</f>
        <v/>
      </c>
      <c r="G109" s="76">
        <f>IF(VLOOKUP(A109,Database!$A:$AS,MATCH($G$1,Database!$A$1:$AS$1,0),FALSE)=0,#N/A,VLOOKUP(A109,Database!$A:$AS,MATCH($G$1,Database!$A$1:$AS$1,0),FALSE))</f>
        <v/>
      </c>
      <c r="H109" s="76">
        <f>(((Table134567891011121314151617343[[#This Row],[ITA]]-VLOOKUP($U$1,A:B,2,))/VLOOKUP($U$1,A:B,2,))*100)+100</f>
        <v/>
      </c>
      <c r="I109" s="76">
        <f>(((Table134567891011121314151617343[[#This Row],[FRA]]-VLOOKUP($U$1,A:C,3,))/VLOOKUP($U$1,A:C,3,))*100)+100</f>
        <v/>
      </c>
      <c r="J109" s="76">
        <f>(((Table134567891011121314151617343[[#This Row],[DEU]]-VLOOKUP($U$1,A:D,4,))/VLOOKUP($U$1,A:D,4,))*100)+100</f>
        <v/>
      </c>
      <c r="K109" s="76">
        <f>(((Table134567891011121314151617343[[#This Row],[ESP]]-VLOOKUP($U$1,A:E,5,))/VLOOKUP($U$1,A:E,5,))*100)+100</f>
        <v/>
      </c>
      <c r="L109" s="76">
        <f>(((Table134567891011121314151617343[[#This Row],[EA19]]-VLOOKUP($U$1,A:F,6,))/VLOOKUP($U$1,A:F,6,))*100)+100</f>
        <v/>
      </c>
      <c r="M109" s="76">
        <f>(((Table134567891011121314151617343[[#This Row],[GBR]]-VLOOKUP($U$1,A:G,7,))/VLOOKUP($U$1,A:G,7,))*100)+100</f>
        <v/>
      </c>
      <c r="N109" s="76">
        <f>IF(VLOOKUP(A109,Database!$A:$AU,MATCH($N$1,Database!$A$1:$AU$1,0),FALSE)=0,#N/A,VLOOKUP(A109,Database!$A:$AU,MATCH($N$1,Database!$A$1:$AU$1,0),FALSE))</f>
        <v/>
      </c>
      <c r="O109" s="76">
        <f>(((Table134567891011121314151617343[[#This Row],[USA]]-VLOOKUP($U$1,A:N,14,))/VLOOKUP($U$1,A:N,14,))*100)+100</f>
        <v/>
      </c>
      <c r="P109" s="76">
        <f>IF(VLOOKUP(A109,Database!$A:$AS,MATCH($P$1,Database!$A$1:$AS$1,0),FALSE)=0,#N/A,VLOOKUP(A109,Database!$A:$AS,MATCH($P$1,Database!$A$1:$AS$1,0),FALSE))</f>
        <v/>
      </c>
      <c r="Q109" s="76">
        <f>(((Table134567891011121314151617343[[#This Row],[JPN]]-VLOOKUP($U$1,A:Q,16,))/VLOOKUP($U$1,A:Q,16,))*100)+100</f>
        <v/>
      </c>
    </row>
    <row r="110" customFormat="1" s="86">
      <c r="A110" s="21" t="n">
        <v>36161</v>
      </c>
      <c r="B110" s="76">
        <f>IF(VLOOKUP(A110,Database!$A:$AS,MATCH($B$1,Database!$A$1:$AS$1,0),FALSE)=0,#N/A,VLOOKUP(A110,Database!$A:$AS,MATCH($B$1,Database!$A$1:$AS$1,0),FALSE))</f>
        <v/>
      </c>
      <c r="C110" s="76">
        <f>IF(VLOOKUP(A110,Database!$A:$AS,MATCH($C$1,Database!$A$1:$AS$1,0),FALSE)=0,#N/A,VLOOKUP(A110,Database!$A:$AS,MATCH($C$1,Database!$A$1:$AS$1,0),FALSE))</f>
        <v/>
      </c>
      <c r="D110" s="76">
        <f>IF(VLOOKUP(A110,Database!$A:$AS,MATCH($D$1,Database!$A$1:$AS$1,0),FALSE)=0,#N/A,VLOOKUP(A110,Database!$A:$AS,MATCH($D$1,Database!$A$1:$AS$1,0),FALSE))</f>
        <v/>
      </c>
      <c r="E110" s="76">
        <f>IF(VLOOKUP(A110,Database!$A:$AS,MATCH($E$1,Database!$A$1:$AS$1,0),FALSE)=0,#N/A,VLOOKUP(A110,Database!$A:$AS,MATCH($E$1,Database!$A$1:$AS$1,0),FALSE))</f>
        <v/>
      </c>
      <c r="F110" s="76">
        <f>IF(VLOOKUP(A110,Database!$A:$AS,MATCH($F$1,Database!$A$1:$AS$1,0),FALSE)=0,#N/A,VLOOKUP(A110,Database!$A:$AS,MATCH($F$1,Database!$A$1:$AS$1,0),FALSE))</f>
        <v/>
      </c>
      <c r="G110" s="76">
        <f>IF(VLOOKUP(A110,Database!$A:$AS,MATCH($G$1,Database!$A$1:$AS$1,0),FALSE)=0,#N/A,VLOOKUP(A110,Database!$A:$AS,MATCH($G$1,Database!$A$1:$AS$1,0),FALSE))</f>
        <v/>
      </c>
      <c r="H110" s="76">
        <f>(((Table134567891011121314151617343[[#This Row],[ITA]]-VLOOKUP($U$1,A:B,2,))/VLOOKUP($U$1,A:B,2,))*100)+100</f>
        <v/>
      </c>
      <c r="I110" s="76">
        <f>(((Table134567891011121314151617343[[#This Row],[FRA]]-VLOOKUP($U$1,A:C,3,))/VLOOKUP($U$1,A:C,3,))*100)+100</f>
        <v/>
      </c>
      <c r="J110" s="76">
        <f>(((Table134567891011121314151617343[[#This Row],[DEU]]-VLOOKUP($U$1,A:D,4,))/VLOOKUP($U$1,A:D,4,))*100)+100</f>
        <v/>
      </c>
      <c r="K110" s="76">
        <f>(((Table134567891011121314151617343[[#This Row],[ESP]]-VLOOKUP($U$1,A:E,5,))/VLOOKUP($U$1,A:E,5,))*100)+100</f>
        <v/>
      </c>
      <c r="L110" s="76">
        <f>(((Table134567891011121314151617343[[#This Row],[EA19]]-VLOOKUP($U$1,A:F,6,))/VLOOKUP($U$1,A:F,6,))*100)+100</f>
        <v/>
      </c>
      <c r="M110" s="76">
        <f>(((Table134567891011121314151617343[[#This Row],[GBR]]-VLOOKUP($U$1,A:G,7,))/VLOOKUP($U$1,A:G,7,))*100)+100</f>
        <v/>
      </c>
      <c r="N110" s="76">
        <f>IF(VLOOKUP(A110,Database!$A:$AU,MATCH($N$1,Database!$A$1:$AU$1,0),FALSE)=0,#N/A,VLOOKUP(A110,Database!$A:$AU,MATCH($N$1,Database!$A$1:$AU$1,0),FALSE))</f>
        <v/>
      </c>
      <c r="O110" s="76">
        <f>(((Table134567891011121314151617343[[#This Row],[USA]]-VLOOKUP($U$1,A:N,14,))/VLOOKUP($U$1,A:N,14,))*100)+100</f>
        <v/>
      </c>
      <c r="P110" s="76">
        <f>IF(VLOOKUP(A110,Database!$A:$AS,MATCH($P$1,Database!$A$1:$AS$1,0),FALSE)=0,#N/A,VLOOKUP(A110,Database!$A:$AS,MATCH($P$1,Database!$A$1:$AS$1,0),FALSE))</f>
        <v/>
      </c>
      <c r="Q110" s="76">
        <f>(((Table134567891011121314151617343[[#This Row],[JPN]]-VLOOKUP($U$1,A:Q,16,))/VLOOKUP($U$1,A:Q,16,))*100)+100</f>
        <v/>
      </c>
    </row>
    <row r="111" customFormat="1" s="86">
      <c r="A111" s="21" t="n">
        <v>36192</v>
      </c>
      <c r="B111" s="76">
        <f>IF(VLOOKUP(A111,Database!$A:$AS,MATCH($B$1,Database!$A$1:$AS$1,0),FALSE)=0,#N/A,VLOOKUP(A111,Database!$A:$AS,MATCH($B$1,Database!$A$1:$AS$1,0),FALSE))</f>
        <v/>
      </c>
      <c r="C111" s="76">
        <f>IF(VLOOKUP(A111,Database!$A:$AS,MATCH($C$1,Database!$A$1:$AS$1,0),FALSE)=0,#N/A,VLOOKUP(A111,Database!$A:$AS,MATCH($C$1,Database!$A$1:$AS$1,0),FALSE))</f>
        <v/>
      </c>
      <c r="D111" s="76">
        <f>IF(VLOOKUP(A111,Database!$A:$AS,MATCH($D$1,Database!$A$1:$AS$1,0),FALSE)=0,#N/A,VLOOKUP(A111,Database!$A:$AS,MATCH($D$1,Database!$A$1:$AS$1,0),FALSE))</f>
        <v/>
      </c>
      <c r="E111" s="76">
        <f>IF(VLOOKUP(A111,Database!$A:$AS,MATCH($E$1,Database!$A$1:$AS$1,0),FALSE)=0,#N/A,VLOOKUP(A111,Database!$A:$AS,MATCH($E$1,Database!$A$1:$AS$1,0),FALSE))</f>
        <v/>
      </c>
      <c r="F111" s="76">
        <f>IF(VLOOKUP(A111,Database!$A:$AS,MATCH($F$1,Database!$A$1:$AS$1,0),FALSE)=0,#N/A,VLOOKUP(A111,Database!$A:$AS,MATCH($F$1,Database!$A$1:$AS$1,0),FALSE))</f>
        <v/>
      </c>
      <c r="G111" s="76">
        <f>IF(VLOOKUP(A111,Database!$A:$AS,MATCH($G$1,Database!$A$1:$AS$1,0),FALSE)=0,#N/A,VLOOKUP(A111,Database!$A:$AS,MATCH($G$1,Database!$A$1:$AS$1,0),FALSE))</f>
        <v/>
      </c>
      <c r="H111" s="42">
        <f>(((Table134567891011121314151617343[[#This Row],[ITA]]-VLOOKUP($U$1,A:B,2,))/VLOOKUP($U$1,A:B,2,))*100)+100</f>
        <v/>
      </c>
      <c r="I111" s="76">
        <f>(((Table134567891011121314151617343[[#This Row],[FRA]]-VLOOKUP($U$1,A:C,3,))/VLOOKUP($U$1,A:C,3,))*100)+100</f>
        <v/>
      </c>
      <c r="J111" s="76">
        <f>(((Table134567891011121314151617343[[#This Row],[DEU]]-VLOOKUP($U$1,A:D,4,))/VLOOKUP($U$1,A:D,4,))*100)+100</f>
        <v/>
      </c>
      <c r="K111" s="76">
        <f>(((Table134567891011121314151617343[[#This Row],[ESP]]-VLOOKUP($U$1,A:E,5,))/VLOOKUP($U$1,A:E,5,))*100)+100</f>
        <v/>
      </c>
      <c r="L111" s="76">
        <f>(((Table134567891011121314151617343[[#This Row],[EA19]]-VLOOKUP($U$1,A:F,6,))/VLOOKUP($U$1,A:F,6,))*100)+100</f>
        <v/>
      </c>
      <c r="M111" s="76">
        <f>(((Table134567891011121314151617343[[#This Row],[GBR]]-VLOOKUP($U$1,A:G,7,))/VLOOKUP($U$1,A:G,7,))*100)+100</f>
        <v/>
      </c>
      <c r="N111" s="76">
        <f>IF(VLOOKUP(A111,Database!$A:$AU,MATCH($N$1,Database!$A$1:$AU$1,0),FALSE)=0,#N/A,VLOOKUP(A111,Database!$A:$AU,MATCH($N$1,Database!$A$1:$AU$1,0),FALSE))</f>
        <v/>
      </c>
      <c r="O111" s="76">
        <f>(((Table134567891011121314151617343[[#This Row],[USA]]-VLOOKUP($U$1,A:N,14,))/VLOOKUP($U$1,A:N,14,))*100)+100</f>
        <v/>
      </c>
      <c r="P111" s="76">
        <f>IF(VLOOKUP(A111,Database!$A:$AS,MATCH($P$1,Database!$A$1:$AS$1,0),FALSE)=0,#N/A,VLOOKUP(A111,Database!$A:$AS,MATCH($P$1,Database!$A$1:$AS$1,0),FALSE))</f>
        <v/>
      </c>
      <c r="Q111" s="76">
        <f>(((Table134567891011121314151617343[[#This Row],[JPN]]-VLOOKUP($U$1,A:Q,16,))/VLOOKUP($U$1,A:Q,16,))*100)+100</f>
        <v/>
      </c>
    </row>
    <row r="112" customFormat="1" s="86">
      <c r="A112" s="21" t="n">
        <v>36220</v>
      </c>
      <c r="B112" s="76">
        <f>IF(VLOOKUP(A112,Database!$A:$AS,MATCH($B$1,Database!$A$1:$AS$1,0),FALSE)=0,#N/A,VLOOKUP(A112,Database!$A:$AS,MATCH($B$1,Database!$A$1:$AS$1,0),FALSE))</f>
        <v/>
      </c>
      <c r="C112" s="76">
        <f>IF(VLOOKUP(A112,Database!$A:$AS,MATCH($C$1,Database!$A$1:$AS$1,0),FALSE)=0,#N/A,VLOOKUP(A112,Database!$A:$AS,MATCH($C$1,Database!$A$1:$AS$1,0),FALSE))</f>
        <v/>
      </c>
      <c r="D112" s="76">
        <f>IF(VLOOKUP(A112,Database!$A:$AS,MATCH($D$1,Database!$A$1:$AS$1,0),FALSE)=0,#N/A,VLOOKUP(A112,Database!$A:$AS,MATCH($D$1,Database!$A$1:$AS$1,0),FALSE))</f>
        <v/>
      </c>
      <c r="E112" s="76">
        <f>IF(VLOOKUP(A112,Database!$A:$AS,MATCH($E$1,Database!$A$1:$AS$1,0),FALSE)=0,#N/A,VLOOKUP(A112,Database!$A:$AS,MATCH($E$1,Database!$A$1:$AS$1,0),FALSE))</f>
        <v/>
      </c>
      <c r="F112" s="76">
        <f>IF(VLOOKUP(A112,Database!$A:$AS,MATCH($F$1,Database!$A$1:$AS$1,0),FALSE)=0,#N/A,VLOOKUP(A112,Database!$A:$AS,MATCH($F$1,Database!$A$1:$AS$1,0),FALSE))</f>
        <v/>
      </c>
      <c r="G112" s="76">
        <f>IF(VLOOKUP(A112,Database!$A:$AS,MATCH($G$1,Database!$A$1:$AS$1,0),FALSE)=0,#N/A,VLOOKUP(A112,Database!$A:$AS,MATCH($G$1,Database!$A$1:$AS$1,0),FALSE))</f>
        <v/>
      </c>
      <c r="H112" s="76">
        <f>(((Table134567891011121314151617343[[#This Row],[ITA]]-VLOOKUP($U$1,A:B,2,))/VLOOKUP($U$1,A:B,2,))*100)+100</f>
        <v/>
      </c>
      <c r="I112" s="76">
        <f>(((Table134567891011121314151617343[[#This Row],[FRA]]-VLOOKUP($U$1,A:C,3,))/VLOOKUP($U$1,A:C,3,))*100)+100</f>
        <v/>
      </c>
      <c r="J112" s="76">
        <f>(((Table134567891011121314151617343[[#This Row],[DEU]]-VLOOKUP($U$1,A:D,4,))/VLOOKUP($U$1,A:D,4,))*100)+100</f>
        <v/>
      </c>
      <c r="K112" s="76">
        <f>(((Table134567891011121314151617343[[#This Row],[ESP]]-VLOOKUP($U$1,A:E,5,))/VLOOKUP($U$1,A:E,5,))*100)+100</f>
        <v/>
      </c>
      <c r="L112" s="76">
        <f>(((Table134567891011121314151617343[[#This Row],[EA19]]-VLOOKUP($U$1,A:F,6,))/VLOOKUP($U$1,A:F,6,))*100)+100</f>
        <v/>
      </c>
      <c r="M112" s="76">
        <f>(((Table134567891011121314151617343[[#This Row],[GBR]]-VLOOKUP($U$1,A:G,7,))/VLOOKUP($U$1,A:G,7,))*100)+100</f>
        <v/>
      </c>
      <c r="N112" s="76">
        <f>IF(VLOOKUP(A112,Database!$A:$AU,MATCH($N$1,Database!$A$1:$AU$1,0),FALSE)=0,#N/A,VLOOKUP(A112,Database!$A:$AU,MATCH($N$1,Database!$A$1:$AU$1,0),FALSE))</f>
        <v/>
      </c>
      <c r="O112" s="76">
        <f>(((Table134567891011121314151617343[[#This Row],[USA]]-VLOOKUP($U$1,A:N,14,))/VLOOKUP($U$1,A:N,14,))*100)+100</f>
        <v/>
      </c>
      <c r="P112" s="76">
        <f>IF(VLOOKUP(A112,Database!$A:$AS,MATCH($P$1,Database!$A$1:$AS$1,0),FALSE)=0,#N/A,VLOOKUP(A112,Database!$A:$AS,MATCH($P$1,Database!$A$1:$AS$1,0),FALSE))</f>
        <v/>
      </c>
      <c r="Q112" s="76">
        <f>(((Table134567891011121314151617343[[#This Row],[JPN]]-VLOOKUP($U$1,A:Q,16,))/VLOOKUP($U$1,A:Q,16,))*100)+100</f>
        <v/>
      </c>
    </row>
    <row r="113" customFormat="1" s="86">
      <c r="A113" s="21" t="n">
        <v>36251</v>
      </c>
      <c r="B113" s="76">
        <f>IF(VLOOKUP(A113,Database!$A:$AS,MATCH($B$1,Database!$A$1:$AS$1,0),FALSE)=0,#N/A,VLOOKUP(A113,Database!$A:$AS,MATCH($B$1,Database!$A$1:$AS$1,0),FALSE))</f>
        <v/>
      </c>
      <c r="C113" s="76">
        <f>IF(VLOOKUP(A113,Database!$A:$AS,MATCH($C$1,Database!$A$1:$AS$1,0),FALSE)=0,#N/A,VLOOKUP(A113,Database!$A:$AS,MATCH($C$1,Database!$A$1:$AS$1,0),FALSE))</f>
        <v/>
      </c>
      <c r="D113" s="76">
        <f>IF(VLOOKUP(A113,Database!$A:$AS,MATCH($D$1,Database!$A$1:$AS$1,0),FALSE)=0,#N/A,VLOOKUP(A113,Database!$A:$AS,MATCH($D$1,Database!$A$1:$AS$1,0),FALSE))</f>
        <v/>
      </c>
      <c r="E113" s="76">
        <f>IF(VLOOKUP(A113,Database!$A:$AS,MATCH($E$1,Database!$A$1:$AS$1,0),FALSE)=0,#N/A,VLOOKUP(A113,Database!$A:$AS,MATCH($E$1,Database!$A$1:$AS$1,0),FALSE))</f>
        <v/>
      </c>
      <c r="F113" s="76">
        <f>IF(VLOOKUP(A113,Database!$A:$AS,MATCH($F$1,Database!$A$1:$AS$1,0),FALSE)=0,#N/A,VLOOKUP(A113,Database!$A:$AS,MATCH($F$1,Database!$A$1:$AS$1,0),FALSE))</f>
        <v/>
      </c>
      <c r="G113" s="76">
        <f>IF(VLOOKUP(A113,Database!$A:$AS,MATCH($G$1,Database!$A$1:$AS$1,0),FALSE)=0,#N/A,VLOOKUP(A113,Database!$A:$AS,MATCH($G$1,Database!$A$1:$AS$1,0),FALSE))</f>
        <v/>
      </c>
      <c r="H113" s="76">
        <f>(((Table134567891011121314151617343[[#This Row],[ITA]]-VLOOKUP($U$1,A:B,2,))/VLOOKUP($U$1,A:B,2,))*100)+100</f>
        <v/>
      </c>
      <c r="I113" s="76">
        <f>(((Table134567891011121314151617343[[#This Row],[FRA]]-VLOOKUP($U$1,A:C,3,))/VLOOKUP($U$1,A:C,3,))*100)+100</f>
        <v/>
      </c>
      <c r="J113" s="76">
        <f>(((Table134567891011121314151617343[[#This Row],[DEU]]-VLOOKUP($U$1,A:D,4,))/VLOOKUP($U$1,A:D,4,))*100)+100</f>
        <v/>
      </c>
      <c r="K113" s="76">
        <f>(((Table134567891011121314151617343[[#This Row],[ESP]]-VLOOKUP($U$1,A:E,5,))/VLOOKUP($U$1,A:E,5,))*100)+100</f>
        <v/>
      </c>
      <c r="L113" s="76">
        <f>(((Table134567891011121314151617343[[#This Row],[EA19]]-VLOOKUP($U$1,A:F,6,))/VLOOKUP($U$1,A:F,6,))*100)+100</f>
        <v/>
      </c>
      <c r="M113" s="76">
        <f>(((Table134567891011121314151617343[[#This Row],[GBR]]-VLOOKUP($U$1,A:G,7,))/VLOOKUP($U$1,A:G,7,))*100)+100</f>
        <v/>
      </c>
      <c r="N113" s="76">
        <f>IF(VLOOKUP(A113,Database!$A:$AU,MATCH($N$1,Database!$A$1:$AU$1,0),FALSE)=0,#N/A,VLOOKUP(A113,Database!$A:$AU,MATCH($N$1,Database!$A$1:$AU$1,0),FALSE))</f>
        <v/>
      </c>
      <c r="O113" s="76">
        <f>(((Table134567891011121314151617343[[#This Row],[USA]]-VLOOKUP($U$1,A:N,14,))/VLOOKUP($U$1,A:N,14,))*100)+100</f>
        <v/>
      </c>
      <c r="P113" s="76">
        <f>IF(VLOOKUP(A113,Database!$A:$AS,MATCH($P$1,Database!$A$1:$AS$1,0),FALSE)=0,#N/A,VLOOKUP(A113,Database!$A:$AS,MATCH($P$1,Database!$A$1:$AS$1,0),FALSE))</f>
        <v/>
      </c>
      <c r="Q113" s="76">
        <f>(((Table134567891011121314151617343[[#This Row],[JPN]]-VLOOKUP($U$1,A:Q,16,))/VLOOKUP($U$1,A:Q,16,))*100)+100</f>
        <v/>
      </c>
    </row>
    <row r="114" customFormat="1" s="86">
      <c r="A114" s="21" t="n">
        <v>36281</v>
      </c>
      <c r="B114" s="76">
        <f>IF(VLOOKUP(A114,Database!$A:$AS,MATCH($B$1,Database!$A$1:$AS$1,0),FALSE)=0,#N/A,VLOOKUP(A114,Database!$A:$AS,MATCH($B$1,Database!$A$1:$AS$1,0),FALSE))</f>
        <v/>
      </c>
      <c r="C114" s="76">
        <f>IF(VLOOKUP(A114,Database!$A:$AS,MATCH($C$1,Database!$A$1:$AS$1,0),FALSE)=0,#N/A,VLOOKUP(A114,Database!$A:$AS,MATCH($C$1,Database!$A$1:$AS$1,0),FALSE))</f>
        <v/>
      </c>
      <c r="D114" s="76">
        <f>IF(VLOOKUP(A114,Database!$A:$AS,MATCH($D$1,Database!$A$1:$AS$1,0),FALSE)=0,#N/A,VLOOKUP(A114,Database!$A:$AS,MATCH($D$1,Database!$A$1:$AS$1,0),FALSE))</f>
        <v/>
      </c>
      <c r="E114" s="76">
        <f>IF(VLOOKUP(A114,Database!$A:$AS,MATCH($E$1,Database!$A$1:$AS$1,0),FALSE)=0,#N/A,VLOOKUP(A114,Database!$A:$AS,MATCH($E$1,Database!$A$1:$AS$1,0),FALSE))</f>
        <v/>
      </c>
      <c r="F114" s="76">
        <f>IF(VLOOKUP(A114,Database!$A:$AS,MATCH($F$1,Database!$A$1:$AS$1,0),FALSE)=0,#N/A,VLOOKUP(A114,Database!$A:$AS,MATCH($F$1,Database!$A$1:$AS$1,0),FALSE))</f>
        <v/>
      </c>
      <c r="G114" s="76">
        <f>IF(VLOOKUP(A114,Database!$A:$AS,MATCH($G$1,Database!$A$1:$AS$1,0),FALSE)=0,#N/A,VLOOKUP(A114,Database!$A:$AS,MATCH($G$1,Database!$A$1:$AS$1,0),FALSE))</f>
        <v/>
      </c>
      <c r="H114" s="76">
        <f>(((Table134567891011121314151617343[[#This Row],[ITA]]-VLOOKUP($U$1,A:B,2,))/VLOOKUP($U$1,A:B,2,))*100)+100</f>
        <v/>
      </c>
      <c r="I114" s="76">
        <f>(((Table134567891011121314151617343[[#This Row],[FRA]]-VLOOKUP($U$1,A:C,3,))/VLOOKUP($U$1,A:C,3,))*100)+100</f>
        <v/>
      </c>
      <c r="J114" s="76">
        <f>(((Table134567891011121314151617343[[#This Row],[DEU]]-VLOOKUP($U$1,A:D,4,))/VLOOKUP($U$1,A:D,4,))*100)+100</f>
        <v/>
      </c>
      <c r="K114" s="76">
        <f>(((Table134567891011121314151617343[[#This Row],[ESP]]-VLOOKUP($U$1,A:E,5,))/VLOOKUP($U$1,A:E,5,))*100)+100</f>
        <v/>
      </c>
      <c r="L114" s="76">
        <f>(((Table134567891011121314151617343[[#This Row],[EA19]]-VLOOKUP($U$1,A:F,6,))/VLOOKUP($U$1,A:F,6,))*100)+100</f>
        <v/>
      </c>
      <c r="M114" s="76">
        <f>(((Table134567891011121314151617343[[#This Row],[GBR]]-VLOOKUP($U$1,A:G,7,))/VLOOKUP($U$1,A:G,7,))*100)+100</f>
        <v/>
      </c>
      <c r="N114" s="76">
        <f>IF(VLOOKUP(A114,Database!$A:$AU,MATCH($N$1,Database!$A$1:$AU$1,0),FALSE)=0,#N/A,VLOOKUP(A114,Database!$A:$AU,MATCH($N$1,Database!$A$1:$AU$1,0),FALSE))</f>
        <v/>
      </c>
      <c r="O114" s="76">
        <f>(((Table134567891011121314151617343[[#This Row],[USA]]-VLOOKUP($U$1,A:N,14,))/VLOOKUP($U$1,A:N,14,))*100)+100</f>
        <v/>
      </c>
      <c r="P114" s="76">
        <f>IF(VLOOKUP(A114,Database!$A:$AS,MATCH($P$1,Database!$A$1:$AS$1,0),FALSE)=0,#N/A,VLOOKUP(A114,Database!$A:$AS,MATCH($P$1,Database!$A$1:$AS$1,0),FALSE))</f>
        <v/>
      </c>
      <c r="Q114" s="76">
        <f>(((Table134567891011121314151617343[[#This Row],[JPN]]-VLOOKUP($U$1,A:Q,16,))/VLOOKUP($U$1,A:Q,16,))*100)+100</f>
        <v/>
      </c>
    </row>
    <row r="115" customFormat="1" s="86">
      <c r="A115" s="21" t="n">
        <v>36312</v>
      </c>
      <c r="B115" s="76">
        <f>IF(VLOOKUP(A115,Database!$A:$AS,MATCH($B$1,Database!$A$1:$AS$1,0),FALSE)=0,#N/A,VLOOKUP(A115,Database!$A:$AS,MATCH($B$1,Database!$A$1:$AS$1,0),FALSE))</f>
        <v/>
      </c>
      <c r="C115" s="76">
        <f>IF(VLOOKUP(A115,Database!$A:$AS,MATCH($C$1,Database!$A$1:$AS$1,0),FALSE)=0,#N/A,VLOOKUP(A115,Database!$A:$AS,MATCH($C$1,Database!$A$1:$AS$1,0),FALSE))</f>
        <v/>
      </c>
      <c r="D115" s="76">
        <f>IF(VLOOKUP(A115,Database!$A:$AS,MATCH($D$1,Database!$A$1:$AS$1,0),FALSE)=0,#N/A,VLOOKUP(A115,Database!$A:$AS,MATCH($D$1,Database!$A$1:$AS$1,0),FALSE))</f>
        <v/>
      </c>
      <c r="E115" s="76">
        <f>IF(VLOOKUP(A115,Database!$A:$AS,MATCH($E$1,Database!$A$1:$AS$1,0),FALSE)=0,#N/A,VLOOKUP(A115,Database!$A:$AS,MATCH($E$1,Database!$A$1:$AS$1,0),FALSE))</f>
        <v/>
      </c>
      <c r="F115" s="76">
        <f>IF(VLOOKUP(A115,Database!$A:$AS,MATCH($F$1,Database!$A$1:$AS$1,0),FALSE)=0,#N/A,VLOOKUP(A115,Database!$A:$AS,MATCH($F$1,Database!$A$1:$AS$1,0),FALSE))</f>
        <v/>
      </c>
      <c r="G115" s="76">
        <f>IF(VLOOKUP(A115,Database!$A:$AS,MATCH($G$1,Database!$A$1:$AS$1,0),FALSE)=0,#N/A,VLOOKUP(A115,Database!$A:$AS,MATCH($G$1,Database!$A$1:$AS$1,0),FALSE))</f>
        <v/>
      </c>
      <c r="H115" s="76">
        <f>(((Table134567891011121314151617343[[#This Row],[ITA]]-VLOOKUP($U$1,A:B,2,))/VLOOKUP($U$1,A:B,2,))*100)+100</f>
        <v/>
      </c>
      <c r="I115" s="76">
        <f>(((Table134567891011121314151617343[[#This Row],[FRA]]-VLOOKUP($U$1,A:C,3,))/VLOOKUP($U$1,A:C,3,))*100)+100</f>
        <v/>
      </c>
      <c r="J115" s="76">
        <f>(((Table134567891011121314151617343[[#This Row],[DEU]]-VLOOKUP($U$1,A:D,4,))/VLOOKUP($U$1,A:D,4,))*100)+100</f>
        <v/>
      </c>
      <c r="K115" s="76">
        <f>(((Table134567891011121314151617343[[#This Row],[ESP]]-VLOOKUP($U$1,A:E,5,))/VLOOKUP($U$1,A:E,5,))*100)+100</f>
        <v/>
      </c>
      <c r="L115" s="76">
        <f>(((Table134567891011121314151617343[[#This Row],[EA19]]-VLOOKUP($U$1,A:F,6,))/VLOOKUP($U$1,A:F,6,))*100)+100</f>
        <v/>
      </c>
      <c r="M115" s="76">
        <f>(((Table134567891011121314151617343[[#This Row],[GBR]]-VLOOKUP($U$1,A:G,7,))/VLOOKUP($U$1,A:G,7,))*100)+100</f>
        <v/>
      </c>
      <c r="N115" s="76">
        <f>IF(VLOOKUP(A115,Database!$A:$AU,MATCH($N$1,Database!$A$1:$AU$1,0),FALSE)=0,#N/A,VLOOKUP(A115,Database!$A:$AU,MATCH($N$1,Database!$A$1:$AU$1,0),FALSE))</f>
        <v/>
      </c>
      <c r="O115" s="76">
        <f>(((Table134567891011121314151617343[[#This Row],[USA]]-VLOOKUP($U$1,A:N,14,))/VLOOKUP($U$1,A:N,14,))*100)+100</f>
        <v/>
      </c>
      <c r="P115" s="76">
        <f>IF(VLOOKUP(A115,Database!$A:$AS,MATCH($P$1,Database!$A$1:$AS$1,0),FALSE)=0,#N/A,VLOOKUP(A115,Database!$A:$AS,MATCH($P$1,Database!$A$1:$AS$1,0),FALSE))</f>
        <v/>
      </c>
      <c r="Q115" s="76">
        <f>(((Table134567891011121314151617343[[#This Row],[JPN]]-VLOOKUP($U$1,A:Q,16,))/VLOOKUP($U$1,A:Q,16,))*100)+100</f>
        <v/>
      </c>
    </row>
    <row r="116" customFormat="1" s="86">
      <c r="A116" s="21" t="n">
        <v>36342</v>
      </c>
      <c r="B116" s="76">
        <f>IF(VLOOKUP(A116,Database!$A:$AS,MATCH($B$1,Database!$A$1:$AS$1,0),FALSE)=0,#N/A,VLOOKUP(A116,Database!$A:$AS,MATCH($B$1,Database!$A$1:$AS$1,0),FALSE))</f>
        <v/>
      </c>
      <c r="C116" s="76">
        <f>IF(VLOOKUP(A116,Database!$A:$AS,MATCH($C$1,Database!$A$1:$AS$1,0),FALSE)=0,#N/A,VLOOKUP(A116,Database!$A:$AS,MATCH($C$1,Database!$A$1:$AS$1,0),FALSE))</f>
        <v/>
      </c>
      <c r="D116" s="76">
        <f>IF(VLOOKUP(A116,Database!$A:$AS,MATCH($D$1,Database!$A$1:$AS$1,0),FALSE)=0,#N/A,VLOOKUP(A116,Database!$A:$AS,MATCH($D$1,Database!$A$1:$AS$1,0),FALSE))</f>
        <v/>
      </c>
      <c r="E116" s="76">
        <f>IF(VLOOKUP(A116,Database!$A:$AS,MATCH($E$1,Database!$A$1:$AS$1,0),FALSE)=0,#N/A,VLOOKUP(A116,Database!$A:$AS,MATCH($E$1,Database!$A$1:$AS$1,0),FALSE))</f>
        <v/>
      </c>
      <c r="F116" s="76">
        <f>IF(VLOOKUP(A116,Database!$A:$AS,MATCH($F$1,Database!$A$1:$AS$1,0),FALSE)=0,#N/A,VLOOKUP(A116,Database!$A:$AS,MATCH($F$1,Database!$A$1:$AS$1,0),FALSE))</f>
        <v/>
      </c>
      <c r="G116" s="76">
        <f>IF(VLOOKUP(A116,Database!$A:$AS,MATCH($G$1,Database!$A$1:$AS$1,0),FALSE)=0,#N/A,VLOOKUP(A116,Database!$A:$AS,MATCH($G$1,Database!$A$1:$AS$1,0),FALSE))</f>
        <v/>
      </c>
      <c r="H116" s="76">
        <f>(((Table134567891011121314151617343[[#This Row],[ITA]]-VLOOKUP($U$1,A:B,2,))/VLOOKUP($U$1,A:B,2,))*100)+100</f>
        <v/>
      </c>
      <c r="I116" s="76">
        <f>(((Table134567891011121314151617343[[#This Row],[FRA]]-VLOOKUP($U$1,A:C,3,))/VLOOKUP($U$1,A:C,3,))*100)+100</f>
        <v/>
      </c>
      <c r="J116" s="76">
        <f>(((Table134567891011121314151617343[[#This Row],[DEU]]-VLOOKUP($U$1,A:D,4,))/VLOOKUP($U$1,A:D,4,))*100)+100</f>
        <v/>
      </c>
      <c r="K116" s="76">
        <f>(((Table134567891011121314151617343[[#This Row],[ESP]]-VLOOKUP($U$1,A:E,5,))/VLOOKUP($U$1,A:E,5,))*100)+100</f>
        <v/>
      </c>
      <c r="L116" s="76">
        <f>(((Table134567891011121314151617343[[#This Row],[EA19]]-VLOOKUP($U$1,A:F,6,))/VLOOKUP($U$1,A:F,6,))*100)+100</f>
        <v/>
      </c>
      <c r="M116" s="76">
        <f>(((Table134567891011121314151617343[[#This Row],[GBR]]-VLOOKUP($U$1,A:G,7,))/VLOOKUP($U$1,A:G,7,))*100)+100</f>
        <v/>
      </c>
      <c r="N116" s="76">
        <f>IF(VLOOKUP(A116,Database!$A:$AU,MATCH($N$1,Database!$A$1:$AU$1,0),FALSE)=0,#N/A,VLOOKUP(A116,Database!$A:$AU,MATCH($N$1,Database!$A$1:$AU$1,0),FALSE))</f>
        <v/>
      </c>
      <c r="O116" s="76">
        <f>(((Table134567891011121314151617343[[#This Row],[USA]]-VLOOKUP($U$1,A:N,14,))/VLOOKUP($U$1,A:N,14,))*100)+100</f>
        <v/>
      </c>
      <c r="P116" s="76">
        <f>IF(VLOOKUP(A116,Database!$A:$AS,MATCH($P$1,Database!$A$1:$AS$1,0),FALSE)=0,#N/A,VLOOKUP(A116,Database!$A:$AS,MATCH($P$1,Database!$A$1:$AS$1,0),FALSE))</f>
        <v/>
      </c>
      <c r="Q116" s="76">
        <f>(((Table134567891011121314151617343[[#This Row],[JPN]]-VLOOKUP($U$1,A:Q,16,))/VLOOKUP($U$1,A:Q,16,))*100)+100</f>
        <v/>
      </c>
    </row>
    <row r="117" customFormat="1" s="86">
      <c r="A117" s="21" t="n">
        <v>36373</v>
      </c>
      <c r="B117" s="76">
        <f>IF(VLOOKUP(A117,Database!$A:$AS,MATCH($B$1,Database!$A$1:$AS$1,0),FALSE)=0,#N/A,VLOOKUP(A117,Database!$A:$AS,MATCH($B$1,Database!$A$1:$AS$1,0),FALSE))</f>
        <v/>
      </c>
      <c r="C117" s="76">
        <f>IF(VLOOKUP(A117,Database!$A:$AS,MATCH($C$1,Database!$A$1:$AS$1,0),FALSE)=0,#N/A,VLOOKUP(A117,Database!$A:$AS,MATCH($C$1,Database!$A$1:$AS$1,0),FALSE))</f>
        <v/>
      </c>
      <c r="D117" s="76">
        <f>IF(VLOOKUP(A117,Database!$A:$AS,MATCH($D$1,Database!$A$1:$AS$1,0),FALSE)=0,#N/A,VLOOKUP(A117,Database!$A:$AS,MATCH($D$1,Database!$A$1:$AS$1,0),FALSE))</f>
        <v/>
      </c>
      <c r="E117" s="76">
        <f>IF(VLOOKUP(A117,Database!$A:$AS,MATCH($E$1,Database!$A$1:$AS$1,0),FALSE)=0,#N/A,VLOOKUP(A117,Database!$A:$AS,MATCH($E$1,Database!$A$1:$AS$1,0),FALSE))</f>
        <v/>
      </c>
      <c r="F117" s="76">
        <f>IF(VLOOKUP(A117,Database!$A:$AS,MATCH($F$1,Database!$A$1:$AS$1,0),FALSE)=0,#N/A,VLOOKUP(A117,Database!$A:$AS,MATCH($F$1,Database!$A$1:$AS$1,0),FALSE))</f>
        <v/>
      </c>
      <c r="G117" s="76">
        <f>IF(VLOOKUP(A117,Database!$A:$AS,MATCH($G$1,Database!$A$1:$AS$1,0),FALSE)=0,#N/A,VLOOKUP(A117,Database!$A:$AS,MATCH($G$1,Database!$A$1:$AS$1,0),FALSE))</f>
        <v/>
      </c>
      <c r="H117" s="76">
        <f>(((Table134567891011121314151617343[[#This Row],[ITA]]-VLOOKUP($U$1,A:B,2,))/VLOOKUP($U$1,A:B,2,))*100)+100</f>
        <v/>
      </c>
      <c r="I117" s="76">
        <f>(((Table134567891011121314151617343[[#This Row],[FRA]]-VLOOKUP($U$1,A:C,3,))/VLOOKUP($U$1,A:C,3,))*100)+100</f>
        <v/>
      </c>
      <c r="J117" s="76">
        <f>(((Table134567891011121314151617343[[#This Row],[DEU]]-VLOOKUP($U$1,A:D,4,))/VLOOKUP($U$1,A:D,4,))*100)+100</f>
        <v/>
      </c>
      <c r="K117" s="76">
        <f>(((Table134567891011121314151617343[[#This Row],[ESP]]-VLOOKUP($U$1,A:E,5,))/VLOOKUP($U$1,A:E,5,))*100)+100</f>
        <v/>
      </c>
      <c r="L117" s="76">
        <f>(((Table134567891011121314151617343[[#This Row],[EA19]]-VLOOKUP($U$1,A:F,6,))/VLOOKUP($U$1,A:F,6,))*100)+100</f>
        <v/>
      </c>
      <c r="M117" s="76">
        <f>(((Table134567891011121314151617343[[#This Row],[GBR]]-VLOOKUP($U$1,A:G,7,))/VLOOKUP($U$1,A:G,7,))*100)+100</f>
        <v/>
      </c>
      <c r="N117" s="76">
        <f>IF(VLOOKUP(A117,Database!$A:$AU,MATCH($N$1,Database!$A$1:$AU$1,0),FALSE)=0,#N/A,VLOOKUP(A117,Database!$A:$AU,MATCH($N$1,Database!$A$1:$AU$1,0),FALSE))</f>
        <v/>
      </c>
      <c r="O117" s="76">
        <f>(((Table134567891011121314151617343[[#This Row],[USA]]-VLOOKUP($U$1,A:N,14,))/VLOOKUP($U$1,A:N,14,))*100)+100</f>
        <v/>
      </c>
      <c r="P117" s="76">
        <f>IF(VLOOKUP(A117,Database!$A:$AS,MATCH($P$1,Database!$A$1:$AS$1,0),FALSE)=0,#N/A,VLOOKUP(A117,Database!$A:$AS,MATCH($P$1,Database!$A$1:$AS$1,0),FALSE))</f>
        <v/>
      </c>
      <c r="Q117" s="76">
        <f>(((Table134567891011121314151617343[[#This Row],[JPN]]-VLOOKUP($U$1,A:Q,16,))/VLOOKUP($U$1,A:Q,16,))*100)+100</f>
        <v/>
      </c>
    </row>
    <row r="118" customFormat="1" s="86">
      <c r="A118" s="21" t="n">
        <v>36404</v>
      </c>
      <c r="B118" s="76">
        <f>IF(VLOOKUP(A118,Database!$A:$AS,MATCH($B$1,Database!$A$1:$AS$1,0),FALSE)=0,#N/A,VLOOKUP(A118,Database!$A:$AS,MATCH($B$1,Database!$A$1:$AS$1,0),FALSE))</f>
        <v/>
      </c>
      <c r="C118" s="76">
        <f>IF(VLOOKUP(A118,Database!$A:$AS,MATCH($C$1,Database!$A$1:$AS$1,0),FALSE)=0,#N/A,VLOOKUP(A118,Database!$A:$AS,MATCH($C$1,Database!$A$1:$AS$1,0),FALSE))</f>
        <v/>
      </c>
      <c r="D118" s="76">
        <f>IF(VLOOKUP(A118,Database!$A:$AS,MATCH($D$1,Database!$A$1:$AS$1,0),FALSE)=0,#N/A,VLOOKUP(A118,Database!$A:$AS,MATCH($D$1,Database!$A$1:$AS$1,0),FALSE))</f>
        <v/>
      </c>
      <c r="E118" s="76">
        <f>IF(VLOOKUP(A118,Database!$A:$AS,MATCH($E$1,Database!$A$1:$AS$1,0),FALSE)=0,#N/A,VLOOKUP(A118,Database!$A:$AS,MATCH($E$1,Database!$A$1:$AS$1,0),FALSE))</f>
        <v/>
      </c>
      <c r="F118" s="76">
        <f>IF(VLOOKUP(A118,Database!$A:$AS,MATCH($F$1,Database!$A$1:$AS$1,0),FALSE)=0,#N/A,VLOOKUP(A118,Database!$A:$AS,MATCH($F$1,Database!$A$1:$AS$1,0),FALSE))</f>
        <v/>
      </c>
      <c r="G118" s="76">
        <f>IF(VLOOKUP(A118,Database!$A:$AS,MATCH($G$1,Database!$A$1:$AS$1,0),FALSE)=0,#N/A,VLOOKUP(A118,Database!$A:$AS,MATCH($G$1,Database!$A$1:$AS$1,0),FALSE))</f>
        <v/>
      </c>
      <c r="H118" s="76">
        <f>(((Table134567891011121314151617343[[#This Row],[ITA]]-VLOOKUP($U$1,A:B,2,))/VLOOKUP($U$1,A:B,2,))*100)+100</f>
        <v/>
      </c>
      <c r="I118" s="76">
        <f>(((Table134567891011121314151617343[[#This Row],[FRA]]-VLOOKUP($U$1,A:C,3,))/VLOOKUP($U$1,A:C,3,))*100)+100</f>
        <v/>
      </c>
      <c r="J118" s="76">
        <f>(((Table134567891011121314151617343[[#This Row],[DEU]]-VLOOKUP($U$1,A:D,4,))/VLOOKUP($U$1,A:D,4,))*100)+100</f>
        <v/>
      </c>
      <c r="K118" s="76">
        <f>(((Table134567891011121314151617343[[#This Row],[ESP]]-VLOOKUP($U$1,A:E,5,))/VLOOKUP($U$1,A:E,5,))*100)+100</f>
        <v/>
      </c>
      <c r="L118" s="76">
        <f>(((Table134567891011121314151617343[[#This Row],[EA19]]-VLOOKUP($U$1,A:F,6,))/VLOOKUP($U$1,A:F,6,))*100)+100</f>
        <v/>
      </c>
      <c r="M118" s="76">
        <f>(((Table134567891011121314151617343[[#This Row],[GBR]]-VLOOKUP($U$1,A:G,7,))/VLOOKUP($U$1,A:G,7,))*100)+100</f>
        <v/>
      </c>
      <c r="N118" s="76">
        <f>IF(VLOOKUP(A118,Database!$A:$AU,MATCH($N$1,Database!$A$1:$AU$1,0),FALSE)=0,#N/A,VLOOKUP(A118,Database!$A:$AU,MATCH($N$1,Database!$A$1:$AU$1,0),FALSE))</f>
        <v/>
      </c>
      <c r="O118" s="76">
        <f>(((Table134567891011121314151617343[[#This Row],[USA]]-VLOOKUP($U$1,A:N,14,))/VLOOKUP($U$1,A:N,14,))*100)+100</f>
        <v/>
      </c>
      <c r="P118" s="76">
        <f>IF(VLOOKUP(A118,Database!$A:$AS,MATCH($P$1,Database!$A$1:$AS$1,0),FALSE)=0,#N/A,VLOOKUP(A118,Database!$A:$AS,MATCH($P$1,Database!$A$1:$AS$1,0),FALSE))</f>
        <v/>
      </c>
      <c r="Q118" s="76">
        <f>(((Table134567891011121314151617343[[#This Row],[JPN]]-VLOOKUP($U$1,A:Q,16,))/VLOOKUP($U$1,A:Q,16,))*100)+100</f>
        <v/>
      </c>
    </row>
    <row r="119" customFormat="1" s="86">
      <c r="A119" s="21" t="n">
        <v>36434</v>
      </c>
      <c r="B119" s="76">
        <f>IF(VLOOKUP(A119,Database!$A:$AS,MATCH($B$1,Database!$A$1:$AS$1,0),FALSE)=0,#N/A,VLOOKUP(A119,Database!$A:$AS,MATCH($B$1,Database!$A$1:$AS$1,0),FALSE))</f>
        <v/>
      </c>
      <c r="C119" s="76">
        <f>IF(VLOOKUP(A119,Database!$A:$AS,MATCH($C$1,Database!$A$1:$AS$1,0),FALSE)=0,#N/A,VLOOKUP(A119,Database!$A:$AS,MATCH($C$1,Database!$A$1:$AS$1,0),FALSE))</f>
        <v/>
      </c>
      <c r="D119" s="76">
        <f>IF(VLOOKUP(A119,Database!$A:$AS,MATCH($D$1,Database!$A$1:$AS$1,0),FALSE)=0,#N/A,VLOOKUP(A119,Database!$A:$AS,MATCH($D$1,Database!$A$1:$AS$1,0),FALSE))</f>
        <v/>
      </c>
      <c r="E119" s="76">
        <f>IF(VLOOKUP(A119,Database!$A:$AS,MATCH($E$1,Database!$A$1:$AS$1,0),FALSE)=0,#N/A,VLOOKUP(A119,Database!$A:$AS,MATCH($E$1,Database!$A$1:$AS$1,0),FALSE))</f>
        <v/>
      </c>
      <c r="F119" s="76">
        <f>IF(VLOOKUP(A119,Database!$A:$AS,MATCH($F$1,Database!$A$1:$AS$1,0),FALSE)=0,#N/A,VLOOKUP(A119,Database!$A:$AS,MATCH($F$1,Database!$A$1:$AS$1,0),FALSE))</f>
        <v/>
      </c>
      <c r="G119" s="76">
        <f>IF(VLOOKUP(A119,Database!$A:$AS,MATCH($G$1,Database!$A$1:$AS$1,0),FALSE)=0,#N/A,VLOOKUP(A119,Database!$A:$AS,MATCH($G$1,Database!$A$1:$AS$1,0),FALSE))</f>
        <v/>
      </c>
      <c r="H119" s="76">
        <f>(((Table134567891011121314151617343[[#This Row],[ITA]]-VLOOKUP($U$1,A:B,2,))/VLOOKUP($U$1,A:B,2,))*100)+100</f>
        <v/>
      </c>
      <c r="I119" s="76">
        <f>(((Table134567891011121314151617343[[#This Row],[FRA]]-VLOOKUP($U$1,A:C,3,))/VLOOKUP($U$1,A:C,3,))*100)+100</f>
        <v/>
      </c>
      <c r="J119" s="76">
        <f>(((Table134567891011121314151617343[[#This Row],[DEU]]-VLOOKUP($U$1,A:D,4,))/VLOOKUP($U$1,A:D,4,))*100)+100</f>
        <v/>
      </c>
      <c r="K119" s="76">
        <f>(((Table134567891011121314151617343[[#This Row],[ESP]]-VLOOKUP($U$1,A:E,5,))/VLOOKUP($U$1,A:E,5,))*100)+100</f>
        <v/>
      </c>
      <c r="L119" s="76">
        <f>(((Table134567891011121314151617343[[#This Row],[EA19]]-VLOOKUP($U$1,A:F,6,))/VLOOKUP($U$1,A:F,6,))*100)+100</f>
        <v/>
      </c>
      <c r="M119" s="76">
        <f>(((Table134567891011121314151617343[[#This Row],[GBR]]-VLOOKUP($U$1,A:G,7,))/VLOOKUP($U$1,A:G,7,))*100)+100</f>
        <v/>
      </c>
      <c r="N119" s="76">
        <f>IF(VLOOKUP(A119,Database!$A:$AU,MATCH($N$1,Database!$A$1:$AU$1,0),FALSE)=0,#N/A,VLOOKUP(A119,Database!$A:$AU,MATCH($N$1,Database!$A$1:$AU$1,0),FALSE))</f>
        <v/>
      </c>
      <c r="O119" s="76">
        <f>(((Table134567891011121314151617343[[#This Row],[USA]]-VLOOKUP($U$1,A:N,14,))/VLOOKUP($U$1,A:N,14,))*100)+100</f>
        <v/>
      </c>
      <c r="P119" s="76">
        <f>IF(VLOOKUP(A119,Database!$A:$AS,MATCH($P$1,Database!$A$1:$AS$1,0),FALSE)=0,#N/A,VLOOKUP(A119,Database!$A:$AS,MATCH($P$1,Database!$A$1:$AS$1,0),FALSE))</f>
        <v/>
      </c>
      <c r="Q119" s="76">
        <f>(((Table134567891011121314151617343[[#This Row],[JPN]]-VLOOKUP($U$1,A:Q,16,))/VLOOKUP($U$1,A:Q,16,))*100)+100</f>
        <v/>
      </c>
    </row>
    <row r="120" customFormat="1" s="86">
      <c r="A120" s="21" t="n">
        <v>36465</v>
      </c>
      <c r="B120" s="76">
        <f>IF(VLOOKUP(A120,Database!$A:$AS,MATCH($B$1,Database!$A$1:$AS$1,0),FALSE)=0,#N/A,VLOOKUP(A120,Database!$A:$AS,MATCH($B$1,Database!$A$1:$AS$1,0),FALSE))</f>
        <v/>
      </c>
      <c r="C120" s="76">
        <f>IF(VLOOKUP(A120,Database!$A:$AS,MATCH($C$1,Database!$A$1:$AS$1,0),FALSE)=0,#N/A,VLOOKUP(A120,Database!$A:$AS,MATCH($C$1,Database!$A$1:$AS$1,0),FALSE))</f>
        <v/>
      </c>
      <c r="D120" s="76">
        <f>IF(VLOOKUP(A120,Database!$A:$AS,MATCH($D$1,Database!$A$1:$AS$1,0),FALSE)=0,#N/A,VLOOKUP(A120,Database!$A:$AS,MATCH($D$1,Database!$A$1:$AS$1,0),FALSE))</f>
        <v/>
      </c>
      <c r="E120" s="76">
        <f>IF(VLOOKUP(A120,Database!$A:$AS,MATCH($E$1,Database!$A$1:$AS$1,0),FALSE)=0,#N/A,VLOOKUP(A120,Database!$A:$AS,MATCH($E$1,Database!$A$1:$AS$1,0),FALSE))</f>
        <v/>
      </c>
      <c r="F120" s="76">
        <f>IF(VLOOKUP(A120,Database!$A:$AS,MATCH($F$1,Database!$A$1:$AS$1,0),FALSE)=0,#N/A,VLOOKUP(A120,Database!$A:$AS,MATCH($F$1,Database!$A$1:$AS$1,0),FALSE))</f>
        <v/>
      </c>
      <c r="G120" s="76">
        <f>IF(VLOOKUP(A120,Database!$A:$AS,MATCH($G$1,Database!$A$1:$AS$1,0),FALSE)=0,#N/A,VLOOKUP(A120,Database!$A:$AS,MATCH($G$1,Database!$A$1:$AS$1,0),FALSE))</f>
        <v/>
      </c>
      <c r="H120" s="76">
        <f>(((Table134567891011121314151617343[[#This Row],[ITA]]-VLOOKUP($U$1,A:B,2,))/VLOOKUP($U$1,A:B,2,))*100)+100</f>
        <v/>
      </c>
      <c r="I120" s="76">
        <f>(((Table134567891011121314151617343[[#This Row],[FRA]]-VLOOKUP($U$1,A:C,3,))/VLOOKUP($U$1,A:C,3,))*100)+100</f>
        <v/>
      </c>
      <c r="J120" s="76">
        <f>(((Table134567891011121314151617343[[#This Row],[DEU]]-VLOOKUP($U$1,A:D,4,))/VLOOKUP($U$1,A:D,4,))*100)+100</f>
        <v/>
      </c>
      <c r="K120" s="76">
        <f>(((Table134567891011121314151617343[[#This Row],[ESP]]-VLOOKUP($U$1,A:E,5,))/VLOOKUP($U$1,A:E,5,))*100)+100</f>
        <v/>
      </c>
      <c r="L120" s="76">
        <f>(((Table134567891011121314151617343[[#This Row],[EA19]]-VLOOKUP($U$1,A:F,6,))/VLOOKUP($U$1,A:F,6,))*100)+100</f>
        <v/>
      </c>
      <c r="M120" s="76">
        <f>(((Table134567891011121314151617343[[#This Row],[GBR]]-VLOOKUP($U$1,A:G,7,))/VLOOKUP($U$1,A:G,7,))*100)+100</f>
        <v/>
      </c>
      <c r="N120" s="76">
        <f>IF(VLOOKUP(A120,Database!$A:$AU,MATCH($N$1,Database!$A$1:$AU$1,0),FALSE)=0,#N/A,VLOOKUP(A120,Database!$A:$AU,MATCH($N$1,Database!$A$1:$AU$1,0),FALSE))</f>
        <v/>
      </c>
      <c r="O120" s="76">
        <f>(((Table134567891011121314151617343[[#This Row],[USA]]-VLOOKUP($U$1,A:N,14,))/VLOOKUP($U$1,A:N,14,))*100)+100</f>
        <v/>
      </c>
      <c r="P120" s="76">
        <f>IF(VLOOKUP(A120,Database!$A:$AS,MATCH($P$1,Database!$A$1:$AS$1,0),FALSE)=0,#N/A,VLOOKUP(A120,Database!$A:$AS,MATCH($P$1,Database!$A$1:$AS$1,0),FALSE))</f>
        <v/>
      </c>
      <c r="Q120" s="76">
        <f>(((Table134567891011121314151617343[[#This Row],[JPN]]-VLOOKUP($U$1,A:Q,16,))/VLOOKUP($U$1,A:Q,16,))*100)+100</f>
        <v/>
      </c>
    </row>
    <row r="121" customFormat="1" s="86">
      <c r="A121" s="21" t="n">
        <v>36495</v>
      </c>
      <c r="B121" s="76">
        <f>IF(VLOOKUP(A121,Database!$A:$AS,MATCH($B$1,Database!$A$1:$AS$1,0),FALSE)=0,#N/A,VLOOKUP(A121,Database!$A:$AS,MATCH($B$1,Database!$A$1:$AS$1,0),FALSE))</f>
        <v/>
      </c>
      <c r="C121" s="76">
        <f>IF(VLOOKUP(A121,Database!$A:$AS,MATCH($C$1,Database!$A$1:$AS$1,0),FALSE)=0,#N/A,VLOOKUP(A121,Database!$A:$AS,MATCH($C$1,Database!$A$1:$AS$1,0),FALSE))</f>
        <v/>
      </c>
      <c r="D121" s="76">
        <f>IF(VLOOKUP(A121,Database!$A:$AS,MATCH($D$1,Database!$A$1:$AS$1,0),FALSE)=0,#N/A,VLOOKUP(A121,Database!$A:$AS,MATCH($D$1,Database!$A$1:$AS$1,0),FALSE))</f>
        <v/>
      </c>
      <c r="E121" s="76">
        <f>IF(VLOOKUP(A121,Database!$A:$AS,MATCH($E$1,Database!$A$1:$AS$1,0),FALSE)=0,#N/A,VLOOKUP(A121,Database!$A:$AS,MATCH($E$1,Database!$A$1:$AS$1,0),FALSE))</f>
        <v/>
      </c>
      <c r="F121" s="76">
        <f>IF(VLOOKUP(A121,Database!$A:$AS,MATCH($F$1,Database!$A$1:$AS$1,0),FALSE)=0,#N/A,VLOOKUP(A121,Database!$A:$AS,MATCH($F$1,Database!$A$1:$AS$1,0),FALSE))</f>
        <v/>
      </c>
      <c r="G121" s="76">
        <f>IF(VLOOKUP(A121,Database!$A:$AS,MATCH($G$1,Database!$A$1:$AS$1,0),FALSE)=0,#N/A,VLOOKUP(A121,Database!$A:$AS,MATCH($G$1,Database!$A$1:$AS$1,0),FALSE))</f>
        <v/>
      </c>
      <c r="H121" s="76">
        <f>(((Table134567891011121314151617343[[#This Row],[ITA]]-VLOOKUP($U$1,A:B,2,))/VLOOKUP($U$1,A:B,2,))*100)+100</f>
        <v/>
      </c>
      <c r="I121" s="76">
        <f>(((Table134567891011121314151617343[[#This Row],[FRA]]-VLOOKUP($U$1,A:C,3,))/VLOOKUP($U$1,A:C,3,))*100)+100</f>
        <v/>
      </c>
      <c r="J121" s="76">
        <f>(((Table134567891011121314151617343[[#This Row],[DEU]]-VLOOKUP($U$1,A:D,4,))/VLOOKUP($U$1,A:D,4,))*100)+100</f>
        <v/>
      </c>
      <c r="K121" s="76">
        <f>(((Table134567891011121314151617343[[#This Row],[ESP]]-VLOOKUP($U$1,A:E,5,))/VLOOKUP($U$1,A:E,5,))*100)+100</f>
        <v/>
      </c>
      <c r="L121" s="76">
        <f>(((Table134567891011121314151617343[[#This Row],[EA19]]-VLOOKUP($U$1,A:F,6,))/VLOOKUP($U$1,A:F,6,))*100)+100</f>
        <v/>
      </c>
      <c r="M121" s="76">
        <f>(((Table134567891011121314151617343[[#This Row],[GBR]]-VLOOKUP($U$1,A:G,7,))/VLOOKUP($U$1,A:G,7,))*100)+100</f>
        <v/>
      </c>
      <c r="N121" s="76">
        <f>IF(VLOOKUP(A121,Database!$A:$AU,MATCH($N$1,Database!$A$1:$AU$1,0),FALSE)=0,#N/A,VLOOKUP(A121,Database!$A:$AU,MATCH($N$1,Database!$A$1:$AU$1,0),FALSE))</f>
        <v/>
      </c>
      <c r="O121" s="76">
        <f>(((Table134567891011121314151617343[[#This Row],[USA]]-VLOOKUP($U$1,A:N,14,))/VLOOKUP($U$1,A:N,14,))*100)+100</f>
        <v/>
      </c>
      <c r="P121" s="76">
        <f>IF(VLOOKUP(A121,Database!$A:$AS,MATCH($P$1,Database!$A$1:$AS$1,0),FALSE)=0,#N/A,VLOOKUP(A121,Database!$A:$AS,MATCH($P$1,Database!$A$1:$AS$1,0),FALSE))</f>
        <v/>
      </c>
      <c r="Q121" s="76">
        <f>(((Table134567891011121314151617343[[#This Row],[JPN]]-VLOOKUP($U$1,A:Q,16,))/VLOOKUP($U$1,A:Q,16,))*100)+100</f>
        <v/>
      </c>
    </row>
    <row r="122" customFormat="1" s="86">
      <c r="A122" s="21" t="n">
        <v>36526</v>
      </c>
      <c r="B122" s="76">
        <f>IF(VLOOKUP(A122,Database!$A:$AS,MATCH($B$1,Database!$A$1:$AS$1,0),FALSE)=0,#N/A,VLOOKUP(A122,Database!$A:$AS,MATCH($B$1,Database!$A$1:$AS$1,0),FALSE))</f>
        <v/>
      </c>
      <c r="C122" s="76">
        <f>IF(VLOOKUP(A122,Database!$A:$AS,MATCH($C$1,Database!$A$1:$AS$1,0),FALSE)=0,#N/A,VLOOKUP(A122,Database!$A:$AS,MATCH($C$1,Database!$A$1:$AS$1,0),FALSE))</f>
        <v/>
      </c>
      <c r="D122" s="76">
        <f>IF(VLOOKUP(A122,Database!$A:$AS,MATCH($D$1,Database!$A$1:$AS$1,0),FALSE)=0,#N/A,VLOOKUP(A122,Database!$A:$AS,MATCH($D$1,Database!$A$1:$AS$1,0),FALSE))</f>
        <v/>
      </c>
      <c r="E122" s="76">
        <f>IF(VLOOKUP(A122,Database!$A:$AS,MATCH($E$1,Database!$A$1:$AS$1,0),FALSE)=0,#N/A,VLOOKUP(A122,Database!$A:$AS,MATCH($E$1,Database!$A$1:$AS$1,0),FALSE))</f>
        <v/>
      </c>
      <c r="F122" s="76">
        <f>IF(VLOOKUP(A122,Database!$A:$AS,MATCH($F$1,Database!$A$1:$AS$1,0),FALSE)=0,#N/A,VLOOKUP(A122,Database!$A:$AS,MATCH($F$1,Database!$A$1:$AS$1,0),FALSE))</f>
        <v/>
      </c>
      <c r="G122" s="76">
        <f>IF(VLOOKUP(A122,Database!$A:$AS,MATCH($G$1,Database!$A$1:$AS$1,0),FALSE)=0,#N/A,VLOOKUP(A122,Database!$A:$AS,MATCH($G$1,Database!$A$1:$AS$1,0),FALSE))</f>
        <v/>
      </c>
      <c r="H122" s="76">
        <f>(((Table134567891011121314151617343[[#This Row],[ITA]]-VLOOKUP($U$1,A:B,2,))/VLOOKUP($U$1,A:B,2,))*100)+100</f>
        <v/>
      </c>
      <c r="I122" s="76">
        <f>(((Table134567891011121314151617343[[#This Row],[FRA]]-VLOOKUP($U$1,A:C,3,))/VLOOKUP($U$1,A:C,3,))*100)+100</f>
        <v/>
      </c>
      <c r="J122" s="76">
        <f>(((Table134567891011121314151617343[[#This Row],[DEU]]-VLOOKUP($U$1,A:D,4,))/VLOOKUP($U$1,A:D,4,))*100)+100</f>
        <v/>
      </c>
      <c r="K122" s="76">
        <f>(((Table134567891011121314151617343[[#This Row],[ESP]]-VLOOKUP($U$1,A:E,5,))/VLOOKUP($U$1,A:E,5,))*100)+100</f>
        <v/>
      </c>
      <c r="L122" s="76">
        <f>(((Table134567891011121314151617343[[#This Row],[EA19]]-VLOOKUP($U$1,A:F,6,))/VLOOKUP($U$1,A:F,6,))*100)+100</f>
        <v/>
      </c>
      <c r="M122" s="76">
        <f>(((Table134567891011121314151617343[[#This Row],[GBR]]-VLOOKUP($U$1,A:G,7,))/VLOOKUP($U$1,A:G,7,))*100)+100</f>
        <v/>
      </c>
      <c r="N122" s="76">
        <f>IF(VLOOKUP(A122,Database!$A:$AU,MATCH($N$1,Database!$A$1:$AU$1,0),FALSE)=0,#N/A,VLOOKUP(A122,Database!$A:$AU,MATCH($N$1,Database!$A$1:$AU$1,0),FALSE))</f>
        <v/>
      </c>
      <c r="O122" s="76">
        <f>(((Table134567891011121314151617343[[#This Row],[USA]]-VLOOKUP($U$1,A:N,14,))/VLOOKUP($U$1,A:N,14,))*100)+100</f>
        <v/>
      </c>
      <c r="P122" s="76">
        <f>IF(VLOOKUP(A122,Database!$A:$AS,MATCH($P$1,Database!$A$1:$AS$1,0),FALSE)=0,#N/A,VLOOKUP(A122,Database!$A:$AS,MATCH($P$1,Database!$A$1:$AS$1,0),FALSE))</f>
        <v/>
      </c>
      <c r="Q122" s="76">
        <f>(((Table134567891011121314151617343[[#This Row],[JPN]]-VLOOKUP($U$1,A:Q,16,))/VLOOKUP($U$1,A:Q,16,))*100)+100</f>
        <v/>
      </c>
    </row>
    <row r="123" customFormat="1" s="86">
      <c r="A123" s="21" t="n">
        <v>36557</v>
      </c>
      <c r="B123" s="76">
        <f>IF(VLOOKUP(A123,Database!$A:$AS,MATCH($B$1,Database!$A$1:$AS$1,0),FALSE)=0,#N/A,VLOOKUP(A123,Database!$A:$AS,MATCH($B$1,Database!$A$1:$AS$1,0),FALSE))</f>
        <v/>
      </c>
      <c r="C123" s="76">
        <f>IF(VLOOKUP(A123,Database!$A:$AS,MATCH($C$1,Database!$A$1:$AS$1,0),FALSE)=0,#N/A,VLOOKUP(A123,Database!$A:$AS,MATCH($C$1,Database!$A$1:$AS$1,0),FALSE))</f>
        <v/>
      </c>
      <c r="D123" s="76">
        <f>IF(VLOOKUP(A123,Database!$A:$AS,MATCH($D$1,Database!$A$1:$AS$1,0),FALSE)=0,#N/A,VLOOKUP(A123,Database!$A:$AS,MATCH($D$1,Database!$A$1:$AS$1,0),FALSE))</f>
        <v/>
      </c>
      <c r="E123" s="76">
        <f>IF(VLOOKUP(A123,Database!$A:$AS,MATCH($E$1,Database!$A$1:$AS$1,0),FALSE)=0,#N/A,VLOOKUP(A123,Database!$A:$AS,MATCH($E$1,Database!$A$1:$AS$1,0),FALSE))</f>
        <v/>
      </c>
      <c r="F123" s="76">
        <f>IF(VLOOKUP(A123,Database!$A:$AS,MATCH($F$1,Database!$A$1:$AS$1,0),FALSE)=0,#N/A,VLOOKUP(A123,Database!$A:$AS,MATCH($F$1,Database!$A$1:$AS$1,0),FALSE))</f>
        <v/>
      </c>
      <c r="G123" s="76">
        <f>IF(VLOOKUP(A123,Database!$A:$AS,MATCH($G$1,Database!$A$1:$AS$1,0),FALSE)=0,#N/A,VLOOKUP(A123,Database!$A:$AS,MATCH($G$1,Database!$A$1:$AS$1,0),FALSE))</f>
        <v/>
      </c>
      <c r="H123" s="76">
        <f>(((Table134567891011121314151617343[[#This Row],[ITA]]-VLOOKUP($U$1,A:B,2,))/VLOOKUP($U$1,A:B,2,))*100)+100</f>
        <v/>
      </c>
      <c r="I123" s="76">
        <f>(((Table134567891011121314151617343[[#This Row],[FRA]]-VLOOKUP($U$1,A:C,3,))/VLOOKUP($U$1,A:C,3,))*100)+100</f>
        <v/>
      </c>
      <c r="J123" s="76">
        <f>(((Table134567891011121314151617343[[#This Row],[DEU]]-VLOOKUP($U$1,A:D,4,))/VLOOKUP($U$1,A:D,4,))*100)+100</f>
        <v/>
      </c>
      <c r="K123" s="76">
        <f>(((Table134567891011121314151617343[[#This Row],[ESP]]-VLOOKUP($U$1,A:E,5,))/VLOOKUP($U$1,A:E,5,))*100)+100</f>
        <v/>
      </c>
      <c r="L123" s="76">
        <f>(((Table134567891011121314151617343[[#This Row],[EA19]]-VLOOKUP($U$1,A:F,6,))/VLOOKUP($U$1,A:F,6,))*100)+100</f>
        <v/>
      </c>
      <c r="M123" s="76">
        <f>(((Table134567891011121314151617343[[#This Row],[GBR]]-VLOOKUP($U$1,A:G,7,))/VLOOKUP($U$1,A:G,7,))*100)+100</f>
        <v/>
      </c>
      <c r="N123" s="76">
        <f>IF(VLOOKUP(A123,Database!$A:$AU,MATCH($N$1,Database!$A$1:$AU$1,0),FALSE)=0,#N/A,VLOOKUP(A123,Database!$A:$AU,MATCH($N$1,Database!$A$1:$AU$1,0),FALSE))</f>
        <v/>
      </c>
      <c r="O123" s="76">
        <f>(((Table134567891011121314151617343[[#This Row],[USA]]-VLOOKUP($U$1,A:N,14,))/VLOOKUP($U$1,A:N,14,))*100)+100</f>
        <v/>
      </c>
      <c r="P123" s="76">
        <f>IF(VLOOKUP(A123,Database!$A:$AS,MATCH($P$1,Database!$A$1:$AS$1,0),FALSE)=0,#N/A,VLOOKUP(A123,Database!$A:$AS,MATCH($P$1,Database!$A$1:$AS$1,0),FALSE))</f>
        <v/>
      </c>
      <c r="Q123" s="76">
        <f>(((Table134567891011121314151617343[[#This Row],[JPN]]-VLOOKUP($U$1,A:Q,16,))/VLOOKUP($U$1,A:Q,16,))*100)+100</f>
        <v/>
      </c>
    </row>
    <row r="124" customFormat="1" s="86">
      <c r="A124" s="21" t="n">
        <v>36586</v>
      </c>
      <c r="B124" s="76">
        <f>IF(VLOOKUP(A124,Database!$A:$AS,MATCH($B$1,Database!$A$1:$AS$1,0),FALSE)=0,#N/A,VLOOKUP(A124,Database!$A:$AS,MATCH($B$1,Database!$A$1:$AS$1,0),FALSE))</f>
        <v/>
      </c>
      <c r="C124" s="76">
        <f>IF(VLOOKUP(A124,Database!$A:$AS,MATCH($C$1,Database!$A$1:$AS$1,0),FALSE)=0,#N/A,VLOOKUP(A124,Database!$A:$AS,MATCH($C$1,Database!$A$1:$AS$1,0),FALSE))</f>
        <v/>
      </c>
      <c r="D124" s="76">
        <f>IF(VLOOKUP(A124,Database!$A:$AS,MATCH($D$1,Database!$A$1:$AS$1,0),FALSE)=0,#N/A,VLOOKUP(A124,Database!$A:$AS,MATCH($D$1,Database!$A$1:$AS$1,0),FALSE))</f>
        <v/>
      </c>
      <c r="E124" s="76">
        <f>IF(VLOOKUP(A124,Database!$A:$AS,MATCH($E$1,Database!$A$1:$AS$1,0),FALSE)=0,#N/A,VLOOKUP(A124,Database!$A:$AS,MATCH($E$1,Database!$A$1:$AS$1,0),FALSE))</f>
        <v/>
      </c>
      <c r="F124" s="76">
        <f>IF(VLOOKUP(A124,Database!$A:$AS,MATCH($F$1,Database!$A$1:$AS$1,0),FALSE)=0,#N/A,VLOOKUP(A124,Database!$A:$AS,MATCH($F$1,Database!$A$1:$AS$1,0),FALSE))</f>
        <v/>
      </c>
      <c r="G124" s="76">
        <f>IF(VLOOKUP(A124,Database!$A:$AS,MATCH($G$1,Database!$A$1:$AS$1,0),FALSE)=0,#N/A,VLOOKUP(A124,Database!$A:$AS,MATCH($G$1,Database!$A$1:$AS$1,0),FALSE))</f>
        <v/>
      </c>
      <c r="H124" s="76">
        <f>(((Table134567891011121314151617343[[#This Row],[ITA]]-VLOOKUP($U$1,A:B,2,))/VLOOKUP($U$1,A:B,2,))*100)+100</f>
        <v/>
      </c>
      <c r="I124" s="76">
        <f>(((Table134567891011121314151617343[[#This Row],[FRA]]-VLOOKUP($U$1,A:C,3,))/VLOOKUP($U$1,A:C,3,))*100)+100</f>
        <v/>
      </c>
      <c r="J124" s="76">
        <f>(((Table134567891011121314151617343[[#This Row],[DEU]]-VLOOKUP($U$1,A:D,4,))/VLOOKUP($U$1,A:D,4,))*100)+100</f>
        <v/>
      </c>
      <c r="K124" s="76">
        <f>(((Table134567891011121314151617343[[#This Row],[ESP]]-VLOOKUP($U$1,A:E,5,))/VLOOKUP($U$1,A:E,5,))*100)+100</f>
        <v/>
      </c>
      <c r="L124" s="76">
        <f>(((Table134567891011121314151617343[[#This Row],[EA19]]-VLOOKUP($U$1,A:F,6,))/VLOOKUP($U$1,A:F,6,))*100)+100</f>
        <v/>
      </c>
      <c r="M124" s="76">
        <f>(((Table134567891011121314151617343[[#This Row],[GBR]]-VLOOKUP($U$1,A:G,7,))/VLOOKUP($U$1,A:G,7,))*100)+100</f>
        <v/>
      </c>
      <c r="N124" s="76">
        <f>IF(VLOOKUP(A124,Database!$A:$AU,MATCH($N$1,Database!$A$1:$AU$1,0),FALSE)=0,#N/A,VLOOKUP(A124,Database!$A:$AU,MATCH($N$1,Database!$A$1:$AU$1,0),FALSE))</f>
        <v/>
      </c>
      <c r="O124" s="76">
        <f>(((Table134567891011121314151617343[[#This Row],[USA]]-VLOOKUP($U$1,A:N,14,))/VLOOKUP($U$1,A:N,14,))*100)+100</f>
        <v/>
      </c>
      <c r="P124" s="76">
        <f>IF(VLOOKUP(A124,Database!$A:$AS,MATCH($P$1,Database!$A$1:$AS$1,0),FALSE)=0,#N/A,VLOOKUP(A124,Database!$A:$AS,MATCH($P$1,Database!$A$1:$AS$1,0),FALSE))</f>
        <v/>
      </c>
      <c r="Q124" s="76">
        <f>(((Table134567891011121314151617343[[#This Row],[JPN]]-VLOOKUP($U$1,A:Q,16,))/VLOOKUP($U$1,A:Q,16,))*100)+100</f>
        <v/>
      </c>
    </row>
    <row r="125" customFormat="1" s="86">
      <c r="A125" s="21" t="n">
        <v>36617</v>
      </c>
      <c r="B125" s="76">
        <f>IF(VLOOKUP(A125,Database!$A:$AS,MATCH($B$1,Database!$A$1:$AS$1,0),FALSE)=0,#N/A,VLOOKUP(A125,Database!$A:$AS,MATCH($B$1,Database!$A$1:$AS$1,0),FALSE))</f>
        <v/>
      </c>
      <c r="C125" s="76">
        <f>IF(VLOOKUP(A125,Database!$A:$AS,MATCH($C$1,Database!$A$1:$AS$1,0),FALSE)=0,#N/A,VLOOKUP(A125,Database!$A:$AS,MATCH($C$1,Database!$A$1:$AS$1,0),FALSE))</f>
        <v/>
      </c>
      <c r="D125" s="76">
        <f>IF(VLOOKUP(A125,Database!$A:$AS,MATCH($D$1,Database!$A$1:$AS$1,0),FALSE)=0,#N/A,VLOOKUP(A125,Database!$A:$AS,MATCH($D$1,Database!$A$1:$AS$1,0),FALSE))</f>
        <v/>
      </c>
      <c r="E125" s="76">
        <f>IF(VLOOKUP(A125,Database!$A:$AS,MATCH($E$1,Database!$A$1:$AS$1,0),FALSE)=0,#N/A,VLOOKUP(A125,Database!$A:$AS,MATCH($E$1,Database!$A$1:$AS$1,0),FALSE))</f>
        <v/>
      </c>
      <c r="F125" s="76">
        <f>IF(VLOOKUP(A125,Database!$A:$AS,MATCH($F$1,Database!$A$1:$AS$1,0),FALSE)=0,#N/A,VLOOKUP(A125,Database!$A:$AS,MATCH($F$1,Database!$A$1:$AS$1,0),FALSE))</f>
        <v/>
      </c>
      <c r="G125" s="76">
        <f>IF(VLOOKUP(A125,Database!$A:$AS,MATCH($G$1,Database!$A$1:$AS$1,0),FALSE)=0,#N/A,VLOOKUP(A125,Database!$A:$AS,MATCH($G$1,Database!$A$1:$AS$1,0),FALSE))</f>
        <v/>
      </c>
      <c r="H125" s="76">
        <f>(((Table134567891011121314151617343[[#This Row],[ITA]]-VLOOKUP($U$1,A:B,2,))/VLOOKUP($U$1,A:B,2,))*100)+100</f>
        <v/>
      </c>
      <c r="I125" s="76">
        <f>(((Table134567891011121314151617343[[#This Row],[FRA]]-VLOOKUP($U$1,A:C,3,))/VLOOKUP($U$1,A:C,3,))*100)+100</f>
        <v/>
      </c>
      <c r="J125" s="76">
        <f>(((Table134567891011121314151617343[[#This Row],[DEU]]-VLOOKUP($U$1,A:D,4,))/VLOOKUP($U$1,A:D,4,))*100)+100</f>
        <v/>
      </c>
      <c r="K125" s="76">
        <f>(((Table134567891011121314151617343[[#This Row],[ESP]]-VLOOKUP($U$1,A:E,5,))/VLOOKUP($U$1,A:E,5,))*100)+100</f>
        <v/>
      </c>
      <c r="L125" s="76">
        <f>(((Table134567891011121314151617343[[#This Row],[EA19]]-VLOOKUP($U$1,A:F,6,))/VLOOKUP($U$1,A:F,6,))*100)+100</f>
        <v/>
      </c>
      <c r="M125" s="76">
        <f>(((Table134567891011121314151617343[[#This Row],[GBR]]-VLOOKUP($U$1,A:G,7,))/VLOOKUP($U$1,A:G,7,))*100)+100</f>
        <v/>
      </c>
      <c r="N125" s="76">
        <f>IF(VLOOKUP(A125,Database!$A:$AU,MATCH($N$1,Database!$A$1:$AU$1,0),FALSE)=0,#N/A,VLOOKUP(A125,Database!$A:$AU,MATCH($N$1,Database!$A$1:$AU$1,0),FALSE))</f>
        <v/>
      </c>
      <c r="O125" s="76">
        <f>(((Table134567891011121314151617343[[#This Row],[USA]]-VLOOKUP($U$1,A:N,14,))/VLOOKUP($U$1,A:N,14,))*100)+100</f>
        <v/>
      </c>
      <c r="P125" s="76">
        <f>IF(VLOOKUP(A125,Database!$A:$AS,MATCH($P$1,Database!$A$1:$AS$1,0),FALSE)=0,#N/A,VLOOKUP(A125,Database!$A:$AS,MATCH($P$1,Database!$A$1:$AS$1,0),FALSE))</f>
        <v/>
      </c>
      <c r="Q125" s="76">
        <f>(((Table134567891011121314151617343[[#This Row],[JPN]]-VLOOKUP($U$1,A:Q,16,))/VLOOKUP($U$1,A:Q,16,))*100)+100</f>
        <v/>
      </c>
    </row>
    <row r="126" customFormat="1" s="86">
      <c r="A126" s="21" t="n">
        <v>36647</v>
      </c>
      <c r="B126" s="76">
        <f>IF(VLOOKUP(A126,Database!$A:$AS,MATCH($B$1,Database!$A$1:$AS$1,0),FALSE)=0,#N/A,VLOOKUP(A126,Database!$A:$AS,MATCH($B$1,Database!$A$1:$AS$1,0),FALSE))</f>
        <v/>
      </c>
      <c r="C126" s="76">
        <f>IF(VLOOKUP(A126,Database!$A:$AS,MATCH($C$1,Database!$A$1:$AS$1,0),FALSE)=0,#N/A,VLOOKUP(A126,Database!$A:$AS,MATCH($C$1,Database!$A$1:$AS$1,0),FALSE))</f>
        <v/>
      </c>
      <c r="D126" s="76">
        <f>IF(VLOOKUP(A126,Database!$A:$AS,MATCH($D$1,Database!$A$1:$AS$1,0),FALSE)=0,#N/A,VLOOKUP(A126,Database!$A:$AS,MATCH($D$1,Database!$A$1:$AS$1,0),FALSE))</f>
        <v/>
      </c>
      <c r="E126" s="76">
        <f>IF(VLOOKUP(A126,Database!$A:$AS,MATCH($E$1,Database!$A$1:$AS$1,0),FALSE)=0,#N/A,VLOOKUP(A126,Database!$A:$AS,MATCH($E$1,Database!$A$1:$AS$1,0),FALSE))</f>
        <v/>
      </c>
      <c r="F126" s="76">
        <f>IF(VLOOKUP(A126,Database!$A:$AS,MATCH($F$1,Database!$A$1:$AS$1,0),FALSE)=0,#N/A,VLOOKUP(A126,Database!$A:$AS,MATCH($F$1,Database!$A$1:$AS$1,0),FALSE))</f>
        <v/>
      </c>
      <c r="G126" s="76">
        <f>IF(VLOOKUP(A126,Database!$A:$AS,MATCH($G$1,Database!$A$1:$AS$1,0),FALSE)=0,#N/A,VLOOKUP(A126,Database!$A:$AS,MATCH($G$1,Database!$A$1:$AS$1,0),FALSE))</f>
        <v/>
      </c>
      <c r="H126" s="76">
        <f>(((Table134567891011121314151617343[[#This Row],[ITA]]-VLOOKUP($U$1,A:B,2,))/VLOOKUP($U$1,A:B,2,))*100)+100</f>
        <v/>
      </c>
      <c r="I126" s="76">
        <f>(((Table134567891011121314151617343[[#This Row],[FRA]]-VLOOKUP($U$1,A:C,3,))/VLOOKUP($U$1,A:C,3,))*100)+100</f>
        <v/>
      </c>
      <c r="J126" s="76">
        <f>(((Table134567891011121314151617343[[#This Row],[DEU]]-VLOOKUP($U$1,A:D,4,))/VLOOKUP($U$1,A:D,4,))*100)+100</f>
        <v/>
      </c>
      <c r="K126" s="76">
        <f>(((Table134567891011121314151617343[[#This Row],[ESP]]-VLOOKUP($U$1,A:E,5,))/VLOOKUP($U$1,A:E,5,))*100)+100</f>
        <v/>
      </c>
      <c r="L126" s="76">
        <f>(((Table134567891011121314151617343[[#This Row],[EA19]]-VLOOKUP($U$1,A:F,6,))/VLOOKUP($U$1,A:F,6,))*100)+100</f>
        <v/>
      </c>
      <c r="M126" s="76">
        <f>(((Table134567891011121314151617343[[#This Row],[GBR]]-VLOOKUP($U$1,A:G,7,))/VLOOKUP($U$1,A:G,7,))*100)+100</f>
        <v/>
      </c>
      <c r="N126" s="76">
        <f>IF(VLOOKUP(A126,Database!$A:$AU,MATCH($N$1,Database!$A$1:$AU$1,0),FALSE)=0,#N/A,VLOOKUP(A126,Database!$A:$AU,MATCH($N$1,Database!$A$1:$AU$1,0),FALSE))</f>
        <v/>
      </c>
      <c r="O126" s="76">
        <f>(((Table134567891011121314151617343[[#This Row],[USA]]-VLOOKUP($U$1,A:N,14,))/VLOOKUP($U$1,A:N,14,))*100)+100</f>
        <v/>
      </c>
      <c r="P126" s="76">
        <f>IF(VLOOKUP(A126,Database!$A:$AS,MATCH($P$1,Database!$A$1:$AS$1,0),FALSE)=0,#N/A,VLOOKUP(A126,Database!$A:$AS,MATCH($P$1,Database!$A$1:$AS$1,0),FALSE))</f>
        <v/>
      </c>
      <c r="Q126" s="76">
        <f>(((Table134567891011121314151617343[[#This Row],[JPN]]-VLOOKUP($U$1,A:Q,16,))/VLOOKUP($U$1,A:Q,16,))*100)+100</f>
        <v/>
      </c>
    </row>
    <row r="127" customFormat="1" s="86">
      <c r="A127" s="21" t="n">
        <v>36678</v>
      </c>
      <c r="B127" s="76">
        <f>IF(VLOOKUP(A127,Database!$A:$AS,MATCH($B$1,Database!$A$1:$AS$1,0),FALSE)=0,#N/A,VLOOKUP(A127,Database!$A:$AS,MATCH($B$1,Database!$A$1:$AS$1,0),FALSE))</f>
        <v/>
      </c>
      <c r="C127" s="76">
        <f>IF(VLOOKUP(A127,Database!$A:$AS,MATCH($C$1,Database!$A$1:$AS$1,0),FALSE)=0,#N/A,VLOOKUP(A127,Database!$A:$AS,MATCH($C$1,Database!$A$1:$AS$1,0),FALSE))</f>
        <v/>
      </c>
      <c r="D127" s="76">
        <f>IF(VLOOKUP(A127,Database!$A:$AS,MATCH($D$1,Database!$A$1:$AS$1,0),FALSE)=0,#N/A,VLOOKUP(A127,Database!$A:$AS,MATCH($D$1,Database!$A$1:$AS$1,0),FALSE))</f>
        <v/>
      </c>
      <c r="E127" s="76">
        <f>IF(VLOOKUP(A127,Database!$A:$AS,MATCH($E$1,Database!$A$1:$AS$1,0),FALSE)=0,#N/A,VLOOKUP(A127,Database!$A:$AS,MATCH($E$1,Database!$A$1:$AS$1,0),FALSE))</f>
        <v/>
      </c>
      <c r="F127" s="76">
        <f>IF(VLOOKUP(A127,Database!$A:$AS,MATCH($F$1,Database!$A$1:$AS$1,0),FALSE)=0,#N/A,VLOOKUP(A127,Database!$A:$AS,MATCH($F$1,Database!$A$1:$AS$1,0),FALSE))</f>
        <v/>
      </c>
      <c r="G127" s="76">
        <f>IF(VLOOKUP(A127,Database!$A:$AS,MATCH($G$1,Database!$A$1:$AS$1,0),FALSE)=0,#N/A,VLOOKUP(A127,Database!$A:$AS,MATCH($G$1,Database!$A$1:$AS$1,0),FALSE))</f>
        <v/>
      </c>
      <c r="H127" s="76">
        <f>(((Table134567891011121314151617343[[#This Row],[ITA]]-VLOOKUP($U$1,A:B,2,))/VLOOKUP($U$1,A:B,2,))*100)+100</f>
        <v/>
      </c>
      <c r="I127" s="76">
        <f>(((Table134567891011121314151617343[[#This Row],[FRA]]-VLOOKUP($U$1,A:C,3,))/VLOOKUP($U$1,A:C,3,))*100)+100</f>
        <v/>
      </c>
      <c r="J127" s="76">
        <f>(((Table134567891011121314151617343[[#This Row],[DEU]]-VLOOKUP($U$1,A:D,4,))/VLOOKUP($U$1,A:D,4,))*100)+100</f>
        <v/>
      </c>
      <c r="K127" s="76">
        <f>(((Table134567891011121314151617343[[#This Row],[ESP]]-VLOOKUP($U$1,A:E,5,))/VLOOKUP($U$1,A:E,5,))*100)+100</f>
        <v/>
      </c>
      <c r="L127" s="76">
        <f>(((Table134567891011121314151617343[[#This Row],[EA19]]-VLOOKUP($U$1,A:F,6,))/VLOOKUP($U$1,A:F,6,))*100)+100</f>
        <v/>
      </c>
      <c r="M127" s="76">
        <f>(((Table134567891011121314151617343[[#This Row],[GBR]]-VLOOKUP($U$1,A:G,7,))/VLOOKUP($U$1,A:G,7,))*100)+100</f>
        <v/>
      </c>
      <c r="N127" s="76">
        <f>IF(VLOOKUP(A127,Database!$A:$AU,MATCH($N$1,Database!$A$1:$AU$1,0),FALSE)=0,#N/A,VLOOKUP(A127,Database!$A:$AU,MATCH($N$1,Database!$A$1:$AU$1,0),FALSE))</f>
        <v/>
      </c>
      <c r="O127" s="76">
        <f>(((Table134567891011121314151617343[[#This Row],[USA]]-VLOOKUP($U$1,A:N,14,))/VLOOKUP($U$1,A:N,14,))*100)+100</f>
        <v/>
      </c>
      <c r="P127" s="76">
        <f>IF(VLOOKUP(A127,Database!$A:$AS,MATCH($P$1,Database!$A$1:$AS$1,0),FALSE)=0,#N/A,VLOOKUP(A127,Database!$A:$AS,MATCH($P$1,Database!$A$1:$AS$1,0),FALSE))</f>
        <v/>
      </c>
      <c r="Q127" s="76">
        <f>(((Table134567891011121314151617343[[#This Row],[JPN]]-VLOOKUP($U$1,A:Q,16,))/VLOOKUP($U$1,A:Q,16,))*100)+100</f>
        <v/>
      </c>
    </row>
    <row r="128" customFormat="1" s="86">
      <c r="A128" s="21" t="n">
        <v>36708</v>
      </c>
      <c r="B128" s="76">
        <f>IF(VLOOKUP(A128,Database!$A:$AS,MATCH($B$1,Database!$A$1:$AS$1,0),FALSE)=0,#N/A,VLOOKUP(A128,Database!$A:$AS,MATCH($B$1,Database!$A$1:$AS$1,0),FALSE))</f>
        <v/>
      </c>
      <c r="C128" s="76">
        <f>IF(VLOOKUP(A128,Database!$A:$AS,MATCH($C$1,Database!$A$1:$AS$1,0),FALSE)=0,#N/A,VLOOKUP(A128,Database!$A:$AS,MATCH($C$1,Database!$A$1:$AS$1,0),FALSE))</f>
        <v/>
      </c>
      <c r="D128" s="76">
        <f>IF(VLOOKUP(A128,Database!$A:$AS,MATCH($D$1,Database!$A$1:$AS$1,0),FALSE)=0,#N/A,VLOOKUP(A128,Database!$A:$AS,MATCH($D$1,Database!$A$1:$AS$1,0),FALSE))</f>
        <v/>
      </c>
      <c r="E128" s="76">
        <f>IF(VLOOKUP(A128,Database!$A:$AS,MATCH($E$1,Database!$A$1:$AS$1,0),FALSE)=0,#N/A,VLOOKUP(A128,Database!$A:$AS,MATCH($E$1,Database!$A$1:$AS$1,0),FALSE))</f>
        <v/>
      </c>
      <c r="F128" s="76">
        <f>IF(VLOOKUP(A128,Database!$A:$AS,MATCH($F$1,Database!$A$1:$AS$1,0),FALSE)=0,#N/A,VLOOKUP(A128,Database!$A:$AS,MATCH($F$1,Database!$A$1:$AS$1,0),FALSE))</f>
        <v/>
      </c>
      <c r="G128" s="76">
        <f>IF(VLOOKUP(A128,Database!$A:$AS,MATCH($G$1,Database!$A$1:$AS$1,0),FALSE)=0,#N/A,VLOOKUP(A128,Database!$A:$AS,MATCH($G$1,Database!$A$1:$AS$1,0),FALSE))</f>
        <v/>
      </c>
      <c r="H128" s="76">
        <f>(((Table134567891011121314151617343[[#This Row],[ITA]]-VLOOKUP($U$1,A:B,2,))/VLOOKUP($U$1,A:B,2,))*100)+100</f>
        <v/>
      </c>
      <c r="I128" s="76">
        <f>(((Table134567891011121314151617343[[#This Row],[FRA]]-VLOOKUP($U$1,A:C,3,))/VLOOKUP($U$1,A:C,3,))*100)+100</f>
        <v/>
      </c>
      <c r="J128" s="76">
        <f>(((Table134567891011121314151617343[[#This Row],[DEU]]-VLOOKUP($U$1,A:D,4,))/VLOOKUP($U$1,A:D,4,))*100)+100</f>
        <v/>
      </c>
      <c r="K128" s="76">
        <f>(((Table134567891011121314151617343[[#This Row],[ESP]]-VLOOKUP($U$1,A:E,5,))/VLOOKUP($U$1,A:E,5,))*100)+100</f>
        <v/>
      </c>
      <c r="L128" s="76">
        <f>(((Table134567891011121314151617343[[#This Row],[EA19]]-VLOOKUP($U$1,A:F,6,))/VLOOKUP($U$1,A:F,6,))*100)+100</f>
        <v/>
      </c>
      <c r="M128" s="76">
        <f>(((Table134567891011121314151617343[[#This Row],[GBR]]-VLOOKUP($U$1,A:G,7,))/VLOOKUP($U$1,A:G,7,))*100)+100</f>
        <v/>
      </c>
      <c r="N128" s="76">
        <f>IF(VLOOKUP(A128,Database!$A:$AU,MATCH($N$1,Database!$A$1:$AU$1,0),FALSE)=0,#N/A,VLOOKUP(A128,Database!$A:$AU,MATCH($N$1,Database!$A$1:$AU$1,0),FALSE))</f>
        <v/>
      </c>
      <c r="O128" s="76">
        <f>(((Table134567891011121314151617343[[#This Row],[USA]]-VLOOKUP($U$1,A:N,14,))/VLOOKUP($U$1,A:N,14,))*100)+100</f>
        <v/>
      </c>
      <c r="P128" s="76">
        <f>IF(VLOOKUP(A128,Database!$A:$AS,MATCH($P$1,Database!$A$1:$AS$1,0),FALSE)=0,#N/A,VLOOKUP(A128,Database!$A:$AS,MATCH($P$1,Database!$A$1:$AS$1,0),FALSE))</f>
        <v/>
      </c>
      <c r="Q128" s="76">
        <f>(((Table134567891011121314151617343[[#This Row],[JPN]]-VLOOKUP($U$1,A:Q,16,))/VLOOKUP($U$1,A:Q,16,))*100)+100</f>
        <v/>
      </c>
    </row>
    <row r="129" customFormat="1" s="86">
      <c r="A129" s="21" t="n">
        <v>36739</v>
      </c>
      <c r="B129" s="76">
        <f>IF(VLOOKUP(A129,Database!$A:$AS,MATCH($B$1,Database!$A$1:$AS$1,0),FALSE)=0,#N/A,VLOOKUP(A129,Database!$A:$AS,MATCH($B$1,Database!$A$1:$AS$1,0),FALSE))</f>
        <v/>
      </c>
      <c r="C129" s="76">
        <f>IF(VLOOKUP(A129,Database!$A:$AS,MATCH($C$1,Database!$A$1:$AS$1,0),FALSE)=0,#N/A,VLOOKUP(A129,Database!$A:$AS,MATCH($C$1,Database!$A$1:$AS$1,0),FALSE))</f>
        <v/>
      </c>
      <c r="D129" s="76">
        <f>IF(VLOOKUP(A129,Database!$A:$AS,MATCH($D$1,Database!$A$1:$AS$1,0),FALSE)=0,#N/A,VLOOKUP(A129,Database!$A:$AS,MATCH($D$1,Database!$A$1:$AS$1,0),FALSE))</f>
        <v/>
      </c>
      <c r="E129" s="76">
        <f>IF(VLOOKUP(A129,Database!$A:$AS,MATCH($E$1,Database!$A$1:$AS$1,0),FALSE)=0,#N/A,VLOOKUP(A129,Database!$A:$AS,MATCH($E$1,Database!$A$1:$AS$1,0),FALSE))</f>
        <v/>
      </c>
      <c r="F129" s="76">
        <f>IF(VLOOKUP(A129,Database!$A:$AS,MATCH($F$1,Database!$A$1:$AS$1,0),FALSE)=0,#N/A,VLOOKUP(A129,Database!$A:$AS,MATCH($F$1,Database!$A$1:$AS$1,0),FALSE))</f>
        <v/>
      </c>
      <c r="G129" s="76">
        <f>IF(VLOOKUP(A129,Database!$A:$AS,MATCH($G$1,Database!$A$1:$AS$1,0),FALSE)=0,#N/A,VLOOKUP(A129,Database!$A:$AS,MATCH($G$1,Database!$A$1:$AS$1,0),FALSE))</f>
        <v/>
      </c>
      <c r="H129" s="76">
        <f>(((Table134567891011121314151617343[[#This Row],[ITA]]-VLOOKUP($U$1,A:B,2,))/VLOOKUP($U$1,A:B,2,))*100)+100</f>
        <v/>
      </c>
      <c r="I129" s="76">
        <f>(((Table134567891011121314151617343[[#This Row],[FRA]]-VLOOKUP($U$1,A:C,3,))/VLOOKUP($U$1,A:C,3,))*100)+100</f>
        <v/>
      </c>
      <c r="J129" s="76">
        <f>(((Table134567891011121314151617343[[#This Row],[DEU]]-VLOOKUP($U$1,A:D,4,))/VLOOKUP($U$1,A:D,4,))*100)+100</f>
        <v/>
      </c>
      <c r="K129" s="76">
        <f>(((Table134567891011121314151617343[[#This Row],[ESP]]-VLOOKUP($U$1,A:E,5,))/VLOOKUP($U$1,A:E,5,))*100)+100</f>
        <v/>
      </c>
      <c r="L129" s="76">
        <f>(((Table134567891011121314151617343[[#This Row],[EA19]]-VLOOKUP($U$1,A:F,6,))/VLOOKUP($U$1,A:F,6,))*100)+100</f>
        <v/>
      </c>
      <c r="M129" s="76">
        <f>(((Table134567891011121314151617343[[#This Row],[GBR]]-VLOOKUP($U$1,A:G,7,))/VLOOKUP($U$1,A:G,7,))*100)+100</f>
        <v/>
      </c>
      <c r="N129" s="76">
        <f>IF(VLOOKUP(A129,Database!$A:$AU,MATCH($N$1,Database!$A$1:$AU$1,0),FALSE)=0,#N/A,VLOOKUP(A129,Database!$A:$AU,MATCH($N$1,Database!$A$1:$AU$1,0),FALSE))</f>
        <v/>
      </c>
      <c r="O129" s="76">
        <f>(((Table134567891011121314151617343[[#This Row],[USA]]-VLOOKUP($U$1,A:N,14,))/VLOOKUP($U$1,A:N,14,))*100)+100</f>
        <v/>
      </c>
      <c r="P129" s="76">
        <f>IF(VLOOKUP(A129,Database!$A:$AS,MATCH($P$1,Database!$A$1:$AS$1,0),FALSE)=0,#N/A,VLOOKUP(A129,Database!$A:$AS,MATCH($P$1,Database!$A$1:$AS$1,0),FALSE))</f>
        <v/>
      </c>
      <c r="Q129" s="76">
        <f>(((Table134567891011121314151617343[[#This Row],[JPN]]-VLOOKUP($U$1,A:Q,16,))/VLOOKUP($U$1,A:Q,16,))*100)+100</f>
        <v/>
      </c>
    </row>
    <row r="130" customFormat="1" s="86">
      <c r="A130" s="21" t="n">
        <v>36770</v>
      </c>
      <c r="B130" s="76">
        <f>IF(VLOOKUP(A130,Database!$A:$AS,MATCH($B$1,Database!$A$1:$AS$1,0),FALSE)=0,#N/A,VLOOKUP(A130,Database!$A:$AS,MATCH($B$1,Database!$A$1:$AS$1,0),FALSE))</f>
        <v/>
      </c>
      <c r="C130" s="76">
        <f>IF(VLOOKUP(A130,Database!$A:$AS,MATCH($C$1,Database!$A$1:$AS$1,0),FALSE)=0,#N/A,VLOOKUP(A130,Database!$A:$AS,MATCH($C$1,Database!$A$1:$AS$1,0),FALSE))</f>
        <v/>
      </c>
      <c r="D130" s="76">
        <f>IF(VLOOKUP(A130,Database!$A:$AS,MATCH($D$1,Database!$A$1:$AS$1,0),FALSE)=0,#N/A,VLOOKUP(A130,Database!$A:$AS,MATCH($D$1,Database!$A$1:$AS$1,0),FALSE))</f>
        <v/>
      </c>
      <c r="E130" s="76">
        <f>IF(VLOOKUP(A130,Database!$A:$AS,MATCH($E$1,Database!$A$1:$AS$1,0),FALSE)=0,#N/A,VLOOKUP(A130,Database!$A:$AS,MATCH($E$1,Database!$A$1:$AS$1,0),FALSE))</f>
        <v/>
      </c>
      <c r="F130" s="76">
        <f>IF(VLOOKUP(A130,Database!$A:$AS,MATCH($F$1,Database!$A$1:$AS$1,0),FALSE)=0,#N/A,VLOOKUP(A130,Database!$A:$AS,MATCH($F$1,Database!$A$1:$AS$1,0),FALSE))</f>
        <v/>
      </c>
      <c r="G130" s="76">
        <f>IF(VLOOKUP(A130,Database!$A:$AS,MATCH($G$1,Database!$A$1:$AS$1,0),FALSE)=0,#N/A,VLOOKUP(A130,Database!$A:$AS,MATCH($G$1,Database!$A$1:$AS$1,0),FALSE))</f>
        <v/>
      </c>
      <c r="H130" s="76">
        <f>(((Table134567891011121314151617343[[#This Row],[ITA]]-VLOOKUP($U$1,A:B,2,))/VLOOKUP($U$1,A:B,2,))*100)+100</f>
        <v/>
      </c>
      <c r="I130" s="76">
        <f>(((Table134567891011121314151617343[[#This Row],[FRA]]-VLOOKUP($U$1,A:C,3,))/VLOOKUP($U$1,A:C,3,))*100)+100</f>
        <v/>
      </c>
      <c r="J130" s="76">
        <f>(((Table134567891011121314151617343[[#This Row],[DEU]]-VLOOKUP($U$1,A:D,4,))/VLOOKUP($U$1,A:D,4,))*100)+100</f>
        <v/>
      </c>
      <c r="K130" s="76">
        <f>(((Table134567891011121314151617343[[#This Row],[ESP]]-VLOOKUP($U$1,A:E,5,))/VLOOKUP($U$1,A:E,5,))*100)+100</f>
        <v/>
      </c>
      <c r="L130" s="76">
        <f>(((Table134567891011121314151617343[[#This Row],[EA19]]-VLOOKUP($U$1,A:F,6,))/VLOOKUP($U$1,A:F,6,))*100)+100</f>
        <v/>
      </c>
      <c r="M130" s="76">
        <f>(((Table134567891011121314151617343[[#This Row],[GBR]]-VLOOKUP($U$1,A:G,7,))/VLOOKUP($U$1,A:G,7,))*100)+100</f>
        <v/>
      </c>
      <c r="N130" s="76">
        <f>IF(VLOOKUP(A130,Database!$A:$AU,MATCH($N$1,Database!$A$1:$AU$1,0),FALSE)=0,#N/A,VLOOKUP(A130,Database!$A:$AU,MATCH($N$1,Database!$A$1:$AU$1,0),FALSE))</f>
        <v/>
      </c>
      <c r="O130" s="76">
        <f>(((Table134567891011121314151617343[[#This Row],[USA]]-VLOOKUP($U$1,A:N,14,))/VLOOKUP($U$1,A:N,14,))*100)+100</f>
        <v/>
      </c>
      <c r="P130" s="76">
        <f>IF(VLOOKUP(A130,Database!$A:$AS,MATCH($P$1,Database!$A$1:$AS$1,0),FALSE)=0,#N/A,VLOOKUP(A130,Database!$A:$AS,MATCH($P$1,Database!$A$1:$AS$1,0),FALSE))</f>
        <v/>
      </c>
      <c r="Q130" s="76">
        <f>(((Table134567891011121314151617343[[#This Row],[JPN]]-VLOOKUP($U$1,A:Q,16,))/VLOOKUP($U$1,A:Q,16,))*100)+100</f>
        <v/>
      </c>
    </row>
    <row r="131" customFormat="1" s="86">
      <c r="A131" s="21" t="n">
        <v>36800</v>
      </c>
      <c r="B131" s="76">
        <f>IF(VLOOKUP(A131,Database!$A:$AS,MATCH($B$1,Database!$A$1:$AS$1,0),FALSE)=0,#N/A,VLOOKUP(A131,Database!$A:$AS,MATCH($B$1,Database!$A$1:$AS$1,0),FALSE))</f>
        <v/>
      </c>
      <c r="C131" s="76">
        <f>IF(VLOOKUP(A131,Database!$A:$AS,MATCH($C$1,Database!$A$1:$AS$1,0),FALSE)=0,#N/A,VLOOKUP(A131,Database!$A:$AS,MATCH($C$1,Database!$A$1:$AS$1,0),FALSE))</f>
        <v/>
      </c>
      <c r="D131" s="76">
        <f>IF(VLOOKUP(A131,Database!$A:$AS,MATCH($D$1,Database!$A$1:$AS$1,0),FALSE)=0,#N/A,VLOOKUP(A131,Database!$A:$AS,MATCH($D$1,Database!$A$1:$AS$1,0),FALSE))</f>
        <v/>
      </c>
      <c r="E131" s="76">
        <f>IF(VLOOKUP(A131,Database!$A:$AS,MATCH($E$1,Database!$A$1:$AS$1,0),FALSE)=0,#N/A,VLOOKUP(A131,Database!$A:$AS,MATCH($E$1,Database!$A$1:$AS$1,0),FALSE))</f>
        <v/>
      </c>
      <c r="F131" s="76">
        <f>IF(VLOOKUP(A131,Database!$A:$AS,MATCH($F$1,Database!$A$1:$AS$1,0),FALSE)=0,#N/A,VLOOKUP(A131,Database!$A:$AS,MATCH($F$1,Database!$A$1:$AS$1,0),FALSE))</f>
        <v/>
      </c>
      <c r="G131" s="76">
        <f>IF(VLOOKUP(A131,Database!$A:$AS,MATCH($G$1,Database!$A$1:$AS$1,0),FALSE)=0,#N/A,VLOOKUP(A131,Database!$A:$AS,MATCH($G$1,Database!$A$1:$AS$1,0),FALSE))</f>
        <v/>
      </c>
      <c r="H131" s="76">
        <f>(((Table134567891011121314151617343[[#This Row],[ITA]]-VLOOKUP($U$1,A:B,2,))/VLOOKUP($U$1,A:B,2,))*100)+100</f>
        <v/>
      </c>
      <c r="I131" s="76">
        <f>(((Table134567891011121314151617343[[#This Row],[FRA]]-VLOOKUP($U$1,A:C,3,))/VLOOKUP($U$1,A:C,3,))*100)+100</f>
        <v/>
      </c>
      <c r="J131" s="76">
        <f>(((Table134567891011121314151617343[[#This Row],[DEU]]-VLOOKUP($U$1,A:D,4,))/VLOOKUP($U$1,A:D,4,))*100)+100</f>
        <v/>
      </c>
      <c r="K131" s="76">
        <f>(((Table134567891011121314151617343[[#This Row],[ESP]]-VLOOKUP($U$1,A:E,5,))/VLOOKUP($U$1,A:E,5,))*100)+100</f>
        <v/>
      </c>
      <c r="L131" s="76">
        <f>(((Table134567891011121314151617343[[#This Row],[EA19]]-VLOOKUP($U$1,A:F,6,))/VLOOKUP($U$1,A:F,6,))*100)+100</f>
        <v/>
      </c>
      <c r="M131" s="76">
        <f>(((Table134567891011121314151617343[[#This Row],[GBR]]-VLOOKUP($U$1,A:G,7,))/VLOOKUP($U$1,A:G,7,))*100)+100</f>
        <v/>
      </c>
      <c r="N131" s="76">
        <f>IF(VLOOKUP(A131,Database!$A:$AU,MATCH($N$1,Database!$A$1:$AU$1,0),FALSE)=0,#N/A,VLOOKUP(A131,Database!$A:$AU,MATCH($N$1,Database!$A$1:$AU$1,0),FALSE))</f>
        <v/>
      </c>
      <c r="O131" s="76">
        <f>(((Table134567891011121314151617343[[#This Row],[USA]]-VLOOKUP($U$1,A:N,14,))/VLOOKUP($U$1,A:N,14,))*100)+100</f>
        <v/>
      </c>
      <c r="P131" s="76">
        <f>IF(VLOOKUP(A131,Database!$A:$AS,MATCH($P$1,Database!$A$1:$AS$1,0),FALSE)=0,#N/A,VLOOKUP(A131,Database!$A:$AS,MATCH($P$1,Database!$A$1:$AS$1,0),FALSE))</f>
        <v/>
      </c>
      <c r="Q131" s="76">
        <f>(((Table134567891011121314151617343[[#This Row],[JPN]]-VLOOKUP($U$1,A:Q,16,))/VLOOKUP($U$1,A:Q,16,))*100)+100</f>
        <v/>
      </c>
    </row>
    <row r="132" customFormat="1" s="86">
      <c r="A132" s="21" t="n">
        <v>36831</v>
      </c>
      <c r="B132" s="76">
        <f>IF(VLOOKUP(A132,Database!$A:$AS,MATCH($B$1,Database!$A$1:$AS$1,0),FALSE)=0,#N/A,VLOOKUP(A132,Database!$A:$AS,MATCH($B$1,Database!$A$1:$AS$1,0),FALSE))</f>
        <v/>
      </c>
      <c r="C132" s="76">
        <f>IF(VLOOKUP(A132,Database!$A:$AS,MATCH($C$1,Database!$A$1:$AS$1,0),FALSE)=0,#N/A,VLOOKUP(A132,Database!$A:$AS,MATCH($C$1,Database!$A$1:$AS$1,0),FALSE))</f>
        <v/>
      </c>
      <c r="D132" s="76">
        <f>IF(VLOOKUP(A132,Database!$A:$AS,MATCH($D$1,Database!$A$1:$AS$1,0),FALSE)=0,#N/A,VLOOKUP(A132,Database!$A:$AS,MATCH($D$1,Database!$A$1:$AS$1,0),FALSE))</f>
        <v/>
      </c>
      <c r="E132" s="76">
        <f>IF(VLOOKUP(A132,Database!$A:$AS,MATCH($E$1,Database!$A$1:$AS$1,0),FALSE)=0,#N/A,VLOOKUP(A132,Database!$A:$AS,MATCH($E$1,Database!$A$1:$AS$1,0),FALSE))</f>
        <v/>
      </c>
      <c r="F132" s="76">
        <f>IF(VLOOKUP(A132,Database!$A:$AS,MATCH($F$1,Database!$A$1:$AS$1,0),FALSE)=0,#N/A,VLOOKUP(A132,Database!$A:$AS,MATCH($F$1,Database!$A$1:$AS$1,0),FALSE))</f>
        <v/>
      </c>
      <c r="G132" s="76">
        <f>IF(VLOOKUP(A132,Database!$A:$AS,MATCH($G$1,Database!$A$1:$AS$1,0),FALSE)=0,#N/A,VLOOKUP(A132,Database!$A:$AS,MATCH($G$1,Database!$A$1:$AS$1,0),FALSE))</f>
        <v/>
      </c>
      <c r="H132" s="76">
        <f>(((Table134567891011121314151617343[[#This Row],[ITA]]-VLOOKUP($U$1,A:B,2,))/VLOOKUP($U$1,A:B,2,))*100)+100</f>
        <v/>
      </c>
      <c r="I132" s="76">
        <f>(((Table134567891011121314151617343[[#This Row],[FRA]]-VLOOKUP($U$1,A:C,3,))/VLOOKUP($U$1,A:C,3,))*100)+100</f>
        <v/>
      </c>
      <c r="J132" s="76">
        <f>(((Table134567891011121314151617343[[#This Row],[DEU]]-VLOOKUP($U$1,A:D,4,))/VLOOKUP($U$1,A:D,4,))*100)+100</f>
        <v/>
      </c>
      <c r="K132" s="76">
        <f>(((Table134567891011121314151617343[[#This Row],[ESP]]-VLOOKUP($U$1,A:E,5,))/VLOOKUP($U$1,A:E,5,))*100)+100</f>
        <v/>
      </c>
      <c r="L132" s="76">
        <f>(((Table134567891011121314151617343[[#This Row],[EA19]]-VLOOKUP($U$1,A:F,6,))/VLOOKUP($U$1,A:F,6,))*100)+100</f>
        <v/>
      </c>
      <c r="M132" s="76">
        <f>(((Table134567891011121314151617343[[#This Row],[GBR]]-VLOOKUP($U$1,A:G,7,))/VLOOKUP($U$1,A:G,7,))*100)+100</f>
        <v/>
      </c>
      <c r="N132" s="76">
        <f>IF(VLOOKUP(A132,Database!$A:$AU,MATCH($N$1,Database!$A$1:$AU$1,0),FALSE)=0,#N/A,VLOOKUP(A132,Database!$A:$AU,MATCH($N$1,Database!$A$1:$AU$1,0),FALSE))</f>
        <v/>
      </c>
      <c r="O132" s="76">
        <f>(((Table134567891011121314151617343[[#This Row],[USA]]-VLOOKUP($U$1,A:N,14,))/VLOOKUP($U$1,A:N,14,))*100)+100</f>
        <v/>
      </c>
      <c r="P132" s="76">
        <f>IF(VLOOKUP(A132,Database!$A:$AS,MATCH($P$1,Database!$A$1:$AS$1,0),FALSE)=0,#N/A,VLOOKUP(A132,Database!$A:$AS,MATCH($P$1,Database!$A$1:$AS$1,0),FALSE))</f>
        <v/>
      </c>
      <c r="Q132" s="76">
        <f>(((Table134567891011121314151617343[[#This Row],[JPN]]-VLOOKUP($U$1,A:Q,16,))/VLOOKUP($U$1,A:Q,16,))*100)+100</f>
        <v/>
      </c>
    </row>
    <row r="133" customFormat="1" s="86">
      <c r="A133" s="21" t="n">
        <v>36861</v>
      </c>
      <c r="B133" s="76">
        <f>IF(VLOOKUP(A133,Database!$A:$AS,MATCH($B$1,Database!$A$1:$AS$1,0),FALSE)=0,#N/A,VLOOKUP(A133,Database!$A:$AS,MATCH($B$1,Database!$A$1:$AS$1,0),FALSE))</f>
        <v/>
      </c>
      <c r="C133" s="76">
        <f>IF(VLOOKUP(A133,Database!$A:$AS,MATCH($C$1,Database!$A$1:$AS$1,0),FALSE)=0,#N/A,VLOOKUP(A133,Database!$A:$AS,MATCH($C$1,Database!$A$1:$AS$1,0),FALSE))</f>
        <v/>
      </c>
      <c r="D133" s="76">
        <f>IF(VLOOKUP(A133,Database!$A:$AS,MATCH($D$1,Database!$A$1:$AS$1,0),FALSE)=0,#N/A,VLOOKUP(A133,Database!$A:$AS,MATCH($D$1,Database!$A$1:$AS$1,0),FALSE))</f>
        <v/>
      </c>
      <c r="E133" s="76">
        <f>IF(VLOOKUP(A133,Database!$A:$AS,MATCH($E$1,Database!$A$1:$AS$1,0),FALSE)=0,#N/A,VLOOKUP(A133,Database!$A:$AS,MATCH($E$1,Database!$A$1:$AS$1,0),FALSE))</f>
        <v/>
      </c>
      <c r="F133" s="76">
        <f>IF(VLOOKUP(A133,Database!$A:$AS,MATCH($F$1,Database!$A$1:$AS$1,0),FALSE)=0,#N/A,VLOOKUP(A133,Database!$A:$AS,MATCH($F$1,Database!$A$1:$AS$1,0),FALSE))</f>
        <v/>
      </c>
      <c r="G133" s="76">
        <f>IF(VLOOKUP(A133,Database!$A:$AS,MATCH($G$1,Database!$A$1:$AS$1,0),FALSE)=0,#N/A,VLOOKUP(A133,Database!$A:$AS,MATCH($G$1,Database!$A$1:$AS$1,0),FALSE))</f>
        <v/>
      </c>
      <c r="H133" s="76">
        <f>(((Table134567891011121314151617343[[#This Row],[ITA]]-VLOOKUP($U$1,A:B,2,))/VLOOKUP($U$1,A:B,2,))*100)+100</f>
        <v/>
      </c>
      <c r="I133" s="76">
        <f>(((Table134567891011121314151617343[[#This Row],[FRA]]-VLOOKUP($U$1,A:C,3,))/VLOOKUP($U$1,A:C,3,))*100)+100</f>
        <v/>
      </c>
      <c r="J133" s="76">
        <f>(((Table134567891011121314151617343[[#This Row],[DEU]]-VLOOKUP($U$1,A:D,4,))/VLOOKUP($U$1,A:D,4,))*100)+100</f>
        <v/>
      </c>
      <c r="K133" s="76">
        <f>(((Table134567891011121314151617343[[#This Row],[ESP]]-VLOOKUP($U$1,A:E,5,))/VLOOKUP($U$1,A:E,5,))*100)+100</f>
        <v/>
      </c>
      <c r="L133" s="76">
        <f>(((Table134567891011121314151617343[[#This Row],[EA19]]-VLOOKUP($U$1,A:F,6,))/VLOOKUP($U$1,A:F,6,))*100)+100</f>
        <v/>
      </c>
      <c r="M133" s="76">
        <f>(((Table134567891011121314151617343[[#This Row],[GBR]]-VLOOKUP($U$1,A:G,7,))/VLOOKUP($U$1,A:G,7,))*100)+100</f>
        <v/>
      </c>
      <c r="N133" s="76">
        <f>IF(VLOOKUP(A133,Database!$A:$AU,MATCH($N$1,Database!$A$1:$AU$1,0),FALSE)=0,#N/A,VLOOKUP(A133,Database!$A:$AU,MATCH($N$1,Database!$A$1:$AU$1,0),FALSE))</f>
        <v/>
      </c>
      <c r="O133" s="76">
        <f>(((Table134567891011121314151617343[[#This Row],[USA]]-VLOOKUP($U$1,A:N,14,))/VLOOKUP($U$1,A:N,14,))*100)+100</f>
        <v/>
      </c>
      <c r="P133" s="76">
        <f>IF(VLOOKUP(A133,Database!$A:$AS,MATCH($P$1,Database!$A$1:$AS$1,0),FALSE)=0,#N/A,VLOOKUP(A133,Database!$A:$AS,MATCH($P$1,Database!$A$1:$AS$1,0),FALSE))</f>
        <v/>
      </c>
      <c r="Q133" s="76">
        <f>(((Table134567891011121314151617343[[#This Row],[JPN]]-VLOOKUP($U$1,A:Q,16,))/VLOOKUP($U$1,A:Q,16,))*100)+100</f>
        <v/>
      </c>
    </row>
    <row r="134" customFormat="1" s="86">
      <c r="A134" s="21" t="n">
        <v>36892</v>
      </c>
      <c r="B134" s="76">
        <f>IF(VLOOKUP(A134,Database!$A:$AS,MATCH($B$1,Database!$A$1:$AS$1,0),FALSE)=0,#N/A,VLOOKUP(A134,Database!$A:$AS,MATCH($B$1,Database!$A$1:$AS$1,0),FALSE))</f>
        <v/>
      </c>
      <c r="C134" s="76">
        <f>IF(VLOOKUP(A134,Database!$A:$AS,MATCH($C$1,Database!$A$1:$AS$1,0),FALSE)=0,#N/A,VLOOKUP(A134,Database!$A:$AS,MATCH($C$1,Database!$A$1:$AS$1,0),FALSE))</f>
        <v/>
      </c>
      <c r="D134" s="76">
        <f>IF(VLOOKUP(A134,Database!$A:$AS,MATCH($D$1,Database!$A$1:$AS$1,0),FALSE)=0,#N/A,VLOOKUP(A134,Database!$A:$AS,MATCH($D$1,Database!$A$1:$AS$1,0),FALSE))</f>
        <v/>
      </c>
      <c r="E134" s="76">
        <f>IF(VLOOKUP(A134,Database!$A:$AS,MATCH($E$1,Database!$A$1:$AS$1,0),FALSE)=0,#N/A,VLOOKUP(A134,Database!$A:$AS,MATCH($E$1,Database!$A$1:$AS$1,0),FALSE))</f>
        <v/>
      </c>
      <c r="F134" s="76">
        <f>IF(VLOOKUP(A134,Database!$A:$AS,MATCH($F$1,Database!$A$1:$AS$1,0),FALSE)=0,#N/A,VLOOKUP(A134,Database!$A:$AS,MATCH($F$1,Database!$A$1:$AS$1,0),FALSE))</f>
        <v/>
      </c>
      <c r="G134" s="76">
        <f>IF(VLOOKUP(A134,Database!$A:$AS,MATCH($G$1,Database!$A$1:$AS$1,0),FALSE)=0,#N/A,VLOOKUP(A134,Database!$A:$AS,MATCH($G$1,Database!$A$1:$AS$1,0),FALSE))</f>
        <v/>
      </c>
      <c r="H134" s="76">
        <f>(((Table134567891011121314151617343[[#This Row],[ITA]]-VLOOKUP($U$1,A:B,2,))/VLOOKUP($U$1,A:B,2,))*100)+100</f>
        <v/>
      </c>
      <c r="I134" s="76">
        <f>(((Table134567891011121314151617343[[#This Row],[FRA]]-VLOOKUP($U$1,A:C,3,))/VLOOKUP($U$1,A:C,3,))*100)+100</f>
        <v/>
      </c>
      <c r="J134" s="76">
        <f>(((Table134567891011121314151617343[[#This Row],[DEU]]-VLOOKUP($U$1,A:D,4,))/VLOOKUP($U$1,A:D,4,))*100)+100</f>
        <v/>
      </c>
      <c r="K134" s="76">
        <f>(((Table134567891011121314151617343[[#This Row],[ESP]]-VLOOKUP($U$1,A:E,5,))/VLOOKUP($U$1,A:E,5,))*100)+100</f>
        <v/>
      </c>
      <c r="L134" s="76">
        <f>(((Table134567891011121314151617343[[#This Row],[EA19]]-VLOOKUP($U$1,A:F,6,))/VLOOKUP($U$1,A:F,6,))*100)+100</f>
        <v/>
      </c>
      <c r="M134" s="76">
        <f>(((Table134567891011121314151617343[[#This Row],[GBR]]-VLOOKUP($U$1,A:G,7,))/VLOOKUP($U$1,A:G,7,))*100)+100</f>
        <v/>
      </c>
      <c r="N134" s="76">
        <f>IF(VLOOKUP(A134,Database!$A:$AU,MATCH($N$1,Database!$A$1:$AU$1,0),FALSE)=0,#N/A,VLOOKUP(A134,Database!$A:$AU,MATCH($N$1,Database!$A$1:$AU$1,0),FALSE))</f>
        <v/>
      </c>
      <c r="O134" s="76">
        <f>(((Table134567891011121314151617343[[#This Row],[USA]]-VLOOKUP($U$1,A:N,14,))/VLOOKUP($U$1,A:N,14,))*100)+100</f>
        <v/>
      </c>
      <c r="P134" s="76">
        <f>IF(VLOOKUP(A134,Database!$A:$AS,MATCH($P$1,Database!$A$1:$AS$1,0),FALSE)=0,#N/A,VLOOKUP(A134,Database!$A:$AS,MATCH($P$1,Database!$A$1:$AS$1,0),FALSE))</f>
        <v/>
      </c>
      <c r="Q134" s="76">
        <f>(((Table134567891011121314151617343[[#This Row],[JPN]]-VLOOKUP($U$1,A:Q,16,))/VLOOKUP($U$1,A:Q,16,))*100)+100</f>
        <v/>
      </c>
    </row>
    <row r="135" customFormat="1" s="86">
      <c r="A135" s="21" t="n">
        <v>36923</v>
      </c>
      <c r="B135" s="76">
        <f>IF(VLOOKUP(A135,Database!$A:$AS,MATCH($B$1,Database!$A$1:$AS$1,0),FALSE)=0,#N/A,VLOOKUP(A135,Database!$A:$AS,MATCH($B$1,Database!$A$1:$AS$1,0),FALSE))</f>
        <v/>
      </c>
      <c r="C135" s="76">
        <f>IF(VLOOKUP(A135,Database!$A:$AS,MATCH($C$1,Database!$A$1:$AS$1,0),FALSE)=0,#N/A,VLOOKUP(A135,Database!$A:$AS,MATCH($C$1,Database!$A$1:$AS$1,0),FALSE))</f>
        <v/>
      </c>
      <c r="D135" s="76">
        <f>IF(VLOOKUP(A135,Database!$A:$AS,MATCH($D$1,Database!$A$1:$AS$1,0),FALSE)=0,#N/A,VLOOKUP(A135,Database!$A:$AS,MATCH($D$1,Database!$A$1:$AS$1,0),FALSE))</f>
        <v/>
      </c>
      <c r="E135" s="76">
        <f>IF(VLOOKUP(A135,Database!$A:$AS,MATCH($E$1,Database!$A$1:$AS$1,0),FALSE)=0,#N/A,VLOOKUP(A135,Database!$A:$AS,MATCH($E$1,Database!$A$1:$AS$1,0),FALSE))</f>
        <v/>
      </c>
      <c r="F135" s="76">
        <f>IF(VLOOKUP(A135,Database!$A:$AS,MATCH($F$1,Database!$A$1:$AS$1,0),FALSE)=0,#N/A,VLOOKUP(A135,Database!$A:$AS,MATCH($F$1,Database!$A$1:$AS$1,0),FALSE))</f>
        <v/>
      </c>
      <c r="G135" s="76">
        <f>IF(VLOOKUP(A135,Database!$A:$AS,MATCH($G$1,Database!$A$1:$AS$1,0),FALSE)=0,#N/A,VLOOKUP(A135,Database!$A:$AS,MATCH($G$1,Database!$A$1:$AS$1,0),FALSE))</f>
        <v/>
      </c>
      <c r="H135" s="76">
        <f>(((Table134567891011121314151617343[[#This Row],[ITA]]-VLOOKUP($U$1,A:B,2,))/VLOOKUP($U$1,A:B,2,))*100)+100</f>
        <v/>
      </c>
      <c r="I135" s="76">
        <f>(((Table134567891011121314151617343[[#This Row],[FRA]]-VLOOKUP($U$1,A:C,3,))/VLOOKUP($U$1,A:C,3,))*100)+100</f>
        <v/>
      </c>
      <c r="J135" s="76">
        <f>(((Table134567891011121314151617343[[#This Row],[DEU]]-VLOOKUP($U$1,A:D,4,))/VLOOKUP($U$1,A:D,4,))*100)+100</f>
        <v/>
      </c>
      <c r="K135" s="76">
        <f>(((Table134567891011121314151617343[[#This Row],[ESP]]-VLOOKUP($U$1,A:E,5,))/VLOOKUP($U$1,A:E,5,))*100)+100</f>
        <v/>
      </c>
      <c r="L135" s="76">
        <f>(((Table134567891011121314151617343[[#This Row],[EA19]]-VLOOKUP($U$1,A:F,6,))/VLOOKUP($U$1,A:F,6,))*100)+100</f>
        <v/>
      </c>
      <c r="M135" s="76">
        <f>(((Table134567891011121314151617343[[#This Row],[GBR]]-VLOOKUP($U$1,A:G,7,))/VLOOKUP($U$1,A:G,7,))*100)+100</f>
        <v/>
      </c>
      <c r="N135" s="76">
        <f>IF(VLOOKUP(A135,Database!$A:$AU,MATCH($N$1,Database!$A$1:$AU$1,0),FALSE)=0,#N/A,VLOOKUP(A135,Database!$A:$AU,MATCH($N$1,Database!$A$1:$AU$1,0),FALSE))</f>
        <v/>
      </c>
      <c r="O135" s="76">
        <f>(((Table134567891011121314151617343[[#This Row],[USA]]-VLOOKUP($U$1,A:N,14,))/VLOOKUP($U$1,A:N,14,))*100)+100</f>
        <v/>
      </c>
      <c r="P135" s="76">
        <f>IF(VLOOKUP(A135,Database!$A:$AS,MATCH($P$1,Database!$A$1:$AS$1,0),FALSE)=0,#N/A,VLOOKUP(A135,Database!$A:$AS,MATCH($P$1,Database!$A$1:$AS$1,0),FALSE))</f>
        <v/>
      </c>
      <c r="Q135" s="76">
        <f>(((Table134567891011121314151617343[[#This Row],[JPN]]-VLOOKUP($U$1,A:Q,16,))/VLOOKUP($U$1,A:Q,16,))*100)+100</f>
        <v/>
      </c>
    </row>
    <row r="136" customFormat="1" s="86">
      <c r="A136" s="21" t="n">
        <v>36951</v>
      </c>
      <c r="B136" s="76">
        <f>IF(VLOOKUP(A136,Database!$A:$AS,MATCH($B$1,Database!$A$1:$AS$1,0),FALSE)=0,#N/A,VLOOKUP(A136,Database!$A:$AS,MATCH($B$1,Database!$A$1:$AS$1,0),FALSE))</f>
        <v/>
      </c>
      <c r="C136" s="76">
        <f>IF(VLOOKUP(A136,Database!$A:$AS,MATCH($C$1,Database!$A$1:$AS$1,0),FALSE)=0,#N/A,VLOOKUP(A136,Database!$A:$AS,MATCH($C$1,Database!$A$1:$AS$1,0),FALSE))</f>
        <v/>
      </c>
      <c r="D136" s="76">
        <f>IF(VLOOKUP(A136,Database!$A:$AS,MATCH($D$1,Database!$A$1:$AS$1,0),FALSE)=0,#N/A,VLOOKUP(A136,Database!$A:$AS,MATCH($D$1,Database!$A$1:$AS$1,0),FALSE))</f>
        <v/>
      </c>
      <c r="E136" s="76">
        <f>IF(VLOOKUP(A136,Database!$A:$AS,MATCH($E$1,Database!$A$1:$AS$1,0),FALSE)=0,#N/A,VLOOKUP(A136,Database!$A:$AS,MATCH($E$1,Database!$A$1:$AS$1,0),FALSE))</f>
        <v/>
      </c>
      <c r="F136" s="76">
        <f>IF(VLOOKUP(A136,Database!$A:$AS,MATCH($F$1,Database!$A$1:$AS$1,0),FALSE)=0,#N/A,VLOOKUP(A136,Database!$A:$AS,MATCH($F$1,Database!$A$1:$AS$1,0),FALSE))</f>
        <v/>
      </c>
      <c r="G136" s="76">
        <f>IF(VLOOKUP(A136,Database!$A:$AS,MATCH($G$1,Database!$A$1:$AS$1,0),FALSE)=0,#N/A,VLOOKUP(A136,Database!$A:$AS,MATCH($G$1,Database!$A$1:$AS$1,0),FALSE))</f>
        <v/>
      </c>
      <c r="H136" s="76">
        <f>(((Table134567891011121314151617343[[#This Row],[ITA]]-VLOOKUP($U$1,A:B,2,))/VLOOKUP($U$1,A:B,2,))*100)+100</f>
        <v/>
      </c>
      <c r="I136" s="76">
        <f>(((Table134567891011121314151617343[[#This Row],[FRA]]-VLOOKUP($U$1,A:C,3,))/VLOOKUP($U$1,A:C,3,))*100)+100</f>
        <v/>
      </c>
      <c r="J136" s="76">
        <f>(((Table134567891011121314151617343[[#This Row],[DEU]]-VLOOKUP($U$1,A:D,4,))/VLOOKUP($U$1,A:D,4,))*100)+100</f>
        <v/>
      </c>
      <c r="K136" s="76">
        <f>(((Table134567891011121314151617343[[#This Row],[ESP]]-VLOOKUP($U$1,A:E,5,))/VLOOKUP($U$1,A:E,5,))*100)+100</f>
        <v/>
      </c>
      <c r="L136" s="76">
        <f>(((Table134567891011121314151617343[[#This Row],[EA19]]-VLOOKUP($U$1,A:F,6,))/VLOOKUP($U$1,A:F,6,))*100)+100</f>
        <v/>
      </c>
      <c r="M136" s="76">
        <f>(((Table134567891011121314151617343[[#This Row],[GBR]]-VLOOKUP($U$1,A:G,7,))/VLOOKUP($U$1,A:G,7,))*100)+100</f>
        <v/>
      </c>
      <c r="N136" s="76">
        <f>IF(VLOOKUP(A136,Database!$A:$AU,MATCH($N$1,Database!$A$1:$AU$1,0),FALSE)=0,#N/A,VLOOKUP(A136,Database!$A:$AU,MATCH($N$1,Database!$A$1:$AU$1,0),FALSE))</f>
        <v/>
      </c>
      <c r="O136" s="76">
        <f>(((Table134567891011121314151617343[[#This Row],[USA]]-VLOOKUP($U$1,A:N,14,))/VLOOKUP($U$1,A:N,14,))*100)+100</f>
        <v/>
      </c>
      <c r="P136" s="76">
        <f>IF(VLOOKUP(A136,Database!$A:$AS,MATCH($P$1,Database!$A$1:$AS$1,0),FALSE)=0,#N/A,VLOOKUP(A136,Database!$A:$AS,MATCH($P$1,Database!$A$1:$AS$1,0),FALSE))</f>
        <v/>
      </c>
      <c r="Q136" s="76">
        <f>(((Table134567891011121314151617343[[#This Row],[JPN]]-VLOOKUP($U$1,A:Q,16,))/VLOOKUP($U$1,A:Q,16,))*100)+100</f>
        <v/>
      </c>
    </row>
    <row r="137" customFormat="1" s="86">
      <c r="A137" s="21" t="n">
        <v>36982</v>
      </c>
      <c r="B137" s="76">
        <f>IF(VLOOKUP(A137,Database!$A:$AS,MATCH($B$1,Database!$A$1:$AS$1,0),FALSE)=0,#N/A,VLOOKUP(A137,Database!$A:$AS,MATCH($B$1,Database!$A$1:$AS$1,0),FALSE))</f>
        <v/>
      </c>
      <c r="C137" s="76">
        <f>IF(VLOOKUP(A137,Database!$A:$AS,MATCH($C$1,Database!$A$1:$AS$1,0),FALSE)=0,#N/A,VLOOKUP(A137,Database!$A:$AS,MATCH($C$1,Database!$A$1:$AS$1,0),FALSE))</f>
        <v/>
      </c>
      <c r="D137" s="76">
        <f>IF(VLOOKUP(A137,Database!$A:$AS,MATCH($D$1,Database!$A$1:$AS$1,0),FALSE)=0,#N/A,VLOOKUP(A137,Database!$A:$AS,MATCH($D$1,Database!$A$1:$AS$1,0),FALSE))</f>
        <v/>
      </c>
      <c r="E137" s="76">
        <f>IF(VLOOKUP(A137,Database!$A:$AS,MATCH($E$1,Database!$A$1:$AS$1,0),FALSE)=0,#N/A,VLOOKUP(A137,Database!$A:$AS,MATCH($E$1,Database!$A$1:$AS$1,0),FALSE))</f>
        <v/>
      </c>
      <c r="F137" s="76">
        <f>IF(VLOOKUP(A137,Database!$A:$AS,MATCH($F$1,Database!$A$1:$AS$1,0),FALSE)=0,#N/A,VLOOKUP(A137,Database!$A:$AS,MATCH($F$1,Database!$A$1:$AS$1,0),FALSE))</f>
        <v/>
      </c>
      <c r="G137" s="76">
        <f>IF(VLOOKUP(A137,Database!$A:$AS,MATCH($G$1,Database!$A$1:$AS$1,0),FALSE)=0,#N/A,VLOOKUP(A137,Database!$A:$AS,MATCH($G$1,Database!$A$1:$AS$1,0),FALSE))</f>
        <v/>
      </c>
      <c r="H137" s="76">
        <f>(((Table134567891011121314151617343[[#This Row],[ITA]]-VLOOKUP($U$1,A:B,2,))/VLOOKUP($U$1,A:B,2,))*100)+100</f>
        <v/>
      </c>
      <c r="I137" s="76">
        <f>(((Table134567891011121314151617343[[#This Row],[FRA]]-VLOOKUP($U$1,A:C,3,))/VLOOKUP($U$1,A:C,3,))*100)+100</f>
        <v/>
      </c>
      <c r="J137" s="76">
        <f>(((Table134567891011121314151617343[[#This Row],[DEU]]-VLOOKUP($U$1,A:D,4,))/VLOOKUP($U$1,A:D,4,))*100)+100</f>
        <v/>
      </c>
      <c r="K137" s="76">
        <f>(((Table134567891011121314151617343[[#This Row],[ESP]]-VLOOKUP($U$1,A:E,5,))/VLOOKUP($U$1,A:E,5,))*100)+100</f>
        <v/>
      </c>
      <c r="L137" s="76">
        <f>(((Table134567891011121314151617343[[#This Row],[EA19]]-VLOOKUP($U$1,A:F,6,))/VLOOKUP($U$1,A:F,6,))*100)+100</f>
        <v/>
      </c>
      <c r="M137" s="76">
        <f>(((Table134567891011121314151617343[[#This Row],[GBR]]-VLOOKUP($U$1,A:G,7,))/VLOOKUP($U$1,A:G,7,))*100)+100</f>
        <v/>
      </c>
      <c r="N137" s="76">
        <f>IF(VLOOKUP(A137,Database!$A:$AU,MATCH($N$1,Database!$A$1:$AU$1,0),FALSE)=0,#N/A,VLOOKUP(A137,Database!$A:$AU,MATCH($N$1,Database!$A$1:$AU$1,0),FALSE))</f>
        <v/>
      </c>
      <c r="O137" s="76">
        <f>(((Table134567891011121314151617343[[#This Row],[USA]]-VLOOKUP($U$1,A:N,14,))/VLOOKUP($U$1,A:N,14,))*100)+100</f>
        <v/>
      </c>
      <c r="P137" s="76">
        <f>IF(VLOOKUP(A137,Database!$A:$AS,MATCH($P$1,Database!$A$1:$AS$1,0),FALSE)=0,#N/A,VLOOKUP(A137,Database!$A:$AS,MATCH($P$1,Database!$A$1:$AS$1,0),FALSE))</f>
        <v/>
      </c>
      <c r="Q137" s="76">
        <f>(((Table134567891011121314151617343[[#This Row],[JPN]]-VLOOKUP($U$1,A:Q,16,))/VLOOKUP($U$1,A:Q,16,))*100)+100</f>
        <v/>
      </c>
    </row>
    <row r="138" customFormat="1" s="86">
      <c r="A138" s="21" t="n">
        <v>37012</v>
      </c>
      <c r="B138" s="76">
        <f>IF(VLOOKUP(A138,Database!$A:$AS,MATCH($B$1,Database!$A$1:$AS$1,0),FALSE)=0,#N/A,VLOOKUP(A138,Database!$A:$AS,MATCH($B$1,Database!$A$1:$AS$1,0),FALSE))</f>
        <v/>
      </c>
      <c r="C138" s="76">
        <f>IF(VLOOKUP(A138,Database!$A:$AS,MATCH($C$1,Database!$A$1:$AS$1,0),FALSE)=0,#N/A,VLOOKUP(A138,Database!$A:$AS,MATCH($C$1,Database!$A$1:$AS$1,0),FALSE))</f>
        <v/>
      </c>
      <c r="D138" s="76">
        <f>IF(VLOOKUP(A138,Database!$A:$AS,MATCH($D$1,Database!$A$1:$AS$1,0),FALSE)=0,#N/A,VLOOKUP(A138,Database!$A:$AS,MATCH($D$1,Database!$A$1:$AS$1,0),FALSE))</f>
        <v/>
      </c>
      <c r="E138" s="76">
        <f>IF(VLOOKUP(A138,Database!$A:$AS,MATCH($E$1,Database!$A$1:$AS$1,0),FALSE)=0,#N/A,VLOOKUP(A138,Database!$A:$AS,MATCH($E$1,Database!$A$1:$AS$1,0),FALSE))</f>
        <v/>
      </c>
      <c r="F138" s="76">
        <f>IF(VLOOKUP(A138,Database!$A:$AS,MATCH($F$1,Database!$A$1:$AS$1,0),FALSE)=0,#N/A,VLOOKUP(A138,Database!$A:$AS,MATCH($F$1,Database!$A$1:$AS$1,0),FALSE))</f>
        <v/>
      </c>
      <c r="G138" s="76">
        <f>IF(VLOOKUP(A138,Database!$A:$AS,MATCH($G$1,Database!$A$1:$AS$1,0),FALSE)=0,#N/A,VLOOKUP(A138,Database!$A:$AS,MATCH($G$1,Database!$A$1:$AS$1,0),FALSE))</f>
        <v/>
      </c>
      <c r="H138" s="76">
        <f>(((Table134567891011121314151617343[[#This Row],[ITA]]-VLOOKUP($U$1,A:B,2,))/VLOOKUP($U$1,A:B,2,))*100)+100</f>
        <v/>
      </c>
      <c r="I138" s="76">
        <f>(((Table134567891011121314151617343[[#This Row],[FRA]]-VLOOKUP($U$1,A:C,3,))/VLOOKUP($U$1,A:C,3,))*100)+100</f>
        <v/>
      </c>
      <c r="J138" s="76">
        <f>(((Table134567891011121314151617343[[#This Row],[DEU]]-VLOOKUP($U$1,A:D,4,))/VLOOKUP($U$1,A:D,4,))*100)+100</f>
        <v/>
      </c>
      <c r="K138" s="76">
        <f>(((Table134567891011121314151617343[[#This Row],[ESP]]-VLOOKUP($U$1,A:E,5,))/VLOOKUP($U$1,A:E,5,))*100)+100</f>
        <v/>
      </c>
      <c r="L138" s="76">
        <f>(((Table134567891011121314151617343[[#This Row],[EA19]]-VLOOKUP($U$1,A:F,6,))/VLOOKUP($U$1,A:F,6,))*100)+100</f>
        <v/>
      </c>
      <c r="M138" s="76">
        <f>(((Table134567891011121314151617343[[#This Row],[GBR]]-VLOOKUP($U$1,A:G,7,))/VLOOKUP($U$1,A:G,7,))*100)+100</f>
        <v/>
      </c>
      <c r="N138" s="76">
        <f>IF(VLOOKUP(A138,Database!$A:$AU,MATCH($N$1,Database!$A$1:$AU$1,0),FALSE)=0,#N/A,VLOOKUP(A138,Database!$A:$AU,MATCH($N$1,Database!$A$1:$AU$1,0),FALSE))</f>
        <v/>
      </c>
      <c r="O138" s="76">
        <f>(((Table134567891011121314151617343[[#This Row],[USA]]-VLOOKUP($U$1,A:N,14,))/VLOOKUP($U$1,A:N,14,))*100)+100</f>
        <v/>
      </c>
      <c r="P138" s="76">
        <f>IF(VLOOKUP(A138,Database!$A:$AS,MATCH($P$1,Database!$A$1:$AS$1,0),FALSE)=0,#N/A,VLOOKUP(A138,Database!$A:$AS,MATCH($P$1,Database!$A$1:$AS$1,0),FALSE))</f>
        <v/>
      </c>
      <c r="Q138" s="76">
        <f>(((Table134567891011121314151617343[[#This Row],[JPN]]-VLOOKUP($U$1,A:Q,16,))/VLOOKUP($U$1,A:Q,16,))*100)+100</f>
        <v/>
      </c>
    </row>
    <row r="139" customFormat="1" s="86">
      <c r="A139" s="21" t="n">
        <v>37043</v>
      </c>
      <c r="B139" s="76">
        <f>IF(VLOOKUP(A139,Database!$A:$AS,MATCH($B$1,Database!$A$1:$AS$1,0),FALSE)=0,#N/A,VLOOKUP(A139,Database!$A:$AS,MATCH($B$1,Database!$A$1:$AS$1,0),FALSE))</f>
        <v/>
      </c>
      <c r="C139" s="76">
        <f>IF(VLOOKUP(A139,Database!$A:$AS,MATCH($C$1,Database!$A$1:$AS$1,0),FALSE)=0,#N/A,VLOOKUP(A139,Database!$A:$AS,MATCH($C$1,Database!$A$1:$AS$1,0),FALSE))</f>
        <v/>
      </c>
      <c r="D139" s="76">
        <f>IF(VLOOKUP(A139,Database!$A:$AS,MATCH($D$1,Database!$A$1:$AS$1,0),FALSE)=0,#N/A,VLOOKUP(A139,Database!$A:$AS,MATCH($D$1,Database!$A$1:$AS$1,0),FALSE))</f>
        <v/>
      </c>
      <c r="E139" s="76">
        <f>IF(VLOOKUP(A139,Database!$A:$AS,MATCH($E$1,Database!$A$1:$AS$1,0),FALSE)=0,#N/A,VLOOKUP(A139,Database!$A:$AS,MATCH($E$1,Database!$A$1:$AS$1,0),FALSE))</f>
        <v/>
      </c>
      <c r="F139" s="76">
        <f>IF(VLOOKUP(A139,Database!$A:$AS,MATCH($F$1,Database!$A$1:$AS$1,0),FALSE)=0,#N/A,VLOOKUP(A139,Database!$A:$AS,MATCH($F$1,Database!$A$1:$AS$1,0),FALSE))</f>
        <v/>
      </c>
      <c r="G139" s="76">
        <f>IF(VLOOKUP(A139,Database!$A:$AS,MATCH($G$1,Database!$A$1:$AS$1,0),FALSE)=0,#N/A,VLOOKUP(A139,Database!$A:$AS,MATCH($G$1,Database!$A$1:$AS$1,0),FALSE))</f>
        <v/>
      </c>
      <c r="H139" s="76">
        <f>(((Table134567891011121314151617343[[#This Row],[ITA]]-VLOOKUP($U$1,A:B,2,))/VLOOKUP($U$1,A:B,2,))*100)+100</f>
        <v/>
      </c>
      <c r="I139" s="76">
        <f>(((Table134567891011121314151617343[[#This Row],[FRA]]-VLOOKUP($U$1,A:C,3,))/VLOOKUP($U$1,A:C,3,))*100)+100</f>
        <v/>
      </c>
      <c r="J139" s="76">
        <f>(((Table134567891011121314151617343[[#This Row],[DEU]]-VLOOKUP($U$1,A:D,4,))/VLOOKUP($U$1,A:D,4,))*100)+100</f>
        <v/>
      </c>
      <c r="K139" s="76">
        <f>(((Table134567891011121314151617343[[#This Row],[ESP]]-VLOOKUP($U$1,A:E,5,))/VLOOKUP($U$1,A:E,5,))*100)+100</f>
        <v/>
      </c>
      <c r="L139" s="76">
        <f>(((Table134567891011121314151617343[[#This Row],[EA19]]-VLOOKUP($U$1,A:F,6,))/VLOOKUP($U$1,A:F,6,))*100)+100</f>
        <v/>
      </c>
      <c r="M139" s="76">
        <f>(((Table134567891011121314151617343[[#This Row],[GBR]]-VLOOKUP($U$1,A:G,7,))/VLOOKUP($U$1,A:G,7,))*100)+100</f>
        <v/>
      </c>
      <c r="N139" s="76">
        <f>IF(VLOOKUP(A139,Database!$A:$AU,MATCH($N$1,Database!$A$1:$AU$1,0),FALSE)=0,#N/A,VLOOKUP(A139,Database!$A:$AU,MATCH($N$1,Database!$A$1:$AU$1,0),FALSE))</f>
        <v/>
      </c>
      <c r="O139" s="76">
        <f>(((Table134567891011121314151617343[[#This Row],[USA]]-VLOOKUP($U$1,A:N,14,))/VLOOKUP($U$1,A:N,14,))*100)+100</f>
        <v/>
      </c>
      <c r="P139" s="76">
        <f>IF(VLOOKUP(A139,Database!$A:$AS,MATCH($P$1,Database!$A$1:$AS$1,0),FALSE)=0,#N/A,VLOOKUP(A139,Database!$A:$AS,MATCH($P$1,Database!$A$1:$AS$1,0),FALSE))</f>
        <v/>
      </c>
      <c r="Q139" s="76">
        <f>(((Table134567891011121314151617343[[#This Row],[JPN]]-VLOOKUP($U$1,A:Q,16,))/VLOOKUP($U$1,A:Q,16,))*100)+100</f>
        <v/>
      </c>
    </row>
    <row r="140" customFormat="1" s="86">
      <c r="A140" s="21" t="n">
        <v>37073</v>
      </c>
      <c r="B140" s="76">
        <f>IF(VLOOKUP(A140,Database!$A:$AS,MATCH($B$1,Database!$A$1:$AS$1,0),FALSE)=0,#N/A,VLOOKUP(A140,Database!$A:$AS,MATCH($B$1,Database!$A$1:$AS$1,0),FALSE))</f>
        <v/>
      </c>
      <c r="C140" s="76">
        <f>IF(VLOOKUP(A140,Database!$A:$AS,MATCH($C$1,Database!$A$1:$AS$1,0),FALSE)=0,#N/A,VLOOKUP(A140,Database!$A:$AS,MATCH($C$1,Database!$A$1:$AS$1,0),FALSE))</f>
        <v/>
      </c>
      <c r="D140" s="76">
        <f>IF(VLOOKUP(A140,Database!$A:$AS,MATCH($D$1,Database!$A$1:$AS$1,0),FALSE)=0,#N/A,VLOOKUP(A140,Database!$A:$AS,MATCH($D$1,Database!$A$1:$AS$1,0),FALSE))</f>
        <v/>
      </c>
      <c r="E140" s="76">
        <f>IF(VLOOKUP(A140,Database!$A:$AS,MATCH($E$1,Database!$A$1:$AS$1,0),FALSE)=0,#N/A,VLOOKUP(A140,Database!$A:$AS,MATCH($E$1,Database!$A$1:$AS$1,0),FALSE))</f>
        <v/>
      </c>
      <c r="F140" s="76">
        <f>IF(VLOOKUP(A140,Database!$A:$AS,MATCH($F$1,Database!$A$1:$AS$1,0),FALSE)=0,#N/A,VLOOKUP(A140,Database!$A:$AS,MATCH($F$1,Database!$A$1:$AS$1,0),FALSE))</f>
        <v/>
      </c>
      <c r="G140" s="76">
        <f>IF(VLOOKUP(A140,Database!$A:$AS,MATCH($G$1,Database!$A$1:$AS$1,0),FALSE)=0,#N/A,VLOOKUP(A140,Database!$A:$AS,MATCH($G$1,Database!$A$1:$AS$1,0),FALSE))</f>
        <v/>
      </c>
      <c r="H140" s="76">
        <f>(((Table134567891011121314151617343[[#This Row],[ITA]]-VLOOKUP($U$1,A:B,2,))/VLOOKUP($U$1,A:B,2,))*100)+100</f>
        <v/>
      </c>
      <c r="I140" s="76">
        <f>(((Table134567891011121314151617343[[#This Row],[FRA]]-VLOOKUP($U$1,A:C,3,))/VLOOKUP($U$1,A:C,3,))*100)+100</f>
        <v/>
      </c>
      <c r="J140" s="76">
        <f>(((Table134567891011121314151617343[[#This Row],[DEU]]-VLOOKUP($U$1,A:D,4,))/VLOOKUP($U$1,A:D,4,))*100)+100</f>
        <v/>
      </c>
      <c r="K140" s="76">
        <f>(((Table134567891011121314151617343[[#This Row],[ESP]]-VLOOKUP($U$1,A:E,5,))/VLOOKUP($U$1,A:E,5,))*100)+100</f>
        <v/>
      </c>
      <c r="L140" s="76">
        <f>(((Table134567891011121314151617343[[#This Row],[EA19]]-VLOOKUP($U$1,A:F,6,))/VLOOKUP($U$1,A:F,6,))*100)+100</f>
        <v/>
      </c>
      <c r="M140" s="76">
        <f>(((Table134567891011121314151617343[[#This Row],[GBR]]-VLOOKUP($U$1,A:G,7,))/VLOOKUP($U$1,A:G,7,))*100)+100</f>
        <v/>
      </c>
      <c r="N140" s="76">
        <f>IF(VLOOKUP(A140,Database!$A:$AU,MATCH($N$1,Database!$A$1:$AU$1,0),FALSE)=0,#N/A,VLOOKUP(A140,Database!$A:$AU,MATCH($N$1,Database!$A$1:$AU$1,0),FALSE))</f>
        <v/>
      </c>
      <c r="O140" s="76">
        <f>(((Table134567891011121314151617343[[#This Row],[USA]]-VLOOKUP($U$1,A:N,14,))/VLOOKUP($U$1,A:N,14,))*100)+100</f>
        <v/>
      </c>
      <c r="P140" s="76">
        <f>IF(VLOOKUP(A140,Database!$A:$AS,MATCH($P$1,Database!$A$1:$AS$1,0),FALSE)=0,#N/A,VLOOKUP(A140,Database!$A:$AS,MATCH($P$1,Database!$A$1:$AS$1,0),FALSE))</f>
        <v/>
      </c>
      <c r="Q140" s="76">
        <f>(((Table134567891011121314151617343[[#This Row],[JPN]]-VLOOKUP($U$1,A:Q,16,))/VLOOKUP($U$1,A:Q,16,))*100)+100</f>
        <v/>
      </c>
    </row>
    <row r="141" customFormat="1" s="86">
      <c r="A141" s="21" t="n">
        <v>37104</v>
      </c>
      <c r="B141" s="76">
        <f>IF(VLOOKUP(A141,Database!$A:$AS,MATCH($B$1,Database!$A$1:$AS$1,0),FALSE)=0,#N/A,VLOOKUP(A141,Database!$A:$AS,MATCH($B$1,Database!$A$1:$AS$1,0),FALSE))</f>
        <v/>
      </c>
      <c r="C141" s="76">
        <f>IF(VLOOKUP(A141,Database!$A:$AS,MATCH($C$1,Database!$A$1:$AS$1,0),FALSE)=0,#N/A,VLOOKUP(A141,Database!$A:$AS,MATCH($C$1,Database!$A$1:$AS$1,0),FALSE))</f>
        <v/>
      </c>
      <c r="D141" s="76">
        <f>IF(VLOOKUP(A141,Database!$A:$AS,MATCH($D$1,Database!$A$1:$AS$1,0),FALSE)=0,#N/A,VLOOKUP(A141,Database!$A:$AS,MATCH($D$1,Database!$A$1:$AS$1,0),FALSE))</f>
        <v/>
      </c>
      <c r="E141" s="76">
        <f>IF(VLOOKUP(A141,Database!$A:$AS,MATCH($E$1,Database!$A$1:$AS$1,0),FALSE)=0,#N/A,VLOOKUP(A141,Database!$A:$AS,MATCH($E$1,Database!$A$1:$AS$1,0),FALSE))</f>
        <v/>
      </c>
      <c r="F141" s="76">
        <f>IF(VLOOKUP(A141,Database!$A:$AS,MATCH($F$1,Database!$A$1:$AS$1,0),FALSE)=0,#N/A,VLOOKUP(A141,Database!$A:$AS,MATCH($F$1,Database!$A$1:$AS$1,0),FALSE))</f>
        <v/>
      </c>
      <c r="G141" s="76">
        <f>IF(VLOOKUP(A141,Database!$A:$AS,MATCH($G$1,Database!$A$1:$AS$1,0),FALSE)=0,#N/A,VLOOKUP(A141,Database!$A:$AS,MATCH($G$1,Database!$A$1:$AS$1,0),FALSE))</f>
        <v/>
      </c>
      <c r="H141" s="76">
        <f>(((Table134567891011121314151617343[[#This Row],[ITA]]-VLOOKUP($U$1,A:B,2,))/VLOOKUP($U$1,A:B,2,))*100)+100</f>
        <v/>
      </c>
      <c r="I141" s="76">
        <f>(((Table134567891011121314151617343[[#This Row],[FRA]]-VLOOKUP($U$1,A:C,3,))/VLOOKUP($U$1,A:C,3,))*100)+100</f>
        <v/>
      </c>
      <c r="J141" s="76">
        <f>(((Table134567891011121314151617343[[#This Row],[DEU]]-VLOOKUP($U$1,A:D,4,))/VLOOKUP($U$1,A:D,4,))*100)+100</f>
        <v/>
      </c>
      <c r="K141" s="76">
        <f>(((Table134567891011121314151617343[[#This Row],[ESP]]-VLOOKUP($U$1,A:E,5,))/VLOOKUP($U$1,A:E,5,))*100)+100</f>
        <v/>
      </c>
      <c r="L141" s="76">
        <f>(((Table134567891011121314151617343[[#This Row],[EA19]]-VLOOKUP($U$1,A:F,6,))/VLOOKUP($U$1,A:F,6,))*100)+100</f>
        <v/>
      </c>
      <c r="M141" s="76">
        <f>(((Table134567891011121314151617343[[#This Row],[GBR]]-VLOOKUP($U$1,A:G,7,))/VLOOKUP($U$1,A:G,7,))*100)+100</f>
        <v/>
      </c>
      <c r="N141" s="76">
        <f>IF(VLOOKUP(A141,Database!$A:$AU,MATCH($N$1,Database!$A$1:$AU$1,0),FALSE)=0,#N/A,VLOOKUP(A141,Database!$A:$AU,MATCH($N$1,Database!$A$1:$AU$1,0),FALSE))</f>
        <v/>
      </c>
      <c r="O141" s="76">
        <f>(((Table134567891011121314151617343[[#This Row],[USA]]-VLOOKUP($U$1,A:N,14,))/VLOOKUP($U$1,A:N,14,))*100)+100</f>
        <v/>
      </c>
      <c r="P141" s="76">
        <f>IF(VLOOKUP(A141,Database!$A:$AS,MATCH($P$1,Database!$A$1:$AS$1,0),FALSE)=0,#N/A,VLOOKUP(A141,Database!$A:$AS,MATCH($P$1,Database!$A$1:$AS$1,0),FALSE))</f>
        <v/>
      </c>
      <c r="Q141" s="76">
        <f>(((Table134567891011121314151617343[[#This Row],[JPN]]-VLOOKUP($U$1,A:Q,16,))/VLOOKUP($U$1,A:Q,16,))*100)+100</f>
        <v/>
      </c>
    </row>
    <row r="142" customFormat="1" s="86">
      <c r="A142" s="21" t="n">
        <v>37135</v>
      </c>
      <c r="B142" s="76">
        <f>IF(VLOOKUP(A142,Database!$A:$AS,MATCH($B$1,Database!$A$1:$AS$1,0),FALSE)=0,#N/A,VLOOKUP(A142,Database!$A:$AS,MATCH($B$1,Database!$A$1:$AS$1,0),FALSE))</f>
        <v/>
      </c>
      <c r="C142" s="76">
        <f>IF(VLOOKUP(A142,Database!$A:$AS,MATCH($C$1,Database!$A$1:$AS$1,0),FALSE)=0,#N/A,VLOOKUP(A142,Database!$A:$AS,MATCH($C$1,Database!$A$1:$AS$1,0),FALSE))</f>
        <v/>
      </c>
      <c r="D142" s="76">
        <f>IF(VLOOKUP(A142,Database!$A:$AS,MATCH($D$1,Database!$A$1:$AS$1,0),FALSE)=0,#N/A,VLOOKUP(A142,Database!$A:$AS,MATCH($D$1,Database!$A$1:$AS$1,0),FALSE))</f>
        <v/>
      </c>
      <c r="E142" s="76">
        <f>IF(VLOOKUP(A142,Database!$A:$AS,MATCH($E$1,Database!$A$1:$AS$1,0),FALSE)=0,#N/A,VLOOKUP(A142,Database!$A:$AS,MATCH($E$1,Database!$A$1:$AS$1,0),FALSE))</f>
        <v/>
      </c>
      <c r="F142" s="76">
        <f>IF(VLOOKUP(A142,Database!$A:$AS,MATCH($F$1,Database!$A$1:$AS$1,0),FALSE)=0,#N/A,VLOOKUP(A142,Database!$A:$AS,MATCH($F$1,Database!$A$1:$AS$1,0),FALSE))</f>
        <v/>
      </c>
      <c r="G142" s="76">
        <f>IF(VLOOKUP(A142,Database!$A:$AS,MATCH($G$1,Database!$A$1:$AS$1,0),FALSE)=0,#N/A,VLOOKUP(A142,Database!$A:$AS,MATCH($G$1,Database!$A$1:$AS$1,0),FALSE))</f>
        <v/>
      </c>
      <c r="H142" s="76">
        <f>(((Table134567891011121314151617343[[#This Row],[ITA]]-VLOOKUP($U$1,A:B,2,))/VLOOKUP($U$1,A:B,2,))*100)+100</f>
        <v/>
      </c>
      <c r="I142" s="76">
        <f>(((Table134567891011121314151617343[[#This Row],[FRA]]-VLOOKUP($U$1,A:C,3,))/VLOOKUP($U$1,A:C,3,))*100)+100</f>
        <v/>
      </c>
      <c r="J142" s="76">
        <f>(((Table134567891011121314151617343[[#This Row],[DEU]]-VLOOKUP($U$1,A:D,4,))/VLOOKUP($U$1,A:D,4,))*100)+100</f>
        <v/>
      </c>
      <c r="K142" s="76">
        <f>(((Table134567891011121314151617343[[#This Row],[ESP]]-VLOOKUP($U$1,A:E,5,))/VLOOKUP($U$1,A:E,5,))*100)+100</f>
        <v/>
      </c>
      <c r="L142" s="76">
        <f>(((Table134567891011121314151617343[[#This Row],[EA19]]-VLOOKUP($U$1,A:F,6,))/VLOOKUP($U$1,A:F,6,))*100)+100</f>
        <v/>
      </c>
      <c r="M142" s="76">
        <f>(((Table134567891011121314151617343[[#This Row],[GBR]]-VLOOKUP($U$1,A:G,7,))/VLOOKUP($U$1,A:G,7,))*100)+100</f>
        <v/>
      </c>
      <c r="N142" s="76">
        <f>IF(VLOOKUP(A142,Database!$A:$AU,MATCH($N$1,Database!$A$1:$AU$1,0),FALSE)=0,#N/A,VLOOKUP(A142,Database!$A:$AU,MATCH($N$1,Database!$A$1:$AU$1,0),FALSE))</f>
        <v/>
      </c>
      <c r="O142" s="76">
        <f>(((Table134567891011121314151617343[[#This Row],[USA]]-VLOOKUP($U$1,A:N,14,))/VLOOKUP($U$1,A:N,14,))*100)+100</f>
        <v/>
      </c>
      <c r="P142" s="76">
        <f>IF(VLOOKUP(A142,Database!$A:$AS,MATCH($P$1,Database!$A$1:$AS$1,0),FALSE)=0,#N/A,VLOOKUP(A142,Database!$A:$AS,MATCH($P$1,Database!$A$1:$AS$1,0),FALSE))</f>
        <v/>
      </c>
      <c r="Q142" s="76">
        <f>(((Table134567891011121314151617343[[#This Row],[JPN]]-VLOOKUP($U$1,A:Q,16,))/VLOOKUP($U$1,A:Q,16,))*100)+100</f>
        <v/>
      </c>
    </row>
    <row r="143" customFormat="1" s="86">
      <c r="A143" s="21" t="n">
        <v>37165</v>
      </c>
      <c r="B143" s="76">
        <f>IF(VLOOKUP(A143,Database!$A:$AS,MATCH($B$1,Database!$A$1:$AS$1,0),FALSE)=0,#N/A,VLOOKUP(A143,Database!$A:$AS,MATCH($B$1,Database!$A$1:$AS$1,0),FALSE))</f>
        <v/>
      </c>
      <c r="C143" s="76">
        <f>IF(VLOOKUP(A143,Database!$A:$AS,MATCH($C$1,Database!$A$1:$AS$1,0),FALSE)=0,#N/A,VLOOKUP(A143,Database!$A:$AS,MATCH($C$1,Database!$A$1:$AS$1,0),FALSE))</f>
        <v/>
      </c>
      <c r="D143" s="76">
        <f>IF(VLOOKUP(A143,Database!$A:$AS,MATCH($D$1,Database!$A$1:$AS$1,0),FALSE)=0,#N/A,VLOOKUP(A143,Database!$A:$AS,MATCH($D$1,Database!$A$1:$AS$1,0),FALSE))</f>
        <v/>
      </c>
      <c r="E143" s="76">
        <f>IF(VLOOKUP(A143,Database!$A:$AS,MATCH($E$1,Database!$A$1:$AS$1,0),FALSE)=0,#N/A,VLOOKUP(A143,Database!$A:$AS,MATCH($E$1,Database!$A$1:$AS$1,0),FALSE))</f>
        <v/>
      </c>
      <c r="F143" s="76">
        <f>IF(VLOOKUP(A143,Database!$A:$AS,MATCH($F$1,Database!$A$1:$AS$1,0),FALSE)=0,#N/A,VLOOKUP(A143,Database!$A:$AS,MATCH($F$1,Database!$A$1:$AS$1,0),FALSE))</f>
        <v/>
      </c>
      <c r="G143" s="76">
        <f>IF(VLOOKUP(A143,Database!$A:$AS,MATCH($G$1,Database!$A$1:$AS$1,0),FALSE)=0,#N/A,VLOOKUP(A143,Database!$A:$AS,MATCH($G$1,Database!$A$1:$AS$1,0),FALSE))</f>
        <v/>
      </c>
      <c r="H143" s="76">
        <f>(((Table134567891011121314151617343[[#This Row],[ITA]]-VLOOKUP($U$1,A:B,2,))/VLOOKUP($U$1,A:B,2,))*100)+100</f>
        <v/>
      </c>
      <c r="I143" s="76">
        <f>(((Table134567891011121314151617343[[#This Row],[FRA]]-VLOOKUP($U$1,A:C,3,))/VLOOKUP($U$1,A:C,3,))*100)+100</f>
        <v/>
      </c>
      <c r="J143" s="76">
        <f>(((Table134567891011121314151617343[[#This Row],[DEU]]-VLOOKUP($U$1,A:D,4,))/VLOOKUP($U$1,A:D,4,))*100)+100</f>
        <v/>
      </c>
      <c r="K143" s="76">
        <f>(((Table134567891011121314151617343[[#This Row],[ESP]]-VLOOKUP($U$1,A:E,5,))/VLOOKUP($U$1,A:E,5,))*100)+100</f>
        <v/>
      </c>
      <c r="L143" s="76">
        <f>(((Table134567891011121314151617343[[#This Row],[EA19]]-VLOOKUP($U$1,A:F,6,))/VLOOKUP($U$1,A:F,6,))*100)+100</f>
        <v/>
      </c>
      <c r="M143" s="76">
        <f>(((Table134567891011121314151617343[[#This Row],[GBR]]-VLOOKUP($U$1,A:G,7,))/VLOOKUP($U$1,A:G,7,))*100)+100</f>
        <v/>
      </c>
      <c r="N143" s="76">
        <f>IF(VLOOKUP(A143,Database!$A:$AU,MATCH($N$1,Database!$A$1:$AU$1,0),FALSE)=0,#N/A,VLOOKUP(A143,Database!$A:$AU,MATCH($N$1,Database!$A$1:$AU$1,0),FALSE))</f>
        <v/>
      </c>
      <c r="O143" s="76">
        <f>(((Table134567891011121314151617343[[#This Row],[USA]]-VLOOKUP($U$1,A:N,14,))/VLOOKUP($U$1,A:N,14,))*100)+100</f>
        <v/>
      </c>
      <c r="P143" s="76">
        <f>IF(VLOOKUP(A143,Database!$A:$AS,MATCH($P$1,Database!$A$1:$AS$1,0),FALSE)=0,#N/A,VLOOKUP(A143,Database!$A:$AS,MATCH($P$1,Database!$A$1:$AS$1,0),FALSE))</f>
        <v/>
      </c>
      <c r="Q143" s="76">
        <f>(((Table134567891011121314151617343[[#This Row],[JPN]]-VLOOKUP($U$1,A:Q,16,))/VLOOKUP($U$1,A:Q,16,))*100)+100</f>
        <v/>
      </c>
    </row>
    <row r="144" customFormat="1" s="86">
      <c r="A144" s="21" t="n">
        <v>37196</v>
      </c>
      <c r="B144" s="76">
        <f>IF(VLOOKUP(A144,Database!$A:$AS,MATCH($B$1,Database!$A$1:$AS$1,0),FALSE)=0,#N/A,VLOOKUP(A144,Database!$A:$AS,MATCH($B$1,Database!$A$1:$AS$1,0),FALSE))</f>
        <v/>
      </c>
      <c r="C144" s="76">
        <f>IF(VLOOKUP(A144,Database!$A:$AS,MATCH($C$1,Database!$A$1:$AS$1,0),FALSE)=0,#N/A,VLOOKUP(A144,Database!$A:$AS,MATCH($C$1,Database!$A$1:$AS$1,0),FALSE))</f>
        <v/>
      </c>
      <c r="D144" s="76">
        <f>IF(VLOOKUP(A144,Database!$A:$AS,MATCH($D$1,Database!$A$1:$AS$1,0),FALSE)=0,#N/A,VLOOKUP(A144,Database!$A:$AS,MATCH($D$1,Database!$A$1:$AS$1,0),FALSE))</f>
        <v/>
      </c>
      <c r="E144" s="76">
        <f>IF(VLOOKUP(A144,Database!$A:$AS,MATCH($E$1,Database!$A$1:$AS$1,0),FALSE)=0,#N/A,VLOOKUP(A144,Database!$A:$AS,MATCH($E$1,Database!$A$1:$AS$1,0),FALSE))</f>
        <v/>
      </c>
      <c r="F144" s="76">
        <f>IF(VLOOKUP(A144,Database!$A:$AS,MATCH($F$1,Database!$A$1:$AS$1,0),FALSE)=0,#N/A,VLOOKUP(A144,Database!$A:$AS,MATCH($F$1,Database!$A$1:$AS$1,0),FALSE))</f>
        <v/>
      </c>
      <c r="G144" s="76">
        <f>IF(VLOOKUP(A144,Database!$A:$AS,MATCH($G$1,Database!$A$1:$AS$1,0),FALSE)=0,#N/A,VLOOKUP(A144,Database!$A:$AS,MATCH($G$1,Database!$A$1:$AS$1,0),FALSE))</f>
        <v/>
      </c>
      <c r="H144" s="76">
        <f>(((Table134567891011121314151617343[[#This Row],[ITA]]-VLOOKUP($U$1,A:B,2,))/VLOOKUP($U$1,A:B,2,))*100)+100</f>
        <v/>
      </c>
      <c r="I144" s="76">
        <f>(((Table134567891011121314151617343[[#This Row],[FRA]]-VLOOKUP($U$1,A:C,3,))/VLOOKUP($U$1,A:C,3,))*100)+100</f>
        <v/>
      </c>
      <c r="J144" s="76">
        <f>(((Table134567891011121314151617343[[#This Row],[DEU]]-VLOOKUP($U$1,A:D,4,))/VLOOKUP($U$1,A:D,4,))*100)+100</f>
        <v/>
      </c>
      <c r="K144" s="76">
        <f>(((Table134567891011121314151617343[[#This Row],[ESP]]-VLOOKUP($U$1,A:E,5,))/VLOOKUP($U$1,A:E,5,))*100)+100</f>
        <v/>
      </c>
      <c r="L144" s="76">
        <f>(((Table134567891011121314151617343[[#This Row],[EA19]]-VLOOKUP($U$1,A:F,6,))/VLOOKUP($U$1,A:F,6,))*100)+100</f>
        <v/>
      </c>
      <c r="M144" s="76">
        <f>(((Table134567891011121314151617343[[#This Row],[GBR]]-VLOOKUP($U$1,A:G,7,))/VLOOKUP($U$1,A:G,7,))*100)+100</f>
        <v/>
      </c>
      <c r="N144" s="76">
        <f>IF(VLOOKUP(A144,Database!$A:$AU,MATCH($N$1,Database!$A$1:$AU$1,0),FALSE)=0,#N/A,VLOOKUP(A144,Database!$A:$AU,MATCH($N$1,Database!$A$1:$AU$1,0),FALSE))</f>
        <v/>
      </c>
      <c r="O144" s="76">
        <f>(((Table134567891011121314151617343[[#This Row],[USA]]-VLOOKUP($U$1,A:N,14,))/VLOOKUP($U$1,A:N,14,))*100)+100</f>
        <v/>
      </c>
      <c r="P144" s="76">
        <f>IF(VLOOKUP(A144,Database!$A:$AS,MATCH($P$1,Database!$A$1:$AS$1,0),FALSE)=0,#N/A,VLOOKUP(A144,Database!$A:$AS,MATCH($P$1,Database!$A$1:$AS$1,0),FALSE))</f>
        <v/>
      </c>
      <c r="Q144" s="76">
        <f>(((Table134567891011121314151617343[[#This Row],[JPN]]-VLOOKUP($U$1,A:Q,16,))/VLOOKUP($U$1,A:Q,16,))*100)+100</f>
        <v/>
      </c>
    </row>
    <row r="145" customFormat="1" s="86">
      <c r="A145" s="21" t="n">
        <v>37226</v>
      </c>
      <c r="B145" s="76">
        <f>IF(VLOOKUP(A145,Database!$A:$AS,MATCH($B$1,Database!$A$1:$AS$1,0),FALSE)=0,#N/A,VLOOKUP(A145,Database!$A:$AS,MATCH($B$1,Database!$A$1:$AS$1,0),FALSE))</f>
        <v/>
      </c>
      <c r="C145" s="76">
        <f>IF(VLOOKUP(A145,Database!$A:$AS,MATCH($C$1,Database!$A$1:$AS$1,0),FALSE)=0,#N/A,VLOOKUP(A145,Database!$A:$AS,MATCH($C$1,Database!$A$1:$AS$1,0),FALSE))</f>
        <v/>
      </c>
      <c r="D145" s="76">
        <f>IF(VLOOKUP(A145,Database!$A:$AS,MATCH($D$1,Database!$A$1:$AS$1,0),FALSE)=0,#N/A,VLOOKUP(A145,Database!$A:$AS,MATCH($D$1,Database!$A$1:$AS$1,0),FALSE))</f>
        <v/>
      </c>
      <c r="E145" s="76">
        <f>IF(VLOOKUP(A145,Database!$A:$AS,MATCH($E$1,Database!$A$1:$AS$1,0),FALSE)=0,#N/A,VLOOKUP(A145,Database!$A:$AS,MATCH($E$1,Database!$A$1:$AS$1,0),FALSE))</f>
        <v/>
      </c>
      <c r="F145" s="76">
        <f>IF(VLOOKUP(A145,Database!$A:$AS,MATCH($F$1,Database!$A$1:$AS$1,0),FALSE)=0,#N/A,VLOOKUP(A145,Database!$A:$AS,MATCH($F$1,Database!$A$1:$AS$1,0),FALSE))</f>
        <v/>
      </c>
      <c r="G145" s="76">
        <f>IF(VLOOKUP(A145,Database!$A:$AS,MATCH($G$1,Database!$A$1:$AS$1,0),FALSE)=0,#N/A,VLOOKUP(A145,Database!$A:$AS,MATCH($G$1,Database!$A$1:$AS$1,0),FALSE))</f>
        <v/>
      </c>
      <c r="H145" s="76">
        <f>(((Table134567891011121314151617343[[#This Row],[ITA]]-VLOOKUP($U$1,A:B,2,))/VLOOKUP($U$1,A:B,2,))*100)+100</f>
        <v/>
      </c>
      <c r="I145" s="76">
        <f>(((Table134567891011121314151617343[[#This Row],[FRA]]-VLOOKUP($U$1,A:C,3,))/VLOOKUP($U$1,A:C,3,))*100)+100</f>
        <v/>
      </c>
      <c r="J145" s="76">
        <f>(((Table134567891011121314151617343[[#This Row],[DEU]]-VLOOKUP($U$1,A:D,4,))/VLOOKUP($U$1,A:D,4,))*100)+100</f>
        <v/>
      </c>
      <c r="K145" s="76">
        <f>(((Table134567891011121314151617343[[#This Row],[ESP]]-VLOOKUP($U$1,A:E,5,))/VLOOKUP($U$1,A:E,5,))*100)+100</f>
        <v/>
      </c>
      <c r="L145" s="76">
        <f>(((Table134567891011121314151617343[[#This Row],[EA19]]-VLOOKUP($U$1,A:F,6,))/VLOOKUP($U$1,A:F,6,))*100)+100</f>
        <v/>
      </c>
      <c r="M145" s="76">
        <f>(((Table134567891011121314151617343[[#This Row],[GBR]]-VLOOKUP($U$1,A:G,7,))/VLOOKUP($U$1,A:G,7,))*100)+100</f>
        <v/>
      </c>
      <c r="N145" s="76">
        <f>IF(VLOOKUP(A145,Database!$A:$AU,MATCH($N$1,Database!$A$1:$AU$1,0),FALSE)=0,#N/A,VLOOKUP(A145,Database!$A:$AU,MATCH($N$1,Database!$A$1:$AU$1,0),FALSE))</f>
        <v/>
      </c>
      <c r="O145" s="76">
        <f>(((Table134567891011121314151617343[[#This Row],[USA]]-VLOOKUP($U$1,A:N,14,))/VLOOKUP($U$1,A:N,14,))*100)+100</f>
        <v/>
      </c>
      <c r="P145" s="76">
        <f>IF(VLOOKUP(A145,Database!$A:$AS,MATCH($P$1,Database!$A$1:$AS$1,0),FALSE)=0,#N/A,VLOOKUP(A145,Database!$A:$AS,MATCH($P$1,Database!$A$1:$AS$1,0),FALSE))</f>
        <v/>
      </c>
      <c r="Q145" s="76">
        <f>(((Table134567891011121314151617343[[#This Row],[JPN]]-VLOOKUP($U$1,A:Q,16,))/VLOOKUP($U$1,A:Q,16,))*100)+100</f>
        <v/>
      </c>
    </row>
    <row r="146" customFormat="1" s="86">
      <c r="A146" s="21" t="n">
        <v>37257</v>
      </c>
      <c r="B146" s="76">
        <f>IF(VLOOKUP(A146,Database!$A:$AS,MATCH($B$1,Database!$A$1:$AS$1,0),FALSE)=0,#N/A,VLOOKUP(A146,Database!$A:$AS,MATCH($B$1,Database!$A$1:$AS$1,0),FALSE))</f>
        <v/>
      </c>
      <c r="C146" s="76">
        <f>IF(VLOOKUP(A146,Database!$A:$AS,MATCH($C$1,Database!$A$1:$AS$1,0),FALSE)=0,#N/A,VLOOKUP(A146,Database!$A:$AS,MATCH($C$1,Database!$A$1:$AS$1,0),FALSE))</f>
        <v/>
      </c>
      <c r="D146" s="76">
        <f>IF(VLOOKUP(A146,Database!$A:$AS,MATCH($D$1,Database!$A$1:$AS$1,0),FALSE)=0,#N/A,VLOOKUP(A146,Database!$A:$AS,MATCH($D$1,Database!$A$1:$AS$1,0),FALSE))</f>
        <v/>
      </c>
      <c r="E146" s="76">
        <f>IF(VLOOKUP(A146,Database!$A:$AS,MATCH($E$1,Database!$A$1:$AS$1,0),FALSE)=0,#N/A,VLOOKUP(A146,Database!$A:$AS,MATCH($E$1,Database!$A$1:$AS$1,0),FALSE))</f>
        <v/>
      </c>
      <c r="F146" s="76">
        <f>IF(VLOOKUP(A146,Database!$A:$AS,MATCH($F$1,Database!$A$1:$AS$1,0),FALSE)=0,#N/A,VLOOKUP(A146,Database!$A:$AS,MATCH($F$1,Database!$A$1:$AS$1,0),FALSE))</f>
        <v/>
      </c>
      <c r="G146" s="76">
        <f>IF(VLOOKUP(A146,Database!$A:$AS,MATCH($G$1,Database!$A$1:$AS$1,0),FALSE)=0,#N/A,VLOOKUP(A146,Database!$A:$AS,MATCH($G$1,Database!$A$1:$AS$1,0),FALSE))</f>
        <v/>
      </c>
      <c r="H146" s="76">
        <f>(((Table134567891011121314151617343[[#This Row],[ITA]]-VLOOKUP($U$1,A:B,2,))/VLOOKUP($U$1,A:B,2,))*100)+100</f>
        <v/>
      </c>
      <c r="I146" s="76">
        <f>(((Table134567891011121314151617343[[#This Row],[FRA]]-VLOOKUP($U$1,A:C,3,))/VLOOKUP($U$1,A:C,3,))*100)+100</f>
        <v/>
      </c>
      <c r="J146" s="76">
        <f>(((Table134567891011121314151617343[[#This Row],[DEU]]-VLOOKUP($U$1,A:D,4,))/VLOOKUP($U$1,A:D,4,))*100)+100</f>
        <v/>
      </c>
      <c r="K146" s="76">
        <f>(((Table134567891011121314151617343[[#This Row],[ESP]]-VLOOKUP($U$1,A:E,5,))/VLOOKUP($U$1,A:E,5,))*100)+100</f>
        <v/>
      </c>
      <c r="L146" s="76">
        <f>(((Table134567891011121314151617343[[#This Row],[EA19]]-VLOOKUP($U$1,A:F,6,))/VLOOKUP($U$1,A:F,6,))*100)+100</f>
        <v/>
      </c>
      <c r="M146" s="76">
        <f>(((Table134567891011121314151617343[[#This Row],[GBR]]-VLOOKUP($U$1,A:G,7,))/VLOOKUP($U$1,A:G,7,))*100)+100</f>
        <v/>
      </c>
      <c r="N146" s="76">
        <f>IF(VLOOKUP(A146,Database!$A:$AU,MATCH($N$1,Database!$A$1:$AU$1,0),FALSE)=0,#N/A,VLOOKUP(A146,Database!$A:$AU,MATCH($N$1,Database!$A$1:$AU$1,0),FALSE))</f>
        <v/>
      </c>
      <c r="O146" s="76">
        <f>(((Table134567891011121314151617343[[#This Row],[USA]]-VLOOKUP($U$1,A:N,14,))/VLOOKUP($U$1,A:N,14,))*100)+100</f>
        <v/>
      </c>
      <c r="P146" s="76">
        <f>IF(VLOOKUP(A146,Database!$A:$AS,MATCH($P$1,Database!$A$1:$AS$1,0),FALSE)=0,#N/A,VLOOKUP(A146,Database!$A:$AS,MATCH($P$1,Database!$A$1:$AS$1,0),FALSE))</f>
        <v/>
      </c>
      <c r="Q146" s="76">
        <f>(((Table134567891011121314151617343[[#This Row],[JPN]]-VLOOKUP($U$1,A:Q,16,))/VLOOKUP($U$1,A:Q,16,))*100)+100</f>
        <v/>
      </c>
    </row>
    <row r="147" customFormat="1" s="86">
      <c r="A147" s="21" t="n">
        <v>37288</v>
      </c>
      <c r="B147" s="76">
        <f>IF(VLOOKUP(A147,Database!$A:$AS,MATCH($B$1,Database!$A$1:$AS$1,0),FALSE)=0,#N/A,VLOOKUP(A147,Database!$A:$AS,MATCH($B$1,Database!$A$1:$AS$1,0),FALSE))</f>
        <v/>
      </c>
      <c r="C147" s="76">
        <f>IF(VLOOKUP(A147,Database!$A:$AS,MATCH($C$1,Database!$A$1:$AS$1,0),FALSE)=0,#N/A,VLOOKUP(A147,Database!$A:$AS,MATCH($C$1,Database!$A$1:$AS$1,0),FALSE))</f>
        <v/>
      </c>
      <c r="D147" s="76">
        <f>IF(VLOOKUP(A147,Database!$A:$AS,MATCH($D$1,Database!$A$1:$AS$1,0),FALSE)=0,#N/A,VLOOKUP(A147,Database!$A:$AS,MATCH($D$1,Database!$A$1:$AS$1,0),FALSE))</f>
        <v/>
      </c>
      <c r="E147" s="76">
        <f>IF(VLOOKUP(A147,Database!$A:$AS,MATCH($E$1,Database!$A$1:$AS$1,0),FALSE)=0,#N/A,VLOOKUP(A147,Database!$A:$AS,MATCH($E$1,Database!$A$1:$AS$1,0),FALSE))</f>
        <v/>
      </c>
      <c r="F147" s="76">
        <f>IF(VLOOKUP(A147,Database!$A:$AS,MATCH($F$1,Database!$A$1:$AS$1,0),FALSE)=0,#N/A,VLOOKUP(A147,Database!$A:$AS,MATCH($F$1,Database!$A$1:$AS$1,0),FALSE))</f>
        <v/>
      </c>
      <c r="G147" s="76">
        <f>IF(VLOOKUP(A147,Database!$A:$AS,MATCH($G$1,Database!$A$1:$AS$1,0),FALSE)=0,#N/A,VLOOKUP(A147,Database!$A:$AS,MATCH($G$1,Database!$A$1:$AS$1,0),FALSE))</f>
        <v/>
      </c>
      <c r="H147" s="76">
        <f>(((Table134567891011121314151617343[[#This Row],[ITA]]-VLOOKUP($U$1,A:B,2,))/VLOOKUP($U$1,A:B,2,))*100)+100</f>
        <v/>
      </c>
      <c r="I147" s="76">
        <f>(((Table134567891011121314151617343[[#This Row],[FRA]]-VLOOKUP($U$1,A:C,3,))/VLOOKUP($U$1,A:C,3,))*100)+100</f>
        <v/>
      </c>
      <c r="J147" s="76">
        <f>(((Table134567891011121314151617343[[#This Row],[DEU]]-VLOOKUP($U$1,A:D,4,))/VLOOKUP($U$1,A:D,4,))*100)+100</f>
        <v/>
      </c>
      <c r="K147" s="76">
        <f>(((Table134567891011121314151617343[[#This Row],[ESP]]-VLOOKUP($U$1,A:E,5,))/VLOOKUP($U$1,A:E,5,))*100)+100</f>
        <v/>
      </c>
      <c r="L147" s="76">
        <f>(((Table134567891011121314151617343[[#This Row],[EA19]]-VLOOKUP($U$1,A:F,6,))/VLOOKUP($U$1,A:F,6,))*100)+100</f>
        <v/>
      </c>
      <c r="M147" s="76">
        <f>(((Table134567891011121314151617343[[#This Row],[GBR]]-VLOOKUP($U$1,A:G,7,))/VLOOKUP($U$1,A:G,7,))*100)+100</f>
        <v/>
      </c>
      <c r="N147" s="76">
        <f>IF(VLOOKUP(A147,Database!$A:$AU,MATCH($N$1,Database!$A$1:$AU$1,0),FALSE)=0,#N/A,VLOOKUP(A147,Database!$A:$AU,MATCH($N$1,Database!$A$1:$AU$1,0),FALSE))</f>
        <v/>
      </c>
      <c r="O147" s="76">
        <f>(((Table134567891011121314151617343[[#This Row],[USA]]-VLOOKUP($U$1,A:N,14,))/VLOOKUP($U$1,A:N,14,))*100)+100</f>
        <v/>
      </c>
      <c r="P147" s="76">
        <f>IF(VLOOKUP(A147,Database!$A:$AS,MATCH($P$1,Database!$A$1:$AS$1,0),FALSE)=0,#N/A,VLOOKUP(A147,Database!$A:$AS,MATCH($P$1,Database!$A$1:$AS$1,0),FALSE))</f>
        <v/>
      </c>
      <c r="Q147" s="76">
        <f>(((Table134567891011121314151617343[[#This Row],[JPN]]-VLOOKUP($U$1,A:Q,16,))/VLOOKUP($U$1,A:Q,16,))*100)+100</f>
        <v/>
      </c>
    </row>
    <row r="148" customFormat="1" s="86">
      <c r="A148" s="21" t="n">
        <v>37316</v>
      </c>
      <c r="B148" s="76">
        <f>IF(VLOOKUP(A148,Database!$A:$AS,MATCH($B$1,Database!$A$1:$AS$1,0),FALSE)=0,#N/A,VLOOKUP(A148,Database!$A:$AS,MATCH($B$1,Database!$A$1:$AS$1,0),FALSE))</f>
        <v/>
      </c>
      <c r="C148" s="76">
        <f>IF(VLOOKUP(A148,Database!$A:$AS,MATCH($C$1,Database!$A$1:$AS$1,0),FALSE)=0,#N/A,VLOOKUP(A148,Database!$A:$AS,MATCH($C$1,Database!$A$1:$AS$1,0),FALSE))</f>
        <v/>
      </c>
      <c r="D148" s="76">
        <f>IF(VLOOKUP(A148,Database!$A:$AS,MATCH($D$1,Database!$A$1:$AS$1,0),FALSE)=0,#N/A,VLOOKUP(A148,Database!$A:$AS,MATCH($D$1,Database!$A$1:$AS$1,0),FALSE))</f>
        <v/>
      </c>
      <c r="E148" s="76">
        <f>IF(VLOOKUP(A148,Database!$A:$AS,MATCH($E$1,Database!$A$1:$AS$1,0),FALSE)=0,#N/A,VLOOKUP(A148,Database!$A:$AS,MATCH($E$1,Database!$A$1:$AS$1,0),FALSE))</f>
        <v/>
      </c>
      <c r="F148" s="76">
        <f>IF(VLOOKUP(A148,Database!$A:$AS,MATCH($F$1,Database!$A$1:$AS$1,0),FALSE)=0,#N/A,VLOOKUP(A148,Database!$A:$AS,MATCH($F$1,Database!$A$1:$AS$1,0),FALSE))</f>
        <v/>
      </c>
      <c r="G148" s="76">
        <f>IF(VLOOKUP(A148,Database!$A:$AS,MATCH($G$1,Database!$A$1:$AS$1,0),FALSE)=0,#N/A,VLOOKUP(A148,Database!$A:$AS,MATCH($G$1,Database!$A$1:$AS$1,0),FALSE))</f>
        <v/>
      </c>
      <c r="H148" s="76">
        <f>(((Table134567891011121314151617343[[#This Row],[ITA]]-VLOOKUP($U$1,A:B,2,))/VLOOKUP($U$1,A:B,2,))*100)+100</f>
        <v/>
      </c>
      <c r="I148" s="76">
        <f>(((Table134567891011121314151617343[[#This Row],[FRA]]-VLOOKUP($U$1,A:C,3,))/VLOOKUP($U$1,A:C,3,))*100)+100</f>
        <v/>
      </c>
      <c r="J148" s="76">
        <f>(((Table134567891011121314151617343[[#This Row],[DEU]]-VLOOKUP($U$1,A:D,4,))/VLOOKUP($U$1,A:D,4,))*100)+100</f>
        <v/>
      </c>
      <c r="K148" s="76">
        <f>(((Table134567891011121314151617343[[#This Row],[ESP]]-VLOOKUP($U$1,A:E,5,))/VLOOKUP($U$1,A:E,5,))*100)+100</f>
        <v/>
      </c>
      <c r="L148" s="76">
        <f>(((Table134567891011121314151617343[[#This Row],[EA19]]-VLOOKUP($U$1,A:F,6,))/VLOOKUP($U$1,A:F,6,))*100)+100</f>
        <v/>
      </c>
      <c r="M148" s="76">
        <f>(((Table134567891011121314151617343[[#This Row],[GBR]]-VLOOKUP($U$1,A:G,7,))/VLOOKUP($U$1,A:G,7,))*100)+100</f>
        <v/>
      </c>
      <c r="N148" s="76">
        <f>IF(VLOOKUP(A148,Database!$A:$AU,MATCH($N$1,Database!$A$1:$AU$1,0),FALSE)=0,#N/A,VLOOKUP(A148,Database!$A:$AU,MATCH($N$1,Database!$A$1:$AU$1,0),FALSE))</f>
        <v/>
      </c>
      <c r="O148" s="76">
        <f>(((Table134567891011121314151617343[[#This Row],[USA]]-VLOOKUP($U$1,A:N,14,))/VLOOKUP($U$1,A:N,14,))*100)+100</f>
        <v/>
      </c>
      <c r="P148" s="76">
        <f>IF(VLOOKUP(A148,Database!$A:$AS,MATCH($P$1,Database!$A$1:$AS$1,0),FALSE)=0,#N/A,VLOOKUP(A148,Database!$A:$AS,MATCH($P$1,Database!$A$1:$AS$1,0),FALSE))</f>
        <v/>
      </c>
      <c r="Q148" s="76">
        <f>(((Table134567891011121314151617343[[#This Row],[JPN]]-VLOOKUP($U$1,A:Q,16,))/VLOOKUP($U$1,A:Q,16,))*100)+100</f>
        <v/>
      </c>
    </row>
    <row r="149" customFormat="1" s="86">
      <c r="A149" s="21" t="n">
        <v>37347</v>
      </c>
      <c r="B149" s="76">
        <f>IF(VLOOKUP(A149,Database!$A:$AS,MATCH($B$1,Database!$A$1:$AS$1,0),FALSE)=0,#N/A,VLOOKUP(A149,Database!$A:$AS,MATCH($B$1,Database!$A$1:$AS$1,0),FALSE))</f>
        <v/>
      </c>
      <c r="C149" s="76">
        <f>IF(VLOOKUP(A149,Database!$A:$AS,MATCH($C$1,Database!$A$1:$AS$1,0),FALSE)=0,#N/A,VLOOKUP(A149,Database!$A:$AS,MATCH($C$1,Database!$A$1:$AS$1,0),FALSE))</f>
        <v/>
      </c>
      <c r="D149" s="76">
        <f>IF(VLOOKUP(A149,Database!$A:$AS,MATCH($D$1,Database!$A$1:$AS$1,0),FALSE)=0,#N/A,VLOOKUP(A149,Database!$A:$AS,MATCH($D$1,Database!$A$1:$AS$1,0),FALSE))</f>
        <v/>
      </c>
      <c r="E149" s="76">
        <f>IF(VLOOKUP(A149,Database!$A:$AS,MATCH($E$1,Database!$A$1:$AS$1,0),FALSE)=0,#N/A,VLOOKUP(A149,Database!$A:$AS,MATCH($E$1,Database!$A$1:$AS$1,0),FALSE))</f>
        <v/>
      </c>
      <c r="F149" s="76">
        <f>IF(VLOOKUP(A149,Database!$A:$AS,MATCH($F$1,Database!$A$1:$AS$1,0),FALSE)=0,#N/A,VLOOKUP(A149,Database!$A:$AS,MATCH($F$1,Database!$A$1:$AS$1,0),FALSE))</f>
        <v/>
      </c>
      <c r="G149" s="76">
        <f>IF(VLOOKUP(A149,Database!$A:$AS,MATCH($G$1,Database!$A$1:$AS$1,0),FALSE)=0,#N/A,VLOOKUP(A149,Database!$A:$AS,MATCH($G$1,Database!$A$1:$AS$1,0),FALSE))</f>
        <v/>
      </c>
      <c r="H149" s="76">
        <f>(((Table134567891011121314151617343[[#This Row],[ITA]]-VLOOKUP($U$1,A:B,2,))/VLOOKUP($U$1,A:B,2,))*100)+100</f>
        <v/>
      </c>
      <c r="I149" s="76">
        <f>(((Table134567891011121314151617343[[#This Row],[FRA]]-VLOOKUP($U$1,A:C,3,))/VLOOKUP($U$1,A:C,3,))*100)+100</f>
        <v/>
      </c>
      <c r="J149" s="76">
        <f>(((Table134567891011121314151617343[[#This Row],[DEU]]-VLOOKUP($U$1,A:D,4,))/VLOOKUP($U$1,A:D,4,))*100)+100</f>
        <v/>
      </c>
      <c r="K149" s="76">
        <f>(((Table134567891011121314151617343[[#This Row],[ESP]]-VLOOKUP($U$1,A:E,5,))/VLOOKUP($U$1,A:E,5,))*100)+100</f>
        <v/>
      </c>
      <c r="L149" s="76">
        <f>(((Table134567891011121314151617343[[#This Row],[EA19]]-VLOOKUP($U$1,A:F,6,))/VLOOKUP($U$1,A:F,6,))*100)+100</f>
        <v/>
      </c>
      <c r="M149" s="76">
        <f>(((Table134567891011121314151617343[[#This Row],[GBR]]-VLOOKUP($U$1,A:G,7,))/VLOOKUP($U$1,A:G,7,))*100)+100</f>
        <v/>
      </c>
      <c r="N149" s="76">
        <f>IF(VLOOKUP(A149,Database!$A:$AU,MATCH($N$1,Database!$A$1:$AU$1,0),FALSE)=0,#N/A,VLOOKUP(A149,Database!$A:$AU,MATCH($N$1,Database!$A$1:$AU$1,0),FALSE))</f>
        <v/>
      </c>
      <c r="O149" s="76">
        <f>(((Table134567891011121314151617343[[#This Row],[USA]]-VLOOKUP($U$1,A:N,14,))/VLOOKUP($U$1,A:N,14,))*100)+100</f>
        <v/>
      </c>
      <c r="P149" s="76">
        <f>IF(VLOOKUP(A149,Database!$A:$AS,MATCH($P$1,Database!$A$1:$AS$1,0),FALSE)=0,#N/A,VLOOKUP(A149,Database!$A:$AS,MATCH($P$1,Database!$A$1:$AS$1,0),FALSE))</f>
        <v/>
      </c>
      <c r="Q149" s="76">
        <f>(((Table134567891011121314151617343[[#This Row],[JPN]]-VLOOKUP($U$1,A:Q,16,))/VLOOKUP($U$1,A:Q,16,))*100)+100</f>
        <v/>
      </c>
    </row>
    <row r="150" customFormat="1" s="86">
      <c r="A150" s="21" t="n">
        <v>37377</v>
      </c>
      <c r="B150" s="76">
        <f>IF(VLOOKUP(A150,Database!$A:$AS,MATCH($B$1,Database!$A$1:$AS$1,0),FALSE)=0,#N/A,VLOOKUP(A150,Database!$A:$AS,MATCH($B$1,Database!$A$1:$AS$1,0),FALSE))</f>
        <v/>
      </c>
      <c r="C150" s="76">
        <f>IF(VLOOKUP(A150,Database!$A:$AS,MATCH($C$1,Database!$A$1:$AS$1,0),FALSE)=0,#N/A,VLOOKUP(A150,Database!$A:$AS,MATCH($C$1,Database!$A$1:$AS$1,0),FALSE))</f>
        <v/>
      </c>
      <c r="D150" s="76">
        <f>IF(VLOOKUP(A150,Database!$A:$AS,MATCH($D$1,Database!$A$1:$AS$1,0),FALSE)=0,#N/A,VLOOKUP(A150,Database!$A:$AS,MATCH($D$1,Database!$A$1:$AS$1,0),FALSE))</f>
        <v/>
      </c>
      <c r="E150" s="76">
        <f>IF(VLOOKUP(A150,Database!$A:$AS,MATCH($E$1,Database!$A$1:$AS$1,0),FALSE)=0,#N/A,VLOOKUP(A150,Database!$A:$AS,MATCH($E$1,Database!$A$1:$AS$1,0),FALSE))</f>
        <v/>
      </c>
      <c r="F150" s="76">
        <f>IF(VLOOKUP(A150,Database!$A:$AS,MATCH($F$1,Database!$A$1:$AS$1,0),FALSE)=0,#N/A,VLOOKUP(A150,Database!$A:$AS,MATCH($F$1,Database!$A$1:$AS$1,0),FALSE))</f>
        <v/>
      </c>
      <c r="G150" s="76">
        <f>IF(VLOOKUP(A150,Database!$A:$AS,MATCH($G$1,Database!$A$1:$AS$1,0),FALSE)=0,#N/A,VLOOKUP(A150,Database!$A:$AS,MATCH($G$1,Database!$A$1:$AS$1,0),FALSE))</f>
        <v/>
      </c>
      <c r="H150" s="76">
        <f>(((Table134567891011121314151617343[[#This Row],[ITA]]-VLOOKUP($U$1,A:B,2,))/VLOOKUP($U$1,A:B,2,))*100)+100</f>
        <v/>
      </c>
      <c r="I150" s="76">
        <f>(((Table134567891011121314151617343[[#This Row],[FRA]]-VLOOKUP($U$1,A:C,3,))/VLOOKUP($U$1,A:C,3,))*100)+100</f>
        <v/>
      </c>
      <c r="J150" s="76">
        <f>(((Table134567891011121314151617343[[#This Row],[DEU]]-VLOOKUP($U$1,A:D,4,))/VLOOKUP($U$1,A:D,4,))*100)+100</f>
        <v/>
      </c>
      <c r="K150" s="76">
        <f>(((Table134567891011121314151617343[[#This Row],[ESP]]-VLOOKUP($U$1,A:E,5,))/VLOOKUP($U$1,A:E,5,))*100)+100</f>
        <v/>
      </c>
      <c r="L150" s="76">
        <f>(((Table134567891011121314151617343[[#This Row],[EA19]]-VLOOKUP($U$1,A:F,6,))/VLOOKUP($U$1,A:F,6,))*100)+100</f>
        <v/>
      </c>
      <c r="M150" s="76">
        <f>(((Table134567891011121314151617343[[#This Row],[GBR]]-VLOOKUP($U$1,A:G,7,))/VLOOKUP($U$1,A:G,7,))*100)+100</f>
        <v/>
      </c>
      <c r="N150" s="76">
        <f>IF(VLOOKUP(A150,Database!$A:$AU,MATCH($N$1,Database!$A$1:$AU$1,0),FALSE)=0,#N/A,VLOOKUP(A150,Database!$A:$AU,MATCH($N$1,Database!$A$1:$AU$1,0),FALSE))</f>
        <v/>
      </c>
      <c r="O150" s="76">
        <f>(((Table134567891011121314151617343[[#This Row],[USA]]-VLOOKUP($U$1,A:N,14,))/VLOOKUP($U$1,A:N,14,))*100)+100</f>
        <v/>
      </c>
      <c r="P150" s="76">
        <f>IF(VLOOKUP(A150,Database!$A:$AS,MATCH($P$1,Database!$A$1:$AS$1,0),FALSE)=0,#N/A,VLOOKUP(A150,Database!$A:$AS,MATCH($P$1,Database!$A$1:$AS$1,0),FALSE))</f>
        <v/>
      </c>
      <c r="Q150" s="76">
        <f>(((Table134567891011121314151617343[[#This Row],[JPN]]-VLOOKUP($U$1,A:Q,16,))/VLOOKUP($U$1,A:Q,16,))*100)+100</f>
        <v/>
      </c>
    </row>
    <row r="151" customFormat="1" s="86">
      <c r="A151" s="21" t="n">
        <v>37408</v>
      </c>
      <c r="B151" s="76">
        <f>IF(VLOOKUP(A151,Database!$A:$AS,MATCH($B$1,Database!$A$1:$AS$1,0),FALSE)=0,#N/A,VLOOKUP(A151,Database!$A:$AS,MATCH($B$1,Database!$A$1:$AS$1,0),FALSE))</f>
        <v/>
      </c>
      <c r="C151" s="76">
        <f>IF(VLOOKUP(A151,Database!$A:$AS,MATCH($C$1,Database!$A$1:$AS$1,0),FALSE)=0,#N/A,VLOOKUP(A151,Database!$A:$AS,MATCH($C$1,Database!$A$1:$AS$1,0),FALSE))</f>
        <v/>
      </c>
      <c r="D151" s="76">
        <f>IF(VLOOKUP(A151,Database!$A:$AS,MATCH($D$1,Database!$A$1:$AS$1,0),FALSE)=0,#N/A,VLOOKUP(A151,Database!$A:$AS,MATCH($D$1,Database!$A$1:$AS$1,0),FALSE))</f>
        <v/>
      </c>
      <c r="E151" s="76">
        <f>IF(VLOOKUP(A151,Database!$A:$AS,MATCH($E$1,Database!$A$1:$AS$1,0),FALSE)=0,#N/A,VLOOKUP(A151,Database!$A:$AS,MATCH($E$1,Database!$A$1:$AS$1,0),FALSE))</f>
        <v/>
      </c>
      <c r="F151" s="76">
        <f>IF(VLOOKUP(A151,Database!$A:$AS,MATCH($F$1,Database!$A$1:$AS$1,0),FALSE)=0,#N/A,VLOOKUP(A151,Database!$A:$AS,MATCH($F$1,Database!$A$1:$AS$1,0),FALSE))</f>
        <v/>
      </c>
      <c r="G151" s="76">
        <f>IF(VLOOKUP(A151,Database!$A:$AS,MATCH($G$1,Database!$A$1:$AS$1,0),FALSE)=0,#N/A,VLOOKUP(A151,Database!$A:$AS,MATCH($G$1,Database!$A$1:$AS$1,0),FALSE))</f>
        <v/>
      </c>
      <c r="H151" s="76">
        <f>(((Table134567891011121314151617343[[#This Row],[ITA]]-VLOOKUP($U$1,A:B,2,))/VLOOKUP($U$1,A:B,2,))*100)+100</f>
        <v/>
      </c>
      <c r="I151" s="76">
        <f>(((Table134567891011121314151617343[[#This Row],[FRA]]-VLOOKUP($U$1,A:C,3,))/VLOOKUP($U$1,A:C,3,))*100)+100</f>
        <v/>
      </c>
      <c r="J151" s="76">
        <f>(((Table134567891011121314151617343[[#This Row],[DEU]]-VLOOKUP($U$1,A:D,4,))/VLOOKUP($U$1,A:D,4,))*100)+100</f>
        <v/>
      </c>
      <c r="K151" s="76">
        <f>(((Table134567891011121314151617343[[#This Row],[ESP]]-VLOOKUP($U$1,A:E,5,))/VLOOKUP($U$1,A:E,5,))*100)+100</f>
        <v/>
      </c>
      <c r="L151" s="76">
        <f>(((Table134567891011121314151617343[[#This Row],[EA19]]-VLOOKUP($U$1,A:F,6,))/VLOOKUP($U$1,A:F,6,))*100)+100</f>
        <v/>
      </c>
      <c r="M151" s="76">
        <f>(((Table134567891011121314151617343[[#This Row],[GBR]]-VLOOKUP($U$1,A:G,7,))/VLOOKUP($U$1,A:G,7,))*100)+100</f>
        <v/>
      </c>
      <c r="N151" s="76">
        <f>IF(VLOOKUP(A151,Database!$A:$AU,MATCH($N$1,Database!$A$1:$AU$1,0),FALSE)=0,#N/A,VLOOKUP(A151,Database!$A:$AU,MATCH($N$1,Database!$A$1:$AU$1,0),FALSE))</f>
        <v/>
      </c>
      <c r="O151" s="76">
        <f>(((Table134567891011121314151617343[[#This Row],[USA]]-VLOOKUP($U$1,A:N,14,))/VLOOKUP($U$1,A:N,14,))*100)+100</f>
        <v/>
      </c>
      <c r="P151" s="76">
        <f>IF(VLOOKUP(A151,Database!$A:$AS,MATCH($P$1,Database!$A$1:$AS$1,0),FALSE)=0,#N/A,VLOOKUP(A151,Database!$A:$AS,MATCH($P$1,Database!$A$1:$AS$1,0),FALSE))</f>
        <v/>
      </c>
      <c r="Q151" s="76">
        <f>(((Table134567891011121314151617343[[#This Row],[JPN]]-VLOOKUP($U$1,A:Q,16,))/VLOOKUP($U$1,A:Q,16,))*100)+100</f>
        <v/>
      </c>
    </row>
    <row r="152" customFormat="1" s="86">
      <c r="A152" s="21" t="n">
        <v>37438</v>
      </c>
      <c r="B152" s="76">
        <f>IF(VLOOKUP(A152,Database!$A:$AS,MATCH($B$1,Database!$A$1:$AS$1,0),FALSE)=0,#N/A,VLOOKUP(A152,Database!$A:$AS,MATCH($B$1,Database!$A$1:$AS$1,0),FALSE))</f>
        <v/>
      </c>
      <c r="C152" s="76">
        <f>IF(VLOOKUP(A152,Database!$A:$AS,MATCH($C$1,Database!$A$1:$AS$1,0),FALSE)=0,#N/A,VLOOKUP(A152,Database!$A:$AS,MATCH($C$1,Database!$A$1:$AS$1,0),FALSE))</f>
        <v/>
      </c>
      <c r="D152" s="76">
        <f>IF(VLOOKUP(A152,Database!$A:$AS,MATCH($D$1,Database!$A$1:$AS$1,0),FALSE)=0,#N/A,VLOOKUP(A152,Database!$A:$AS,MATCH($D$1,Database!$A$1:$AS$1,0),FALSE))</f>
        <v/>
      </c>
      <c r="E152" s="76">
        <f>IF(VLOOKUP(A152,Database!$A:$AS,MATCH($E$1,Database!$A$1:$AS$1,0),FALSE)=0,#N/A,VLOOKUP(A152,Database!$A:$AS,MATCH($E$1,Database!$A$1:$AS$1,0),FALSE))</f>
        <v/>
      </c>
      <c r="F152" s="76">
        <f>IF(VLOOKUP(A152,Database!$A:$AS,MATCH($F$1,Database!$A$1:$AS$1,0),FALSE)=0,#N/A,VLOOKUP(A152,Database!$A:$AS,MATCH($F$1,Database!$A$1:$AS$1,0),FALSE))</f>
        <v/>
      </c>
      <c r="G152" s="76">
        <f>IF(VLOOKUP(A152,Database!$A:$AS,MATCH($G$1,Database!$A$1:$AS$1,0),FALSE)=0,#N/A,VLOOKUP(A152,Database!$A:$AS,MATCH($G$1,Database!$A$1:$AS$1,0),FALSE))</f>
        <v/>
      </c>
      <c r="H152" s="76">
        <f>(((Table134567891011121314151617343[[#This Row],[ITA]]-VLOOKUP($U$1,A:B,2,))/VLOOKUP($U$1,A:B,2,))*100)+100</f>
        <v/>
      </c>
      <c r="I152" s="76">
        <f>(((Table134567891011121314151617343[[#This Row],[FRA]]-VLOOKUP($U$1,A:C,3,))/VLOOKUP($U$1,A:C,3,))*100)+100</f>
        <v/>
      </c>
      <c r="J152" s="76">
        <f>(((Table134567891011121314151617343[[#This Row],[DEU]]-VLOOKUP($U$1,A:D,4,))/VLOOKUP($U$1,A:D,4,))*100)+100</f>
        <v/>
      </c>
      <c r="K152" s="76">
        <f>(((Table134567891011121314151617343[[#This Row],[ESP]]-VLOOKUP($U$1,A:E,5,))/VLOOKUP($U$1,A:E,5,))*100)+100</f>
        <v/>
      </c>
      <c r="L152" s="76">
        <f>(((Table134567891011121314151617343[[#This Row],[EA19]]-VLOOKUP($U$1,A:F,6,))/VLOOKUP($U$1,A:F,6,))*100)+100</f>
        <v/>
      </c>
      <c r="M152" s="76">
        <f>(((Table134567891011121314151617343[[#This Row],[GBR]]-VLOOKUP($U$1,A:G,7,))/VLOOKUP($U$1,A:G,7,))*100)+100</f>
        <v/>
      </c>
      <c r="N152" s="76">
        <f>IF(VLOOKUP(A152,Database!$A:$AU,MATCH($N$1,Database!$A$1:$AU$1,0),FALSE)=0,#N/A,VLOOKUP(A152,Database!$A:$AU,MATCH($N$1,Database!$A$1:$AU$1,0),FALSE))</f>
        <v/>
      </c>
      <c r="O152" s="76">
        <f>(((Table134567891011121314151617343[[#This Row],[USA]]-VLOOKUP($U$1,A:N,14,))/VLOOKUP($U$1,A:N,14,))*100)+100</f>
        <v/>
      </c>
      <c r="P152" s="76">
        <f>IF(VLOOKUP(A152,Database!$A:$AS,MATCH($P$1,Database!$A$1:$AS$1,0),FALSE)=0,#N/A,VLOOKUP(A152,Database!$A:$AS,MATCH($P$1,Database!$A$1:$AS$1,0),FALSE))</f>
        <v/>
      </c>
      <c r="Q152" s="76">
        <f>(((Table134567891011121314151617343[[#This Row],[JPN]]-VLOOKUP($U$1,A:Q,16,))/VLOOKUP($U$1,A:Q,16,))*100)+100</f>
        <v/>
      </c>
    </row>
    <row r="153" customFormat="1" s="86">
      <c r="A153" s="21" t="n">
        <v>37469</v>
      </c>
      <c r="B153" s="76">
        <f>IF(VLOOKUP(A153,Database!$A:$AS,MATCH($B$1,Database!$A$1:$AS$1,0),FALSE)=0,#N/A,VLOOKUP(A153,Database!$A:$AS,MATCH($B$1,Database!$A$1:$AS$1,0),FALSE))</f>
        <v/>
      </c>
      <c r="C153" s="76">
        <f>IF(VLOOKUP(A153,Database!$A:$AS,MATCH($C$1,Database!$A$1:$AS$1,0),FALSE)=0,#N/A,VLOOKUP(A153,Database!$A:$AS,MATCH($C$1,Database!$A$1:$AS$1,0),FALSE))</f>
        <v/>
      </c>
      <c r="D153" s="76">
        <f>IF(VLOOKUP(A153,Database!$A:$AS,MATCH($D$1,Database!$A$1:$AS$1,0),FALSE)=0,#N/A,VLOOKUP(A153,Database!$A:$AS,MATCH($D$1,Database!$A$1:$AS$1,0),FALSE))</f>
        <v/>
      </c>
      <c r="E153" s="76">
        <f>IF(VLOOKUP(A153,Database!$A:$AS,MATCH($E$1,Database!$A$1:$AS$1,0),FALSE)=0,#N/A,VLOOKUP(A153,Database!$A:$AS,MATCH($E$1,Database!$A$1:$AS$1,0),FALSE))</f>
        <v/>
      </c>
      <c r="F153" s="76">
        <f>IF(VLOOKUP(A153,Database!$A:$AS,MATCH($F$1,Database!$A$1:$AS$1,0),FALSE)=0,#N/A,VLOOKUP(A153,Database!$A:$AS,MATCH($F$1,Database!$A$1:$AS$1,0),FALSE))</f>
        <v/>
      </c>
      <c r="G153" s="76">
        <f>IF(VLOOKUP(A153,Database!$A:$AS,MATCH($G$1,Database!$A$1:$AS$1,0),FALSE)=0,#N/A,VLOOKUP(A153,Database!$A:$AS,MATCH($G$1,Database!$A$1:$AS$1,0),FALSE))</f>
        <v/>
      </c>
      <c r="H153" s="76">
        <f>(((Table134567891011121314151617343[[#This Row],[ITA]]-VLOOKUP($U$1,A:B,2,))/VLOOKUP($U$1,A:B,2,))*100)+100</f>
        <v/>
      </c>
      <c r="I153" s="76">
        <f>(((Table134567891011121314151617343[[#This Row],[FRA]]-VLOOKUP($U$1,A:C,3,))/VLOOKUP($U$1,A:C,3,))*100)+100</f>
        <v/>
      </c>
      <c r="J153" s="76">
        <f>(((Table134567891011121314151617343[[#This Row],[DEU]]-VLOOKUP($U$1,A:D,4,))/VLOOKUP($U$1,A:D,4,))*100)+100</f>
        <v/>
      </c>
      <c r="K153" s="76">
        <f>(((Table134567891011121314151617343[[#This Row],[ESP]]-VLOOKUP($U$1,A:E,5,))/VLOOKUP($U$1,A:E,5,))*100)+100</f>
        <v/>
      </c>
      <c r="L153" s="76">
        <f>(((Table134567891011121314151617343[[#This Row],[EA19]]-VLOOKUP($U$1,A:F,6,))/VLOOKUP($U$1,A:F,6,))*100)+100</f>
        <v/>
      </c>
      <c r="M153" s="76">
        <f>(((Table134567891011121314151617343[[#This Row],[GBR]]-VLOOKUP($U$1,A:G,7,))/VLOOKUP($U$1,A:G,7,))*100)+100</f>
        <v/>
      </c>
      <c r="N153" s="76">
        <f>IF(VLOOKUP(A153,Database!$A:$AU,MATCH($N$1,Database!$A$1:$AU$1,0),FALSE)=0,#N/A,VLOOKUP(A153,Database!$A:$AU,MATCH($N$1,Database!$A$1:$AU$1,0),FALSE))</f>
        <v/>
      </c>
      <c r="O153" s="76">
        <f>(((Table134567891011121314151617343[[#This Row],[USA]]-VLOOKUP($U$1,A:N,14,))/VLOOKUP($U$1,A:N,14,))*100)+100</f>
        <v/>
      </c>
      <c r="P153" s="76">
        <f>IF(VLOOKUP(A153,Database!$A:$AS,MATCH($P$1,Database!$A$1:$AS$1,0),FALSE)=0,#N/A,VLOOKUP(A153,Database!$A:$AS,MATCH($P$1,Database!$A$1:$AS$1,0),FALSE))</f>
        <v/>
      </c>
      <c r="Q153" s="76">
        <f>(((Table134567891011121314151617343[[#This Row],[JPN]]-VLOOKUP($U$1,A:Q,16,))/VLOOKUP($U$1,A:Q,16,))*100)+100</f>
        <v/>
      </c>
    </row>
    <row r="154" customFormat="1" s="86">
      <c r="A154" s="21" t="n">
        <v>37500</v>
      </c>
      <c r="B154" s="76">
        <f>IF(VLOOKUP(A154,Database!$A:$AS,MATCH($B$1,Database!$A$1:$AS$1,0),FALSE)=0,#N/A,VLOOKUP(A154,Database!$A:$AS,MATCH($B$1,Database!$A$1:$AS$1,0),FALSE))</f>
        <v/>
      </c>
      <c r="C154" s="76">
        <f>IF(VLOOKUP(A154,Database!$A:$AS,MATCH($C$1,Database!$A$1:$AS$1,0),FALSE)=0,#N/A,VLOOKUP(A154,Database!$A:$AS,MATCH($C$1,Database!$A$1:$AS$1,0),FALSE))</f>
        <v/>
      </c>
      <c r="D154" s="76">
        <f>IF(VLOOKUP(A154,Database!$A:$AS,MATCH($D$1,Database!$A$1:$AS$1,0),FALSE)=0,#N/A,VLOOKUP(A154,Database!$A:$AS,MATCH($D$1,Database!$A$1:$AS$1,0),FALSE))</f>
        <v/>
      </c>
      <c r="E154" s="76">
        <f>IF(VLOOKUP(A154,Database!$A:$AS,MATCH($E$1,Database!$A$1:$AS$1,0),FALSE)=0,#N/A,VLOOKUP(A154,Database!$A:$AS,MATCH($E$1,Database!$A$1:$AS$1,0),FALSE))</f>
        <v/>
      </c>
      <c r="F154" s="76">
        <f>IF(VLOOKUP(A154,Database!$A:$AS,MATCH($F$1,Database!$A$1:$AS$1,0),FALSE)=0,#N/A,VLOOKUP(A154,Database!$A:$AS,MATCH($F$1,Database!$A$1:$AS$1,0),FALSE))</f>
        <v/>
      </c>
      <c r="G154" s="76">
        <f>IF(VLOOKUP(A154,Database!$A:$AS,MATCH($G$1,Database!$A$1:$AS$1,0),FALSE)=0,#N/A,VLOOKUP(A154,Database!$A:$AS,MATCH($G$1,Database!$A$1:$AS$1,0),FALSE))</f>
        <v/>
      </c>
      <c r="H154" s="76">
        <f>(((Table134567891011121314151617343[[#This Row],[ITA]]-VLOOKUP($U$1,A:B,2,))/VLOOKUP($U$1,A:B,2,))*100)+100</f>
        <v/>
      </c>
      <c r="I154" s="76">
        <f>(((Table134567891011121314151617343[[#This Row],[FRA]]-VLOOKUP($U$1,A:C,3,))/VLOOKUP($U$1,A:C,3,))*100)+100</f>
        <v/>
      </c>
      <c r="J154" s="76">
        <f>(((Table134567891011121314151617343[[#This Row],[DEU]]-VLOOKUP($U$1,A:D,4,))/VLOOKUP($U$1,A:D,4,))*100)+100</f>
        <v/>
      </c>
      <c r="K154" s="76">
        <f>(((Table134567891011121314151617343[[#This Row],[ESP]]-VLOOKUP($U$1,A:E,5,))/VLOOKUP($U$1,A:E,5,))*100)+100</f>
        <v/>
      </c>
      <c r="L154" s="76">
        <f>(((Table134567891011121314151617343[[#This Row],[EA19]]-VLOOKUP($U$1,A:F,6,))/VLOOKUP($U$1,A:F,6,))*100)+100</f>
        <v/>
      </c>
      <c r="M154" s="76">
        <f>(((Table134567891011121314151617343[[#This Row],[GBR]]-VLOOKUP($U$1,A:G,7,))/VLOOKUP($U$1,A:G,7,))*100)+100</f>
        <v/>
      </c>
      <c r="N154" s="76">
        <f>IF(VLOOKUP(A154,Database!$A:$AU,MATCH($N$1,Database!$A$1:$AU$1,0),FALSE)=0,#N/A,VLOOKUP(A154,Database!$A:$AU,MATCH($N$1,Database!$A$1:$AU$1,0),FALSE))</f>
        <v/>
      </c>
      <c r="O154" s="76">
        <f>(((Table134567891011121314151617343[[#This Row],[USA]]-VLOOKUP($U$1,A:N,14,))/VLOOKUP($U$1,A:N,14,))*100)+100</f>
        <v/>
      </c>
      <c r="P154" s="76">
        <f>IF(VLOOKUP(A154,Database!$A:$AS,MATCH($P$1,Database!$A$1:$AS$1,0),FALSE)=0,#N/A,VLOOKUP(A154,Database!$A:$AS,MATCH($P$1,Database!$A$1:$AS$1,0),FALSE))</f>
        <v/>
      </c>
      <c r="Q154" s="76">
        <f>(((Table134567891011121314151617343[[#This Row],[JPN]]-VLOOKUP($U$1,A:Q,16,))/VLOOKUP($U$1,A:Q,16,))*100)+100</f>
        <v/>
      </c>
    </row>
    <row r="155" customFormat="1" s="86">
      <c r="A155" s="21" t="n">
        <v>37530</v>
      </c>
      <c r="B155" s="76">
        <f>IF(VLOOKUP(A155,Database!$A:$AS,MATCH($B$1,Database!$A$1:$AS$1,0),FALSE)=0,#N/A,VLOOKUP(A155,Database!$A:$AS,MATCH($B$1,Database!$A$1:$AS$1,0),FALSE))</f>
        <v/>
      </c>
      <c r="C155" s="76">
        <f>IF(VLOOKUP(A155,Database!$A:$AS,MATCH($C$1,Database!$A$1:$AS$1,0),FALSE)=0,#N/A,VLOOKUP(A155,Database!$A:$AS,MATCH($C$1,Database!$A$1:$AS$1,0),FALSE))</f>
        <v/>
      </c>
      <c r="D155" s="76">
        <f>IF(VLOOKUP(A155,Database!$A:$AS,MATCH($D$1,Database!$A$1:$AS$1,0),FALSE)=0,#N/A,VLOOKUP(A155,Database!$A:$AS,MATCH($D$1,Database!$A$1:$AS$1,0),FALSE))</f>
        <v/>
      </c>
      <c r="E155" s="76">
        <f>IF(VLOOKUP(A155,Database!$A:$AS,MATCH($E$1,Database!$A$1:$AS$1,0),FALSE)=0,#N/A,VLOOKUP(A155,Database!$A:$AS,MATCH($E$1,Database!$A$1:$AS$1,0),FALSE))</f>
        <v/>
      </c>
      <c r="F155" s="76">
        <f>IF(VLOOKUP(A155,Database!$A:$AS,MATCH($F$1,Database!$A$1:$AS$1,0),FALSE)=0,#N/A,VLOOKUP(A155,Database!$A:$AS,MATCH($F$1,Database!$A$1:$AS$1,0),FALSE))</f>
        <v/>
      </c>
      <c r="G155" s="76">
        <f>IF(VLOOKUP(A155,Database!$A:$AS,MATCH($G$1,Database!$A$1:$AS$1,0),FALSE)=0,#N/A,VLOOKUP(A155,Database!$A:$AS,MATCH($G$1,Database!$A$1:$AS$1,0),FALSE))</f>
        <v/>
      </c>
      <c r="H155" s="76">
        <f>(((Table134567891011121314151617343[[#This Row],[ITA]]-VLOOKUP($U$1,A:B,2,))/VLOOKUP($U$1,A:B,2,))*100)+100</f>
        <v/>
      </c>
      <c r="I155" s="76">
        <f>(((Table134567891011121314151617343[[#This Row],[FRA]]-VLOOKUP($U$1,A:C,3,))/VLOOKUP($U$1,A:C,3,))*100)+100</f>
        <v/>
      </c>
      <c r="J155" s="76">
        <f>(((Table134567891011121314151617343[[#This Row],[DEU]]-VLOOKUP($U$1,A:D,4,))/VLOOKUP($U$1,A:D,4,))*100)+100</f>
        <v/>
      </c>
      <c r="K155" s="76">
        <f>(((Table134567891011121314151617343[[#This Row],[ESP]]-VLOOKUP($U$1,A:E,5,))/VLOOKUP($U$1,A:E,5,))*100)+100</f>
        <v/>
      </c>
      <c r="L155" s="76">
        <f>(((Table134567891011121314151617343[[#This Row],[EA19]]-VLOOKUP($U$1,A:F,6,))/VLOOKUP($U$1,A:F,6,))*100)+100</f>
        <v/>
      </c>
      <c r="M155" s="76">
        <f>(((Table134567891011121314151617343[[#This Row],[GBR]]-VLOOKUP($U$1,A:G,7,))/VLOOKUP($U$1,A:G,7,))*100)+100</f>
        <v/>
      </c>
      <c r="N155" s="76">
        <f>IF(VLOOKUP(A155,Database!$A:$AU,MATCH($N$1,Database!$A$1:$AU$1,0),FALSE)=0,#N/A,VLOOKUP(A155,Database!$A:$AU,MATCH($N$1,Database!$A$1:$AU$1,0),FALSE))</f>
        <v/>
      </c>
      <c r="O155" s="76">
        <f>(((Table134567891011121314151617343[[#This Row],[USA]]-VLOOKUP($U$1,A:N,14,))/VLOOKUP($U$1,A:N,14,))*100)+100</f>
        <v/>
      </c>
      <c r="P155" s="76">
        <f>IF(VLOOKUP(A155,Database!$A:$AS,MATCH($P$1,Database!$A$1:$AS$1,0),FALSE)=0,#N/A,VLOOKUP(A155,Database!$A:$AS,MATCH($P$1,Database!$A$1:$AS$1,0),FALSE))</f>
        <v/>
      </c>
      <c r="Q155" s="76">
        <f>(((Table134567891011121314151617343[[#This Row],[JPN]]-VLOOKUP($U$1,A:Q,16,))/VLOOKUP($U$1,A:Q,16,))*100)+100</f>
        <v/>
      </c>
    </row>
    <row r="156" customFormat="1" s="86">
      <c r="A156" s="21" t="n">
        <v>37561</v>
      </c>
      <c r="B156" s="76">
        <f>IF(VLOOKUP(A156,Database!$A:$AS,MATCH($B$1,Database!$A$1:$AS$1,0),FALSE)=0,#N/A,VLOOKUP(A156,Database!$A:$AS,MATCH($B$1,Database!$A$1:$AS$1,0),FALSE))</f>
        <v/>
      </c>
      <c r="C156" s="76">
        <f>IF(VLOOKUP(A156,Database!$A:$AS,MATCH($C$1,Database!$A$1:$AS$1,0),FALSE)=0,#N/A,VLOOKUP(A156,Database!$A:$AS,MATCH($C$1,Database!$A$1:$AS$1,0),FALSE))</f>
        <v/>
      </c>
      <c r="D156" s="76">
        <f>IF(VLOOKUP(A156,Database!$A:$AS,MATCH($D$1,Database!$A$1:$AS$1,0),FALSE)=0,#N/A,VLOOKUP(A156,Database!$A:$AS,MATCH($D$1,Database!$A$1:$AS$1,0),FALSE))</f>
        <v/>
      </c>
      <c r="E156" s="76">
        <f>IF(VLOOKUP(A156,Database!$A:$AS,MATCH($E$1,Database!$A$1:$AS$1,0),FALSE)=0,#N/A,VLOOKUP(A156,Database!$A:$AS,MATCH($E$1,Database!$A$1:$AS$1,0),FALSE))</f>
        <v/>
      </c>
      <c r="F156" s="76">
        <f>IF(VLOOKUP(A156,Database!$A:$AS,MATCH($F$1,Database!$A$1:$AS$1,0),FALSE)=0,#N/A,VLOOKUP(A156,Database!$A:$AS,MATCH($F$1,Database!$A$1:$AS$1,0),FALSE))</f>
        <v/>
      </c>
      <c r="G156" s="76">
        <f>IF(VLOOKUP(A156,Database!$A:$AS,MATCH($G$1,Database!$A$1:$AS$1,0),FALSE)=0,#N/A,VLOOKUP(A156,Database!$A:$AS,MATCH($G$1,Database!$A$1:$AS$1,0),FALSE))</f>
        <v/>
      </c>
      <c r="H156" s="76">
        <f>(((Table134567891011121314151617343[[#This Row],[ITA]]-VLOOKUP($U$1,A:B,2,))/VLOOKUP($U$1,A:B,2,))*100)+100</f>
        <v/>
      </c>
      <c r="I156" s="76">
        <f>(((Table134567891011121314151617343[[#This Row],[FRA]]-VLOOKUP($U$1,A:C,3,))/VLOOKUP($U$1,A:C,3,))*100)+100</f>
        <v/>
      </c>
      <c r="J156" s="76">
        <f>(((Table134567891011121314151617343[[#This Row],[DEU]]-VLOOKUP($U$1,A:D,4,))/VLOOKUP($U$1,A:D,4,))*100)+100</f>
        <v/>
      </c>
      <c r="K156" s="76">
        <f>(((Table134567891011121314151617343[[#This Row],[ESP]]-VLOOKUP($U$1,A:E,5,))/VLOOKUP($U$1,A:E,5,))*100)+100</f>
        <v/>
      </c>
      <c r="L156" s="76">
        <f>(((Table134567891011121314151617343[[#This Row],[EA19]]-VLOOKUP($U$1,A:F,6,))/VLOOKUP($U$1,A:F,6,))*100)+100</f>
        <v/>
      </c>
      <c r="M156" s="76">
        <f>(((Table134567891011121314151617343[[#This Row],[GBR]]-VLOOKUP($U$1,A:G,7,))/VLOOKUP($U$1,A:G,7,))*100)+100</f>
        <v/>
      </c>
      <c r="N156" s="76">
        <f>IF(VLOOKUP(A156,Database!$A:$AU,MATCH($N$1,Database!$A$1:$AU$1,0),FALSE)=0,#N/A,VLOOKUP(A156,Database!$A:$AU,MATCH($N$1,Database!$A$1:$AU$1,0),FALSE))</f>
        <v/>
      </c>
      <c r="O156" s="76">
        <f>(((Table134567891011121314151617343[[#This Row],[USA]]-VLOOKUP($U$1,A:N,14,))/VLOOKUP($U$1,A:N,14,))*100)+100</f>
        <v/>
      </c>
      <c r="P156" s="76">
        <f>IF(VLOOKUP(A156,Database!$A:$AS,MATCH($P$1,Database!$A$1:$AS$1,0),FALSE)=0,#N/A,VLOOKUP(A156,Database!$A:$AS,MATCH($P$1,Database!$A$1:$AS$1,0),FALSE))</f>
        <v/>
      </c>
      <c r="Q156" s="76">
        <f>(((Table134567891011121314151617343[[#This Row],[JPN]]-VLOOKUP($U$1,A:Q,16,))/VLOOKUP($U$1,A:Q,16,))*100)+100</f>
        <v/>
      </c>
    </row>
    <row r="157" customFormat="1" s="86">
      <c r="A157" s="21" t="n">
        <v>37591</v>
      </c>
      <c r="B157" s="76">
        <f>IF(VLOOKUP(A157,Database!$A:$AS,MATCH($B$1,Database!$A$1:$AS$1,0),FALSE)=0,#N/A,VLOOKUP(A157,Database!$A:$AS,MATCH($B$1,Database!$A$1:$AS$1,0),FALSE))</f>
        <v/>
      </c>
      <c r="C157" s="76">
        <f>IF(VLOOKUP(A157,Database!$A:$AS,MATCH($C$1,Database!$A$1:$AS$1,0),FALSE)=0,#N/A,VLOOKUP(A157,Database!$A:$AS,MATCH($C$1,Database!$A$1:$AS$1,0),FALSE))</f>
        <v/>
      </c>
      <c r="D157" s="76">
        <f>IF(VLOOKUP(A157,Database!$A:$AS,MATCH($D$1,Database!$A$1:$AS$1,0),FALSE)=0,#N/A,VLOOKUP(A157,Database!$A:$AS,MATCH($D$1,Database!$A$1:$AS$1,0),FALSE))</f>
        <v/>
      </c>
      <c r="E157" s="76">
        <f>IF(VLOOKUP(A157,Database!$A:$AS,MATCH($E$1,Database!$A$1:$AS$1,0),FALSE)=0,#N/A,VLOOKUP(A157,Database!$A:$AS,MATCH($E$1,Database!$A$1:$AS$1,0),FALSE))</f>
        <v/>
      </c>
      <c r="F157" s="76">
        <f>IF(VLOOKUP(A157,Database!$A:$AS,MATCH($F$1,Database!$A$1:$AS$1,0),FALSE)=0,#N/A,VLOOKUP(A157,Database!$A:$AS,MATCH($F$1,Database!$A$1:$AS$1,0),FALSE))</f>
        <v/>
      </c>
      <c r="G157" s="76">
        <f>IF(VLOOKUP(A157,Database!$A:$AS,MATCH($G$1,Database!$A$1:$AS$1,0),FALSE)=0,#N/A,VLOOKUP(A157,Database!$A:$AS,MATCH($G$1,Database!$A$1:$AS$1,0),FALSE))</f>
        <v/>
      </c>
      <c r="H157" s="76">
        <f>(((Table134567891011121314151617343[[#This Row],[ITA]]-VLOOKUP($U$1,A:B,2,))/VLOOKUP($U$1,A:B,2,))*100)+100</f>
        <v/>
      </c>
      <c r="I157" s="76">
        <f>(((Table134567891011121314151617343[[#This Row],[FRA]]-VLOOKUP($U$1,A:C,3,))/VLOOKUP($U$1,A:C,3,))*100)+100</f>
        <v/>
      </c>
      <c r="J157" s="76">
        <f>(((Table134567891011121314151617343[[#This Row],[DEU]]-VLOOKUP($U$1,A:D,4,))/VLOOKUP($U$1,A:D,4,))*100)+100</f>
        <v/>
      </c>
      <c r="K157" s="76">
        <f>(((Table134567891011121314151617343[[#This Row],[ESP]]-VLOOKUP($U$1,A:E,5,))/VLOOKUP($U$1,A:E,5,))*100)+100</f>
        <v/>
      </c>
      <c r="L157" s="76">
        <f>(((Table134567891011121314151617343[[#This Row],[EA19]]-VLOOKUP($U$1,A:F,6,))/VLOOKUP($U$1,A:F,6,))*100)+100</f>
        <v/>
      </c>
      <c r="M157" s="76">
        <f>(((Table134567891011121314151617343[[#This Row],[GBR]]-VLOOKUP($U$1,A:G,7,))/VLOOKUP($U$1,A:G,7,))*100)+100</f>
        <v/>
      </c>
      <c r="N157" s="76">
        <f>IF(VLOOKUP(A157,Database!$A:$AU,MATCH($N$1,Database!$A$1:$AU$1,0),FALSE)=0,#N/A,VLOOKUP(A157,Database!$A:$AU,MATCH($N$1,Database!$A$1:$AU$1,0),FALSE))</f>
        <v/>
      </c>
      <c r="O157" s="76">
        <f>(((Table134567891011121314151617343[[#This Row],[USA]]-VLOOKUP($U$1,A:N,14,))/VLOOKUP($U$1,A:N,14,))*100)+100</f>
        <v/>
      </c>
      <c r="P157" s="76">
        <f>IF(VLOOKUP(A157,Database!$A:$AS,MATCH($P$1,Database!$A$1:$AS$1,0),FALSE)=0,#N/A,VLOOKUP(A157,Database!$A:$AS,MATCH($P$1,Database!$A$1:$AS$1,0),FALSE))</f>
        <v/>
      </c>
      <c r="Q157" s="76">
        <f>(((Table134567891011121314151617343[[#This Row],[JPN]]-VLOOKUP($U$1,A:Q,16,))/VLOOKUP($U$1,A:Q,16,))*100)+100</f>
        <v/>
      </c>
    </row>
    <row r="158" customFormat="1" s="86">
      <c r="A158" s="21" t="n">
        <v>37622</v>
      </c>
      <c r="B158" s="76">
        <f>IF(VLOOKUP(A158,Database!$A:$AS,MATCH($B$1,Database!$A$1:$AS$1,0),FALSE)=0,#N/A,VLOOKUP(A158,Database!$A:$AS,MATCH($B$1,Database!$A$1:$AS$1,0),FALSE))</f>
        <v/>
      </c>
      <c r="C158" s="76">
        <f>IF(VLOOKUP(A158,Database!$A:$AS,MATCH($C$1,Database!$A$1:$AS$1,0),FALSE)=0,#N/A,VLOOKUP(A158,Database!$A:$AS,MATCH($C$1,Database!$A$1:$AS$1,0),FALSE))</f>
        <v/>
      </c>
      <c r="D158" s="76">
        <f>IF(VLOOKUP(A158,Database!$A:$AS,MATCH($D$1,Database!$A$1:$AS$1,0),FALSE)=0,#N/A,VLOOKUP(A158,Database!$A:$AS,MATCH($D$1,Database!$A$1:$AS$1,0),FALSE))</f>
        <v/>
      </c>
      <c r="E158" s="76">
        <f>IF(VLOOKUP(A158,Database!$A:$AS,MATCH($E$1,Database!$A$1:$AS$1,0),FALSE)=0,#N/A,VLOOKUP(A158,Database!$A:$AS,MATCH($E$1,Database!$A$1:$AS$1,0),FALSE))</f>
        <v/>
      </c>
      <c r="F158" s="76">
        <f>IF(VLOOKUP(A158,Database!$A:$AS,MATCH($F$1,Database!$A$1:$AS$1,0),FALSE)=0,#N/A,VLOOKUP(A158,Database!$A:$AS,MATCH($F$1,Database!$A$1:$AS$1,0),FALSE))</f>
        <v/>
      </c>
      <c r="G158" s="76">
        <f>IF(VLOOKUP(A158,Database!$A:$AS,MATCH($G$1,Database!$A$1:$AS$1,0),FALSE)=0,#N/A,VLOOKUP(A158,Database!$A:$AS,MATCH($G$1,Database!$A$1:$AS$1,0),FALSE))</f>
        <v/>
      </c>
      <c r="H158" s="76">
        <f>(((Table134567891011121314151617343[[#This Row],[ITA]]-VLOOKUP($U$1,A:B,2,))/VLOOKUP($U$1,A:B,2,))*100)+100</f>
        <v/>
      </c>
      <c r="I158" s="76">
        <f>(((Table134567891011121314151617343[[#This Row],[FRA]]-VLOOKUP($U$1,A:C,3,))/VLOOKUP($U$1,A:C,3,))*100)+100</f>
        <v/>
      </c>
      <c r="J158" s="76">
        <f>(((Table134567891011121314151617343[[#This Row],[DEU]]-VLOOKUP($U$1,A:D,4,))/VLOOKUP($U$1,A:D,4,))*100)+100</f>
        <v/>
      </c>
      <c r="K158" s="76">
        <f>(((Table134567891011121314151617343[[#This Row],[ESP]]-VLOOKUP($U$1,A:E,5,))/VLOOKUP($U$1,A:E,5,))*100)+100</f>
        <v/>
      </c>
      <c r="L158" s="76">
        <f>(((Table134567891011121314151617343[[#This Row],[EA19]]-VLOOKUP($U$1,A:F,6,))/VLOOKUP($U$1,A:F,6,))*100)+100</f>
        <v/>
      </c>
      <c r="M158" s="76">
        <f>(((Table134567891011121314151617343[[#This Row],[GBR]]-VLOOKUP($U$1,A:G,7,))/VLOOKUP($U$1,A:G,7,))*100)+100</f>
        <v/>
      </c>
      <c r="N158" s="76">
        <f>IF(VLOOKUP(A158,Database!$A:$AU,MATCH($N$1,Database!$A$1:$AU$1,0),FALSE)=0,#N/A,VLOOKUP(A158,Database!$A:$AU,MATCH($N$1,Database!$A$1:$AU$1,0),FALSE))</f>
        <v/>
      </c>
      <c r="O158" s="76">
        <f>(((Table134567891011121314151617343[[#This Row],[USA]]-VLOOKUP($U$1,A:N,14,))/VLOOKUP($U$1,A:N,14,))*100)+100</f>
        <v/>
      </c>
      <c r="P158" s="76">
        <f>IF(VLOOKUP(A158,Database!$A:$AS,MATCH($P$1,Database!$A$1:$AS$1,0),FALSE)=0,#N/A,VLOOKUP(A158,Database!$A:$AS,MATCH($P$1,Database!$A$1:$AS$1,0),FALSE))</f>
        <v/>
      </c>
      <c r="Q158" s="76">
        <f>(((Table134567891011121314151617343[[#This Row],[JPN]]-VLOOKUP($U$1,A:Q,16,))/VLOOKUP($U$1,A:Q,16,))*100)+100</f>
        <v/>
      </c>
    </row>
    <row r="159" customFormat="1" s="86">
      <c r="A159" s="21" t="n">
        <v>37653</v>
      </c>
      <c r="B159" s="76">
        <f>IF(VLOOKUP(A159,Database!$A:$AS,MATCH($B$1,Database!$A$1:$AS$1,0),FALSE)=0,#N/A,VLOOKUP(A159,Database!$A:$AS,MATCH($B$1,Database!$A$1:$AS$1,0),FALSE))</f>
        <v/>
      </c>
      <c r="C159" s="76">
        <f>IF(VLOOKUP(A159,Database!$A:$AS,MATCH($C$1,Database!$A$1:$AS$1,0),FALSE)=0,#N/A,VLOOKUP(A159,Database!$A:$AS,MATCH($C$1,Database!$A$1:$AS$1,0),FALSE))</f>
        <v/>
      </c>
      <c r="D159" s="76">
        <f>IF(VLOOKUP(A159,Database!$A:$AS,MATCH($D$1,Database!$A$1:$AS$1,0),FALSE)=0,#N/A,VLOOKUP(A159,Database!$A:$AS,MATCH($D$1,Database!$A$1:$AS$1,0),FALSE))</f>
        <v/>
      </c>
      <c r="E159" s="76">
        <f>IF(VLOOKUP(A159,Database!$A:$AS,MATCH($E$1,Database!$A$1:$AS$1,0),FALSE)=0,#N/A,VLOOKUP(A159,Database!$A:$AS,MATCH($E$1,Database!$A$1:$AS$1,0),FALSE))</f>
        <v/>
      </c>
      <c r="F159" s="76">
        <f>IF(VLOOKUP(A159,Database!$A:$AS,MATCH($F$1,Database!$A$1:$AS$1,0),FALSE)=0,#N/A,VLOOKUP(A159,Database!$A:$AS,MATCH($F$1,Database!$A$1:$AS$1,0),FALSE))</f>
        <v/>
      </c>
      <c r="G159" s="76">
        <f>IF(VLOOKUP(A159,Database!$A:$AS,MATCH($G$1,Database!$A$1:$AS$1,0),FALSE)=0,#N/A,VLOOKUP(A159,Database!$A:$AS,MATCH($G$1,Database!$A$1:$AS$1,0),FALSE))</f>
        <v/>
      </c>
      <c r="H159" s="76">
        <f>(((Table134567891011121314151617343[[#This Row],[ITA]]-VLOOKUP($U$1,A:B,2,))/VLOOKUP($U$1,A:B,2,))*100)+100</f>
        <v/>
      </c>
      <c r="I159" s="76">
        <f>(((Table134567891011121314151617343[[#This Row],[FRA]]-VLOOKUP($U$1,A:C,3,))/VLOOKUP($U$1,A:C,3,))*100)+100</f>
        <v/>
      </c>
      <c r="J159" s="76">
        <f>(((Table134567891011121314151617343[[#This Row],[DEU]]-VLOOKUP($U$1,A:D,4,))/VLOOKUP($U$1,A:D,4,))*100)+100</f>
        <v/>
      </c>
      <c r="K159" s="76">
        <f>(((Table134567891011121314151617343[[#This Row],[ESP]]-VLOOKUP($U$1,A:E,5,))/VLOOKUP($U$1,A:E,5,))*100)+100</f>
        <v/>
      </c>
      <c r="L159" s="76">
        <f>(((Table134567891011121314151617343[[#This Row],[EA19]]-VLOOKUP($U$1,A:F,6,))/VLOOKUP($U$1,A:F,6,))*100)+100</f>
        <v/>
      </c>
      <c r="M159" s="76">
        <f>(((Table134567891011121314151617343[[#This Row],[GBR]]-VLOOKUP($U$1,A:G,7,))/VLOOKUP($U$1,A:G,7,))*100)+100</f>
        <v/>
      </c>
      <c r="N159" s="76">
        <f>IF(VLOOKUP(A159,Database!$A:$AU,MATCH($N$1,Database!$A$1:$AU$1,0),FALSE)=0,#N/A,VLOOKUP(A159,Database!$A:$AU,MATCH($N$1,Database!$A$1:$AU$1,0),FALSE))</f>
        <v/>
      </c>
      <c r="O159" s="76">
        <f>(((Table134567891011121314151617343[[#This Row],[USA]]-VLOOKUP($U$1,A:N,14,))/VLOOKUP($U$1,A:N,14,))*100)+100</f>
        <v/>
      </c>
      <c r="P159" s="76">
        <f>IF(VLOOKUP(A159,Database!$A:$AS,MATCH($P$1,Database!$A$1:$AS$1,0),FALSE)=0,#N/A,VLOOKUP(A159,Database!$A:$AS,MATCH($P$1,Database!$A$1:$AS$1,0),FALSE))</f>
        <v/>
      </c>
      <c r="Q159" s="76">
        <f>(((Table134567891011121314151617343[[#This Row],[JPN]]-VLOOKUP($U$1,A:Q,16,))/VLOOKUP($U$1,A:Q,16,))*100)+100</f>
        <v/>
      </c>
    </row>
    <row r="160" customFormat="1" s="86">
      <c r="A160" s="21" t="n">
        <v>37681</v>
      </c>
      <c r="B160" s="76">
        <f>IF(VLOOKUP(A160,Database!$A:$AS,MATCH($B$1,Database!$A$1:$AS$1,0),FALSE)=0,#N/A,VLOOKUP(A160,Database!$A:$AS,MATCH($B$1,Database!$A$1:$AS$1,0),FALSE))</f>
        <v/>
      </c>
      <c r="C160" s="76">
        <f>IF(VLOOKUP(A160,Database!$A:$AS,MATCH($C$1,Database!$A$1:$AS$1,0),FALSE)=0,#N/A,VLOOKUP(A160,Database!$A:$AS,MATCH($C$1,Database!$A$1:$AS$1,0),FALSE))</f>
        <v/>
      </c>
      <c r="D160" s="76">
        <f>IF(VLOOKUP(A160,Database!$A:$AS,MATCH($D$1,Database!$A$1:$AS$1,0),FALSE)=0,#N/A,VLOOKUP(A160,Database!$A:$AS,MATCH($D$1,Database!$A$1:$AS$1,0),FALSE))</f>
        <v/>
      </c>
      <c r="E160" s="76">
        <f>IF(VLOOKUP(A160,Database!$A:$AS,MATCH($E$1,Database!$A$1:$AS$1,0),FALSE)=0,#N/A,VLOOKUP(A160,Database!$A:$AS,MATCH($E$1,Database!$A$1:$AS$1,0),FALSE))</f>
        <v/>
      </c>
      <c r="F160" s="76">
        <f>IF(VLOOKUP(A160,Database!$A:$AS,MATCH($F$1,Database!$A$1:$AS$1,0),FALSE)=0,#N/A,VLOOKUP(A160,Database!$A:$AS,MATCH($F$1,Database!$A$1:$AS$1,0),FALSE))</f>
        <v/>
      </c>
      <c r="G160" s="76">
        <f>IF(VLOOKUP(A160,Database!$A:$AS,MATCH($G$1,Database!$A$1:$AS$1,0),FALSE)=0,#N/A,VLOOKUP(A160,Database!$A:$AS,MATCH($G$1,Database!$A$1:$AS$1,0),FALSE))</f>
        <v/>
      </c>
      <c r="H160" s="76">
        <f>(((Table134567891011121314151617343[[#This Row],[ITA]]-VLOOKUP($U$1,A:B,2,))/VLOOKUP($U$1,A:B,2,))*100)+100</f>
        <v/>
      </c>
      <c r="I160" s="76">
        <f>(((Table134567891011121314151617343[[#This Row],[FRA]]-VLOOKUP($U$1,A:C,3,))/VLOOKUP($U$1,A:C,3,))*100)+100</f>
        <v/>
      </c>
      <c r="J160" s="76">
        <f>(((Table134567891011121314151617343[[#This Row],[DEU]]-VLOOKUP($U$1,A:D,4,))/VLOOKUP($U$1,A:D,4,))*100)+100</f>
        <v/>
      </c>
      <c r="K160" s="76">
        <f>(((Table134567891011121314151617343[[#This Row],[ESP]]-VLOOKUP($U$1,A:E,5,))/VLOOKUP($U$1,A:E,5,))*100)+100</f>
        <v/>
      </c>
      <c r="L160" s="76">
        <f>(((Table134567891011121314151617343[[#This Row],[EA19]]-VLOOKUP($U$1,A:F,6,))/VLOOKUP($U$1,A:F,6,))*100)+100</f>
        <v/>
      </c>
      <c r="M160" s="76">
        <f>(((Table134567891011121314151617343[[#This Row],[GBR]]-VLOOKUP($U$1,A:G,7,))/VLOOKUP($U$1,A:G,7,))*100)+100</f>
        <v/>
      </c>
      <c r="N160" s="76">
        <f>IF(VLOOKUP(A160,Database!$A:$AU,MATCH($N$1,Database!$A$1:$AU$1,0),FALSE)=0,#N/A,VLOOKUP(A160,Database!$A:$AU,MATCH($N$1,Database!$A$1:$AU$1,0),FALSE))</f>
        <v/>
      </c>
      <c r="O160" s="76">
        <f>(((Table134567891011121314151617343[[#This Row],[USA]]-VLOOKUP($U$1,A:N,14,))/VLOOKUP($U$1,A:N,14,))*100)+100</f>
        <v/>
      </c>
      <c r="P160" s="76">
        <f>IF(VLOOKUP(A160,Database!$A:$AS,MATCH($P$1,Database!$A$1:$AS$1,0),FALSE)=0,#N/A,VLOOKUP(A160,Database!$A:$AS,MATCH($P$1,Database!$A$1:$AS$1,0),FALSE))</f>
        <v/>
      </c>
      <c r="Q160" s="76">
        <f>(((Table134567891011121314151617343[[#This Row],[JPN]]-VLOOKUP($U$1,A:Q,16,))/VLOOKUP($U$1,A:Q,16,))*100)+100</f>
        <v/>
      </c>
    </row>
    <row r="161" customFormat="1" s="86">
      <c r="A161" s="21" t="n">
        <v>37712</v>
      </c>
      <c r="B161" s="76">
        <f>IF(VLOOKUP(A161,Database!$A:$AS,MATCH($B$1,Database!$A$1:$AS$1,0),FALSE)=0,#N/A,VLOOKUP(A161,Database!$A:$AS,MATCH($B$1,Database!$A$1:$AS$1,0),FALSE))</f>
        <v/>
      </c>
      <c r="C161" s="76">
        <f>IF(VLOOKUP(A161,Database!$A:$AS,MATCH($C$1,Database!$A$1:$AS$1,0),FALSE)=0,#N/A,VLOOKUP(A161,Database!$A:$AS,MATCH($C$1,Database!$A$1:$AS$1,0),FALSE))</f>
        <v/>
      </c>
      <c r="D161" s="76">
        <f>IF(VLOOKUP(A161,Database!$A:$AS,MATCH($D$1,Database!$A$1:$AS$1,0),FALSE)=0,#N/A,VLOOKUP(A161,Database!$A:$AS,MATCH($D$1,Database!$A$1:$AS$1,0),FALSE))</f>
        <v/>
      </c>
      <c r="E161" s="76">
        <f>IF(VLOOKUP(A161,Database!$A:$AS,MATCH($E$1,Database!$A$1:$AS$1,0),FALSE)=0,#N/A,VLOOKUP(A161,Database!$A:$AS,MATCH($E$1,Database!$A$1:$AS$1,0),FALSE))</f>
        <v/>
      </c>
      <c r="F161" s="76">
        <f>IF(VLOOKUP(A161,Database!$A:$AS,MATCH($F$1,Database!$A$1:$AS$1,0),FALSE)=0,#N/A,VLOOKUP(A161,Database!$A:$AS,MATCH($F$1,Database!$A$1:$AS$1,0),FALSE))</f>
        <v/>
      </c>
      <c r="G161" s="76">
        <f>IF(VLOOKUP(A161,Database!$A:$AS,MATCH($G$1,Database!$A$1:$AS$1,0),FALSE)=0,#N/A,VLOOKUP(A161,Database!$A:$AS,MATCH($G$1,Database!$A$1:$AS$1,0),FALSE))</f>
        <v/>
      </c>
      <c r="H161" s="76">
        <f>(((Table134567891011121314151617343[[#This Row],[ITA]]-VLOOKUP($U$1,A:B,2,))/VLOOKUP($U$1,A:B,2,))*100)+100</f>
        <v/>
      </c>
      <c r="I161" s="76">
        <f>(((Table134567891011121314151617343[[#This Row],[FRA]]-VLOOKUP($U$1,A:C,3,))/VLOOKUP($U$1,A:C,3,))*100)+100</f>
        <v/>
      </c>
      <c r="J161" s="76">
        <f>(((Table134567891011121314151617343[[#This Row],[DEU]]-VLOOKUP($U$1,A:D,4,))/VLOOKUP($U$1,A:D,4,))*100)+100</f>
        <v/>
      </c>
      <c r="K161" s="76">
        <f>(((Table134567891011121314151617343[[#This Row],[ESP]]-VLOOKUP($U$1,A:E,5,))/VLOOKUP($U$1,A:E,5,))*100)+100</f>
        <v/>
      </c>
      <c r="L161" s="76">
        <f>(((Table134567891011121314151617343[[#This Row],[EA19]]-VLOOKUP($U$1,A:F,6,))/VLOOKUP($U$1,A:F,6,))*100)+100</f>
        <v/>
      </c>
      <c r="M161" s="76">
        <f>(((Table134567891011121314151617343[[#This Row],[GBR]]-VLOOKUP($U$1,A:G,7,))/VLOOKUP($U$1,A:G,7,))*100)+100</f>
        <v/>
      </c>
      <c r="N161" s="76">
        <f>IF(VLOOKUP(A161,Database!$A:$AU,MATCH($N$1,Database!$A$1:$AU$1,0),FALSE)=0,#N/A,VLOOKUP(A161,Database!$A:$AU,MATCH($N$1,Database!$A$1:$AU$1,0),FALSE))</f>
        <v/>
      </c>
      <c r="O161" s="76">
        <f>(((Table134567891011121314151617343[[#This Row],[USA]]-VLOOKUP($U$1,A:N,14,))/VLOOKUP($U$1,A:N,14,))*100)+100</f>
        <v/>
      </c>
      <c r="P161" s="76">
        <f>IF(VLOOKUP(A161,Database!$A:$AS,MATCH($P$1,Database!$A$1:$AS$1,0),FALSE)=0,#N/A,VLOOKUP(A161,Database!$A:$AS,MATCH($P$1,Database!$A$1:$AS$1,0),FALSE))</f>
        <v/>
      </c>
      <c r="Q161" s="76">
        <f>(((Table134567891011121314151617343[[#This Row],[JPN]]-VLOOKUP($U$1,A:Q,16,))/VLOOKUP($U$1,A:Q,16,))*100)+100</f>
        <v/>
      </c>
    </row>
    <row r="162" customFormat="1" s="86">
      <c r="A162" s="21" t="n">
        <v>37742</v>
      </c>
      <c r="B162" s="76">
        <f>IF(VLOOKUP(A162,Database!$A:$AS,MATCH($B$1,Database!$A$1:$AS$1,0),FALSE)=0,#N/A,VLOOKUP(A162,Database!$A:$AS,MATCH($B$1,Database!$A$1:$AS$1,0),FALSE))</f>
        <v/>
      </c>
      <c r="C162" s="76">
        <f>IF(VLOOKUP(A162,Database!$A:$AS,MATCH($C$1,Database!$A$1:$AS$1,0),FALSE)=0,#N/A,VLOOKUP(A162,Database!$A:$AS,MATCH($C$1,Database!$A$1:$AS$1,0),FALSE))</f>
        <v/>
      </c>
      <c r="D162" s="76">
        <f>IF(VLOOKUP(A162,Database!$A:$AS,MATCH($D$1,Database!$A$1:$AS$1,0),FALSE)=0,#N/A,VLOOKUP(A162,Database!$A:$AS,MATCH($D$1,Database!$A$1:$AS$1,0),FALSE))</f>
        <v/>
      </c>
      <c r="E162" s="76">
        <f>IF(VLOOKUP(A162,Database!$A:$AS,MATCH($E$1,Database!$A$1:$AS$1,0),FALSE)=0,#N/A,VLOOKUP(A162,Database!$A:$AS,MATCH($E$1,Database!$A$1:$AS$1,0),FALSE))</f>
        <v/>
      </c>
      <c r="F162" s="76">
        <f>IF(VLOOKUP(A162,Database!$A:$AS,MATCH($F$1,Database!$A$1:$AS$1,0),FALSE)=0,#N/A,VLOOKUP(A162,Database!$A:$AS,MATCH($F$1,Database!$A$1:$AS$1,0),FALSE))</f>
        <v/>
      </c>
      <c r="G162" s="76">
        <f>IF(VLOOKUP(A162,Database!$A:$AS,MATCH($G$1,Database!$A$1:$AS$1,0),FALSE)=0,#N/A,VLOOKUP(A162,Database!$A:$AS,MATCH($G$1,Database!$A$1:$AS$1,0),FALSE))</f>
        <v/>
      </c>
      <c r="H162" s="76">
        <f>(((Table134567891011121314151617343[[#This Row],[ITA]]-VLOOKUP($U$1,A:B,2,))/VLOOKUP($U$1,A:B,2,))*100)+100</f>
        <v/>
      </c>
      <c r="I162" s="76">
        <f>(((Table134567891011121314151617343[[#This Row],[FRA]]-VLOOKUP($U$1,A:C,3,))/VLOOKUP($U$1,A:C,3,))*100)+100</f>
        <v/>
      </c>
      <c r="J162" s="76">
        <f>(((Table134567891011121314151617343[[#This Row],[DEU]]-VLOOKUP($U$1,A:D,4,))/VLOOKUP($U$1,A:D,4,))*100)+100</f>
        <v/>
      </c>
      <c r="K162" s="76">
        <f>(((Table134567891011121314151617343[[#This Row],[ESP]]-VLOOKUP($U$1,A:E,5,))/VLOOKUP($U$1,A:E,5,))*100)+100</f>
        <v/>
      </c>
      <c r="L162" s="76">
        <f>(((Table134567891011121314151617343[[#This Row],[EA19]]-VLOOKUP($U$1,A:F,6,))/VLOOKUP($U$1,A:F,6,))*100)+100</f>
        <v/>
      </c>
      <c r="M162" s="76">
        <f>(((Table134567891011121314151617343[[#This Row],[GBR]]-VLOOKUP($U$1,A:G,7,))/VLOOKUP($U$1,A:G,7,))*100)+100</f>
        <v/>
      </c>
      <c r="N162" s="76">
        <f>IF(VLOOKUP(A162,Database!$A:$AU,MATCH($N$1,Database!$A$1:$AU$1,0),FALSE)=0,#N/A,VLOOKUP(A162,Database!$A:$AU,MATCH($N$1,Database!$A$1:$AU$1,0),FALSE))</f>
        <v/>
      </c>
      <c r="O162" s="76">
        <f>(((Table134567891011121314151617343[[#This Row],[USA]]-VLOOKUP($U$1,A:N,14,))/VLOOKUP($U$1,A:N,14,))*100)+100</f>
        <v/>
      </c>
      <c r="P162" s="76">
        <f>IF(VLOOKUP(A162,Database!$A:$AS,MATCH($P$1,Database!$A$1:$AS$1,0),FALSE)=0,#N/A,VLOOKUP(A162,Database!$A:$AS,MATCH($P$1,Database!$A$1:$AS$1,0),FALSE))</f>
        <v/>
      </c>
      <c r="Q162" s="76">
        <f>(((Table134567891011121314151617343[[#This Row],[JPN]]-VLOOKUP($U$1,A:Q,16,))/VLOOKUP($U$1,A:Q,16,))*100)+100</f>
        <v/>
      </c>
    </row>
    <row r="163" customFormat="1" s="86">
      <c r="A163" s="21" t="n">
        <v>37773</v>
      </c>
      <c r="B163" s="76">
        <f>IF(VLOOKUP(A163,Database!$A:$AS,MATCH($B$1,Database!$A$1:$AS$1,0),FALSE)=0,#N/A,VLOOKUP(A163,Database!$A:$AS,MATCH($B$1,Database!$A$1:$AS$1,0),FALSE))</f>
        <v/>
      </c>
      <c r="C163" s="76">
        <f>IF(VLOOKUP(A163,Database!$A:$AS,MATCH($C$1,Database!$A$1:$AS$1,0),FALSE)=0,#N/A,VLOOKUP(A163,Database!$A:$AS,MATCH($C$1,Database!$A$1:$AS$1,0),FALSE))</f>
        <v/>
      </c>
      <c r="D163" s="76">
        <f>IF(VLOOKUP(A163,Database!$A:$AS,MATCH($D$1,Database!$A$1:$AS$1,0),FALSE)=0,#N/A,VLOOKUP(A163,Database!$A:$AS,MATCH($D$1,Database!$A$1:$AS$1,0),FALSE))</f>
        <v/>
      </c>
      <c r="E163" s="76">
        <f>IF(VLOOKUP(A163,Database!$A:$AS,MATCH($E$1,Database!$A$1:$AS$1,0),FALSE)=0,#N/A,VLOOKUP(A163,Database!$A:$AS,MATCH($E$1,Database!$A$1:$AS$1,0),FALSE))</f>
        <v/>
      </c>
      <c r="F163" s="76">
        <f>IF(VLOOKUP(A163,Database!$A:$AS,MATCH($F$1,Database!$A$1:$AS$1,0),FALSE)=0,#N/A,VLOOKUP(A163,Database!$A:$AS,MATCH($F$1,Database!$A$1:$AS$1,0),FALSE))</f>
        <v/>
      </c>
      <c r="G163" s="76">
        <f>IF(VLOOKUP(A163,Database!$A:$AS,MATCH($G$1,Database!$A$1:$AS$1,0),FALSE)=0,#N/A,VLOOKUP(A163,Database!$A:$AS,MATCH($G$1,Database!$A$1:$AS$1,0),FALSE))</f>
        <v/>
      </c>
      <c r="H163" s="76">
        <f>(((Table134567891011121314151617343[[#This Row],[ITA]]-VLOOKUP($U$1,A:B,2,))/VLOOKUP($U$1,A:B,2,))*100)+100</f>
        <v/>
      </c>
      <c r="I163" s="76">
        <f>(((Table134567891011121314151617343[[#This Row],[FRA]]-VLOOKUP($U$1,A:C,3,))/VLOOKUP($U$1,A:C,3,))*100)+100</f>
        <v/>
      </c>
      <c r="J163" s="76">
        <f>(((Table134567891011121314151617343[[#This Row],[DEU]]-VLOOKUP($U$1,A:D,4,))/VLOOKUP($U$1,A:D,4,))*100)+100</f>
        <v/>
      </c>
      <c r="K163" s="76">
        <f>(((Table134567891011121314151617343[[#This Row],[ESP]]-VLOOKUP($U$1,A:E,5,))/VLOOKUP($U$1,A:E,5,))*100)+100</f>
        <v/>
      </c>
      <c r="L163" s="76">
        <f>(((Table134567891011121314151617343[[#This Row],[EA19]]-VLOOKUP($U$1,A:F,6,))/VLOOKUP($U$1,A:F,6,))*100)+100</f>
        <v/>
      </c>
      <c r="M163" s="76">
        <f>(((Table134567891011121314151617343[[#This Row],[GBR]]-VLOOKUP($U$1,A:G,7,))/VLOOKUP($U$1,A:G,7,))*100)+100</f>
        <v/>
      </c>
      <c r="N163" s="76">
        <f>IF(VLOOKUP(A163,Database!$A:$AU,MATCH($N$1,Database!$A$1:$AU$1,0),FALSE)=0,#N/A,VLOOKUP(A163,Database!$A:$AU,MATCH($N$1,Database!$A$1:$AU$1,0),FALSE))</f>
        <v/>
      </c>
      <c r="O163" s="76">
        <f>(((Table134567891011121314151617343[[#This Row],[USA]]-VLOOKUP($U$1,A:N,14,))/VLOOKUP($U$1,A:N,14,))*100)+100</f>
        <v/>
      </c>
      <c r="P163" s="76">
        <f>IF(VLOOKUP(A163,Database!$A:$AS,MATCH($P$1,Database!$A$1:$AS$1,0),FALSE)=0,#N/A,VLOOKUP(A163,Database!$A:$AS,MATCH($P$1,Database!$A$1:$AS$1,0),FALSE))</f>
        <v/>
      </c>
      <c r="Q163" s="76">
        <f>(((Table134567891011121314151617343[[#This Row],[JPN]]-VLOOKUP($U$1,A:Q,16,))/VLOOKUP($U$1,A:Q,16,))*100)+100</f>
        <v/>
      </c>
    </row>
    <row r="164" customFormat="1" s="86">
      <c r="A164" s="21" t="n">
        <v>37803</v>
      </c>
      <c r="B164" s="76">
        <f>IF(VLOOKUP(A164,Database!$A:$AS,MATCH($B$1,Database!$A$1:$AS$1,0),FALSE)=0,#N/A,VLOOKUP(A164,Database!$A:$AS,MATCH($B$1,Database!$A$1:$AS$1,0),FALSE))</f>
        <v/>
      </c>
      <c r="C164" s="76">
        <f>IF(VLOOKUP(A164,Database!$A:$AS,MATCH($C$1,Database!$A$1:$AS$1,0),FALSE)=0,#N/A,VLOOKUP(A164,Database!$A:$AS,MATCH($C$1,Database!$A$1:$AS$1,0),FALSE))</f>
        <v/>
      </c>
      <c r="D164" s="76">
        <f>IF(VLOOKUP(A164,Database!$A:$AS,MATCH($D$1,Database!$A$1:$AS$1,0),FALSE)=0,#N/A,VLOOKUP(A164,Database!$A:$AS,MATCH($D$1,Database!$A$1:$AS$1,0),FALSE))</f>
        <v/>
      </c>
      <c r="E164" s="76">
        <f>IF(VLOOKUP(A164,Database!$A:$AS,MATCH($E$1,Database!$A$1:$AS$1,0),FALSE)=0,#N/A,VLOOKUP(A164,Database!$A:$AS,MATCH($E$1,Database!$A$1:$AS$1,0),FALSE))</f>
        <v/>
      </c>
      <c r="F164" s="76">
        <f>IF(VLOOKUP(A164,Database!$A:$AS,MATCH($F$1,Database!$A$1:$AS$1,0),FALSE)=0,#N/A,VLOOKUP(A164,Database!$A:$AS,MATCH($F$1,Database!$A$1:$AS$1,0),FALSE))</f>
        <v/>
      </c>
      <c r="G164" s="76">
        <f>IF(VLOOKUP(A164,Database!$A:$AS,MATCH($G$1,Database!$A$1:$AS$1,0),FALSE)=0,#N/A,VLOOKUP(A164,Database!$A:$AS,MATCH($G$1,Database!$A$1:$AS$1,0),FALSE))</f>
        <v/>
      </c>
      <c r="H164" s="76">
        <f>(((Table134567891011121314151617343[[#This Row],[ITA]]-VLOOKUP($U$1,A:B,2,))/VLOOKUP($U$1,A:B,2,))*100)+100</f>
        <v/>
      </c>
      <c r="I164" s="76">
        <f>(((Table134567891011121314151617343[[#This Row],[FRA]]-VLOOKUP($U$1,A:C,3,))/VLOOKUP($U$1,A:C,3,))*100)+100</f>
        <v/>
      </c>
      <c r="J164" s="76">
        <f>(((Table134567891011121314151617343[[#This Row],[DEU]]-VLOOKUP($U$1,A:D,4,))/VLOOKUP($U$1,A:D,4,))*100)+100</f>
        <v/>
      </c>
      <c r="K164" s="76">
        <f>(((Table134567891011121314151617343[[#This Row],[ESP]]-VLOOKUP($U$1,A:E,5,))/VLOOKUP($U$1,A:E,5,))*100)+100</f>
        <v/>
      </c>
      <c r="L164" s="76">
        <f>(((Table134567891011121314151617343[[#This Row],[EA19]]-VLOOKUP($U$1,A:F,6,))/VLOOKUP($U$1,A:F,6,))*100)+100</f>
        <v/>
      </c>
      <c r="M164" s="76">
        <f>(((Table134567891011121314151617343[[#This Row],[GBR]]-VLOOKUP($U$1,A:G,7,))/VLOOKUP($U$1,A:G,7,))*100)+100</f>
        <v/>
      </c>
      <c r="N164" s="76">
        <f>IF(VLOOKUP(A164,Database!$A:$AU,MATCH($N$1,Database!$A$1:$AU$1,0),FALSE)=0,#N/A,VLOOKUP(A164,Database!$A:$AU,MATCH($N$1,Database!$A$1:$AU$1,0),FALSE))</f>
        <v/>
      </c>
      <c r="O164" s="76">
        <f>(((Table134567891011121314151617343[[#This Row],[USA]]-VLOOKUP($U$1,A:N,14,))/VLOOKUP($U$1,A:N,14,))*100)+100</f>
        <v/>
      </c>
      <c r="P164" s="76">
        <f>IF(VLOOKUP(A164,Database!$A:$AS,MATCH($P$1,Database!$A$1:$AS$1,0),FALSE)=0,#N/A,VLOOKUP(A164,Database!$A:$AS,MATCH($P$1,Database!$A$1:$AS$1,0),FALSE))</f>
        <v/>
      </c>
      <c r="Q164" s="76">
        <f>(((Table134567891011121314151617343[[#This Row],[JPN]]-VLOOKUP($U$1,A:Q,16,))/VLOOKUP($U$1,A:Q,16,))*100)+100</f>
        <v/>
      </c>
    </row>
    <row r="165" customFormat="1" s="86">
      <c r="A165" s="21" t="n">
        <v>37834</v>
      </c>
      <c r="B165" s="76">
        <f>IF(VLOOKUP(A165,Database!$A:$AS,MATCH($B$1,Database!$A$1:$AS$1,0),FALSE)=0,#N/A,VLOOKUP(A165,Database!$A:$AS,MATCH($B$1,Database!$A$1:$AS$1,0),FALSE))</f>
        <v/>
      </c>
      <c r="C165" s="76">
        <f>IF(VLOOKUP(A165,Database!$A:$AS,MATCH($C$1,Database!$A$1:$AS$1,0),FALSE)=0,#N/A,VLOOKUP(A165,Database!$A:$AS,MATCH($C$1,Database!$A$1:$AS$1,0),FALSE))</f>
        <v/>
      </c>
      <c r="D165" s="76">
        <f>IF(VLOOKUP(A165,Database!$A:$AS,MATCH($D$1,Database!$A$1:$AS$1,0),FALSE)=0,#N/A,VLOOKUP(A165,Database!$A:$AS,MATCH($D$1,Database!$A$1:$AS$1,0),FALSE))</f>
        <v/>
      </c>
      <c r="E165" s="76">
        <f>IF(VLOOKUP(A165,Database!$A:$AS,MATCH($E$1,Database!$A$1:$AS$1,0),FALSE)=0,#N/A,VLOOKUP(A165,Database!$A:$AS,MATCH($E$1,Database!$A$1:$AS$1,0),FALSE))</f>
        <v/>
      </c>
      <c r="F165" s="76">
        <f>IF(VLOOKUP(A165,Database!$A:$AS,MATCH($F$1,Database!$A$1:$AS$1,0),FALSE)=0,#N/A,VLOOKUP(A165,Database!$A:$AS,MATCH($F$1,Database!$A$1:$AS$1,0),FALSE))</f>
        <v/>
      </c>
      <c r="G165" s="76">
        <f>IF(VLOOKUP(A165,Database!$A:$AS,MATCH($G$1,Database!$A$1:$AS$1,0),FALSE)=0,#N/A,VLOOKUP(A165,Database!$A:$AS,MATCH($G$1,Database!$A$1:$AS$1,0),FALSE))</f>
        <v/>
      </c>
      <c r="H165" s="76">
        <f>(((Table134567891011121314151617343[[#This Row],[ITA]]-VLOOKUP($U$1,A:B,2,))/VLOOKUP($U$1,A:B,2,))*100)+100</f>
        <v/>
      </c>
      <c r="I165" s="76">
        <f>(((Table134567891011121314151617343[[#This Row],[FRA]]-VLOOKUP($U$1,A:C,3,))/VLOOKUP($U$1,A:C,3,))*100)+100</f>
        <v/>
      </c>
      <c r="J165" s="76">
        <f>(((Table134567891011121314151617343[[#This Row],[DEU]]-VLOOKUP($U$1,A:D,4,))/VLOOKUP($U$1,A:D,4,))*100)+100</f>
        <v/>
      </c>
      <c r="K165" s="76">
        <f>(((Table134567891011121314151617343[[#This Row],[ESP]]-VLOOKUP($U$1,A:E,5,))/VLOOKUP($U$1,A:E,5,))*100)+100</f>
        <v/>
      </c>
      <c r="L165" s="76">
        <f>(((Table134567891011121314151617343[[#This Row],[EA19]]-VLOOKUP($U$1,A:F,6,))/VLOOKUP($U$1,A:F,6,))*100)+100</f>
        <v/>
      </c>
      <c r="M165" s="76">
        <f>(((Table134567891011121314151617343[[#This Row],[GBR]]-VLOOKUP($U$1,A:G,7,))/VLOOKUP($U$1,A:G,7,))*100)+100</f>
        <v/>
      </c>
      <c r="N165" s="76">
        <f>IF(VLOOKUP(A165,Database!$A:$AU,MATCH($N$1,Database!$A$1:$AU$1,0),FALSE)=0,#N/A,VLOOKUP(A165,Database!$A:$AU,MATCH($N$1,Database!$A$1:$AU$1,0),FALSE))</f>
        <v/>
      </c>
      <c r="O165" s="76">
        <f>(((Table134567891011121314151617343[[#This Row],[USA]]-VLOOKUP($U$1,A:N,14,))/VLOOKUP($U$1,A:N,14,))*100)+100</f>
        <v/>
      </c>
      <c r="P165" s="76">
        <f>IF(VLOOKUP(A165,Database!$A:$AS,MATCH($P$1,Database!$A$1:$AS$1,0),FALSE)=0,#N/A,VLOOKUP(A165,Database!$A:$AS,MATCH($P$1,Database!$A$1:$AS$1,0),FALSE))</f>
        <v/>
      </c>
      <c r="Q165" s="76">
        <f>(((Table134567891011121314151617343[[#This Row],[JPN]]-VLOOKUP($U$1,A:Q,16,))/VLOOKUP($U$1,A:Q,16,))*100)+100</f>
        <v/>
      </c>
    </row>
    <row r="166" customFormat="1" s="86">
      <c r="A166" s="21" t="n">
        <v>37865</v>
      </c>
      <c r="B166" s="76">
        <f>IF(VLOOKUP(A166,Database!$A:$AS,MATCH($B$1,Database!$A$1:$AS$1,0),FALSE)=0,#N/A,VLOOKUP(A166,Database!$A:$AS,MATCH($B$1,Database!$A$1:$AS$1,0),FALSE))</f>
        <v/>
      </c>
      <c r="C166" s="76">
        <f>IF(VLOOKUP(A166,Database!$A:$AS,MATCH($C$1,Database!$A$1:$AS$1,0),FALSE)=0,#N/A,VLOOKUP(A166,Database!$A:$AS,MATCH($C$1,Database!$A$1:$AS$1,0),FALSE))</f>
        <v/>
      </c>
      <c r="D166" s="76">
        <f>IF(VLOOKUP(A166,Database!$A:$AS,MATCH($D$1,Database!$A$1:$AS$1,0),FALSE)=0,#N/A,VLOOKUP(A166,Database!$A:$AS,MATCH($D$1,Database!$A$1:$AS$1,0),FALSE))</f>
        <v/>
      </c>
      <c r="E166" s="76">
        <f>IF(VLOOKUP(A166,Database!$A:$AS,MATCH($E$1,Database!$A$1:$AS$1,0),FALSE)=0,#N/A,VLOOKUP(A166,Database!$A:$AS,MATCH($E$1,Database!$A$1:$AS$1,0),FALSE))</f>
        <v/>
      </c>
      <c r="F166" s="76">
        <f>IF(VLOOKUP(A166,Database!$A:$AS,MATCH($F$1,Database!$A$1:$AS$1,0),FALSE)=0,#N/A,VLOOKUP(A166,Database!$A:$AS,MATCH($F$1,Database!$A$1:$AS$1,0),FALSE))</f>
        <v/>
      </c>
      <c r="G166" s="76">
        <f>IF(VLOOKUP(A166,Database!$A:$AS,MATCH($G$1,Database!$A$1:$AS$1,0),FALSE)=0,#N/A,VLOOKUP(A166,Database!$A:$AS,MATCH($G$1,Database!$A$1:$AS$1,0),FALSE))</f>
        <v/>
      </c>
      <c r="H166" s="76">
        <f>(((Table134567891011121314151617343[[#This Row],[ITA]]-VLOOKUP($U$1,A:B,2,))/VLOOKUP($U$1,A:B,2,))*100)+100</f>
        <v/>
      </c>
      <c r="I166" s="76">
        <f>(((Table134567891011121314151617343[[#This Row],[FRA]]-VLOOKUP($U$1,A:C,3,))/VLOOKUP($U$1,A:C,3,))*100)+100</f>
        <v/>
      </c>
      <c r="J166" s="76">
        <f>(((Table134567891011121314151617343[[#This Row],[DEU]]-VLOOKUP($U$1,A:D,4,))/VLOOKUP($U$1,A:D,4,))*100)+100</f>
        <v/>
      </c>
      <c r="K166" s="76">
        <f>(((Table134567891011121314151617343[[#This Row],[ESP]]-VLOOKUP($U$1,A:E,5,))/VLOOKUP($U$1,A:E,5,))*100)+100</f>
        <v/>
      </c>
      <c r="L166" s="76">
        <f>(((Table134567891011121314151617343[[#This Row],[EA19]]-VLOOKUP($U$1,A:F,6,))/VLOOKUP($U$1,A:F,6,))*100)+100</f>
        <v/>
      </c>
      <c r="M166" s="76">
        <f>(((Table134567891011121314151617343[[#This Row],[GBR]]-VLOOKUP($U$1,A:G,7,))/VLOOKUP($U$1,A:G,7,))*100)+100</f>
        <v/>
      </c>
      <c r="N166" s="76">
        <f>IF(VLOOKUP(A166,Database!$A:$AU,MATCH($N$1,Database!$A$1:$AU$1,0),FALSE)=0,#N/A,VLOOKUP(A166,Database!$A:$AU,MATCH($N$1,Database!$A$1:$AU$1,0),FALSE))</f>
        <v/>
      </c>
      <c r="O166" s="76">
        <f>(((Table134567891011121314151617343[[#This Row],[USA]]-VLOOKUP($U$1,A:N,14,))/VLOOKUP($U$1,A:N,14,))*100)+100</f>
        <v/>
      </c>
      <c r="P166" s="76">
        <f>IF(VLOOKUP(A166,Database!$A:$AS,MATCH($P$1,Database!$A$1:$AS$1,0),FALSE)=0,#N/A,VLOOKUP(A166,Database!$A:$AS,MATCH($P$1,Database!$A$1:$AS$1,0),FALSE))</f>
        <v/>
      </c>
      <c r="Q166" s="76">
        <f>(((Table134567891011121314151617343[[#This Row],[JPN]]-VLOOKUP($U$1,A:Q,16,))/VLOOKUP($U$1,A:Q,16,))*100)+100</f>
        <v/>
      </c>
    </row>
    <row r="167" customFormat="1" s="86">
      <c r="A167" s="21" t="n">
        <v>37895</v>
      </c>
      <c r="B167" s="76">
        <f>IF(VLOOKUP(A167,Database!$A:$AS,MATCH($B$1,Database!$A$1:$AS$1,0),FALSE)=0,#N/A,VLOOKUP(A167,Database!$A:$AS,MATCH($B$1,Database!$A$1:$AS$1,0),FALSE))</f>
        <v/>
      </c>
      <c r="C167" s="76">
        <f>IF(VLOOKUP(A167,Database!$A:$AS,MATCH($C$1,Database!$A$1:$AS$1,0),FALSE)=0,#N/A,VLOOKUP(A167,Database!$A:$AS,MATCH($C$1,Database!$A$1:$AS$1,0),FALSE))</f>
        <v/>
      </c>
      <c r="D167" s="76">
        <f>IF(VLOOKUP(A167,Database!$A:$AS,MATCH($D$1,Database!$A$1:$AS$1,0),FALSE)=0,#N/A,VLOOKUP(A167,Database!$A:$AS,MATCH($D$1,Database!$A$1:$AS$1,0),FALSE))</f>
        <v/>
      </c>
      <c r="E167" s="76">
        <f>IF(VLOOKUP(A167,Database!$A:$AS,MATCH($E$1,Database!$A$1:$AS$1,0),FALSE)=0,#N/A,VLOOKUP(A167,Database!$A:$AS,MATCH($E$1,Database!$A$1:$AS$1,0),FALSE))</f>
        <v/>
      </c>
      <c r="F167" s="76">
        <f>IF(VLOOKUP(A167,Database!$A:$AS,MATCH($F$1,Database!$A$1:$AS$1,0),FALSE)=0,#N/A,VLOOKUP(A167,Database!$A:$AS,MATCH($F$1,Database!$A$1:$AS$1,0),FALSE))</f>
        <v/>
      </c>
      <c r="G167" s="76">
        <f>IF(VLOOKUP(A167,Database!$A:$AS,MATCH($G$1,Database!$A$1:$AS$1,0),FALSE)=0,#N/A,VLOOKUP(A167,Database!$A:$AS,MATCH($G$1,Database!$A$1:$AS$1,0),FALSE))</f>
        <v/>
      </c>
      <c r="H167" s="76">
        <f>(((Table134567891011121314151617343[[#This Row],[ITA]]-VLOOKUP($U$1,A:B,2,))/VLOOKUP($U$1,A:B,2,))*100)+100</f>
        <v/>
      </c>
      <c r="I167" s="76">
        <f>(((Table134567891011121314151617343[[#This Row],[FRA]]-VLOOKUP($U$1,A:C,3,))/VLOOKUP($U$1,A:C,3,))*100)+100</f>
        <v/>
      </c>
      <c r="J167" s="76">
        <f>(((Table134567891011121314151617343[[#This Row],[DEU]]-VLOOKUP($U$1,A:D,4,))/VLOOKUP($U$1,A:D,4,))*100)+100</f>
        <v/>
      </c>
      <c r="K167" s="76">
        <f>(((Table134567891011121314151617343[[#This Row],[ESP]]-VLOOKUP($U$1,A:E,5,))/VLOOKUP($U$1,A:E,5,))*100)+100</f>
        <v/>
      </c>
      <c r="L167" s="76">
        <f>(((Table134567891011121314151617343[[#This Row],[EA19]]-VLOOKUP($U$1,A:F,6,))/VLOOKUP($U$1,A:F,6,))*100)+100</f>
        <v/>
      </c>
      <c r="M167" s="76">
        <f>(((Table134567891011121314151617343[[#This Row],[GBR]]-VLOOKUP($U$1,A:G,7,))/VLOOKUP($U$1,A:G,7,))*100)+100</f>
        <v/>
      </c>
      <c r="N167" s="76">
        <f>IF(VLOOKUP(A167,Database!$A:$AU,MATCH($N$1,Database!$A$1:$AU$1,0),FALSE)=0,#N/A,VLOOKUP(A167,Database!$A:$AU,MATCH($N$1,Database!$A$1:$AU$1,0),FALSE))</f>
        <v/>
      </c>
      <c r="O167" s="76">
        <f>(((Table134567891011121314151617343[[#This Row],[USA]]-VLOOKUP($U$1,A:N,14,))/VLOOKUP($U$1,A:N,14,))*100)+100</f>
        <v/>
      </c>
      <c r="P167" s="76">
        <f>IF(VLOOKUP(A167,Database!$A:$AS,MATCH($P$1,Database!$A$1:$AS$1,0),FALSE)=0,#N/A,VLOOKUP(A167,Database!$A:$AS,MATCH($P$1,Database!$A$1:$AS$1,0),FALSE))</f>
        <v/>
      </c>
      <c r="Q167" s="76">
        <f>(((Table134567891011121314151617343[[#This Row],[JPN]]-VLOOKUP($U$1,A:Q,16,))/VLOOKUP($U$1,A:Q,16,))*100)+100</f>
        <v/>
      </c>
    </row>
    <row r="168" customFormat="1" s="86">
      <c r="A168" s="21" t="n">
        <v>37926</v>
      </c>
      <c r="B168" s="76">
        <f>IF(VLOOKUP(A168,Database!$A:$AS,MATCH($B$1,Database!$A$1:$AS$1,0),FALSE)=0,#N/A,VLOOKUP(A168,Database!$A:$AS,MATCH($B$1,Database!$A$1:$AS$1,0),FALSE))</f>
        <v/>
      </c>
      <c r="C168" s="76">
        <f>IF(VLOOKUP(A168,Database!$A:$AS,MATCH($C$1,Database!$A$1:$AS$1,0),FALSE)=0,#N/A,VLOOKUP(A168,Database!$A:$AS,MATCH($C$1,Database!$A$1:$AS$1,0),FALSE))</f>
        <v/>
      </c>
      <c r="D168" s="76">
        <f>IF(VLOOKUP(A168,Database!$A:$AS,MATCH($D$1,Database!$A$1:$AS$1,0),FALSE)=0,#N/A,VLOOKUP(A168,Database!$A:$AS,MATCH($D$1,Database!$A$1:$AS$1,0),FALSE))</f>
        <v/>
      </c>
      <c r="E168" s="76">
        <f>IF(VLOOKUP(A168,Database!$A:$AS,MATCH($E$1,Database!$A$1:$AS$1,0),FALSE)=0,#N/A,VLOOKUP(A168,Database!$A:$AS,MATCH($E$1,Database!$A$1:$AS$1,0),FALSE))</f>
        <v/>
      </c>
      <c r="F168" s="76">
        <f>IF(VLOOKUP(A168,Database!$A:$AS,MATCH($F$1,Database!$A$1:$AS$1,0),FALSE)=0,#N/A,VLOOKUP(A168,Database!$A:$AS,MATCH($F$1,Database!$A$1:$AS$1,0),FALSE))</f>
        <v/>
      </c>
      <c r="G168" s="76">
        <f>IF(VLOOKUP(A168,Database!$A:$AS,MATCH($G$1,Database!$A$1:$AS$1,0),FALSE)=0,#N/A,VLOOKUP(A168,Database!$A:$AS,MATCH($G$1,Database!$A$1:$AS$1,0),FALSE))</f>
        <v/>
      </c>
      <c r="H168" s="76">
        <f>(((Table134567891011121314151617343[[#This Row],[ITA]]-VLOOKUP($U$1,A:B,2,))/VLOOKUP($U$1,A:B,2,))*100)+100</f>
        <v/>
      </c>
      <c r="I168" s="76">
        <f>(((Table134567891011121314151617343[[#This Row],[FRA]]-VLOOKUP($U$1,A:C,3,))/VLOOKUP($U$1,A:C,3,))*100)+100</f>
        <v/>
      </c>
      <c r="J168" s="76">
        <f>(((Table134567891011121314151617343[[#This Row],[DEU]]-VLOOKUP($U$1,A:D,4,))/VLOOKUP($U$1,A:D,4,))*100)+100</f>
        <v/>
      </c>
      <c r="K168" s="76">
        <f>(((Table134567891011121314151617343[[#This Row],[ESP]]-VLOOKUP($U$1,A:E,5,))/VLOOKUP($U$1,A:E,5,))*100)+100</f>
        <v/>
      </c>
      <c r="L168" s="76">
        <f>(((Table134567891011121314151617343[[#This Row],[EA19]]-VLOOKUP($U$1,A:F,6,))/VLOOKUP($U$1,A:F,6,))*100)+100</f>
        <v/>
      </c>
      <c r="M168" s="76">
        <f>(((Table134567891011121314151617343[[#This Row],[GBR]]-VLOOKUP($U$1,A:G,7,))/VLOOKUP($U$1,A:G,7,))*100)+100</f>
        <v/>
      </c>
      <c r="N168" s="76">
        <f>IF(VLOOKUP(A168,Database!$A:$AU,MATCH($N$1,Database!$A$1:$AU$1,0),FALSE)=0,#N/A,VLOOKUP(A168,Database!$A:$AU,MATCH($N$1,Database!$A$1:$AU$1,0),FALSE))</f>
        <v/>
      </c>
      <c r="O168" s="76">
        <f>(((Table134567891011121314151617343[[#This Row],[USA]]-VLOOKUP($U$1,A:N,14,))/VLOOKUP($U$1,A:N,14,))*100)+100</f>
        <v/>
      </c>
      <c r="P168" s="76">
        <f>IF(VLOOKUP(A168,Database!$A:$AS,MATCH($P$1,Database!$A$1:$AS$1,0),FALSE)=0,#N/A,VLOOKUP(A168,Database!$A:$AS,MATCH($P$1,Database!$A$1:$AS$1,0),FALSE))</f>
        <v/>
      </c>
      <c r="Q168" s="76">
        <f>(((Table134567891011121314151617343[[#This Row],[JPN]]-VLOOKUP($U$1,A:Q,16,))/VLOOKUP($U$1,A:Q,16,))*100)+100</f>
        <v/>
      </c>
    </row>
    <row r="169" customFormat="1" s="86">
      <c r="A169" s="21" t="n">
        <v>37956</v>
      </c>
      <c r="B169" s="76">
        <f>IF(VLOOKUP(A169,Database!$A:$AS,MATCH($B$1,Database!$A$1:$AS$1,0),FALSE)=0,#N/A,VLOOKUP(A169,Database!$A:$AS,MATCH($B$1,Database!$A$1:$AS$1,0),FALSE))</f>
        <v/>
      </c>
      <c r="C169" s="76">
        <f>IF(VLOOKUP(A169,Database!$A:$AS,MATCH($C$1,Database!$A$1:$AS$1,0),FALSE)=0,#N/A,VLOOKUP(A169,Database!$A:$AS,MATCH($C$1,Database!$A$1:$AS$1,0),FALSE))</f>
        <v/>
      </c>
      <c r="D169" s="76">
        <f>IF(VLOOKUP(A169,Database!$A:$AS,MATCH($D$1,Database!$A$1:$AS$1,0),FALSE)=0,#N/A,VLOOKUP(A169,Database!$A:$AS,MATCH($D$1,Database!$A$1:$AS$1,0),FALSE))</f>
        <v/>
      </c>
      <c r="E169" s="76">
        <f>IF(VLOOKUP(A169,Database!$A:$AS,MATCH($E$1,Database!$A$1:$AS$1,0),FALSE)=0,#N/A,VLOOKUP(A169,Database!$A:$AS,MATCH($E$1,Database!$A$1:$AS$1,0),FALSE))</f>
        <v/>
      </c>
      <c r="F169" s="76">
        <f>IF(VLOOKUP(A169,Database!$A:$AS,MATCH($F$1,Database!$A$1:$AS$1,0),FALSE)=0,#N/A,VLOOKUP(A169,Database!$A:$AS,MATCH($F$1,Database!$A$1:$AS$1,0),FALSE))</f>
        <v/>
      </c>
      <c r="G169" s="76">
        <f>IF(VLOOKUP(A169,Database!$A:$AS,MATCH($G$1,Database!$A$1:$AS$1,0),FALSE)=0,#N/A,VLOOKUP(A169,Database!$A:$AS,MATCH($G$1,Database!$A$1:$AS$1,0),FALSE))</f>
        <v/>
      </c>
      <c r="H169" s="76">
        <f>(((Table134567891011121314151617343[[#This Row],[ITA]]-VLOOKUP($U$1,A:B,2,))/VLOOKUP($U$1,A:B,2,))*100)+100</f>
        <v/>
      </c>
      <c r="I169" s="76">
        <f>(((Table134567891011121314151617343[[#This Row],[FRA]]-VLOOKUP($U$1,A:C,3,))/VLOOKUP($U$1,A:C,3,))*100)+100</f>
        <v/>
      </c>
      <c r="J169" s="76">
        <f>(((Table134567891011121314151617343[[#This Row],[DEU]]-VLOOKUP($U$1,A:D,4,))/VLOOKUP($U$1,A:D,4,))*100)+100</f>
        <v/>
      </c>
      <c r="K169" s="76">
        <f>(((Table134567891011121314151617343[[#This Row],[ESP]]-VLOOKUP($U$1,A:E,5,))/VLOOKUP($U$1,A:E,5,))*100)+100</f>
        <v/>
      </c>
      <c r="L169" s="76">
        <f>(((Table134567891011121314151617343[[#This Row],[EA19]]-VLOOKUP($U$1,A:F,6,))/VLOOKUP($U$1,A:F,6,))*100)+100</f>
        <v/>
      </c>
      <c r="M169" s="76">
        <f>(((Table134567891011121314151617343[[#This Row],[GBR]]-VLOOKUP($U$1,A:G,7,))/VLOOKUP($U$1,A:G,7,))*100)+100</f>
        <v/>
      </c>
      <c r="N169" s="76">
        <f>IF(VLOOKUP(A169,Database!$A:$AU,MATCH($N$1,Database!$A$1:$AU$1,0),FALSE)=0,#N/A,VLOOKUP(A169,Database!$A:$AU,MATCH($N$1,Database!$A$1:$AU$1,0),FALSE))</f>
        <v/>
      </c>
      <c r="O169" s="76">
        <f>(((Table134567891011121314151617343[[#This Row],[USA]]-VLOOKUP($U$1,A:N,14,))/VLOOKUP($U$1,A:N,14,))*100)+100</f>
        <v/>
      </c>
      <c r="P169" s="76">
        <f>IF(VLOOKUP(A169,Database!$A:$AS,MATCH($P$1,Database!$A$1:$AS$1,0),FALSE)=0,#N/A,VLOOKUP(A169,Database!$A:$AS,MATCH($P$1,Database!$A$1:$AS$1,0),FALSE))</f>
        <v/>
      </c>
      <c r="Q169" s="76">
        <f>(((Table134567891011121314151617343[[#This Row],[JPN]]-VLOOKUP($U$1,A:Q,16,))/VLOOKUP($U$1,A:Q,16,))*100)+100</f>
        <v/>
      </c>
    </row>
    <row r="170" customFormat="1" s="86">
      <c r="A170" s="21" t="n">
        <v>37987</v>
      </c>
      <c r="B170" s="76">
        <f>IF(VLOOKUP(A170,Database!$A:$AS,MATCH($B$1,Database!$A$1:$AS$1,0),FALSE)=0,#N/A,VLOOKUP(A170,Database!$A:$AS,MATCH($B$1,Database!$A$1:$AS$1,0),FALSE))</f>
        <v/>
      </c>
      <c r="C170" s="76">
        <f>IF(VLOOKUP(A170,Database!$A:$AS,MATCH($C$1,Database!$A$1:$AS$1,0),FALSE)=0,#N/A,VLOOKUP(A170,Database!$A:$AS,MATCH($C$1,Database!$A$1:$AS$1,0),FALSE))</f>
        <v/>
      </c>
      <c r="D170" s="76">
        <f>IF(VLOOKUP(A170,Database!$A:$AS,MATCH($D$1,Database!$A$1:$AS$1,0),FALSE)=0,#N/A,VLOOKUP(A170,Database!$A:$AS,MATCH($D$1,Database!$A$1:$AS$1,0),FALSE))</f>
        <v/>
      </c>
      <c r="E170" s="76">
        <f>IF(VLOOKUP(A170,Database!$A:$AS,MATCH($E$1,Database!$A$1:$AS$1,0),FALSE)=0,#N/A,VLOOKUP(A170,Database!$A:$AS,MATCH($E$1,Database!$A$1:$AS$1,0),FALSE))</f>
        <v/>
      </c>
      <c r="F170" s="76">
        <f>IF(VLOOKUP(A170,Database!$A:$AS,MATCH($F$1,Database!$A$1:$AS$1,0),FALSE)=0,#N/A,VLOOKUP(A170,Database!$A:$AS,MATCH($F$1,Database!$A$1:$AS$1,0),FALSE))</f>
        <v/>
      </c>
      <c r="G170" s="76">
        <f>IF(VLOOKUP(A170,Database!$A:$AS,MATCH($G$1,Database!$A$1:$AS$1,0),FALSE)=0,#N/A,VLOOKUP(A170,Database!$A:$AS,MATCH($G$1,Database!$A$1:$AS$1,0),FALSE))</f>
        <v/>
      </c>
      <c r="H170" s="76">
        <f>(((Table134567891011121314151617343[[#This Row],[ITA]]-VLOOKUP($U$1,A:B,2,))/VLOOKUP($U$1,A:B,2,))*100)+100</f>
        <v/>
      </c>
      <c r="I170" s="76">
        <f>(((Table134567891011121314151617343[[#This Row],[FRA]]-VLOOKUP($U$1,A:C,3,))/VLOOKUP($U$1,A:C,3,))*100)+100</f>
        <v/>
      </c>
      <c r="J170" s="76">
        <f>(((Table134567891011121314151617343[[#This Row],[DEU]]-VLOOKUP($U$1,A:D,4,))/VLOOKUP($U$1,A:D,4,))*100)+100</f>
        <v/>
      </c>
      <c r="K170" s="76">
        <f>(((Table134567891011121314151617343[[#This Row],[ESP]]-VLOOKUP($U$1,A:E,5,))/VLOOKUP($U$1,A:E,5,))*100)+100</f>
        <v/>
      </c>
      <c r="L170" s="76">
        <f>(((Table134567891011121314151617343[[#This Row],[EA19]]-VLOOKUP($U$1,A:F,6,))/VLOOKUP($U$1,A:F,6,))*100)+100</f>
        <v/>
      </c>
      <c r="M170" s="76">
        <f>(((Table134567891011121314151617343[[#This Row],[GBR]]-VLOOKUP($U$1,A:G,7,))/VLOOKUP($U$1,A:G,7,))*100)+100</f>
        <v/>
      </c>
      <c r="N170" s="76">
        <f>IF(VLOOKUP(A170,Database!$A:$AU,MATCH($N$1,Database!$A$1:$AU$1,0),FALSE)=0,#N/A,VLOOKUP(A170,Database!$A:$AU,MATCH($N$1,Database!$A$1:$AU$1,0),FALSE))</f>
        <v/>
      </c>
      <c r="O170" s="76">
        <f>(((Table134567891011121314151617343[[#This Row],[USA]]-VLOOKUP($U$1,A:N,14,))/VLOOKUP($U$1,A:N,14,))*100)+100</f>
        <v/>
      </c>
      <c r="P170" s="76">
        <f>IF(VLOOKUP(A170,Database!$A:$AS,MATCH($P$1,Database!$A$1:$AS$1,0),FALSE)=0,#N/A,VLOOKUP(A170,Database!$A:$AS,MATCH($P$1,Database!$A$1:$AS$1,0),FALSE))</f>
        <v/>
      </c>
      <c r="Q170" s="76">
        <f>(((Table134567891011121314151617343[[#This Row],[JPN]]-VLOOKUP($U$1,A:Q,16,))/VLOOKUP($U$1,A:Q,16,))*100)+100</f>
        <v/>
      </c>
    </row>
    <row r="171" customFormat="1" s="86">
      <c r="A171" s="21" t="n">
        <v>38018</v>
      </c>
      <c r="B171" s="76">
        <f>IF(VLOOKUP(A171,Database!$A:$AS,MATCH($B$1,Database!$A$1:$AS$1,0),FALSE)=0,#N/A,VLOOKUP(A171,Database!$A:$AS,MATCH($B$1,Database!$A$1:$AS$1,0),FALSE))</f>
        <v/>
      </c>
      <c r="C171" s="76">
        <f>IF(VLOOKUP(A171,Database!$A:$AS,MATCH($C$1,Database!$A$1:$AS$1,0),FALSE)=0,#N/A,VLOOKUP(A171,Database!$A:$AS,MATCH($C$1,Database!$A$1:$AS$1,0),FALSE))</f>
        <v/>
      </c>
      <c r="D171" s="76">
        <f>IF(VLOOKUP(A171,Database!$A:$AS,MATCH($D$1,Database!$A$1:$AS$1,0),FALSE)=0,#N/A,VLOOKUP(A171,Database!$A:$AS,MATCH($D$1,Database!$A$1:$AS$1,0),FALSE))</f>
        <v/>
      </c>
      <c r="E171" s="76">
        <f>IF(VLOOKUP(A171,Database!$A:$AS,MATCH($E$1,Database!$A$1:$AS$1,0),FALSE)=0,#N/A,VLOOKUP(A171,Database!$A:$AS,MATCH($E$1,Database!$A$1:$AS$1,0),FALSE))</f>
        <v/>
      </c>
      <c r="F171" s="76">
        <f>IF(VLOOKUP(A171,Database!$A:$AS,MATCH($F$1,Database!$A$1:$AS$1,0),FALSE)=0,#N/A,VLOOKUP(A171,Database!$A:$AS,MATCH($F$1,Database!$A$1:$AS$1,0),FALSE))</f>
        <v/>
      </c>
      <c r="G171" s="76">
        <f>IF(VLOOKUP(A171,Database!$A:$AS,MATCH($G$1,Database!$A$1:$AS$1,0),FALSE)=0,#N/A,VLOOKUP(A171,Database!$A:$AS,MATCH($G$1,Database!$A$1:$AS$1,0),FALSE))</f>
        <v/>
      </c>
      <c r="H171" s="76">
        <f>(((Table134567891011121314151617343[[#This Row],[ITA]]-VLOOKUP($U$1,A:B,2,))/VLOOKUP($U$1,A:B,2,))*100)+100</f>
        <v/>
      </c>
      <c r="I171" s="76">
        <f>(((Table134567891011121314151617343[[#This Row],[FRA]]-VLOOKUP($U$1,A:C,3,))/VLOOKUP($U$1,A:C,3,))*100)+100</f>
        <v/>
      </c>
      <c r="J171" s="76">
        <f>(((Table134567891011121314151617343[[#This Row],[DEU]]-VLOOKUP($U$1,A:D,4,))/VLOOKUP($U$1,A:D,4,))*100)+100</f>
        <v/>
      </c>
      <c r="K171" s="76">
        <f>(((Table134567891011121314151617343[[#This Row],[ESP]]-VLOOKUP($U$1,A:E,5,))/VLOOKUP($U$1,A:E,5,))*100)+100</f>
        <v/>
      </c>
      <c r="L171" s="76">
        <f>(((Table134567891011121314151617343[[#This Row],[EA19]]-VLOOKUP($U$1,A:F,6,))/VLOOKUP($U$1,A:F,6,))*100)+100</f>
        <v/>
      </c>
      <c r="M171" s="76">
        <f>(((Table134567891011121314151617343[[#This Row],[GBR]]-VLOOKUP($U$1,A:G,7,))/VLOOKUP($U$1,A:G,7,))*100)+100</f>
        <v/>
      </c>
      <c r="N171" s="76">
        <f>IF(VLOOKUP(A171,Database!$A:$AU,MATCH($N$1,Database!$A$1:$AU$1,0),FALSE)=0,#N/A,VLOOKUP(A171,Database!$A:$AU,MATCH($N$1,Database!$A$1:$AU$1,0),FALSE))</f>
        <v/>
      </c>
      <c r="O171" s="76">
        <f>(((Table134567891011121314151617343[[#This Row],[USA]]-VLOOKUP($U$1,A:N,14,))/VLOOKUP($U$1,A:N,14,))*100)+100</f>
        <v/>
      </c>
      <c r="P171" s="76">
        <f>IF(VLOOKUP(A171,Database!$A:$AS,MATCH($P$1,Database!$A$1:$AS$1,0),FALSE)=0,#N/A,VLOOKUP(A171,Database!$A:$AS,MATCH($P$1,Database!$A$1:$AS$1,0),FALSE))</f>
        <v/>
      </c>
      <c r="Q171" s="76">
        <f>(((Table134567891011121314151617343[[#This Row],[JPN]]-VLOOKUP($U$1,A:Q,16,))/VLOOKUP($U$1,A:Q,16,))*100)+100</f>
        <v/>
      </c>
    </row>
    <row r="172" customFormat="1" s="86">
      <c r="A172" s="21" t="n">
        <v>38047</v>
      </c>
      <c r="B172" s="76">
        <f>IF(VLOOKUP(A172,Database!$A:$AS,MATCH($B$1,Database!$A$1:$AS$1,0),FALSE)=0,#N/A,VLOOKUP(A172,Database!$A:$AS,MATCH($B$1,Database!$A$1:$AS$1,0),FALSE))</f>
        <v/>
      </c>
      <c r="C172" s="76">
        <f>IF(VLOOKUP(A172,Database!$A:$AS,MATCH($C$1,Database!$A$1:$AS$1,0),FALSE)=0,#N/A,VLOOKUP(A172,Database!$A:$AS,MATCH($C$1,Database!$A$1:$AS$1,0),FALSE))</f>
        <v/>
      </c>
      <c r="D172" s="76">
        <f>IF(VLOOKUP(A172,Database!$A:$AS,MATCH($D$1,Database!$A$1:$AS$1,0),FALSE)=0,#N/A,VLOOKUP(A172,Database!$A:$AS,MATCH($D$1,Database!$A$1:$AS$1,0),FALSE))</f>
        <v/>
      </c>
      <c r="E172" s="76">
        <f>IF(VLOOKUP(A172,Database!$A:$AS,MATCH($E$1,Database!$A$1:$AS$1,0),FALSE)=0,#N/A,VLOOKUP(A172,Database!$A:$AS,MATCH($E$1,Database!$A$1:$AS$1,0),FALSE))</f>
        <v/>
      </c>
      <c r="F172" s="76">
        <f>IF(VLOOKUP(A172,Database!$A:$AS,MATCH($F$1,Database!$A$1:$AS$1,0),FALSE)=0,#N/A,VLOOKUP(A172,Database!$A:$AS,MATCH($F$1,Database!$A$1:$AS$1,0),FALSE))</f>
        <v/>
      </c>
      <c r="G172" s="76">
        <f>IF(VLOOKUP(A172,Database!$A:$AS,MATCH($G$1,Database!$A$1:$AS$1,0),FALSE)=0,#N/A,VLOOKUP(A172,Database!$A:$AS,MATCH($G$1,Database!$A$1:$AS$1,0),FALSE))</f>
        <v/>
      </c>
      <c r="H172" s="76">
        <f>(((Table134567891011121314151617343[[#This Row],[ITA]]-VLOOKUP($U$1,A:B,2,))/VLOOKUP($U$1,A:B,2,))*100)+100</f>
        <v/>
      </c>
      <c r="I172" s="76">
        <f>(((Table134567891011121314151617343[[#This Row],[FRA]]-VLOOKUP($U$1,A:C,3,))/VLOOKUP($U$1,A:C,3,))*100)+100</f>
        <v/>
      </c>
      <c r="J172" s="76">
        <f>(((Table134567891011121314151617343[[#This Row],[DEU]]-VLOOKUP($U$1,A:D,4,))/VLOOKUP($U$1,A:D,4,))*100)+100</f>
        <v/>
      </c>
      <c r="K172" s="76">
        <f>(((Table134567891011121314151617343[[#This Row],[ESP]]-VLOOKUP($U$1,A:E,5,))/VLOOKUP($U$1,A:E,5,))*100)+100</f>
        <v/>
      </c>
      <c r="L172" s="76">
        <f>(((Table134567891011121314151617343[[#This Row],[EA19]]-VLOOKUP($U$1,A:F,6,))/VLOOKUP($U$1,A:F,6,))*100)+100</f>
        <v/>
      </c>
      <c r="M172" s="76">
        <f>(((Table134567891011121314151617343[[#This Row],[GBR]]-VLOOKUP($U$1,A:G,7,))/VLOOKUP($U$1,A:G,7,))*100)+100</f>
        <v/>
      </c>
      <c r="N172" s="76">
        <f>IF(VLOOKUP(A172,Database!$A:$AU,MATCH($N$1,Database!$A$1:$AU$1,0),FALSE)=0,#N/A,VLOOKUP(A172,Database!$A:$AU,MATCH($N$1,Database!$A$1:$AU$1,0),FALSE))</f>
        <v/>
      </c>
      <c r="O172" s="76">
        <f>(((Table134567891011121314151617343[[#This Row],[USA]]-VLOOKUP($U$1,A:N,14,))/VLOOKUP($U$1,A:N,14,))*100)+100</f>
        <v/>
      </c>
      <c r="P172" s="76">
        <f>IF(VLOOKUP(A172,Database!$A:$AS,MATCH($P$1,Database!$A$1:$AS$1,0),FALSE)=0,#N/A,VLOOKUP(A172,Database!$A:$AS,MATCH($P$1,Database!$A$1:$AS$1,0),FALSE))</f>
        <v/>
      </c>
      <c r="Q172" s="76">
        <f>(((Table134567891011121314151617343[[#This Row],[JPN]]-VLOOKUP($U$1,A:Q,16,))/VLOOKUP($U$1,A:Q,16,))*100)+100</f>
        <v/>
      </c>
    </row>
    <row r="173" customFormat="1" s="86">
      <c r="A173" s="21" t="n">
        <v>38078</v>
      </c>
      <c r="B173" s="76">
        <f>IF(VLOOKUP(A173,Database!$A:$AS,MATCH($B$1,Database!$A$1:$AS$1,0),FALSE)=0,#N/A,VLOOKUP(A173,Database!$A:$AS,MATCH($B$1,Database!$A$1:$AS$1,0),FALSE))</f>
        <v/>
      </c>
      <c r="C173" s="76">
        <f>IF(VLOOKUP(A173,Database!$A:$AS,MATCH($C$1,Database!$A$1:$AS$1,0),FALSE)=0,#N/A,VLOOKUP(A173,Database!$A:$AS,MATCH($C$1,Database!$A$1:$AS$1,0),FALSE))</f>
        <v/>
      </c>
      <c r="D173" s="76">
        <f>IF(VLOOKUP(A173,Database!$A:$AS,MATCH($D$1,Database!$A$1:$AS$1,0),FALSE)=0,#N/A,VLOOKUP(A173,Database!$A:$AS,MATCH($D$1,Database!$A$1:$AS$1,0),FALSE))</f>
        <v/>
      </c>
      <c r="E173" s="76">
        <f>IF(VLOOKUP(A173,Database!$A:$AS,MATCH($E$1,Database!$A$1:$AS$1,0),FALSE)=0,#N/A,VLOOKUP(A173,Database!$A:$AS,MATCH($E$1,Database!$A$1:$AS$1,0),FALSE))</f>
        <v/>
      </c>
      <c r="F173" s="76">
        <f>IF(VLOOKUP(A173,Database!$A:$AS,MATCH($F$1,Database!$A$1:$AS$1,0),FALSE)=0,#N/A,VLOOKUP(A173,Database!$A:$AS,MATCH($F$1,Database!$A$1:$AS$1,0),FALSE))</f>
        <v/>
      </c>
      <c r="G173" s="76">
        <f>IF(VLOOKUP(A173,Database!$A:$AS,MATCH($G$1,Database!$A$1:$AS$1,0),FALSE)=0,#N/A,VLOOKUP(A173,Database!$A:$AS,MATCH($G$1,Database!$A$1:$AS$1,0),FALSE))</f>
        <v/>
      </c>
      <c r="H173" s="76">
        <f>(((Table134567891011121314151617343[[#This Row],[ITA]]-VLOOKUP($U$1,A:B,2,))/VLOOKUP($U$1,A:B,2,))*100)+100</f>
        <v/>
      </c>
      <c r="I173" s="76">
        <f>(((Table134567891011121314151617343[[#This Row],[FRA]]-VLOOKUP($U$1,A:C,3,))/VLOOKUP($U$1,A:C,3,))*100)+100</f>
        <v/>
      </c>
      <c r="J173" s="76">
        <f>(((Table134567891011121314151617343[[#This Row],[DEU]]-VLOOKUP($U$1,A:D,4,))/VLOOKUP($U$1,A:D,4,))*100)+100</f>
        <v/>
      </c>
      <c r="K173" s="76">
        <f>(((Table134567891011121314151617343[[#This Row],[ESP]]-VLOOKUP($U$1,A:E,5,))/VLOOKUP($U$1,A:E,5,))*100)+100</f>
        <v/>
      </c>
      <c r="L173" s="76">
        <f>(((Table134567891011121314151617343[[#This Row],[EA19]]-VLOOKUP($U$1,A:F,6,))/VLOOKUP($U$1,A:F,6,))*100)+100</f>
        <v/>
      </c>
      <c r="M173" s="76">
        <f>(((Table134567891011121314151617343[[#This Row],[GBR]]-VLOOKUP($U$1,A:G,7,))/VLOOKUP($U$1,A:G,7,))*100)+100</f>
        <v/>
      </c>
      <c r="N173" s="76">
        <f>IF(VLOOKUP(A173,Database!$A:$AU,MATCH($N$1,Database!$A$1:$AU$1,0),FALSE)=0,#N/A,VLOOKUP(A173,Database!$A:$AU,MATCH($N$1,Database!$A$1:$AU$1,0),FALSE))</f>
        <v/>
      </c>
      <c r="O173" s="76">
        <f>(((Table134567891011121314151617343[[#This Row],[USA]]-VLOOKUP($U$1,A:N,14,))/VLOOKUP($U$1,A:N,14,))*100)+100</f>
        <v/>
      </c>
      <c r="P173" s="76">
        <f>IF(VLOOKUP(A173,Database!$A:$AS,MATCH($P$1,Database!$A$1:$AS$1,0),FALSE)=0,#N/A,VLOOKUP(A173,Database!$A:$AS,MATCH($P$1,Database!$A$1:$AS$1,0),FALSE))</f>
        <v/>
      </c>
      <c r="Q173" s="76">
        <f>(((Table134567891011121314151617343[[#This Row],[JPN]]-VLOOKUP($U$1,A:Q,16,))/VLOOKUP($U$1,A:Q,16,))*100)+100</f>
        <v/>
      </c>
    </row>
    <row r="174" customFormat="1" s="86">
      <c r="A174" s="21" t="n">
        <v>38108</v>
      </c>
      <c r="B174" s="76">
        <f>IF(VLOOKUP(A174,Database!$A:$AS,MATCH($B$1,Database!$A$1:$AS$1,0),FALSE)=0,#N/A,VLOOKUP(A174,Database!$A:$AS,MATCH($B$1,Database!$A$1:$AS$1,0),FALSE))</f>
        <v/>
      </c>
      <c r="C174" s="76">
        <f>IF(VLOOKUP(A174,Database!$A:$AS,MATCH($C$1,Database!$A$1:$AS$1,0),FALSE)=0,#N/A,VLOOKUP(A174,Database!$A:$AS,MATCH($C$1,Database!$A$1:$AS$1,0),FALSE))</f>
        <v/>
      </c>
      <c r="D174" s="76">
        <f>IF(VLOOKUP(A174,Database!$A:$AS,MATCH($D$1,Database!$A$1:$AS$1,0),FALSE)=0,#N/A,VLOOKUP(A174,Database!$A:$AS,MATCH($D$1,Database!$A$1:$AS$1,0),FALSE))</f>
        <v/>
      </c>
      <c r="E174" s="76">
        <f>IF(VLOOKUP(A174,Database!$A:$AS,MATCH($E$1,Database!$A$1:$AS$1,0),FALSE)=0,#N/A,VLOOKUP(A174,Database!$A:$AS,MATCH($E$1,Database!$A$1:$AS$1,0),FALSE))</f>
        <v/>
      </c>
      <c r="F174" s="76">
        <f>IF(VLOOKUP(A174,Database!$A:$AS,MATCH($F$1,Database!$A$1:$AS$1,0),FALSE)=0,#N/A,VLOOKUP(A174,Database!$A:$AS,MATCH($F$1,Database!$A$1:$AS$1,0),FALSE))</f>
        <v/>
      </c>
      <c r="G174" s="76">
        <f>IF(VLOOKUP(A174,Database!$A:$AS,MATCH($G$1,Database!$A$1:$AS$1,0),FALSE)=0,#N/A,VLOOKUP(A174,Database!$A:$AS,MATCH($G$1,Database!$A$1:$AS$1,0),FALSE))</f>
        <v/>
      </c>
      <c r="H174" s="76">
        <f>(((Table134567891011121314151617343[[#This Row],[ITA]]-VLOOKUP($U$1,A:B,2,))/VLOOKUP($U$1,A:B,2,))*100)+100</f>
        <v/>
      </c>
      <c r="I174" s="76">
        <f>(((Table134567891011121314151617343[[#This Row],[FRA]]-VLOOKUP($U$1,A:C,3,))/VLOOKUP($U$1,A:C,3,))*100)+100</f>
        <v/>
      </c>
      <c r="J174" s="76">
        <f>(((Table134567891011121314151617343[[#This Row],[DEU]]-VLOOKUP($U$1,A:D,4,))/VLOOKUP($U$1,A:D,4,))*100)+100</f>
        <v/>
      </c>
      <c r="K174" s="76">
        <f>(((Table134567891011121314151617343[[#This Row],[ESP]]-VLOOKUP($U$1,A:E,5,))/VLOOKUP($U$1,A:E,5,))*100)+100</f>
        <v/>
      </c>
      <c r="L174" s="76">
        <f>(((Table134567891011121314151617343[[#This Row],[EA19]]-VLOOKUP($U$1,A:F,6,))/VLOOKUP($U$1,A:F,6,))*100)+100</f>
        <v/>
      </c>
      <c r="M174" s="76">
        <f>(((Table134567891011121314151617343[[#This Row],[GBR]]-VLOOKUP($U$1,A:G,7,))/VLOOKUP($U$1,A:G,7,))*100)+100</f>
        <v/>
      </c>
      <c r="N174" s="76">
        <f>IF(VLOOKUP(A174,Database!$A:$AU,MATCH($N$1,Database!$A$1:$AU$1,0),FALSE)=0,#N/A,VLOOKUP(A174,Database!$A:$AU,MATCH($N$1,Database!$A$1:$AU$1,0),FALSE))</f>
        <v/>
      </c>
      <c r="O174" s="76">
        <f>(((Table134567891011121314151617343[[#This Row],[USA]]-VLOOKUP($U$1,A:N,14,))/VLOOKUP($U$1,A:N,14,))*100)+100</f>
        <v/>
      </c>
      <c r="P174" s="76">
        <f>IF(VLOOKUP(A174,Database!$A:$AS,MATCH($P$1,Database!$A$1:$AS$1,0),FALSE)=0,#N/A,VLOOKUP(A174,Database!$A:$AS,MATCH($P$1,Database!$A$1:$AS$1,0),FALSE))</f>
        <v/>
      </c>
      <c r="Q174" s="76">
        <f>(((Table134567891011121314151617343[[#This Row],[JPN]]-VLOOKUP($U$1,A:Q,16,))/VLOOKUP($U$1,A:Q,16,))*100)+100</f>
        <v/>
      </c>
    </row>
    <row r="175" customFormat="1" s="86">
      <c r="A175" s="21" t="n">
        <v>38139</v>
      </c>
      <c r="B175" s="76">
        <f>IF(VLOOKUP(A175,Database!$A:$AS,MATCH($B$1,Database!$A$1:$AS$1,0),FALSE)=0,#N/A,VLOOKUP(A175,Database!$A:$AS,MATCH($B$1,Database!$A$1:$AS$1,0),FALSE))</f>
        <v/>
      </c>
      <c r="C175" s="76">
        <f>IF(VLOOKUP(A175,Database!$A:$AS,MATCH($C$1,Database!$A$1:$AS$1,0),FALSE)=0,#N/A,VLOOKUP(A175,Database!$A:$AS,MATCH($C$1,Database!$A$1:$AS$1,0),FALSE))</f>
        <v/>
      </c>
      <c r="D175" s="76">
        <f>IF(VLOOKUP(A175,Database!$A:$AS,MATCH($D$1,Database!$A$1:$AS$1,0),FALSE)=0,#N/A,VLOOKUP(A175,Database!$A:$AS,MATCH($D$1,Database!$A$1:$AS$1,0),FALSE))</f>
        <v/>
      </c>
      <c r="E175" s="76">
        <f>IF(VLOOKUP(A175,Database!$A:$AS,MATCH($E$1,Database!$A$1:$AS$1,0),FALSE)=0,#N/A,VLOOKUP(A175,Database!$A:$AS,MATCH($E$1,Database!$A$1:$AS$1,0),FALSE))</f>
        <v/>
      </c>
      <c r="F175" s="76">
        <f>IF(VLOOKUP(A175,Database!$A:$AS,MATCH($F$1,Database!$A$1:$AS$1,0),FALSE)=0,#N/A,VLOOKUP(A175,Database!$A:$AS,MATCH($F$1,Database!$A$1:$AS$1,0),FALSE))</f>
        <v/>
      </c>
      <c r="G175" s="76">
        <f>IF(VLOOKUP(A175,Database!$A:$AS,MATCH($G$1,Database!$A$1:$AS$1,0),FALSE)=0,#N/A,VLOOKUP(A175,Database!$A:$AS,MATCH($G$1,Database!$A$1:$AS$1,0),FALSE))</f>
        <v/>
      </c>
      <c r="H175" s="76">
        <f>(((Table134567891011121314151617343[[#This Row],[ITA]]-VLOOKUP($U$1,A:B,2,))/VLOOKUP($U$1,A:B,2,))*100)+100</f>
        <v/>
      </c>
      <c r="I175" s="76">
        <f>(((Table134567891011121314151617343[[#This Row],[FRA]]-VLOOKUP($U$1,A:C,3,))/VLOOKUP($U$1,A:C,3,))*100)+100</f>
        <v/>
      </c>
      <c r="J175" s="76">
        <f>(((Table134567891011121314151617343[[#This Row],[DEU]]-VLOOKUP($U$1,A:D,4,))/VLOOKUP($U$1,A:D,4,))*100)+100</f>
        <v/>
      </c>
      <c r="K175" s="76">
        <f>(((Table134567891011121314151617343[[#This Row],[ESP]]-VLOOKUP($U$1,A:E,5,))/VLOOKUP($U$1,A:E,5,))*100)+100</f>
        <v/>
      </c>
      <c r="L175" s="76">
        <f>(((Table134567891011121314151617343[[#This Row],[EA19]]-VLOOKUP($U$1,A:F,6,))/VLOOKUP($U$1,A:F,6,))*100)+100</f>
        <v/>
      </c>
      <c r="M175" s="76">
        <f>(((Table134567891011121314151617343[[#This Row],[GBR]]-VLOOKUP($U$1,A:G,7,))/VLOOKUP($U$1,A:G,7,))*100)+100</f>
        <v/>
      </c>
      <c r="N175" s="76">
        <f>IF(VLOOKUP(A175,Database!$A:$AU,MATCH($N$1,Database!$A$1:$AU$1,0),FALSE)=0,#N/A,VLOOKUP(A175,Database!$A:$AU,MATCH($N$1,Database!$A$1:$AU$1,0),FALSE))</f>
        <v/>
      </c>
      <c r="O175" s="76">
        <f>(((Table134567891011121314151617343[[#This Row],[USA]]-VLOOKUP($U$1,A:N,14,))/VLOOKUP($U$1,A:N,14,))*100)+100</f>
        <v/>
      </c>
      <c r="P175" s="76">
        <f>IF(VLOOKUP(A175,Database!$A:$AS,MATCH($P$1,Database!$A$1:$AS$1,0),FALSE)=0,#N/A,VLOOKUP(A175,Database!$A:$AS,MATCH($P$1,Database!$A$1:$AS$1,0),FALSE))</f>
        <v/>
      </c>
      <c r="Q175" s="76">
        <f>(((Table134567891011121314151617343[[#This Row],[JPN]]-VLOOKUP($U$1,A:Q,16,))/VLOOKUP($U$1,A:Q,16,))*100)+100</f>
        <v/>
      </c>
    </row>
    <row r="176" customFormat="1" s="86">
      <c r="A176" s="21" t="n">
        <v>38169</v>
      </c>
      <c r="B176" s="76">
        <f>IF(VLOOKUP(A176,Database!$A:$AS,MATCH($B$1,Database!$A$1:$AS$1,0),FALSE)=0,#N/A,VLOOKUP(A176,Database!$A:$AS,MATCH($B$1,Database!$A$1:$AS$1,0),FALSE))</f>
        <v/>
      </c>
      <c r="C176" s="76">
        <f>IF(VLOOKUP(A176,Database!$A:$AS,MATCH($C$1,Database!$A$1:$AS$1,0),FALSE)=0,#N/A,VLOOKUP(A176,Database!$A:$AS,MATCH($C$1,Database!$A$1:$AS$1,0),FALSE))</f>
        <v/>
      </c>
      <c r="D176" s="76">
        <f>IF(VLOOKUP(A176,Database!$A:$AS,MATCH($D$1,Database!$A$1:$AS$1,0),FALSE)=0,#N/A,VLOOKUP(A176,Database!$A:$AS,MATCH($D$1,Database!$A$1:$AS$1,0),FALSE))</f>
        <v/>
      </c>
      <c r="E176" s="76">
        <f>IF(VLOOKUP(A176,Database!$A:$AS,MATCH($E$1,Database!$A$1:$AS$1,0),FALSE)=0,#N/A,VLOOKUP(A176,Database!$A:$AS,MATCH($E$1,Database!$A$1:$AS$1,0),FALSE))</f>
        <v/>
      </c>
      <c r="F176" s="76">
        <f>IF(VLOOKUP(A176,Database!$A:$AS,MATCH($F$1,Database!$A$1:$AS$1,0),FALSE)=0,#N/A,VLOOKUP(A176,Database!$A:$AS,MATCH($F$1,Database!$A$1:$AS$1,0),FALSE))</f>
        <v/>
      </c>
      <c r="G176" s="76">
        <f>IF(VLOOKUP(A176,Database!$A:$AS,MATCH($G$1,Database!$A$1:$AS$1,0),FALSE)=0,#N/A,VLOOKUP(A176,Database!$A:$AS,MATCH($G$1,Database!$A$1:$AS$1,0),FALSE))</f>
        <v/>
      </c>
      <c r="H176" s="76">
        <f>(((Table134567891011121314151617343[[#This Row],[ITA]]-VLOOKUP($U$1,A:B,2,))/VLOOKUP($U$1,A:B,2,))*100)+100</f>
        <v/>
      </c>
      <c r="I176" s="76">
        <f>(((Table134567891011121314151617343[[#This Row],[FRA]]-VLOOKUP($U$1,A:C,3,))/VLOOKUP($U$1,A:C,3,))*100)+100</f>
        <v/>
      </c>
      <c r="J176" s="76">
        <f>(((Table134567891011121314151617343[[#This Row],[DEU]]-VLOOKUP($U$1,A:D,4,))/VLOOKUP($U$1,A:D,4,))*100)+100</f>
        <v/>
      </c>
      <c r="K176" s="76">
        <f>(((Table134567891011121314151617343[[#This Row],[ESP]]-VLOOKUP($U$1,A:E,5,))/VLOOKUP($U$1,A:E,5,))*100)+100</f>
        <v/>
      </c>
      <c r="L176" s="76">
        <f>(((Table134567891011121314151617343[[#This Row],[EA19]]-VLOOKUP($U$1,A:F,6,))/VLOOKUP($U$1,A:F,6,))*100)+100</f>
        <v/>
      </c>
      <c r="M176" s="76">
        <f>(((Table134567891011121314151617343[[#This Row],[GBR]]-VLOOKUP($U$1,A:G,7,))/VLOOKUP($U$1,A:G,7,))*100)+100</f>
        <v/>
      </c>
      <c r="N176" s="76">
        <f>IF(VLOOKUP(A176,Database!$A:$AU,MATCH($N$1,Database!$A$1:$AU$1,0),FALSE)=0,#N/A,VLOOKUP(A176,Database!$A:$AU,MATCH($N$1,Database!$A$1:$AU$1,0),FALSE))</f>
        <v/>
      </c>
      <c r="O176" s="76">
        <f>(((Table134567891011121314151617343[[#This Row],[USA]]-VLOOKUP($U$1,A:N,14,))/VLOOKUP($U$1,A:N,14,))*100)+100</f>
        <v/>
      </c>
      <c r="P176" s="76">
        <f>IF(VLOOKUP(A176,Database!$A:$AS,MATCH($P$1,Database!$A$1:$AS$1,0),FALSE)=0,#N/A,VLOOKUP(A176,Database!$A:$AS,MATCH($P$1,Database!$A$1:$AS$1,0),FALSE))</f>
        <v/>
      </c>
      <c r="Q176" s="76">
        <f>(((Table134567891011121314151617343[[#This Row],[JPN]]-VLOOKUP($U$1,A:Q,16,))/VLOOKUP($U$1,A:Q,16,))*100)+100</f>
        <v/>
      </c>
    </row>
    <row r="177" customFormat="1" s="86">
      <c r="A177" s="21" t="n">
        <v>38200</v>
      </c>
      <c r="B177" s="76">
        <f>IF(VLOOKUP(A177,Database!$A:$AS,MATCH($B$1,Database!$A$1:$AS$1,0),FALSE)=0,#N/A,VLOOKUP(A177,Database!$A:$AS,MATCH($B$1,Database!$A$1:$AS$1,0),FALSE))</f>
        <v/>
      </c>
      <c r="C177" s="76">
        <f>IF(VLOOKUP(A177,Database!$A:$AS,MATCH($C$1,Database!$A$1:$AS$1,0),FALSE)=0,#N/A,VLOOKUP(A177,Database!$A:$AS,MATCH($C$1,Database!$A$1:$AS$1,0),FALSE))</f>
        <v/>
      </c>
      <c r="D177" s="76">
        <f>IF(VLOOKUP(A177,Database!$A:$AS,MATCH($D$1,Database!$A$1:$AS$1,0),FALSE)=0,#N/A,VLOOKUP(A177,Database!$A:$AS,MATCH($D$1,Database!$A$1:$AS$1,0),FALSE))</f>
        <v/>
      </c>
      <c r="E177" s="76">
        <f>IF(VLOOKUP(A177,Database!$A:$AS,MATCH($E$1,Database!$A$1:$AS$1,0),FALSE)=0,#N/A,VLOOKUP(A177,Database!$A:$AS,MATCH($E$1,Database!$A$1:$AS$1,0),FALSE))</f>
        <v/>
      </c>
      <c r="F177" s="76">
        <f>IF(VLOOKUP(A177,Database!$A:$AS,MATCH($F$1,Database!$A$1:$AS$1,0),FALSE)=0,#N/A,VLOOKUP(A177,Database!$A:$AS,MATCH($F$1,Database!$A$1:$AS$1,0),FALSE))</f>
        <v/>
      </c>
      <c r="G177" s="76">
        <f>IF(VLOOKUP(A177,Database!$A:$AS,MATCH($G$1,Database!$A$1:$AS$1,0),FALSE)=0,#N/A,VLOOKUP(A177,Database!$A:$AS,MATCH($G$1,Database!$A$1:$AS$1,0),FALSE))</f>
        <v/>
      </c>
      <c r="H177" s="76">
        <f>(((Table134567891011121314151617343[[#This Row],[ITA]]-VLOOKUP($U$1,A:B,2,))/VLOOKUP($U$1,A:B,2,))*100)+100</f>
        <v/>
      </c>
      <c r="I177" s="76">
        <f>(((Table134567891011121314151617343[[#This Row],[FRA]]-VLOOKUP($U$1,A:C,3,))/VLOOKUP($U$1,A:C,3,))*100)+100</f>
        <v/>
      </c>
      <c r="J177" s="76">
        <f>(((Table134567891011121314151617343[[#This Row],[DEU]]-VLOOKUP($U$1,A:D,4,))/VLOOKUP($U$1,A:D,4,))*100)+100</f>
        <v/>
      </c>
      <c r="K177" s="76">
        <f>(((Table134567891011121314151617343[[#This Row],[ESP]]-VLOOKUP($U$1,A:E,5,))/VLOOKUP($U$1,A:E,5,))*100)+100</f>
        <v/>
      </c>
      <c r="L177" s="76">
        <f>(((Table134567891011121314151617343[[#This Row],[EA19]]-VLOOKUP($U$1,A:F,6,))/VLOOKUP($U$1,A:F,6,))*100)+100</f>
        <v/>
      </c>
      <c r="M177" s="76">
        <f>(((Table134567891011121314151617343[[#This Row],[GBR]]-VLOOKUP($U$1,A:G,7,))/VLOOKUP($U$1,A:G,7,))*100)+100</f>
        <v/>
      </c>
      <c r="N177" s="76">
        <f>IF(VLOOKUP(A177,Database!$A:$AU,MATCH($N$1,Database!$A$1:$AU$1,0),FALSE)=0,#N/A,VLOOKUP(A177,Database!$A:$AU,MATCH($N$1,Database!$A$1:$AU$1,0),FALSE))</f>
        <v/>
      </c>
      <c r="O177" s="76">
        <f>(((Table134567891011121314151617343[[#This Row],[USA]]-VLOOKUP($U$1,A:N,14,))/VLOOKUP($U$1,A:N,14,))*100)+100</f>
        <v/>
      </c>
      <c r="P177" s="76">
        <f>IF(VLOOKUP(A177,Database!$A:$AS,MATCH($P$1,Database!$A$1:$AS$1,0),FALSE)=0,#N/A,VLOOKUP(A177,Database!$A:$AS,MATCH($P$1,Database!$A$1:$AS$1,0),FALSE))</f>
        <v/>
      </c>
      <c r="Q177" s="76">
        <f>(((Table134567891011121314151617343[[#This Row],[JPN]]-VLOOKUP($U$1,A:Q,16,))/VLOOKUP($U$1,A:Q,16,))*100)+100</f>
        <v/>
      </c>
    </row>
    <row r="178" customFormat="1" s="86">
      <c r="A178" s="21" t="n">
        <v>38231</v>
      </c>
      <c r="B178" s="76">
        <f>IF(VLOOKUP(A178,Database!$A:$AS,MATCH($B$1,Database!$A$1:$AS$1,0),FALSE)=0,#N/A,VLOOKUP(A178,Database!$A:$AS,MATCH($B$1,Database!$A$1:$AS$1,0),FALSE))</f>
        <v/>
      </c>
      <c r="C178" s="76">
        <f>IF(VLOOKUP(A178,Database!$A:$AS,MATCH($C$1,Database!$A$1:$AS$1,0),FALSE)=0,#N/A,VLOOKUP(A178,Database!$A:$AS,MATCH($C$1,Database!$A$1:$AS$1,0),FALSE))</f>
        <v/>
      </c>
      <c r="D178" s="76">
        <f>IF(VLOOKUP(A178,Database!$A:$AS,MATCH($D$1,Database!$A$1:$AS$1,0),FALSE)=0,#N/A,VLOOKUP(A178,Database!$A:$AS,MATCH($D$1,Database!$A$1:$AS$1,0),FALSE))</f>
        <v/>
      </c>
      <c r="E178" s="76">
        <f>IF(VLOOKUP(A178,Database!$A:$AS,MATCH($E$1,Database!$A$1:$AS$1,0),FALSE)=0,#N/A,VLOOKUP(A178,Database!$A:$AS,MATCH($E$1,Database!$A$1:$AS$1,0),FALSE))</f>
        <v/>
      </c>
      <c r="F178" s="76">
        <f>IF(VLOOKUP(A178,Database!$A:$AS,MATCH($F$1,Database!$A$1:$AS$1,0),FALSE)=0,#N/A,VLOOKUP(A178,Database!$A:$AS,MATCH($F$1,Database!$A$1:$AS$1,0),FALSE))</f>
        <v/>
      </c>
      <c r="G178" s="76">
        <f>IF(VLOOKUP(A178,Database!$A:$AS,MATCH($G$1,Database!$A$1:$AS$1,0),FALSE)=0,#N/A,VLOOKUP(A178,Database!$A:$AS,MATCH($G$1,Database!$A$1:$AS$1,0),FALSE))</f>
        <v/>
      </c>
      <c r="H178" s="76">
        <f>(((Table134567891011121314151617343[[#This Row],[ITA]]-VLOOKUP($U$1,A:B,2,))/VLOOKUP($U$1,A:B,2,))*100)+100</f>
        <v/>
      </c>
      <c r="I178" s="76">
        <f>(((Table134567891011121314151617343[[#This Row],[FRA]]-VLOOKUP($U$1,A:C,3,))/VLOOKUP($U$1,A:C,3,))*100)+100</f>
        <v/>
      </c>
      <c r="J178" s="76">
        <f>(((Table134567891011121314151617343[[#This Row],[DEU]]-VLOOKUP($U$1,A:D,4,))/VLOOKUP($U$1,A:D,4,))*100)+100</f>
        <v/>
      </c>
      <c r="K178" s="76">
        <f>(((Table134567891011121314151617343[[#This Row],[ESP]]-VLOOKUP($U$1,A:E,5,))/VLOOKUP($U$1,A:E,5,))*100)+100</f>
        <v/>
      </c>
      <c r="L178" s="76">
        <f>(((Table134567891011121314151617343[[#This Row],[EA19]]-VLOOKUP($U$1,A:F,6,))/VLOOKUP($U$1,A:F,6,))*100)+100</f>
        <v/>
      </c>
      <c r="M178" s="76">
        <f>(((Table134567891011121314151617343[[#This Row],[GBR]]-VLOOKUP($U$1,A:G,7,))/VLOOKUP($U$1,A:G,7,))*100)+100</f>
        <v/>
      </c>
      <c r="N178" s="76">
        <f>IF(VLOOKUP(A178,Database!$A:$AU,MATCH($N$1,Database!$A$1:$AU$1,0),FALSE)=0,#N/A,VLOOKUP(A178,Database!$A:$AU,MATCH($N$1,Database!$A$1:$AU$1,0),FALSE))</f>
        <v/>
      </c>
      <c r="O178" s="76">
        <f>(((Table134567891011121314151617343[[#This Row],[USA]]-VLOOKUP($U$1,A:N,14,))/VLOOKUP($U$1,A:N,14,))*100)+100</f>
        <v/>
      </c>
      <c r="P178" s="76">
        <f>IF(VLOOKUP(A178,Database!$A:$AS,MATCH($P$1,Database!$A$1:$AS$1,0),FALSE)=0,#N/A,VLOOKUP(A178,Database!$A:$AS,MATCH($P$1,Database!$A$1:$AS$1,0),FALSE))</f>
        <v/>
      </c>
      <c r="Q178" s="76">
        <f>(((Table134567891011121314151617343[[#This Row],[JPN]]-VLOOKUP($U$1,A:Q,16,))/VLOOKUP($U$1,A:Q,16,))*100)+100</f>
        <v/>
      </c>
    </row>
    <row r="179" customFormat="1" s="86">
      <c r="A179" s="21" t="n">
        <v>38261</v>
      </c>
      <c r="B179" s="76">
        <f>IF(VLOOKUP(A179,Database!$A:$AS,MATCH($B$1,Database!$A$1:$AS$1,0),FALSE)=0,#N/A,VLOOKUP(A179,Database!$A:$AS,MATCH($B$1,Database!$A$1:$AS$1,0),FALSE))</f>
        <v/>
      </c>
      <c r="C179" s="76">
        <f>IF(VLOOKUP(A179,Database!$A:$AS,MATCH($C$1,Database!$A$1:$AS$1,0),FALSE)=0,#N/A,VLOOKUP(A179,Database!$A:$AS,MATCH($C$1,Database!$A$1:$AS$1,0),FALSE))</f>
        <v/>
      </c>
      <c r="D179" s="76">
        <f>IF(VLOOKUP(A179,Database!$A:$AS,MATCH($D$1,Database!$A$1:$AS$1,0),FALSE)=0,#N/A,VLOOKUP(A179,Database!$A:$AS,MATCH($D$1,Database!$A$1:$AS$1,0),FALSE))</f>
        <v/>
      </c>
      <c r="E179" s="76">
        <f>IF(VLOOKUP(A179,Database!$A:$AS,MATCH($E$1,Database!$A$1:$AS$1,0),FALSE)=0,#N/A,VLOOKUP(A179,Database!$A:$AS,MATCH($E$1,Database!$A$1:$AS$1,0),FALSE))</f>
        <v/>
      </c>
      <c r="F179" s="76">
        <f>IF(VLOOKUP(A179,Database!$A:$AS,MATCH($F$1,Database!$A$1:$AS$1,0),FALSE)=0,#N/A,VLOOKUP(A179,Database!$A:$AS,MATCH($F$1,Database!$A$1:$AS$1,0),FALSE))</f>
        <v/>
      </c>
      <c r="G179" s="76">
        <f>IF(VLOOKUP(A179,Database!$A:$AS,MATCH($G$1,Database!$A$1:$AS$1,0),FALSE)=0,#N/A,VLOOKUP(A179,Database!$A:$AS,MATCH($G$1,Database!$A$1:$AS$1,0),FALSE))</f>
        <v/>
      </c>
      <c r="H179" s="76">
        <f>(((Table134567891011121314151617343[[#This Row],[ITA]]-VLOOKUP($U$1,A:B,2,))/VLOOKUP($U$1,A:B,2,))*100)+100</f>
        <v/>
      </c>
      <c r="I179" s="76">
        <f>(((Table134567891011121314151617343[[#This Row],[FRA]]-VLOOKUP($U$1,A:C,3,))/VLOOKUP($U$1,A:C,3,))*100)+100</f>
        <v/>
      </c>
      <c r="J179" s="76">
        <f>(((Table134567891011121314151617343[[#This Row],[DEU]]-VLOOKUP($U$1,A:D,4,))/VLOOKUP($U$1,A:D,4,))*100)+100</f>
        <v/>
      </c>
      <c r="K179" s="76">
        <f>(((Table134567891011121314151617343[[#This Row],[ESP]]-VLOOKUP($U$1,A:E,5,))/VLOOKUP($U$1,A:E,5,))*100)+100</f>
        <v/>
      </c>
      <c r="L179" s="76">
        <f>(((Table134567891011121314151617343[[#This Row],[EA19]]-VLOOKUP($U$1,A:F,6,))/VLOOKUP($U$1,A:F,6,))*100)+100</f>
        <v/>
      </c>
      <c r="M179" s="76">
        <f>(((Table134567891011121314151617343[[#This Row],[GBR]]-VLOOKUP($U$1,A:G,7,))/VLOOKUP($U$1,A:G,7,))*100)+100</f>
        <v/>
      </c>
      <c r="N179" s="76">
        <f>IF(VLOOKUP(A179,Database!$A:$AU,MATCH($N$1,Database!$A$1:$AU$1,0),FALSE)=0,#N/A,VLOOKUP(A179,Database!$A:$AU,MATCH($N$1,Database!$A$1:$AU$1,0),FALSE))</f>
        <v/>
      </c>
      <c r="O179" s="76">
        <f>(((Table134567891011121314151617343[[#This Row],[USA]]-VLOOKUP($U$1,A:N,14,))/VLOOKUP($U$1,A:N,14,))*100)+100</f>
        <v/>
      </c>
      <c r="P179" s="76">
        <f>IF(VLOOKUP(A179,Database!$A:$AS,MATCH($P$1,Database!$A$1:$AS$1,0),FALSE)=0,#N/A,VLOOKUP(A179,Database!$A:$AS,MATCH($P$1,Database!$A$1:$AS$1,0),FALSE))</f>
        <v/>
      </c>
      <c r="Q179" s="76">
        <f>(((Table134567891011121314151617343[[#This Row],[JPN]]-VLOOKUP($U$1,A:Q,16,))/VLOOKUP($U$1,A:Q,16,))*100)+100</f>
        <v/>
      </c>
    </row>
    <row r="180" customFormat="1" s="86">
      <c r="A180" s="21" t="n">
        <v>38292</v>
      </c>
      <c r="B180" s="76">
        <f>IF(VLOOKUP(A180,Database!$A:$AS,MATCH($B$1,Database!$A$1:$AS$1,0),FALSE)=0,#N/A,VLOOKUP(A180,Database!$A:$AS,MATCH($B$1,Database!$A$1:$AS$1,0),FALSE))</f>
        <v/>
      </c>
      <c r="C180" s="76">
        <f>IF(VLOOKUP(A180,Database!$A:$AS,MATCH($C$1,Database!$A$1:$AS$1,0),FALSE)=0,#N/A,VLOOKUP(A180,Database!$A:$AS,MATCH($C$1,Database!$A$1:$AS$1,0),FALSE))</f>
        <v/>
      </c>
      <c r="D180" s="76">
        <f>IF(VLOOKUP(A180,Database!$A:$AS,MATCH($D$1,Database!$A$1:$AS$1,0),FALSE)=0,#N/A,VLOOKUP(A180,Database!$A:$AS,MATCH($D$1,Database!$A$1:$AS$1,0),FALSE))</f>
        <v/>
      </c>
      <c r="E180" s="76">
        <f>IF(VLOOKUP(A180,Database!$A:$AS,MATCH($E$1,Database!$A$1:$AS$1,0),FALSE)=0,#N/A,VLOOKUP(A180,Database!$A:$AS,MATCH($E$1,Database!$A$1:$AS$1,0),FALSE))</f>
        <v/>
      </c>
      <c r="F180" s="76">
        <f>IF(VLOOKUP(A180,Database!$A:$AS,MATCH($F$1,Database!$A$1:$AS$1,0),FALSE)=0,#N/A,VLOOKUP(A180,Database!$A:$AS,MATCH($F$1,Database!$A$1:$AS$1,0),FALSE))</f>
        <v/>
      </c>
      <c r="G180" s="76">
        <f>IF(VLOOKUP(A180,Database!$A:$AS,MATCH($G$1,Database!$A$1:$AS$1,0),FALSE)=0,#N/A,VLOOKUP(A180,Database!$A:$AS,MATCH($G$1,Database!$A$1:$AS$1,0),FALSE))</f>
        <v/>
      </c>
      <c r="H180" s="76">
        <f>(((Table134567891011121314151617343[[#This Row],[ITA]]-VLOOKUP($U$1,A:B,2,))/VLOOKUP($U$1,A:B,2,))*100)+100</f>
        <v/>
      </c>
      <c r="I180" s="76">
        <f>(((Table134567891011121314151617343[[#This Row],[FRA]]-VLOOKUP($U$1,A:C,3,))/VLOOKUP($U$1,A:C,3,))*100)+100</f>
        <v/>
      </c>
      <c r="J180" s="76">
        <f>(((Table134567891011121314151617343[[#This Row],[DEU]]-VLOOKUP($U$1,A:D,4,))/VLOOKUP($U$1,A:D,4,))*100)+100</f>
        <v/>
      </c>
      <c r="K180" s="76">
        <f>(((Table134567891011121314151617343[[#This Row],[ESP]]-VLOOKUP($U$1,A:E,5,))/VLOOKUP($U$1,A:E,5,))*100)+100</f>
        <v/>
      </c>
      <c r="L180" s="76">
        <f>(((Table134567891011121314151617343[[#This Row],[EA19]]-VLOOKUP($U$1,A:F,6,))/VLOOKUP($U$1,A:F,6,))*100)+100</f>
        <v/>
      </c>
      <c r="M180" s="76">
        <f>(((Table134567891011121314151617343[[#This Row],[GBR]]-VLOOKUP($U$1,A:G,7,))/VLOOKUP($U$1,A:G,7,))*100)+100</f>
        <v/>
      </c>
      <c r="N180" s="76">
        <f>IF(VLOOKUP(A180,Database!$A:$AU,MATCH($N$1,Database!$A$1:$AU$1,0),FALSE)=0,#N/A,VLOOKUP(A180,Database!$A:$AU,MATCH($N$1,Database!$A$1:$AU$1,0),FALSE))</f>
        <v/>
      </c>
      <c r="O180" s="76">
        <f>(((Table134567891011121314151617343[[#This Row],[USA]]-VLOOKUP($U$1,A:N,14,))/VLOOKUP($U$1,A:N,14,))*100)+100</f>
        <v/>
      </c>
      <c r="P180" s="76">
        <f>IF(VLOOKUP(A180,Database!$A:$AS,MATCH($P$1,Database!$A$1:$AS$1,0),FALSE)=0,#N/A,VLOOKUP(A180,Database!$A:$AS,MATCH($P$1,Database!$A$1:$AS$1,0),FALSE))</f>
        <v/>
      </c>
      <c r="Q180" s="76">
        <f>(((Table134567891011121314151617343[[#This Row],[JPN]]-VLOOKUP($U$1,A:Q,16,))/VLOOKUP($U$1,A:Q,16,))*100)+100</f>
        <v/>
      </c>
    </row>
    <row r="181" customFormat="1" s="86">
      <c r="A181" s="21" t="n">
        <v>38322</v>
      </c>
      <c r="B181" s="76">
        <f>IF(VLOOKUP(A181,Database!$A:$AS,MATCH($B$1,Database!$A$1:$AS$1,0),FALSE)=0,#N/A,VLOOKUP(A181,Database!$A:$AS,MATCH($B$1,Database!$A$1:$AS$1,0),FALSE))</f>
        <v/>
      </c>
      <c r="C181" s="76">
        <f>IF(VLOOKUP(A181,Database!$A:$AS,MATCH($C$1,Database!$A$1:$AS$1,0),FALSE)=0,#N/A,VLOOKUP(A181,Database!$A:$AS,MATCH($C$1,Database!$A$1:$AS$1,0),FALSE))</f>
        <v/>
      </c>
      <c r="D181" s="76">
        <f>IF(VLOOKUP(A181,Database!$A:$AS,MATCH($D$1,Database!$A$1:$AS$1,0),FALSE)=0,#N/A,VLOOKUP(A181,Database!$A:$AS,MATCH($D$1,Database!$A$1:$AS$1,0),FALSE))</f>
        <v/>
      </c>
      <c r="E181" s="76">
        <f>IF(VLOOKUP(A181,Database!$A:$AS,MATCH($E$1,Database!$A$1:$AS$1,0),FALSE)=0,#N/A,VLOOKUP(A181,Database!$A:$AS,MATCH($E$1,Database!$A$1:$AS$1,0),FALSE))</f>
        <v/>
      </c>
      <c r="F181" s="76">
        <f>IF(VLOOKUP(A181,Database!$A:$AS,MATCH($F$1,Database!$A$1:$AS$1,0),FALSE)=0,#N/A,VLOOKUP(A181,Database!$A:$AS,MATCH($F$1,Database!$A$1:$AS$1,0),FALSE))</f>
        <v/>
      </c>
      <c r="G181" s="76">
        <f>IF(VLOOKUP(A181,Database!$A:$AS,MATCH($G$1,Database!$A$1:$AS$1,0),FALSE)=0,#N/A,VLOOKUP(A181,Database!$A:$AS,MATCH($G$1,Database!$A$1:$AS$1,0),FALSE))</f>
        <v/>
      </c>
      <c r="H181" s="76">
        <f>(((Table134567891011121314151617343[[#This Row],[ITA]]-VLOOKUP($U$1,A:B,2,))/VLOOKUP($U$1,A:B,2,))*100)+100</f>
        <v/>
      </c>
      <c r="I181" s="76">
        <f>(((Table134567891011121314151617343[[#This Row],[FRA]]-VLOOKUP($U$1,A:C,3,))/VLOOKUP($U$1,A:C,3,))*100)+100</f>
        <v/>
      </c>
      <c r="J181" s="76">
        <f>(((Table134567891011121314151617343[[#This Row],[DEU]]-VLOOKUP($U$1,A:D,4,))/VLOOKUP($U$1,A:D,4,))*100)+100</f>
        <v/>
      </c>
      <c r="K181" s="76">
        <f>(((Table134567891011121314151617343[[#This Row],[ESP]]-VLOOKUP($U$1,A:E,5,))/VLOOKUP($U$1,A:E,5,))*100)+100</f>
        <v/>
      </c>
      <c r="L181" s="76">
        <f>(((Table134567891011121314151617343[[#This Row],[EA19]]-VLOOKUP($U$1,A:F,6,))/VLOOKUP($U$1,A:F,6,))*100)+100</f>
        <v/>
      </c>
      <c r="M181" s="76">
        <f>(((Table134567891011121314151617343[[#This Row],[GBR]]-VLOOKUP($U$1,A:G,7,))/VLOOKUP($U$1,A:G,7,))*100)+100</f>
        <v/>
      </c>
      <c r="N181" s="76">
        <f>IF(VLOOKUP(A181,Database!$A:$AU,MATCH($N$1,Database!$A$1:$AU$1,0),FALSE)=0,#N/A,VLOOKUP(A181,Database!$A:$AU,MATCH($N$1,Database!$A$1:$AU$1,0),FALSE))</f>
        <v/>
      </c>
      <c r="O181" s="76">
        <f>(((Table134567891011121314151617343[[#This Row],[USA]]-VLOOKUP($U$1,A:N,14,))/VLOOKUP($U$1,A:N,14,))*100)+100</f>
        <v/>
      </c>
      <c r="P181" s="76">
        <f>IF(VLOOKUP(A181,Database!$A:$AS,MATCH($P$1,Database!$A$1:$AS$1,0),FALSE)=0,#N/A,VLOOKUP(A181,Database!$A:$AS,MATCH($P$1,Database!$A$1:$AS$1,0),FALSE))</f>
        <v/>
      </c>
      <c r="Q181" s="76">
        <f>(((Table134567891011121314151617343[[#This Row],[JPN]]-VLOOKUP($U$1,A:Q,16,))/VLOOKUP($U$1,A:Q,16,))*100)+100</f>
        <v/>
      </c>
    </row>
    <row r="182" customFormat="1" s="86">
      <c r="A182" s="21" t="n">
        <v>38353</v>
      </c>
      <c r="B182" s="76">
        <f>IF(VLOOKUP(A182,Database!$A:$AS,MATCH($B$1,Database!$A$1:$AS$1,0),FALSE)=0,#N/A,VLOOKUP(A182,Database!$A:$AS,MATCH($B$1,Database!$A$1:$AS$1,0),FALSE))</f>
        <v/>
      </c>
      <c r="C182" s="76">
        <f>IF(VLOOKUP(A182,Database!$A:$AS,MATCH($C$1,Database!$A$1:$AS$1,0),FALSE)=0,#N/A,VLOOKUP(A182,Database!$A:$AS,MATCH($C$1,Database!$A$1:$AS$1,0),FALSE))</f>
        <v/>
      </c>
      <c r="D182" s="76">
        <f>IF(VLOOKUP(A182,Database!$A:$AS,MATCH($D$1,Database!$A$1:$AS$1,0),FALSE)=0,#N/A,VLOOKUP(A182,Database!$A:$AS,MATCH($D$1,Database!$A$1:$AS$1,0),FALSE))</f>
        <v/>
      </c>
      <c r="E182" s="76">
        <f>IF(VLOOKUP(A182,Database!$A:$AS,MATCH($E$1,Database!$A$1:$AS$1,0),FALSE)=0,#N/A,VLOOKUP(A182,Database!$A:$AS,MATCH($E$1,Database!$A$1:$AS$1,0),FALSE))</f>
        <v/>
      </c>
      <c r="F182" s="76">
        <f>IF(VLOOKUP(A182,Database!$A:$AS,MATCH($F$1,Database!$A$1:$AS$1,0),FALSE)=0,#N/A,VLOOKUP(A182,Database!$A:$AS,MATCH($F$1,Database!$A$1:$AS$1,0),FALSE))</f>
        <v/>
      </c>
      <c r="G182" s="76">
        <f>IF(VLOOKUP(A182,Database!$A:$AS,MATCH($G$1,Database!$A$1:$AS$1,0),FALSE)=0,#N/A,VLOOKUP(A182,Database!$A:$AS,MATCH($G$1,Database!$A$1:$AS$1,0),FALSE))</f>
        <v/>
      </c>
      <c r="H182" s="76">
        <f>(((Table134567891011121314151617343[[#This Row],[ITA]]-VLOOKUP($U$1,A:B,2,))/VLOOKUP($U$1,A:B,2,))*100)+100</f>
        <v/>
      </c>
      <c r="I182" s="76">
        <f>(((Table134567891011121314151617343[[#This Row],[FRA]]-VLOOKUP($U$1,A:C,3,))/VLOOKUP($U$1,A:C,3,))*100)+100</f>
        <v/>
      </c>
      <c r="J182" s="76">
        <f>(((Table134567891011121314151617343[[#This Row],[DEU]]-VLOOKUP($U$1,A:D,4,))/VLOOKUP($U$1,A:D,4,))*100)+100</f>
        <v/>
      </c>
      <c r="K182" s="76">
        <f>(((Table134567891011121314151617343[[#This Row],[ESP]]-VLOOKUP($U$1,A:E,5,))/VLOOKUP($U$1,A:E,5,))*100)+100</f>
        <v/>
      </c>
      <c r="L182" s="76">
        <f>(((Table134567891011121314151617343[[#This Row],[EA19]]-VLOOKUP($U$1,A:F,6,))/VLOOKUP($U$1,A:F,6,))*100)+100</f>
        <v/>
      </c>
      <c r="M182" s="76">
        <f>(((Table134567891011121314151617343[[#This Row],[GBR]]-VLOOKUP($U$1,A:G,7,))/VLOOKUP($U$1,A:G,7,))*100)+100</f>
        <v/>
      </c>
      <c r="N182" s="76">
        <f>IF(VLOOKUP(A182,Database!$A:$AU,MATCH($N$1,Database!$A$1:$AU$1,0),FALSE)=0,#N/A,VLOOKUP(A182,Database!$A:$AU,MATCH($N$1,Database!$A$1:$AU$1,0),FALSE))</f>
        <v/>
      </c>
      <c r="O182" s="76">
        <f>(((Table134567891011121314151617343[[#This Row],[USA]]-VLOOKUP($U$1,A:N,14,))/VLOOKUP($U$1,A:N,14,))*100)+100</f>
        <v/>
      </c>
      <c r="P182" s="76">
        <f>IF(VLOOKUP(A182,Database!$A:$AS,MATCH($P$1,Database!$A$1:$AS$1,0),FALSE)=0,#N/A,VLOOKUP(A182,Database!$A:$AS,MATCH($P$1,Database!$A$1:$AS$1,0),FALSE))</f>
        <v/>
      </c>
      <c r="Q182" s="76">
        <f>(((Table134567891011121314151617343[[#This Row],[JPN]]-VLOOKUP($U$1,A:Q,16,))/VLOOKUP($U$1,A:Q,16,))*100)+100</f>
        <v/>
      </c>
    </row>
    <row r="183" customFormat="1" s="86">
      <c r="A183" s="21" t="n">
        <v>38384</v>
      </c>
      <c r="B183" s="76">
        <f>IF(VLOOKUP(A183,Database!$A:$AS,MATCH($B$1,Database!$A$1:$AS$1,0),FALSE)=0,#N/A,VLOOKUP(A183,Database!$A:$AS,MATCH($B$1,Database!$A$1:$AS$1,0),FALSE))</f>
        <v/>
      </c>
      <c r="C183" s="76">
        <f>IF(VLOOKUP(A183,Database!$A:$AS,MATCH($C$1,Database!$A$1:$AS$1,0),FALSE)=0,#N/A,VLOOKUP(A183,Database!$A:$AS,MATCH($C$1,Database!$A$1:$AS$1,0),FALSE))</f>
        <v/>
      </c>
      <c r="D183" s="76">
        <f>IF(VLOOKUP(A183,Database!$A:$AS,MATCH($D$1,Database!$A$1:$AS$1,0),FALSE)=0,#N/A,VLOOKUP(A183,Database!$A:$AS,MATCH($D$1,Database!$A$1:$AS$1,0),FALSE))</f>
        <v/>
      </c>
      <c r="E183" s="76">
        <f>IF(VLOOKUP(A183,Database!$A:$AS,MATCH($E$1,Database!$A$1:$AS$1,0),FALSE)=0,#N/A,VLOOKUP(A183,Database!$A:$AS,MATCH($E$1,Database!$A$1:$AS$1,0),FALSE))</f>
        <v/>
      </c>
      <c r="F183" s="76">
        <f>IF(VLOOKUP(A183,Database!$A:$AS,MATCH($F$1,Database!$A$1:$AS$1,0),FALSE)=0,#N/A,VLOOKUP(A183,Database!$A:$AS,MATCH($F$1,Database!$A$1:$AS$1,0),FALSE))</f>
        <v/>
      </c>
      <c r="G183" s="76">
        <f>IF(VLOOKUP(A183,Database!$A:$AS,MATCH($G$1,Database!$A$1:$AS$1,0),FALSE)=0,#N/A,VLOOKUP(A183,Database!$A:$AS,MATCH($G$1,Database!$A$1:$AS$1,0),FALSE))</f>
        <v/>
      </c>
      <c r="H183" s="76">
        <f>(((Table134567891011121314151617343[[#This Row],[ITA]]-VLOOKUP($U$1,A:B,2,))/VLOOKUP($U$1,A:B,2,))*100)+100</f>
        <v/>
      </c>
      <c r="I183" s="76">
        <f>(((Table134567891011121314151617343[[#This Row],[FRA]]-VLOOKUP($U$1,A:C,3,))/VLOOKUP($U$1,A:C,3,))*100)+100</f>
        <v/>
      </c>
      <c r="J183" s="76">
        <f>(((Table134567891011121314151617343[[#This Row],[DEU]]-VLOOKUP($U$1,A:D,4,))/VLOOKUP($U$1,A:D,4,))*100)+100</f>
        <v/>
      </c>
      <c r="K183" s="76">
        <f>(((Table134567891011121314151617343[[#This Row],[ESP]]-VLOOKUP($U$1,A:E,5,))/VLOOKUP($U$1,A:E,5,))*100)+100</f>
        <v/>
      </c>
      <c r="L183" s="76">
        <f>(((Table134567891011121314151617343[[#This Row],[EA19]]-VLOOKUP($U$1,A:F,6,))/VLOOKUP($U$1,A:F,6,))*100)+100</f>
        <v/>
      </c>
      <c r="M183" s="76">
        <f>(((Table134567891011121314151617343[[#This Row],[GBR]]-VLOOKUP($U$1,A:G,7,))/VLOOKUP($U$1,A:G,7,))*100)+100</f>
        <v/>
      </c>
      <c r="N183" s="76">
        <f>IF(VLOOKUP(A183,Database!$A:$AU,MATCH($N$1,Database!$A$1:$AU$1,0),FALSE)=0,#N/A,VLOOKUP(A183,Database!$A:$AU,MATCH($N$1,Database!$A$1:$AU$1,0),FALSE))</f>
        <v/>
      </c>
      <c r="O183" s="76">
        <f>(((Table134567891011121314151617343[[#This Row],[USA]]-VLOOKUP($U$1,A:N,14,))/VLOOKUP($U$1,A:N,14,))*100)+100</f>
        <v/>
      </c>
      <c r="P183" s="76">
        <f>IF(VLOOKUP(A183,Database!$A:$AS,MATCH($P$1,Database!$A$1:$AS$1,0),FALSE)=0,#N/A,VLOOKUP(A183,Database!$A:$AS,MATCH($P$1,Database!$A$1:$AS$1,0),FALSE))</f>
        <v/>
      </c>
      <c r="Q183" s="76">
        <f>(((Table134567891011121314151617343[[#This Row],[JPN]]-VLOOKUP($U$1,A:Q,16,))/VLOOKUP($U$1,A:Q,16,))*100)+100</f>
        <v/>
      </c>
    </row>
    <row r="184" customFormat="1" s="86">
      <c r="A184" s="21" t="n">
        <v>38412</v>
      </c>
      <c r="B184" s="76">
        <f>IF(VLOOKUP(A184,Database!$A:$AS,MATCH($B$1,Database!$A$1:$AS$1,0),FALSE)=0,#N/A,VLOOKUP(A184,Database!$A:$AS,MATCH($B$1,Database!$A$1:$AS$1,0),FALSE))</f>
        <v/>
      </c>
      <c r="C184" s="76">
        <f>IF(VLOOKUP(A184,Database!$A:$AS,MATCH($C$1,Database!$A$1:$AS$1,0),FALSE)=0,#N/A,VLOOKUP(A184,Database!$A:$AS,MATCH($C$1,Database!$A$1:$AS$1,0),FALSE))</f>
        <v/>
      </c>
      <c r="D184" s="76">
        <f>IF(VLOOKUP(A184,Database!$A:$AS,MATCH($D$1,Database!$A$1:$AS$1,0),FALSE)=0,#N/A,VLOOKUP(A184,Database!$A:$AS,MATCH($D$1,Database!$A$1:$AS$1,0),FALSE))</f>
        <v/>
      </c>
      <c r="E184" s="76">
        <f>IF(VLOOKUP(A184,Database!$A:$AS,MATCH($E$1,Database!$A$1:$AS$1,0),FALSE)=0,#N/A,VLOOKUP(A184,Database!$A:$AS,MATCH($E$1,Database!$A$1:$AS$1,0),FALSE))</f>
        <v/>
      </c>
      <c r="F184" s="76">
        <f>IF(VLOOKUP(A184,Database!$A:$AS,MATCH($F$1,Database!$A$1:$AS$1,0),FALSE)=0,#N/A,VLOOKUP(A184,Database!$A:$AS,MATCH($F$1,Database!$A$1:$AS$1,0),FALSE))</f>
        <v/>
      </c>
      <c r="G184" s="76">
        <f>IF(VLOOKUP(A184,Database!$A:$AS,MATCH($G$1,Database!$A$1:$AS$1,0),FALSE)=0,#N/A,VLOOKUP(A184,Database!$A:$AS,MATCH($G$1,Database!$A$1:$AS$1,0),FALSE))</f>
        <v/>
      </c>
      <c r="H184" s="76">
        <f>(((Table134567891011121314151617343[[#This Row],[ITA]]-VLOOKUP($U$1,A:B,2,))/VLOOKUP($U$1,A:B,2,))*100)+100</f>
        <v/>
      </c>
      <c r="I184" s="76">
        <f>(((Table134567891011121314151617343[[#This Row],[FRA]]-VLOOKUP($U$1,A:C,3,))/VLOOKUP($U$1,A:C,3,))*100)+100</f>
        <v/>
      </c>
      <c r="J184" s="76">
        <f>(((Table134567891011121314151617343[[#This Row],[DEU]]-VLOOKUP($U$1,A:D,4,))/VLOOKUP($U$1,A:D,4,))*100)+100</f>
        <v/>
      </c>
      <c r="K184" s="76">
        <f>(((Table134567891011121314151617343[[#This Row],[ESP]]-VLOOKUP($U$1,A:E,5,))/VLOOKUP($U$1,A:E,5,))*100)+100</f>
        <v/>
      </c>
      <c r="L184" s="76">
        <f>(((Table134567891011121314151617343[[#This Row],[EA19]]-VLOOKUP($U$1,A:F,6,))/VLOOKUP($U$1,A:F,6,))*100)+100</f>
        <v/>
      </c>
      <c r="M184" s="76">
        <f>(((Table134567891011121314151617343[[#This Row],[GBR]]-VLOOKUP($U$1,A:G,7,))/VLOOKUP($U$1,A:G,7,))*100)+100</f>
        <v/>
      </c>
      <c r="N184" s="76">
        <f>IF(VLOOKUP(A184,Database!$A:$AU,MATCH($N$1,Database!$A$1:$AU$1,0),FALSE)=0,#N/A,VLOOKUP(A184,Database!$A:$AU,MATCH($N$1,Database!$A$1:$AU$1,0),FALSE))</f>
        <v/>
      </c>
      <c r="O184" s="76">
        <f>(((Table134567891011121314151617343[[#This Row],[USA]]-VLOOKUP($U$1,A:N,14,))/VLOOKUP($U$1,A:N,14,))*100)+100</f>
        <v/>
      </c>
      <c r="P184" s="76">
        <f>IF(VLOOKUP(A184,Database!$A:$AS,MATCH($P$1,Database!$A$1:$AS$1,0),FALSE)=0,#N/A,VLOOKUP(A184,Database!$A:$AS,MATCH($P$1,Database!$A$1:$AS$1,0),FALSE))</f>
        <v/>
      </c>
      <c r="Q184" s="76">
        <f>(((Table134567891011121314151617343[[#This Row],[JPN]]-VLOOKUP($U$1,A:Q,16,))/VLOOKUP($U$1,A:Q,16,))*100)+100</f>
        <v/>
      </c>
    </row>
    <row r="185" customFormat="1" s="86">
      <c r="A185" s="21" t="n">
        <v>38443</v>
      </c>
      <c r="B185" s="76">
        <f>IF(VLOOKUP(A185,Database!$A:$AS,MATCH($B$1,Database!$A$1:$AS$1,0),FALSE)=0,#N/A,VLOOKUP(A185,Database!$A:$AS,MATCH($B$1,Database!$A$1:$AS$1,0),FALSE))</f>
        <v/>
      </c>
      <c r="C185" s="76">
        <f>IF(VLOOKUP(A185,Database!$A:$AS,MATCH($C$1,Database!$A$1:$AS$1,0),FALSE)=0,#N/A,VLOOKUP(A185,Database!$A:$AS,MATCH($C$1,Database!$A$1:$AS$1,0),FALSE))</f>
        <v/>
      </c>
      <c r="D185" s="76">
        <f>IF(VLOOKUP(A185,Database!$A:$AS,MATCH($D$1,Database!$A$1:$AS$1,0),FALSE)=0,#N/A,VLOOKUP(A185,Database!$A:$AS,MATCH($D$1,Database!$A$1:$AS$1,0),FALSE))</f>
        <v/>
      </c>
      <c r="E185" s="76">
        <f>IF(VLOOKUP(A185,Database!$A:$AS,MATCH($E$1,Database!$A$1:$AS$1,0),FALSE)=0,#N/A,VLOOKUP(A185,Database!$A:$AS,MATCH($E$1,Database!$A$1:$AS$1,0),FALSE))</f>
        <v/>
      </c>
      <c r="F185" s="76">
        <f>IF(VLOOKUP(A185,Database!$A:$AS,MATCH($F$1,Database!$A$1:$AS$1,0),FALSE)=0,#N/A,VLOOKUP(A185,Database!$A:$AS,MATCH($F$1,Database!$A$1:$AS$1,0),FALSE))</f>
        <v/>
      </c>
      <c r="G185" s="76">
        <f>IF(VLOOKUP(A185,Database!$A:$AS,MATCH($G$1,Database!$A$1:$AS$1,0),FALSE)=0,#N/A,VLOOKUP(A185,Database!$A:$AS,MATCH($G$1,Database!$A$1:$AS$1,0),FALSE))</f>
        <v/>
      </c>
      <c r="H185" s="76">
        <f>(((Table134567891011121314151617343[[#This Row],[ITA]]-VLOOKUP($U$1,A:B,2,))/VLOOKUP($U$1,A:B,2,))*100)+100</f>
        <v/>
      </c>
      <c r="I185" s="76">
        <f>(((Table134567891011121314151617343[[#This Row],[FRA]]-VLOOKUP($U$1,A:C,3,))/VLOOKUP($U$1,A:C,3,))*100)+100</f>
        <v/>
      </c>
      <c r="J185" s="76">
        <f>(((Table134567891011121314151617343[[#This Row],[DEU]]-VLOOKUP($U$1,A:D,4,))/VLOOKUP($U$1,A:D,4,))*100)+100</f>
        <v/>
      </c>
      <c r="K185" s="76">
        <f>(((Table134567891011121314151617343[[#This Row],[ESP]]-VLOOKUP($U$1,A:E,5,))/VLOOKUP($U$1,A:E,5,))*100)+100</f>
        <v/>
      </c>
      <c r="L185" s="76">
        <f>(((Table134567891011121314151617343[[#This Row],[EA19]]-VLOOKUP($U$1,A:F,6,))/VLOOKUP($U$1,A:F,6,))*100)+100</f>
        <v/>
      </c>
      <c r="M185" s="76">
        <f>(((Table134567891011121314151617343[[#This Row],[GBR]]-VLOOKUP($U$1,A:G,7,))/VLOOKUP($U$1,A:G,7,))*100)+100</f>
        <v/>
      </c>
      <c r="N185" s="76">
        <f>IF(VLOOKUP(A185,Database!$A:$AU,MATCH($N$1,Database!$A$1:$AU$1,0),FALSE)=0,#N/A,VLOOKUP(A185,Database!$A:$AU,MATCH($N$1,Database!$A$1:$AU$1,0),FALSE))</f>
        <v/>
      </c>
      <c r="O185" s="76">
        <f>(((Table134567891011121314151617343[[#This Row],[USA]]-VLOOKUP($U$1,A:N,14,))/VLOOKUP($U$1,A:N,14,))*100)+100</f>
        <v/>
      </c>
      <c r="P185" s="76">
        <f>IF(VLOOKUP(A185,Database!$A:$AS,MATCH($P$1,Database!$A$1:$AS$1,0),FALSE)=0,#N/A,VLOOKUP(A185,Database!$A:$AS,MATCH($P$1,Database!$A$1:$AS$1,0),FALSE))</f>
        <v/>
      </c>
      <c r="Q185" s="76">
        <f>(((Table134567891011121314151617343[[#This Row],[JPN]]-VLOOKUP($U$1,A:Q,16,))/VLOOKUP($U$1,A:Q,16,))*100)+100</f>
        <v/>
      </c>
    </row>
    <row r="186" customFormat="1" s="86">
      <c r="A186" s="21" t="n">
        <v>38473</v>
      </c>
      <c r="B186" s="76">
        <f>IF(VLOOKUP(A186,Database!$A:$AS,MATCH($B$1,Database!$A$1:$AS$1,0),FALSE)=0,#N/A,VLOOKUP(A186,Database!$A:$AS,MATCH($B$1,Database!$A$1:$AS$1,0),FALSE))</f>
        <v/>
      </c>
      <c r="C186" s="76">
        <f>IF(VLOOKUP(A186,Database!$A:$AS,MATCH($C$1,Database!$A$1:$AS$1,0),FALSE)=0,#N/A,VLOOKUP(A186,Database!$A:$AS,MATCH($C$1,Database!$A$1:$AS$1,0),FALSE))</f>
        <v/>
      </c>
      <c r="D186" s="76">
        <f>IF(VLOOKUP(A186,Database!$A:$AS,MATCH($D$1,Database!$A$1:$AS$1,0),FALSE)=0,#N/A,VLOOKUP(A186,Database!$A:$AS,MATCH($D$1,Database!$A$1:$AS$1,0),FALSE))</f>
        <v/>
      </c>
      <c r="E186" s="76">
        <f>IF(VLOOKUP(A186,Database!$A:$AS,MATCH($E$1,Database!$A$1:$AS$1,0),FALSE)=0,#N/A,VLOOKUP(A186,Database!$A:$AS,MATCH($E$1,Database!$A$1:$AS$1,0),FALSE))</f>
        <v/>
      </c>
      <c r="F186" s="76">
        <f>IF(VLOOKUP(A186,Database!$A:$AS,MATCH($F$1,Database!$A$1:$AS$1,0),FALSE)=0,#N/A,VLOOKUP(A186,Database!$A:$AS,MATCH($F$1,Database!$A$1:$AS$1,0),FALSE))</f>
        <v/>
      </c>
      <c r="G186" s="76">
        <f>IF(VLOOKUP(A186,Database!$A:$AS,MATCH($G$1,Database!$A$1:$AS$1,0),FALSE)=0,#N/A,VLOOKUP(A186,Database!$A:$AS,MATCH($G$1,Database!$A$1:$AS$1,0),FALSE))</f>
        <v/>
      </c>
      <c r="H186" s="76">
        <f>(((Table134567891011121314151617343[[#This Row],[ITA]]-VLOOKUP($U$1,A:B,2,))/VLOOKUP($U$1,A:B,2,))*100)+100</f>
        <v/>
      </c>
      <c r="I186" s="76">
        <f>(((Table134567891011121314151617343[[#This Row],[FRA]]-VLOOKUP($U$1,A:C,3,))/VLOOKUP($U$1,A:C,3,))*100)+100</f>
        <v/>
      </c>
      <c r="J186" s="76">
        <f>(((Table134567891011121314151617343[[#This Row],[DEU]]-VLOOKUP($U$1,A:D,4,))/VLOOKUP($U$1,A:D,4,))*100)+100</f>
        <v/>
      </c>
      <c r="K186" s="76">
        <f>(((Table134567891011121314151617343[[#This Row],[ESP]]-VLOOKUP($U$1,A:E,5,))/VLOOKUP($U$1,A:E,5,))*100)+100</f>
        <v/>
      </c>
      <c r="L186" s="76">
        <f>(((Table134567891011121314151617343[[#This Row],[EA19]]-VLOOKUP($U$1,A:F,6,))/VLOOKUP($U$1,A:F,6,))*100)+100</f>
        <v/>
      </c>
      <c r="M186" s="76">
        <f>(((Table134567891011121314151617343[[#This Row],[GBR]]-VLOOKUP($U$1,A:G,7,))/VLOOKUP($U$1,A:G,7,))*100)+100</f>
        <v/>
      </c>
      <c r="N186" s="76">
        <f>IF(VLOOKUP(A186,Database!$A:$AU,MATCH($N$1,Database!$A$1:$AU$1,0),FALSE)=0,#N/A,VLOOKUP(A186,Database!$A:$AU,MATCH($N$1,Database!$A$1:$AU$1,0),FALSE))</f>
        <v/>
      </c>
      <c r="O186" s="76">
        <f>(((Table134567891011121314151617343[[#This Row],[USA]]-VLOOKUP($U$1,A:N,14,))/VLOOKUP($U$1,A:N,14,))*100)+100</f>
        <v/>
      </c>
      <c r="P186" s="76">
        <f>IF(VLOOKUP(A186,Database!$A:$AS,MATCH($P$1,Database!$A$1:$AS$1,0),FALSE)=0,#N/A,VLOOKUP(A186,Database!$A:$AS,MATCH($P$1,Database!$A$1:$AS$1,0),FALSE))</f>
        <v/>
      </c>
      <c r="Q186" s="76">
        <f>(((Table134567891011121314151617343[[#This Row],[JPN]]-VLOOKUP($U$1,A:Q,16,))/VLOOKUP($U$1,A:Q,16,))*100)+100</f>
        <v/>
      </c>
    </row>
    <row r="187" customFormat="1" s="86">
      <c r="A187" s="21" t="n">
        <v>38504</v>
      </c>
      <c r="B187" s="76">
        <f>IF(VLOOKUP(A187,Database!$A:$AS,MATCH($B$1,Database!$A$1:$AS$1,0),FALSE)=0,#N/A,VLOOKUP(A187,Database!$A:$AS,MATCH($B$1,Database!$A$1:$AS$1,0),FALSE))</f>
        <v/>
      </c>
      <c r="C187" s="76">
        <f>IF(VLOOKUP(A187,Database!$A:$AS,MATCH($C$1,Database!$A$1:$AS$1,0),FALSE)=0,#N/A,VLOOKUP(A187,Database!$A:$AS,MATCH($C$1,Database!$A$1:$AS$1,0),FALSE))</f>
        <v/>
      </c>
      <c r="D187" s="76">
        <f>IF(VLOOKUP(A187,Database!$A:$AS,MATCH($D$1,Database!$A$1:$AS$1,0),FALSE)=0,#N/A,VLOOKUP(A187,Database!$A:$AS,MATCH($D$1,Database!$A$1:$AS$1,0),FALSE))</f>
        <v/>
      </c>
      <c r="E187" s="76">
        <f>IF(VLOOKUP(A187,Database!$A:$AS,MATCH($E$1,Database!$A$1:$AS$1,0),FALSE)=0,#N/A,VLOOKUP(A187,Database!$A:$AS,MATCH($E$1,Database!$A$1:$AS$1,0),FALSE))</f>
        <v/>
      </c>
      <c r="F187" s="76">
        <f>IF(VLOOKUP(A187,Database!$A:$AS,MATCH($F$1,Database!$A$1:$AS$1,0),FALSE)=0,#N/A,VLOOKUP(A187,Database!$A:$AS,MATCH($F$1,Database!$A$1:$AS$1,0),FALSE))</f>
        <v/>
      </c>
      <c r="G187" s="76">
        <f>IF(VLOOKUP(A187,Database!$A:$AS,MATCH($G$1,Database!$A$1:$AS$1,0),FALSE)=0,#N/A,VLOOKUP(A187,Database!$A:$AS,MATCH($G$1,Database!$A$1:$AS$1,0),FALSE))</f>
        <v/>
      </c>
      <c r="H187" s="76">
        <f>(((Table134567891011121314151617343[[#This Row],[ITA]]-VLOOKUP($U$1,A:B,2,))/VLOOKUP($U$1,A:B,2,))*100)+100</f>
        <v/>
      </c>
      <c r="I187" s="76">
        <f>(((Table134567891011121314151617343[[#This Row],[FRA]]-VLOOKUP($U$1,A:C,3,))/VLOOKUP($U$1,A:C,3,))*100)+100</f>
        <v/>
      </c>
      <c r="J187" s="76">
        <f>(((Table134567891011121314151617343[[#This Row],[DEU]]-VLOOKUP($U$1,A:D,4,))/VLOOKUP($U$1,A:D,4,))*100)+100</f>
        <v/>
      </c>
      <c r="K187" s="76">
        <f>(((Table134567891011121314151617343[[#This Row],[ESP]]-VLOOKUP($U$1,A:E,5,))/VLOOKUP($U$1,A:E,5,))*100)+100</f>
        <v/>
      </c>
      <c r="L187" s="76">
        <f>(((Table134567891011121314151617343[[#This Row],[EA19]]-VLOOKUP($U$1,A:F,6,))/VLOOKUP($U$1,A:F,6,))*100)+100</f>
        <v/>
      </c>
      <c r="M187" s="76">
        <f>(((Table134567891011121314151617343[[#This Row],[GBR]]-VLOOKUP($U$1,A:G,7,))/VLOOKUP($U$1,A:G,7,))*100)+100</f>
        <v/>
      </c>
      <c r="N187" s="76">
        <f>IF(VLOOKUP(A187,Database!$A:$AU,MATCH($N$1,Database!$A$1:$AU$1,0),FALSE)=0,#N/A,VLOOKUP(A187,Database!$A:$AU,MATCH($N$1,Database!$A$1:$AU$1,0),FALSE))</f>
        <v/>
      </c>
      <c r="O187" s="76">
        <f>(((Table134567891011121314151617343[[#This Row],[USA]]-VLOOKUP($U$1,A:N,14,))/VLOOKUP($U$1,A:N,14,))*100)+100</f>
        <v/>
      </c>
      <c r="P187" s="76">
        <f>IF(VLOOKUP(A187,Database!$A:$AS,MATCH($P$1,Database!$A$1:$AS$1,0),FALSE)=0,#N/A,VLOOKUP(A187,Database!$A:$AS,MATCH($P$1,Database!$A$1:$AS$1,0),FALSE))</f>
        <v/>
      </c>
      <c r="Q187" s="76">
        <f>(((Table134567891011121314151617343[[#This Row],[JPN]]-VLOOKUP($U$1,A:Q,16,))/VLOOKUP($U$1,A:Q,16,))*100)+100</f>
        <v/>
      </c>
    </row>
    <row r="188" customFormat="1" s="86">
      <c r="A188" s="21" t="n">
        <v>38534</v>
      </c>
      <c r="B188" s="76">
        <f>IF(VLOOKUP(A188,Database!$A:$AS,MATCH($B$1,Database!$A$1:$AS$1,0),FALSE)=0,#N/A,VLOOKUP(A188,Database!$A:$AS,MATCH($B$1,Database!$A$1:$AS$1,0),FALSE))</f>
        <v/>
      </c>
      <c r="C188" s="76">
        <f>IF(VLOOKUP(A188,Database!$A:$AS,MATCH($C$1,Database!$A$1:$AS$1,0),FALSE)=0,#N/A,VLOOKUP(A188,Database!$A:$AS,MATCH($C$1,Database!$A$1:$AS$1,0),FALSE))</f>
        <v/>
      </c>
      <c r="D188" s="76">
        <f>IF(VLOOKUP(A188,Database!$A:$AS,MATCH($D$1,Database!$A$1:$AS$1,0),FALSE)=0,#N/A,VLOOKUP(A188,Database!$A:$AS,MATCH($D$1,Database!$A$1:$AS$1,0),FALSE))</f>
        <v/>
      </c>
      <c r="E188" s="76">
        <f>IF(VLOOKUP(A188,Database!$A:$AS,MATCH($E$1,Database!$A$1:$AS$1,0),FALSE)=0,#N/A,VLOOKUP(A188,Database!$A:$AS,MATCH($E$1,Database!$A$1:$AS$1,0),FALSE))</f>
        <v/>
      </c>
      <c r="F188" s="76">
        <f>IF(VLOOKUP(A188,Database!$A:$AS,MATCH($F$1,Database!$A$1:$AS$1,0),FALSE)=0,#N/A,VLOOKUP(A188,Database!$A:$AS,MATCH($F$1,Database!$A$1:$AS$1,0),FALSE))</f>
        <v/>
      </c>
      <c r="G188" s="76">
        <f>IF(VLOOKUP(A188,Database!$A:$AS,MATCH($G$1,Database!$A$1:$AS$1,0),FALSE)=0,#N/A,VLOOKUP(A188,Database!$A:$AS,MATCH($G$1,Database!$A$1:$AS$1,0),FALSE))</f>
        <v/>
      </c>
      <c r="H188" s="76">
        <f>(((Table134567891011121314151617343[[#This Row],[ITA]]-VLOOKUP($U$1,A:B,2,))/VLOOKUP($U$1,A:B,2,))*100)+100</f>
        <v/>
      </c>
      <c r="I188" s="76">
        <f>(((Table134567891011121314151617343[[#This Row],[FRA]]-VLOOKUP($U$1,A:C,3,))/VLOOKUP($U$1,A:C,3,))*100)+100</f>
        <v/>
      </c>
      <c r="J188" s="76">
        <f>(((Table134567891011121314151617343[[#This Row],[DEU]]-VLOOKUP($U$1,A:D,4,))/VLOOKUP($U$1,A:D,4,))*100)+100</f>
        <v/>
      </c>
      <c r="K188" s="76">
        <f>(((Table134567891011121314151617343[[#This Row],[ESP]]-VLOOKUP($U$1,A:E,5,))/VLOOKUP($U$1,A:E,5,))*100)+100</f>
        <v/>
      </c>
      <c r="L188" s="76">
        <f>(((Table134567891011121314151617343[[#This Row],[EA19]]-VLOOKUP($U$1,A:F,6,))/VLOOKUP($U$1,A:F,6,))*100)+100</f>
        <v/>
      </c>
      <c r="M188" s="76">
        <f>(((Table134567891011121314151617343[[#This Row],[GBR]]-VLOOKUP($U$1,A:G,7,))/VLOOKUP($U$1,A:G,7,))*100)+100</f>
        <v/>
      </c>
      <c r="N188" s="76">
        <f>IF(VLOOKUP(A188,Database!$A:$AU,MATCH($N$1,Database!$A$1:$AU$1,0),FALSE)=0,#N/A,VLOOKUP(A188,Database!$A:$AU,MATCH($N$1,Database!$A$1:$AU$1,0),FALSE))</f>
        <v/>
      </c>
      <c r="O188" s="76">
        <f>(((Table134567891011121314151617343[[#This Row],[USA]]-VLOOKUP($U$1,A:N,14,))/VLOOKUP($U$1,A:N,14,))*100)+100</f>
        <v/>
      </c>
      <c r="P188" s="76">
        <f>IF(VLOOKUP(A188,Database!$A:$AS,MATCH($P$1,Database!$A$1:$AS$1,0),FALSE)=0,#N/A,VLOOKUP(A188,Database!$A:$AS,MATCH($P$1,Database!$A$1:$AS$1,0),FALSE))</f>
        <v/>
      </c>
      <c r="Q188" s="76">
        <f>(((Table134567891011121314151617343[[#This Row],[JPN]]-VLOOKUP($U$1,A:Q,16,))/VLOOKUP($U$1,A:Q,16,))*100)+100</f>
        <v/>
      </c>
    </row>
    <row r="189" customFormat="1" s="86">
      <c r="A189" s="21" t="n">
        <v>38565</v>
      </c>
      <c r="B189" s="76">
        <f>IF(VLOOKUP(A189,Database!$A:$AS,MATCH($B$1,Database!$A$1:$AS$1,0),FALSE)=0,#N/A,VLOOKUP(A189,Database!$A:$AS,MATCH($B$1,Database!$A$1:$AS$1,0),FALSE))</f>
        <v/>
      </c>
      <c r="C189" s="76">
        <f>IF(VLOOKUP(A189,Database!$A:$AS,MATCH($C$1,Database!$A$1:$AS$1,0),FALSE)=0,#N/A,VLOOKUP(A189,Database!$A:$AS,MATCH($C$1,Database!$A$1:$AS$1,0),FALSE))</f>
        <v/>
      </c>
      <c r="D189" s="76">
        <f>IF(VLOOKUP(A189,Database!$A:$AS,MATCH($D$1,Database!$A$1:$AS$1,0),FALSE)=0,#N/A,VLOOKUP(A189,Database!$A:$AS,MATCH($D$1,Database!$A$1:$AS$1,0),FALSE))</f>
        <v/>
      </c>
      <c r="E189" s="76">
        <f>IF(VLOOKUP(A189,Database!$A:$AS,MATCH($E$1,Database!$A$1:$AS$1,0),FALSE)=0,#N/A,VLOOKUP(A189,Database!$A:$AS,MATCH($E$1,Database!$A$1:$AS$1,0),FALSE))</f>
        <v/>
      </c>
      <c r="F189" s="76">
        <f>IF(VLOOKUP(A189,Database!$A:$AS,MATCH($F$1,Database!$A$1:$AS$1,0),FALSE)=0,#N/A,VLOOKUP(A189,Database!$A:$AS,MATCH($F$1,Database!$A$1:$AS$1,0),FALSE))</f>
        <v/>
      </c>
      <c r="G189" s="76">
        <f>IF(VLOOKUP(A189,Database!$A:$AS,MATCH($G$1,Database!$A$1:$AS$1,0),FALSE)=0,#N/A,VLOOKUP(A189,Database!$A:$AS,MATCH($G$1,Database!$A$1:$AS$1,0),FALSE))</f>
        <v/>
      </c>
      <c r="H189" s="76">
        <f>(((Table134567891011121314151617343[[#This Row],[ITA]]-VLOOKUP($U$1,A:B,2,))/VLOOKUP($U$1,A:B,2,))*100)+100</f>
        <v/>
      </c>
      <c r="I189" s="76">
        <f>(((Table134567891011121314151617343[[#This Row],[FRA]]-VLOOKUP($U$1,A:C,3,))/VLOOKUP($U$1,A:C,3,))*100)+100</f>
        <v/>
      </c>
      <c r="J189" s="76">
        <f>(((Table134567891011121314151617343[[#This Row],[DEU]]-VLOOKUP($U$1,A:D,4,))/VLOOKUP($U$1,A:D,4,))*100)+100</f>
        <v/>
      </c>
      <c r="K189" s="76">
        <f>(((Table134567891011121314151617343[[#This Row],[ESP]]-VLOOKUP($U$1,A:E,5,))/VLOOKUP($U$1,A:E,5,))*100)+100</f>
        <v/>
      </c>
      <c r="L189" s="76">
        <f>(((Table134567891011121314151617343[[#This Row],[EA19]]-VLOOKUP($U$1,A:F,6,))/VLOOKUP($U$1,A:F,6,))*100)+100</f>
        <v/>
      </c>
      <c r="M189" s="76">
        <f>(((Table134567891011121314151617343[[#This Row],[GBR]]-VLOOKUP($U$1,A:G,7,))/VLOOKUP($U$1,A:G,7,))*100)+100</f>
        <v/>
      </c>
      <c r="N189" s="76">
        <f>IF(VLOOKUP(A189,Database!$A:$AU,MATCH($N$1,Database!$A$1:$AU$1,0),FALSE)=0,#N/A,VLOOKUP(A189,Database!$A:$AU,MATCH($N$1,Database!$A$1:$AU$1,0),FALSE))</f>
        <v/>
      </c>
      <c r="O189" s="76">
        <f>(((Table134567891011121314151617343[[#This Row],[USA]]-VLOOKUP($U$1,A:N,14,))/VLOOKUP($U$1,A:N,14,))*100)+100</f>
        <v/>
      </c>
      <c r="P189" s="76">
        <f>IF(VLOOKUP(A189,Database!$A:$AS,MATCH($P$1,Database!$A$1:$AS$1,0),FALSE)=0,#N/A,VLOOKUP(A189,Database!$A:$AS,MATCH($P$1,Database!$A$1:$AS$1,0),FALSE))</f>
        <v/>
      </c>
      <c r="Q189" s="76">
        <f>(((Table134567891011121314151617343[[#This Row],[JPN]]-VLOOKUP($U$1,A:Q,16,))/VLOOKUP($U$1,A:Q,16,))*100)+100</f>
        <v/>
      </c>
    </row>
    <row r="190" customFormat="1" s="86">
      <c r="A190" s="21" t="n">
        <v>38596</v>
      </c>
      <c r="B190" s="76">
        <f>IF(VLOOKUP(A190,Database!$A:$AS,MATCH($B$1,Database!$A$1:$AS$1,0),FALSE)=0,#N/A,VLOOKUP(A190,Database!$A:$AS,MATCH($B$1,Database!$A$1:$AS$1,0),FALSE))</f>
        <v/>
      </c>
      <c r="C190" s="76">
        <f>IF(VLOOKUP(A190,Database!$A:$AS,MATCH($C$1,Database!$A$1:$AS$1,0),FALSE)=0,#N/A,VLOOKUP(A190,Database!$A:$AS,MATCH($C$1,Database!$A$1:$AS$1,0),FALSE))</f>
        <v/>
      </c>
      <c r="D190" s="76">
        <f>IF(VLOOKUP(A190,Database!$A:$AS,MATCH($D$1,Database!$A$1:$AS$1,0),FALSE)=0,#N/A,VLOOKUP(A190,Database!$A:$AS,MATCH($D$1,Database!$A$1:$AS$1,0),FALSE))</f>
        <v/>
      </c>
      <c r="E190" s="76">
        <f>IF(VLOOKUP(A190,Database!$A:$AS,MATCH($E$1,Database!$A$1:$AS$1,0),FALSE)=0,#N/A,VLOOKUP(A190,Database!$A:$AS,MATCH($E$1,Database!$A$1:$AS$1,0),FALSE))</f>
        <v/>
      </c>
      <c r="F190" s="76">
        <f>IF(VLOOKUP(A190,Database!$A:$AS,MATCH($F$1,Database!$A$1:$AS$1,0),FALSE)=0,#N/A,VLOOKUP(A190,Database!$A:$AS,MATCH($F$1,Database!$A$1:$AS$1,0),FALSE))</f>
        <v/>
      </c>
      <c r="G190" s="76">
        <f>IF(VLOOKUP(A190,Database!$A:$AS,MATCH($G$1,Database!$A$1:$AS$1,0),FALSE)=0,#N/A,VLOOKUP(A190,Database!$A:$AS,MATCH($G$1,Database!$A$1:$AS$1,0),FALSE))</f>
        <v/>
      </c>
      <c r="H190" s="76">
        <f>(((Table134567891011121314151617343[[#This Row],[ITA]]-VLOOKUP($U$1,A:B,2,))/VLOOKUP($U$1,A:B,2,))*100)+100</f>
        <v/>
      </c>
      <c r="I190" s="76">
        <f>(((Table134567891011121314151617343[[#This Row],[FRA]]-VLOOKUP($U$1,A:C,3,))/VLOOKUP($U$1,A:C,3,))*100)+100</f>
        <v/>
      </c>
      <c r="J190" s="76">
        <f>(((Table134567891011121314151617343[[#This Row],[DEU]]-VLOOKUP($U$1,A:D,4,))/VLOOKUP($U$1,A:D,4,))*100)+100</f>
        <v/>
      </c>
      <c r="K190" s="76">
        <f>(((Table134567891011121314151617343[[#This Row],[ESP]]-VLOOKUP($U$1,A:E,5,))/VLOOKUP($U$1,A:E,5,))*100)+100</f>
        <v/>
      </c>
      <c r="L190" s="76">
        <f>(((Table134567891011121314151617343[[#This Row],[EA19]]-VLOOKUP($U$1,A:F,6,))/VLOOKUP($U$1,A:F,6,))*100)+100</f>
        <v/>
      </c>
      <c r="M190" s="76">
        <f>(((Table134567891011121314151617343[[#This Row],[GBR]]-VLOOKUP($U$1,A:G,7,))/VLOOKUP($U$1,A:G,7,))*100)+100</f>
        <v/>
      </c>
      <c r="N190" s="76">
        <f>IF(VLOOKUP(A190,Database!$A:$AU,MATCH($N$1,Database!$A$1:$AU$1,0),FALSE)=0,#N/A,VLOOKUP(A190,Database!$A:$AU,MATCH($N$1,Database!$A$1:$AU$1,0),FALSE))</f>
        <v/>
      </c>
      <c r="O190" s="76">
        <f>(((Table134567891011121314151617343[[#This Row],[USA]]-VLOOKUP($U$1,A:N,14,))/VLOOKUP($U$1,A:N,14,))*100)+100</f>
        <v/>
      </c>
      <c r="P190" s="76">
        <f>IF(VLOOKUP(A190,Database!$A:$AS,MATCH($P$1,Database!$A$1:$AS$1,0),FALSE)=0,#N/A,VLOOKUP(A190,Database!$A:$AS,MATCH($P$1,Database!$A$1:$AS$1,0),FALSE))</f>
        <v/>
      </c>
      <c r="Q190" s="76">
        <f>(((Table134567891011121314151617343[[#This Row],[JPN]]-VLOOKUP($U$1,A:Q,16,))/VLOOKUP($U$1,A:Q,16,))*100)+100</f>
        <v/>
      </c>
    </row>
    <row r="191" customFormat="1" s="86">
      <c r="A191" s="21" t="n">
        <v>38626</v>
      </c>
      <c r="B191" s="76">
        <f>IF(VLOOKUP(A191,Database!$A:$AS,MATCH($B$1,Database!$A$1:$AS$1,0),FALSE)=0,#N/A,VLOOKUP(A191,Database!$A:$AS,MATCH($B$1,Database!$A$1:$AS$1,0),FALSE))</f>
        <v/>
      </c>
      <c r="C191" s="76">
        <f>IF(VLOOKUP(A191,Database!$A:$AS,MATCH($C$1,Database!$A$1:$AS$1,0),FALSE)=0,#N/A,VLOOKUP(A191,Database!$A:$AS,MATCH($C$1,Database!$A$1:$AS$1,0),FALSE))</f>
        <v/>
      </c>
      <c r="D191" s="76">
        <f>IF(VLOOKUP(A191,Database!$A:$AS,MATCH($D$1,Database!$A$1:$AS$1,0),FALSE)=0,#N/A,VLOOKUP(A191,Database!$A:$AS,MATCH($D$1,Database!$A$1:$AS$1,0),FALSE))</f>
        <v/>
      </c>
      <c r="E191" s="76">
        <f>IF(VLOOKUP(A191,Database!$A:$AS,MATCH($E$1,Database!$A$1:$AS$1,0),FALSE)=0,#N/A,VLOOKUP(A191,Database!$A:$AS,MATCH($E$1,Database!$A$1:$AS$1,0),FALSE))</f>
        <v/>
      </c>
      <c r="F191" s="76">
        <f>IF(VLOOKUP(A191,Database!$A:$AS,MATCH($F$1,Database!$A$1:$AS$1,0),FALSE)=0,#N/A,VLOOKUP(A191,Database!$A:$AS,MATCH($F$1,Database!$A$1:$AS$1,0),FALSE))</f>
        <v/>
      </c>
      <c r="G191" s="76">
        <f>IF(VLOOKUP(A191,Database!$A:$AS,MATCH($G$1,Database!$A$1:$AS$1,0),FALSE)=0,#N/A,VLOOKUP(A191,Database!$A:$AS,MATCH($G$1,Database!$A$1:$AS$1,0),FALSE))</f>
        <v/>
      </c>
      <c r="H191" s="76">
        <f>(((Table134567891011121314151617343[[#This Row],[ITA]]-VLOOKUP($U$1,A:B,2,))/VLOOKUP($U$1,A:B,2,))*100)+100</f>
        <v/>
      </c>
      <c r="I191" s="76">
        <f>(((Table134567891011121314151617343[[#This Row],[FRA]]-VLOOKUP($U$1,A:C,3,))/VLOOKUP($U$1,A:C,3,))*100)+100</f>
        <v/>
      </c>
      <c r="J191" s="76">
        <f>(((Table134567891011121314151617343[[#This Row],[DEU]]-VLOOKUP($U$1,A:D,4,))/VLOOKUP($U$1,A:D,4,))*100)+100</f>
        <v/>
      </c>
      <c r="K191" s="76">
        <f>(((Table134567891011121314151617343[[#This Row],[ESP]]-VLOOKUP($U$1,A:E,5,))/VLOOKUP($U$1,A:E,5,))*100)+100</f>
        <v/>
      </c>
      <c r="L191" s="76">
        <f>(((Table134567891011121314151617343[[#This Row],[EA19]]-VLOOKUP($U$1,A:F,6,))/VLOOKUP($U$1,A:F,6,))*100)+100</f>
        <v/>
      </c>
      <c r="M191" s="76">
        <f>(((Table134567891011121314151617343[[#This Row],[GBR]]-VLOOKUP($U$1,A:G,7,))/VLOOKUP($U$1,A:G,7,))*100)+100</f>
        <v/>
      </c>
      <c r="N191" s="76">
        <f>IF(VLOOKUP(A191,Database!$A:$AU,MATCH($N$1,Database!$A$1:$AU$1,0),FALSE)=0,#N/A,VLOOKUP(A191,Database!$A:$AU,MATCH($N$1,Database!$A$1:$AU$1,0),FALSE))</f>
        <v/>
      </c>
      <c r="O191" s="76">
        <f>(((Table134567891011121314151617343[[#This Row],[USA]]-VLOOKUP($U$1,A:N,14,))/VLOOKUP($U$1,A:N,14,))*100)+100</f>
        <v/>
      </c>
      <c r="P191" s="76">
        <f>IF(VLOOKUP(A191,Database!$A:$AS,MATCH($P$1,Database!$A$1:$AS$1,0),FALSE)=0,#N/A,VLOOKUP(A191,Database!$A:$AS,MATCH($P$1,Database!$A$1:$AS$1,0),FALSE))</f>
        <v/>
      </c>
      <c r="Q191" s="76">
        <f>(((Table134567891011121314151617343[[#This Row],[JPN]]-VLOOKUP($U$1,A:Q,16,))/VLOOKUP($U$1,A:Q,16,))*100)+100</f>
        <v/>
      </c>
    </row>
    <row r="192" customFormat="1" s="86">
      <c r="A192" s="21" t="n">
        <v>38657</v>
      </c>
      <c r="B192" s="76">
        <f>IF(VLOOKUP(A192,Database!$A:$AS,MATCH($B$1,Database!$A$1:$AS$1,0),FALSE)=0,#N/A,VLOOKUP(A192,Database!$A:$AS,MATCH($B$1,Database!$A$1:$AS$1,0),FALSE))</f>
        <v/>
      </c>
      <c r="C192" s="76">
        <f>IF(VLOOKUP(A192,Database!$A:$AS,MATCH($C$1,Database!$A$1:$AS$1,0),FALSE)=0,#N/A,VLOOKUP(A192,Database!$A:$AS,MATCH($C$1,Database!$A$1:$AS$1,0),FALSE))</f>
        <v/>
      </c>
      <c r="D192" s="76">
        <f>IF(VLOOKUP(A192,Database!$A:$AS,MATCH($D$1,Database!$A$1:$AS$1,0),FALSE)=0,#N/A,VLOOKUP(A192,Database!$A:$AS,MATCH($D$1,Database!$A$1:$AS$1,0),FALSE))</f>
        <v/>
      </c>
      <c r="E192" s="76">
        <f>IF(VLOOKUP(A192,Database!$A:$AS,MATCH($E$1,Database!$A$1:$AS$1,0),FALSE)=0,#N/A,VLOOKUP(A192,Database!$A:$AS,MATCH($E$1,Database!$A$1:$AS$1,0),FALSE))</f>
        <v/>
      </c>
      <c r="F192" s="76">
        <f>IF(VLOOKUP(A192,Database!$A:$AS,MATCH($F$1,Database!$A$1:$AS$1,0),FALSE)=0,#N/A,VLOOKUP(A192,Database!$A:$AS,MATCH($F$1,Database!$A$1:$AS$1,0),FALSE))</f>
        <v/>
      </c>
      <c r="G192" s="76">
        <f>IF(VLOOKUP(A192,Database!$A:$AS,MATCH($G$1,Database!$A$1:$AS$1,0),FALSE)=0,#N/A,VLOOKUP(A192,Database!$A:$AS,MATCH($G$1,Database!$A$1:$AS$1,0),FALSE))</f>
        <v/>
      </c>
      <c r="H192" s="76">
        <f>(((Table134567891011121314151617343[[#This Row],[ITA]]-VLOOKUP($U$1,A:B,2,))/VLOOKUP($U$1,A:B,2,))*100)+100</f>
        <v/>
      </c>
      <c r="I192" s="76">
        <f>(((Table134567891011121314151617343[[#This Row],[FRA]]-VLOOKUP($U$1,A:C,3,))/VLOOKUP($U$1,A:C,3,))*100)+100</f>
        <v/>
      </c>
      <c r="J192" s="76">
        <f>(((Table134567891011121314151617343[[#This Row],[DEU]]-VLOOKUP($U$1,A:D,4,))/VLOOKUP($U$1,A:D,4,))*100)+100</f>
        <v/>
      </c>
      <c r="K192" s="76">
        <f>(((Table134567891011121314151617343[[#This Row],[ESP]]-VLOOKUP($U$1,A:E,5,))/VLOOKUP($U$1,A:E,5,))*100)+100</f>
        <v/>
      </c>
      <c r="L192" s="76">
        <f>(((Table134567891011121314151617343[[#This Row],[EA19]]-VLOOKUP($U$1,A:F,6,))/VLOOKUP($U$1,A:F,6,))*100)+100</f>
        <v/>
      </c>
      <c r="M192" s="76">
        <f>(((Table134567891011121314151617343[[#This Row],[GBR]]-VLOOKUP($U$1,A:G,7,))/VLOOKUP($U$1,A:G,7,))*100)+100</f>
        <v/>
      </c>
      <c r="N192" s="76">
        <f>IF(VLOOKUP(A192,Database!$A:$AU,MATCH($N$1,Database!$A$1:$AU$1,0),FALSE)=0,#N/A,VLOOKUP(A192,Database!$A:$AU,MATCH($N$1,Database!$A$1:$AU$1,0),FALSE))</f>
        <v/>
      </c>
      <c r="O192" s="76">
        <f>(((Table134567891011121314151617343[[#This Row],[USA]]-VLOOKUP($U$1,A:N,14,))/VLOOKUP($U$1,A:N,14,))*100)+100</f>
        <v/>
      </c>
      <c r="P192" s="76">
        <f>IF(VLOOKUP(A192,Database!$A:$AS,MATCH($P$1,Database!$A$1:$AS$1,0),FALSE)=0,#N/A,VLOOKUP(A192,Database!$A:$AS,MATCH($P$1,Database!$A$1:$AS$1,0),FALSE))</f>
        <v/>
      </c>
      <c r="Q192" s="76">
        <f>(((Table134567891011121314151617343[[#This Row],[JPN]]-VLOOKUP($U$1,A:Q,16,))/VLOOKUP($U$1,A:Q,16,))*100)+100</f>
        <v/>
      </c>
    </row>
    <row r="193" customFormat="1" s="86">
      <c r="A193" s="21" t="n">
        <v>38687</v>
      </c>
      <c r="B193" s="76">
        <f>IF(VLOOKUP(A193,Database!$A:$AS,MATCH($B$1,Database!$A$1:$AS$1,0),FALSE)=0,#N/A,VLOOKUP(A193,Database!$A:$AS,MATCH($B$1,Database!$A$1:$AS$1,0),FALSE))</f>
        <v/>
      </c>
      <c r="C193" s="76">
        <f>IF(VLOOKUP(A193,Database!$A:$AS,MATCH($C$1,Database!$A$1:$AS$1,0),FALSE)=0,#N/A,VLOOKUP(A193,Database!$A:$AS,MATCH($C$1,Database!$A$1:$AS$1,0),FALSE))</f>
        <v/>
      </c>
      <c r="D193" s="76">
        <f>IF(VLOOKUP(A193,Database!$A:$AS,MATCH($D$1,Database!$A$1:$AS$1,0),FALSE)=0,#N/A,VLOOKUP(A193,Database!$A:$AS,MATCH($D$1,Database!$A$1:$AS$1,0),FALSE))</f>
        <v/>
      </c>
      <c r="E193" s="76">
        <f>IF(VLOOKUP(A193,Database!$A:$AS,MATCH($E$1,Database!$A$1:$AS$1,0),FALSE)=0,#N/A,VLOOKUP(A193,Database!$A:$AS,MATCH($E$1,Database!$A$1:$AS$1,0),FALSE))</f>
        <v/>
      </c>
      <c r="F193" s="76">
        <f>IF(VLOOKUP(A193,Database!$A:$AS,MATCH($F$1,Database!$A$1:$AS$1,0),FALSE)=0,#N/A,VLOOKUP(A193,Database!$A:$AS,MATCH($F$1,Database!$A$1:$AS$1,0),FALSE))</f>
        <v/>
      </c>
      <c r="G193" s="76">
        <f>IF(VLOOKUP(A193,Database!$A:$AS,MATCH($G$1,Database!$A$1:$AS$1,0),FALSE)=0,#N/A,VLOOKUP(A193,Database!$A:$AS,MATCH($G$1,Database!$A$1:$AS$1,0),FALSE))</f>
        <v/>
      </c>
      <c r="H193" s="76">
        <f>(((Table134567891011121314151617343[[#This Row],[ITA]]-VLOOKUP($U$1,A:B,2,))/VLOOKUP($U$1,A:B,2,))*100)+100</f>
        <v/>
      </c>
      <c r="I193" s="76">
        <f>(((Table134567891011121314151617343[[#This Row],[FRA]]-VLOOKUP($U$1,A:C,3,))/VLOOKUP($U$1,A:C,3,))*100)+100</f>
        <v/>
      </c>
      <c r="J193" s="76">
        <f>(((Table134567891011121314151617343[[#This Row],[DEU]]-VLOOKUP($U$1,A:D,4,))/VLOOKUP($U$1,A:D,4,))*100)+100</f>
        <v/>
      </c>
      <c r="K193" s="76">
        <f>(((Table134567891011121314151617343[[#This Row],[ESP]]-VLOOKUP($U$1,A:E,5,))/VLOOKUP($U$1,A:E,5,))*100)+100</f>
        <v/>
      </c>
      <c r="L193" s="76">
        <f>(((Table134567891011121314151617343[[#This Row],[EA19]]-VLOOKUP($U$1,A:F,6,))/VLOOKUP($U$1,A:F,6,))*100)+100</f>
        <v/>
      </c>
      <c r="M193" s="76">
        <f>(((Table134567891011121314151617343[[#This Row],[GBR]]-VLOOKUP($U$1,A:G,7,))/VLOOKUP($U$1,A:G,7,))*100)+100</f>
        <v/>
      </c>
      <c r="N193" s="76">
        <f>IF(VLOOKUP(A193,Database!$A:$AU,MATCH($N$1,Database!$A$1:$AU$1,0),FALSE)=0,#N/A,VLOOKUP(A193,Database!$A:$AU,MATCH($N$1,Database!$A$1:$AU$1,0),FALSE))</f>
        <v/>
      </c>
      <c r="O193" s="76">
        <f>(((Table134567891011121314151617343[[#This Row],[USA]]-VLOOKUP($U$1,A:N,14,))/VLOOKUP($U$1,A:N,14,))*100)+100</f>
        <v/>
      </c>
      <c r="P193" s="76">
        <f>IF(VLOOKUP(A193,Database!$A:$AS,MATCH($P$1,Database!$A$1:$AS$1,0),FALSE)=0,#N/A,VLOOKUP(A193,Database!$A:$AS,MATCH($P$1,Database!$A$1:$AS$1,0),FALSE))</f>
        <v/>
      </c>
      <c r="Q193" s="76">
        <f>(((Table134567891011121314151617343[[#This Row],[JPN]]-VLOOKUP($U$1,A:Q,16,))/VLOOKUP($U$1,A:Q,16,))*100)+100</f>
        <v/>
      </c>
    </row>
    <row r="194" customFormat="1" s="86">
      <c r="A194" s="21" t="n">
        <v>38718</v>
      </c>
      <c r="B194" s="76">
        <f>IF(VLOOKUP(A194,Database!$A:$AS,MATCH($B$1,Database!$A$1:$AS$1,0),FALSE)=0,#N/A,VLOOKUP(A194,Database!$A:$AS,MATCH($B$1,Database!$A$1:$AS$1,0),FALSE))</f>
        <v/>
      </c>
      <c r="C194" s="76">
        <f>IF(VLOOKUP(A194,Database!$A:$AS,MATCH($C$1,Database!$A$1:$AS$1,0),FALSE)=0,#N/A,VLOOKUP(A194,Database!$A:$AS,MATCH($C$1,Database!$A$1:$AS$1,0),FALSE))</f>
        <v/>
      </c>
      <c r="D194" s="76">
        <f>IF(VLOOKUP(A194,Database!$A:$AS,MATCH($D$1,Database!$A$1:$AS$1,0),FALSE)=0,#N/A,VLOOKUP(A194,Database!$A:$AS,MATCH($D$1,Database!$A$1:$AS$1,0),FALSE))</f>
        <v/>
      </c>
      <c r="E194" s="76">
        <f>IF(VLOOKUP(A194,Database!$A:$AS,MATCH($E$1,Database!$A$1:$AS$1,0),FALSE)=0,#N/A,VLOOKUP(A194,Database!$A:$AS,MATCH($E$1,Database!$A$1:$AS$1,0),FALSE))</f>
        <v/>
      </c>
      <c r="F194" s="76">
        <f>IF(VLOOKUP(A194,Database!$A:$AS,MATCH($F$1,Database!$A$1:$AS$1,0),FALSE)=0,#N/A,VLOOKUP(A194,Database!$A:$AS,MATCH($F$1,Database!$A$1:$AS$1,0),FALSE))</f>
        <v/>
      </c>
      <c r="G194" s="76">
        <f>IF(VLOOKUP(A194,Database!$A:$AS,MATCH($G$1,Database!$A$1:$AS$1,0),FALSE)=0,#N/A,VLOOKUP(A194,Database!$A:$AS,MATCH($G$1,Database!$A$1:$AS$1,0),FALSE))</f>
        <v/>
      </c>
      <c r="H194" s="76">
        <f>(((Table134567891011121314151617343[[#This Row],[ITA]]-VLOOKUP($U$1,A:B,2,))/VLOOKUP($U$1,A:B,2,))*100)+100</f>
        <v/>
      </c>
      <c r="I194" s="76">
        <f>(((Table134567891011121314151617343[[#This Row],[FRA]]-VLOOKUP($U$1,A:C,3,))/VLOOKUP($U$1,A:C,3,))*100)+100</f>
        <v/>
      </c>
      <c r="J194" s="76">
        <f>(((Table134567891011121314151617343[[#This Row],[DEU]]-VLOOKUP($U$1,A:D,4,))/VLOOKUP($U$1,A:D,4,))*100)+100</f>
        <v/>
      </c>
      <c r="K194" s="76">
        <f>(((Table134567891011121314151617343[[#This Row],[ESP]]-VLOOKUP($U$1,A:E,5,))/VLOOKUP($U$1,A:E,5,))*100)+100</f>
        <v/>
      </c>
      <c r="L194" s="76">
        <f>(((Table134567891011121314151617343[[#This Row],[EA19]]-VLOOKUP($U$1,A:F,6,))/VLOOKUP($U$1,A:F,6,))*100)+100</f>
        <v/>
      </c>
      <c r="M194" s="76">
        <f>(((Table134567891011121314151617343[[#This Row],[GBR]]-VLOOKUP($U$1,A:G,7,))/VLOOKUP($U$1,A:G,7,))*100)+100</f>
        <v/>
      </c>
      <c r="N194" s="76">
        <f>IF(VLOOKUP(A194,Database!$A:$AU,MATCH($N$1,Database!$A$1:$AU$1,0),FALSE)=0,#N/A,VLOOKUP(A194,Database!$A:$AU,MATCH($N$1,Database!$A$1:$AU$1,0),FALSE))</f>
        <v/>
      </c>
      <c r="O194" s="76">
        <f>(((Table134567891011121314151617343[[#This Row],[USA]]-VLOOKUP($U$1,A:N,14,))/VLOOKUP($U$1,A:N,14,))*100)+100</f>
        <v/>
      </c>
      <c r="P194" s="76">
        <f>IF(VLOOKUP(A194,Database!$A:$AS,MATCH($P$1,Database!$A$1:$AS$1,0),FALSE)=0,#N/A,VLOOKUP(A194,Database!$A:$AS,MATCH($P$1,Database!$A$1:$AS$1,0),FALSE))</f>
        <v/>
      </c>
      <c r="Q194" s="76">
        <f>(((Table134567891011121314151617343[[#This Row],[JPN]]-VLOOKUP($U$1,A:Q,16,))/VLOOKUP($U$1,A:Q,16,))*100)+100</f>
        <v/>
      </c>
    </row>
    <row r="195" customFormat="1" s="86">
      <c r="A195" s="21" t="n">
        <v>38749</v>
      </c>
      <c r="B195" s="76">
        <f>IF(VLOOKUP(A195,Database!$A:$AS,MATCH($B$1,Database!$A$1:$AS$1,0),FALSE)=0,#N/A,VLOOKUP(A195,Database!$A:$AS,MATCH($B$1,Database!$A$1:$AS$1,0),FALSE))</f>
        <v/>
      </c>
      <c r="C195" s="76">
        <f>IF(VLOOKUP(A195,Database!$A:$AS,MATCH($C$1,Database!$A$1:$AS$1,0),FALSE)=0,#N/A,VLOOKUP(A195,Database!$A:$AS,MATCH($C$1,Database!$A$1:$AS$1,0),FALSE))</f>
        <v/>
      </c>
      <c r="D195" s="76">
        <f>IF(VLOOKUP(A195,Database!$A:$AS,MATCH($D$1,Database!$A$1:$AS$1,0),FALSE)=0,#N/A,VLOOKUP(A195,Database!$A:$AS,MATCH($D$1,Database!$A$1:$AS$1,0),FALSE))</f>
        <v/>
      </c>
      <c r="E195" s="76">
        <f>IF(VLOOKUP(A195,Database!$A:$AS,MATCH($E$1,Database!$A$1:$AS$1,0),FALSE)=0,#N/A,VLOOKUP(A195,Database!$A:$AS,MATCH($E$1,Database!$A$1:$AS$1,0),FALSE))</f>
        <v/>
      </c>
      <c r="F195" s="76">
        <f>IF(VLOOKUP(A195,Database!$A:$AS,MATCH($F$1,Database!$A$1:$AS$1,0),FALSE)=0,#N/A,VLOOKUP(A195,Database!$A:$AS,MATCH($F$1,Database!$A$1:$AS$1,0),FALSE))</f>
        <v/>
      </c>
      <c r="G195" s="76">
        <f>IF(VLOOKUP(A195,Database!$A:$AS,MATCH($G$1,Database!$A$1:$AS$1,0),FALSE)=0,#N/A,VLOOKUP(A195,Database!$A:$AS,MATCH($G$1,Database!$A$1:$AS$1,0),FALSE))</f>
        <v/>
      </c>
      <c r="H195" s="76">
        <f>(((Table134567891011121314151617343[[#This Row],[ITA]]-VLOOKUP($U$1,A:B,2,))/VLOOKUP($U$1,A:B,2,))*100)+100</f>
        <v/>
      </c>
      <c r="I195" s="76">
        <f>(((Table134567891011121314151617343[[#This Row],[FRA]]-VLOOKUP($U$1,A:C,3,))/VLOOKUP($U$1,A:C,3,))*100)+100</f>
        <v/>
      </c>
      <c r="J195" s="76">
        <f>(((Table134567891011121314151617343[[#This Row],[DEU]]-VLOOKUP($U$1,A:D,4,))/VLOOKUP($U$1,A:D,4,))*100)+100</f>
        <v/>
      </c>
      <c r="K195" s="76">
        <f>(((Table134567891011121314151617343[[#This Row],[ESP]]-VLOOKUP($U$1,A:E,5,))/VLOOKUP($U$1,A:E,5,))*100)+100</f>
        <v/>
      </c>
      <c r="L195" s="76">
        <f>(((Table134567891011121314151617343[[#This Row],[EA19]]-VLOOKUP($U$1,A:F,6,))/VLOOKUP($U$1,A:F,6,))*100)+100</f>
        <v/>
      </c>
      <c r="M195" s="76">
        <f>(((Table134567891011121314151617343[[#This Row],[GBR]]-VLOOKUP($U$1,A:G,7,))/VLOOKUP($U$1,A:G,7,))*100)+100</f>
        <v/>
      </c>
      <c r="N195" s="76">
        <f>IF(VLOOKUP(A195,Database!$A:$AU,MATCH($N$1,Database!$A$1:$AU$1,0),FALSE)=0,#N/A,VLOOKUP(A195,Database!$A:$AU,MATCH($N$1,Database!$A$1:$AU$1,0),FALSE))</f>
        <v/>
      </c>
      <c r="O195" s="76">
        <f>(((Table134567891011121314151617343[[#This Row],[USA]]-VLOOKUP($U$1,A:N,14,))/VLOOKUP($U$1,A:N,14,))*100)+100</f>
        <v/>
      </c>
      <c r="P195" s="76">
        <f>IF(VLOOKUP(A195,Database!$A:$AS,MATCH($P$1,Database!$A$1:$AS$1,0),FALSE)=0,#N/A,VLOOKUP(A195,Database!$A:$AS,MATCH($P$1,Database!$A$1:$AS$1,0),FALSE))</f>
        <v/>
      </c>
      <c r="Q195" s="76">
        <f>(((Table134567891011121314151617343[[#This Row],[JPN]]-VLOOKUP($U$1,A:Q,16,))/VLOOKUP($U$1,A:Q,16,))*100)+100</f>
        <v/>
      </c>
    </row>
    <row r="196" customFormat="1" s="86">
      <c r="A196" s="21" t="n">
        <v>38777</v>
      </c>
      <c r="B196" s="76">
        <f>IF(VLOOKUP(A196,Database!$A:$AS,MATCH($B$1,Database!$A$1:$AS$1,0),FALSE)=0,#N/A,VLOOKUP(A196,Database!$A:$AS,MATCH($B$1,Database!$A$1:$AS$1,0),FALSE))</f>
        <v/>
      </c>
      <c r="C196" s="76">
        <f>IF(VLOOKUP(A196,Database!$A:$AS,MATCH($C$1,Database!$A$1:$AS$1,0),FALSE)=0,#N/A,VLOOKUP(A196,Database!$A:$AS,MATCH($C$1,Database!$A$1:$AS$1,0),FALSE))</f>
        <v/>
      </c>
      <c r="D196" s="76">
        <f>IF(VLOOKUP(A196,Database!$A:$AS,MATCH($D$1,Database!$A$1:$AS$1,0),FALSE)=0,#N/A,VLOOKUP(A196,Database!$A:$AS,MATCH($D$1,Database!$A$1:$AS$1,0),FALSE))</f>
        <v/>
      </c>
      <c r="E196" s="76">
        <f>IF(VLOOKUP(A196,Database!$A:$AS,MATCH($E$1,Database!$A$1:$AS$1,0),FALSE)=0,#N/A,VLOOKUP(A196,Database!$A:$AS,MATCH($E$1,Database!$A$1:$AS$1,0),FALSE))</f>
        <v/>
      </c>
      <c r="F196" s="76">
        <f>IF(VLOOKUP(A196,Database!$A:$AS,MATCH($F$1,Database!$A$1:$AS$1,0),FALSE)=0,#N/A,VLOOKUP(A196,Database!$A:$AS,MATCH($F$1,Database!$A$1:$AS$1,0),FALSE))</f>
        <v/>
      </c>
      <c r="G196" s="76">
        <f>IF(VLOOKUP(A196,Database!$A:$AS,MATCH($G$1,Database!$A$1:$AS$1,0),FALSE)=0,#N/A,VLOOKUP(A196,Database!$A:$AS,MATCH($G$1,Database!$A$1:$AS$1,0),FALSE))</f>
        <v/>
      </c>
      <c r="H196" s="76">
        <f>(((Table134567891011121314151617343[[#This Row],[ITA]]-VLOOKUP($U$1,A:B,2,))/VLOOKUP($U$1,A:B,2,))*100)+100</f>
        <v/>
      </c>
      <c r="I196" s="76">
        <f>(((Table134567891011121314151617343[[#This Row],[FRA]]-VLOOKUP($U$1,A:C,3,))/VLOOKUP($U$1,A:C,3,))*100)+100</f>
        <v/>
      </c>
      <c r="J196" s="76">
        <f>(((Table134567891011121314151617343[[#This Row],[DEU]]-VLOOKUP($U$1,A:D,4,))/VLOOKUP($U$1,A:D,4,))*100)+100</f>
        <v/>
      </c>
      <c r="K196" s="76">
        <f>(((Table134567891011121314151617343[[#This Row],[ESP]]-VLOOKUP($U$1,A:E,5,))/VLOOKUP($U$1,A:E,5,))*100)+100</f>
        <v/>
      </c>
      <c r="L196" s="76">
        <f>(((Table134567891011121314151617343[[#This Row],[EA19]]-VLOOKUP($U$1,A:F,6,))/VLOOKUP($U$1,A:F,6,))*100)+100</f>
        <v/>
      </c>
      <c r="M196" s="76">
        <f>(((Table134567891011121314151617343[[#This Row],[GBR]]-VLOOKUP($U$1,A:G,7,))/VLOOKUP($U$1,A:G,7,))*100)+100</f>
        <v/>
      </c>
      <c r="N196" s="76">
        <f>IF(VLOOKUP(A196,Database!$A:$AU,MATCH($N$1,Database!$A$1:$AU$1,0),FALSE)=0,#N/A,VLOOKUP(A196,Database!$A:$AU,MATCH($N$1,Database!$A$1:$AU$1,0),FALSE))</f>
        <v/>
      </c>
      <c r="O196" s="76">
        <f>(((Table134567891011121314151617343[[#This Row],[USA]]-VLOOKUP($U$1,A:N,14,))/VLOOKUP($U$1,A:N,14,))*100)+100</f>
        <v/>
      </c>
      <c r="P196" s="76">
        <f>IF(VLOOKUP(A196,Database!$A:$AS,MATCH($P$1,Database!$A$1:$AS$1,0),FALSE)=0,#N/A,VLOOKUP(A196,Database!$A:$AS,MATCH($P$1,Database!$A$1:$AS$1,0),FALSE))</f>
        <v/>
      </c>
      <c r="Q196" s="76">
        <f>(((Table134567891011121314151617343[[#This Row],[JPN]]-VLOOKUP($U$1,A:Q,16,))/VLOOKUP($U$1,A:Q,16,))*100)+100</f>
        <v/>
      </c>
    </row>
    <row r="197" customFormat="1" s="86">
      <c r="A197" s="21" t="n">
        <v>38808</v>
      </c>
      <c r="B197" s="76">
        <f>IF(VLOOKUP(A197,Database!$A:$AS,MATCH($B$1,Database!$A$1:$AS$1,0),FALSE)=0,#N/A,VLOOKUP(A197,Database!$A:$AS,MATCH($B$1,Database!$A$1:$AS$1,0),FALSE))</f>
        <v/>
      </c>
      <c r="C197" s="76">
        <f>IF(VLOOKUP(A197,Database!$A:$AS,MATCH($C$1,Database!$A$1:$AS$1,0),FALSE)=0,#N/A,VLOOKUP(A197,Database!$A:$AS,MATCH($C$1,Database!$A$1:$AS$1,0),FALSE))</f>
        <v/>
      </c>
      <c r="D197" s="76">
        <f>IF(VLOOKUP(A197,Database!$A:$AS,MATCH($D$1,Database!$A$1:$AS$1,0),FALSE)=0,#N/A,VLOOKUP(A197,Database!$A:$AS,MATCH($D$1,Database!$A$1:$AS$1,0),FALSE))</f>
        <v/>
      </c>
      <c r="E197" s="76">
        <f>IF(VLOOKUP(A197,Database!$A:$AS,MATCH($E$1,Database!$A$1:$AS$1,0),FALSE)=0,#N/A,VLOOKUP(A197,Database!$A:$AS,MATCH($E$1,Database!$A$1:$AS$1,0),FALSE))</f>
        <v/>
      </c>
      <c r="F197" s="76">
        <f>IF(VLOOKUP(A197,Database!$A:$AS,MATCH($F$1,Database!$A$1:$AS$1,0),FALSE)=0,#N/A,VLOOKUP(A197,Database!$A:$AS,MATCH($F$1,Database!$A$1:$AS$1,0),FALSE))</f>
        <v/>
      </c>
      <c r="G197" s="76">
        <f>IF(VLOOKUP(A197,Database!$A:$AS,MATCH($G$1,Database!$A$1:$AS$1,0),FALSE)=0,#N/A,VLOOKUP(A197,Database!$A:$AS,MATCH($G$1,Database!$A$1:$AS$1,0),FALSE))</f>
        <v/>
      </c>
      <c r="H197" s="76">
        <f>(((Table134567891011121314151617343[[#This Row],[ITA]]-VLOOKUP($U$1,A:B,2,))/VLOOKUP($U$1,A:B,2,))*100)+100</f>
        <v/>
      </c>
      <c r="I197" s="76">
        <f>(((Table134567891011121314151617343[[#This Row],[FRA]]-VLOOKUP($U$1,A:C,3,))/VLOOKUP($U$1,A:C,3,))*100)+100</f>
        <v/>
      </c>
      <c r="J197" s="76">
        <f>(((Table134567891011121314151617343[[#This Row],[DEU]]-VLOOKUP($U$1,A:D,4,))/VLOOKUP($U$1,A:D,4,))*100)+100</f>
        <v/>
      </c>
      <c r="K197" s="76">
        <f>(((Table134567891011121314151617343[[#This Row],[ESP]]-VLOOKUP($U$1,A:E,5,))/VLOOKUP($U$1,A:E,5,))*100)+100</f>
        <v/>
      </c>
      <c r="L197" s="76">
        <f>(((Table134567891011121314151617343[[#This Row],[EA19]]-VLOOKUP($U$1,A:F,6,))/VLOOKUP($U$1,A:F,6,))*100)+100</f>
        <v/>
      </c>
      <c r="M197" s="76">
        <f>(((Table134567891011121314151617343[[#This Row],[GBR]]-VLOOKUP($U$1,A:G,7,))/VLOOKUP($U$1,A:G,7,))*100)+100</f>
        <v/>
      </c>
      <c r="N197" s="76">
        <f>IF(VLOOKUP(A197,Database!$A:$AU,MATCH($N$1,Database!$A$1:$AU$1,0),FALSE)=0,#N/A,VLOOKUP(A197,Database!$A:$AU,MATCH($N$1,Database!$A$1:$AU$1,0),FALSE))</f>
        <v/>
      </c>
      <c r="O197" s="76">
        <f>(((Table134567891011121314151617343[[#This Row],[USA]]-VLOOKUP($U$1,A:N,14,))/VLOOKUP($U$1,A:N,14,))*100)+100</f>
        <v/>
      </c>
      <c r="P197" s="76">
        <f>IF(VLOOKUP(A197,Database!$A:$AS,MATCH($P$1,Database!$A$1:$AS$1,0),FALSE)=0,#N/A,VLOOKUP(A197,Database!$A:$AS,MATCH($P$1,Database!$A$1:$AS$1,0),FALSE))</f>
        <v/>
      </c>
      <c r="Q197" s="76">
        <f>(((Table134567891011121314151617343[[#This Row],[JPN]]-VLOOKUP($U$1,A:Q,16,))/VLOOKUP($U$1,A:Q,16,))*100)+100</f>
        <v/>
      </c>
    </row>
    <row r="198" customFormat="1" s="86">
      <c r="A198" s="21" t="n">
        <v>38838</v>
      </c>
      <c r="B198" s="76">
        <f>IF(VLOOKUP(A198,Database!$A:$AS,MATCH($B$1,Database!$A$1:$AS$1,0),FALSE)=0,#N/A,VLOOKUP(A198,Database!$A:$AS,MATCH($B$1,Database!$A$1:$AS$1,0),FALSE))</f>
        <v/>
      </c>
      <c r="C198" s="76">
        <f>IF(VLOOKUP(A198,Database!$A:$AS,MATCH($C$1,Database!$A$1:$AS$1,0),FALSE)=0,#N/A,VLOOKUP(A198,Database!$A:$AS,MATCH($C$1,Database!$A$1:$AS$1,0),FALSE))</f>
        <v/>
      </c>
      <c r="D198" s="76">
        <f>IF(VLOOKUP(A198,Database!$A:$AS,MATCH($D$1,Database!$A$1:$AS$1,0),FALSE)=0,#N/A,VLOOKUP(A198,Database!$A:$AS,MATCH($D$1,Database!$A$1:$AS$1,0),FALSE))</f>
        <v/>
      </c>
      <c r="E198" s="76">
        <f>IF(VLOOKUP(A198,Database!$A:$AS,MATCH($E$1,Database!$A$1:$AS$1,0),FALSE)=0,#N/A,VLOOKUP(A198,Database!$A:$AS,MATCH($E$1,Database!$A$1:$AS$1,0),FALSE))</f>
        <v/>
      </c>
      <c r="F198" s="76">
        <f>IF(VLOOKUP(A198,Database!$A:$AS,MATCH($F$1,Database!$A$1:$AS$1,0),FALSE)=0,#N/A,VLOOKUP(A198,Database!$A:$AS,MATCH($F$1,Database!$A$1:$AS$1,0),FALSE))</f>
        <v/>
      </c>
      <c r="G198" s="76">
        <f>IF(VLOOKUP(A198,Database!$A:$AS,MATCH($G$1,Database!$A$1:$AS$1,0),FALSE)=0,#N/A,VLOOKUP(A198,Database!$A:$AS,MATCH($G$1,Database!$A$1:$AS$1,0),FALSE))</f>
        <v/>
      </c>
      <c r="H198" s="76">
        <f>(((Table134567891011121314151617343[[#This Row],[ITA]]-VLOOKUP($U$1,A:B,2,))/VLOOKUP($U$1,A:B,2,))*100)+100</f>
        <v/>
      </c>
      <c r="I198" s="76">
        <f>(((Table134567891011121314151617343[[#This Row],[FRA]]-VLOOKUP($U$1,A:C,3,))/VLOOKUP($U$1,A:C,3,))*100)+100</f>
        <v/>
      </c>
      <c r="J198" s="76">
        <f>(((Table134567891011121314151617343[[#This Row],[DEU]]-VLOOKUP($U$1,A:D,4,))/VLOOKUP($U$1,A:D,4,))*100)+100</f>
        <v/>
      </c>
      <c r="K198" s="76">
        <f>(((Table134567891011121314151617343[[#This Row],[ESP]]-VLOOKUP($U$1,A:E,5,))/VLOOKUP($U$1,A:E,5,))*100)+100</f>
        <v/>
      </c>
      <c r="L198" s="76">
        <f>(((Table134567891011121314151617343[[#This Row],[EA19]]-VLOOKUP($U$1,A:F,6,))/VLOOKUP($U$1,A:F,6,))*100)+100</f>
        <v/>
      </c>
      <c r="M198" s="76">
        <f>(((Table134567891011121314151617343[[#This Row],[GBR]]-VLOOKUP($U$1,A:G,7,))/VLOOKUP($U$1,A:G,7,))*100)+100</f>
        <v/>
      </c>
      <c r="N198" s="76">
        <f>IF(VLOOKUP(A198,Database!$A:$AU,MATCH($N$1,Database!$A$1:$AU$1,0),FALSE)=0,#N/A,VLOOKUP(A198,Database!$A:$AU,MATCH($N$1,Database!$A$1:$AU$1,0),FALSE))</f>
        <v/>
      </c>
      <c r="O198" s="76">
        <f>(((Table134567891011121314151617343[[#This Row],[USA]]-VLOOKUP($U$1,A:N,14,))/VLOOKUP($U$1,A:N,14,))*100)+100</f>
        <v/>
      </c>
      <c r="P198" s="76">
        <f>IF(VLOOKUP(A198,Database!$A:$AS,MATCH($P$1,Database!$A$1:$AS$1,0),FALSE)=0,#N/A,VLOOKUP(A198,Database!$A:$AS,MATCH($P$1,Database!$A$1:$AS$1,0),FALSE))</f>
        <v/>
      </c>
      <c r="Q198" s="76">
        <f>(((Table134567891011121314151617343[[#This Row],[JPN]]-VLOOKUP($U$1,A:Q,16,))/VLOOKUP($U$1,A:Q,16,))*100)+100</f>
        <v/>
      </c>
    </row>
    <row r="199" customFormat="1" s="86">
      <c r="A199" s="21" t="n">
        <v>38869</v>
      </c>
      <c r="B199" s="76">
        <f>IF(VLOOKUP(A199,Database!$A:$AS,MATCH($B$1,Database!$A$1:$AS$1,0),FALSE)=0,#N/A,VLOOKUP(A199,Database!$A:$AS,MATCH($B$1,Database!$A$1:$AS$1,0),FALSE))</f>
        <v/>
      </c>
      <c r="C199" s="76">
        <f>IF(VLOOKUP(A199,Database!$A:$AS,MATCH($C$1,Database!$A$1:$AS$1,0),FALSE)=0,#N/A,VLOOKUP(A199,Database!$A:$AS,MATCH($C$1,Database!$A$1:$AS$1,0),FALSE))</f>
        <v/>
      </c>
      <c r="D199" s="76">
        <f>IF(VLOOKUP(A199,Database!$A:$AS,MATCH($D$1,Database!$A$1:$AS$1,0),FALSE)=0,#N/A,VLOOKUP(A199,Database!$A:$AS,MATCH($D$1,Database!$A$1:$AS$1,0),FALSE))</f>
        <v/>
      </c>
      <c r="E199" s="76">
        <f>IF(VLOOKUP(A199,Database!$A:$AS,MATCH($E$1,Database!$A$1:$AS$1,0),FALSE)=0,#N/A,VLOOKUP(A199,Database!$A:$AS,MATCH($E$1,Database!$A$1:$AS$1,0),FALSE))</f>
        <v/>
      </c>
      <c r="F199" s="76">
        <f>IF(VLOOKUP(A199,Database!$A:$AS,MATCH($F$1,Database!$A$1:$AS$1,0),FALSE)=0,#N/A,VLOOKUP(A199,Database!$A:$AS,MATCH($F$1,Database!$A$1:$AS$1,0),FALSE))</f>
        <v/>
      </c>
      <c r="G199" s="76">
        <f>IF(VLOOKUP(A199,Database!$A:$AS,MATCH($G$1,Database!$A$1:$AS$1,0),FALSE)=0,#N/A,VLOOKUP(A199,Database!$A:$AS,MATCH($G$1,Database!$A$1:$AS$1,0),FALSE))</f>
        <v/>
      </c>
      <c r="H199" s="76">
        <f>(((Table134567891011121314151617343[[#This Row],[ITA]]-VLOOKUP($U$1,A:B,2,))/VLOOKUP($U$1,A:B,2,))*100)+100</f>
        <v/>
      </c>
      <c r="I199" s="76">
        <f>(((Table134567891011121314151617343[[#This Row],[FRA]]-VLOOKUP($U$1,A:C,3,))/VLOOKUP($U$1,A:C,3,))*100)+100</f>
        <v/>
      </c>
      <c r="J199" s="76">
        <f>(((Table134567891011121314151617343[[#This Row],[DEU]]-VLOOKUP($U$1,A:D,4,))/VLOOKUP($U$1,A:D,4,))*100)+100</f>
        <v/>
      </c>
      <c r="K199" s="76">
        <f>(((Table134567891011121314151617343[[#This Row],[ESP]]-VLOOKUP($U$1,A:E,5,))/VLOOKUP($U$1,A:E,5,))*100)+100</f>
        <v/>
      </c>
      <c r="L199" s="76">
        <f>(((Table134567891011121314151617343[[#This Row],[EA19]]-VLOOKUP($U$1,A:F,6,))/VLOOKUP($U$1,A:F,6,))*100)+100</f>
        <v/>
      </c>
      <c r="M199" s="76">
        <f>(((Table134567891011121314151617343[[#This Row],[GBR]]-VLOOKUP($U$1,A:G,7,))/VLOOKUP($U$1,A:G,7,))*100)+100</f>
        <v/>
      </c>
      <c r="N199" s="76">
        <f>IF(VLOOKUP(A199,Database!$A:$AU,MATCH($N$1,Database!$A$1:$AU$1,0),FALSE)=0,#N/A,VLOOKUP(A199,Database!$A:$AU,MATCH($N$1,Database!$A$1:$AU$1,0),FALSE))</f>
        <v/>
      </c>
      <c r="O199" s="76">
        <f>(((Table134567891011121314151617343[[#This Row],[USA]]-VLOOKUP($U$1,A:N,14,))/VLOOKUP($U$1,A:N,14,))*100)+100</f>
        <v/>
      </c>
      <c r="P199" s="76">
        <f>IF(VLOOKUP(A199,Database!$A:$AS,MATCH($P$1,Database!$A$1:$AS$1,0),FALSE)=0,#N/A,VLOOKUP(A199,Database!$A:$AS,MATCH($P$1,Database!$A$1:$AS$1,0),FALSE))</f>
        <v/>
      </c>
      <c r="Q199" s="76">
        <f>(((Table134567891011121314151617343[[#This Row],[JPN]]-VLOOKUP($U$1,A:Q,16,))/VLOOKUP($U$1,A:Q,16,))*100)+100</f>
        <v/>
      </c>
    </row>
    <row r="200" customFormat="1" s="86">
      <c r="A200" s="21" t="n">
        <v>38899</v>
      </c>
      <c r="B200" s="76">
        <f>IF(VLOOKUP(A200,Database!$A:$AS,MATCH($B$1,Database!$A$1:$AS$1,0),FALSE)=0,#N/A,VLOOKUP(A200,Database!$A:$AS,MATCH($B$1,Database!$A$1:$AS$1,0),FALSE))</f>
        <v/>
      </c>
      <c r="C200" s="76">
        <f>IF(VLOOKUP(A200,Database!$A:$AS,MATCH($C$1,Database!$A$1:$AS$1,0),FALSE)=0,#N/A,VLOOKUP(A200,Database!$A:$AS,MATCH($C$1,Database!$A$1:$AS$1,0),FALSE))</f>
        <v/>
      </c>
      <c r="D200" s="76">
        <f>IF(VLOOKUP(A200,Database!$A:$AS,MATCH($D$1,Database!$A$1:$AS$1,0),FALSE)=0,#N/A,VLOOKUP(A200,Database!$A:$AS,MATCH($D$1,Database!$A$1:$AS$1,0),FALSE))</f>
        <v/>
      </c>
      <c r="E200" s="76">
        <f>IF(VLOOKUP(A200,Database!$A:$AS,MATCH($E$1,Database!$A$1:$AS$1,0),FALSE)=0,#N/A,VLOOKUP(A200,Database!$A:$AS,MATCH($E$1,Database!$A$1:$AS$1,0),FALSE))</f>
        <v/>
      </c>
      <c r="F200" s="76">
        <f>IF(VLOOKUP(A200,Database!$A:$AS,MATCH($F$1,Database!$A$1:$AS$1,0),FALSE)=0,#N/A,VLOOKUP(A200,Database!$A:$AS,MATCH($F$1,Database!$A$1:$AS$1,0),FALSE))</f>
        <v/>
      </c>
      <c r="G200" s="76">
        <f>IF(VLOOKUP(A200,Database!$A:$AS,MATCH($G$1,Database!$A$1:$AS$1,0),FALSE)=0,#N/A,VLOOKUP(A200,Database!$A:$AS,MATCH($G$1,Database!$A$1:$AS$1,0),FALSE))</f>
        <v/>
      </c>
      <c r="H200" s="76">
        <f>(((Table134567891011121314151617343[[#This Row],[ITA]]-VLOOKUP($U$1,A:B,2,))/VLOOKUP($U$1,A:B,2,))*100)+100</f>
        <v/>
      </c>
      <c r="I200" s="76">
        <f>(((Table134567891011121314151617343[[#This Row],[FRA]]-VLOOKUP($U$1,A:C,3,))/VLOOKUP($U$1,A:C,3,))*100)+100</f>
        <v/>
      </c>
      <c r="J200" s="76">
        <f>(((Table134567891011121314151617343[[#This Row],[DEU]]-VLOOKUP($U$1,A:D,4,))/VLOOKUP($U$1,A:D,4,))*100)+100</f>
        <v/>
      </c>
      <c r="K200" s="76">
        <f>(((Table134567891011121314151617343[[#This Row],[ESP]]-VLOOKUP($U$1,A:E,5,))/VLOOKUP($U$1,A:E,5,))*100)+100</f>
        <v/>
      </c>
      <c r="L200" s="76">
        <f>(((Table134567891011121314151617343[[#This Row],[EA19]]-VLOOKUP($U$1,A:F,6,))/VLOOKUP($U$1,A:F,6,))*100)+100</f>
        <v/>
      </c>
      <c r="M200" s="76">
        <f>(((Table134567891011121314151617343[[#This Row],[GBR]]-VLOOKUP($U$1,A:G,7,))/VLOOKUP($U$1,A:G,7,))*100)+100</f>
        <v/>
      </c>
      <c r="N200" s="76">
        <f>IF(VLOOKUP(A200,Database!$A:$AU,MATCH($N$1,Database!$A$1:$AU$1,0),FALSE)=0,#N/A,VLOOKUP(A200,Database!$A:$AU,MATCH($N$1,Database!$A$1:$AU$1,0),FALSE))</f>
        <v/>
      </c>
      <c r="O200" s="76">
        <f>(((Table134567891011121314151617343[[#This Row],[USA]]-VLOOKUP($U$1,A:N,14,))/VLOOKUP($U$1,A:N,14,))*100)+100</f>
        <v/>
      </c>
      <c r="P200" s="76">
        <f>IF(VLOOKUP(A200,Database!$A:$AS,MATCH($P$1,Database!$A$1:$AS$1,0),FALSE)=0,#N/A,VLOOKUP(A200,Database!$A:$AS,MATCH($P$1,Database!$A$1:$AS$1,0),FALSE))</f>
        <v/>
      </c>
      <c r="Q200" s="76">
        <f>(((Table134567891011121314151617343[[#This Row],[JPN]]-VLOOKUP($U$1,A:Q,16,))/VLOOKUP($U$1,A:Q,16,))*100)+100</f>
        <v/>
      </c>
    </row>
    <row r="201" customFormat="1" s="86">
      <c r="A201" s="21" t="n">
        <v>38930</v>
      </c>
      <c r="B201" s="76">
        <f>IF(VLOOKUP(A201,Database!$A:$AS,MATCH($B$1,Database!$A$1:$AS$1,0),FALSE)=0,#N/A,VLOOKUP(A201,Database!$A:$AS,MATCH($B$1,Database!$A$1:$AS$1,0),FALSE))</f>
        <v/>
      </c>
      <c r="C201" s="76">
        <f>IF(VLOOKUP(A201,Database!$A:$AS,MATCH($C$1,Database!$A$1:$AS$1,0),FALSE)=0,#N/A,VLOOKUP(A201,Database!$A:$AS,MATCH($C$1,Database!$A$1:$AS$1,0),FALSE))</f>
        <v/>
      </c>
      <c r="D201" s="76">
        <f>IF(VLOOKUP(A201,Database!$A:$AS,MATCH($D$1,Database!$A$1:$AS$1,0),FALSE)=0,#N/A,VLOOKUP(A201,Database!$A:$AS,MATCH($D$1,Database!$A$1:$AS$1,0),FALSE))</f>
        <v/>
      </c>
      <c r="E201" s="76">
        <f>IF(VLOOKUP(A201,Database!$A:$AS,MATCH($E$1,Database!$A$1:$AS$1,0),FALSE)=0,#N/A,VLOOKUP(A201,Database!$A:$AS,MATCH($E$1,Database!$A$1:$AS$1,0),FALSE))</f>
        <v/>
      </c>
      <c r="F201" s="76">
        <f>IF(VLOOKUP(A201,Database!$A:$AS,MATCH($F$1,Database!$A$1:$AS$1,0),FALSE)=0,#N/A,VLOOKUP(A201,Database!$A:$AS,MATCH($F$1,Database!$A$1:$AS$1,0),FALSE))</f>
        <v/>
      </c>
      <c r="G201" s="76">
        <f>IF(VLOOKUP(A201,Database!$A:$AS,MATCH($G$1,Database!$A$1:$AS$1,0),FALSE)=0,#N/A,VLOOKUP(A201,Database!$A:$AS,MATCH($G$1,Database!$A$1:$AS$1,0),FALSE))</f>
        <v/>
      </c>
      <c r="H201" s="76">
        <f>(((Table134567891011121314151617343[[#This Row],[ITA]]-VLOOKUP($U$1,A:B,2,))/VLOOKUP($U$1,A:B,2,))*100)+100</f>
        <v/>
      </c>
      <c r="I201" s="76">
        <f>(((Table134567891011121314151617343[[#This Row],[FRA]]-VLOOKUP($U$1,A:C,3,))/VLOOKUP($U$1,A:C,3,))*100)+100</f>
        <v/>
      </c>
      <c r="J201" s="76">
        <f>(((Table134567891011121314151617343[[#This Row],[DEU]]-VLOOKUP($U$1,A:D,4,))/VLOOKUP($U$1,A:D,4,))*100)+100</f>
        <v/>
      </c>
      <c r="K201" s="76">
        <f>(((Table134567891011121314151617343[[#This Row],[ESP]]-VLOOKUP($U$1,A:E,5,))/VLOOKUP($U$1,A:E,5,))*100)+100</f>
        <v/>
      </c>
      <c r="L201" s="76">
        <f>(((Table134567891011121314151617343[[#This Row],[EA19]]-VLOOKUP($U$1,A:F,6,))/VLOOKUP($U$1,A:F,6,))*100)+100</f>
        <v/>
      </c>
      <c r="M201" s="76">
        <f>(((Table134567891011121314151617343[[#This Row],[GBR]]-VLOOKUP($U$1,A:G,7,))/VLOOKUP($U$1,A:G,7,))*100)+100</f>
        <v/>
      </c>
      <c r="N201" s="76">
        <f>IF(VLOOKUP(A201,Database!$A:$AU,MATCH($N$1,Database!$A$1:$AU$1,0),FALSE)=0,#N/A,VLOOKUP(A201,Database!$A:$AU,MATCH($N$1,Database!$A$1:$AU$1,0),FALSE))</f>
        <v/>
      </c>
      <c r="O201" s="76">
        <f>(((Table134567891011121314151617343[[#This Row],[USA]]-VLOOKUP($U$1,A:N,14,))/VLOOKUP($U$1,A:N,14,))*100)+100</f>
        <v/>
      </c>
      <c r="P201" s="76">
        <f>IF(VLOOKUP(A201,Database!$A:$AS,MATCH($P$1,Database!$A$1:$AS$1,0),FALSE)=0,#N/A,VLOOKUP(A201,Database!$A:$AS,MATCH($P$1,Database!$A$1:$AS$1,0),FALSE))</f>
        <v/>
      </c>
      <c r="Q201" s="76">
        <f>(((Table134567891011121314151617343[[#This Row],[JPN]]-VLOOKUP($U$1,A:Q,16,))/VLOOKUP($U$1,A:Q,16,))*100)+100</f>
        <v/>
      </c>
    </row>
    <row r="202" customFormat="1" s="86">
      <c r="A202" s="21" t="n">
        <v>38961</v>
      </c>
      <c r="B202" s="76">
        <f>IF(VLOOKUP(A202,Database!$A:$AS,MATCH($B$1,Database!$A$1:$AS$1,0),FALSE)=0,#N/A,VLOOKUP(A202,Database!$A:$AS,MATCH($B$1,Database!$A$1:$AS$1,0),FALSE))</f>
        <v/>
      </c>
      <c r="C202" s="76">
        <f>IF(VLOOKUP(A202,Database!$A:$AS,MATCH($C$1,Database!$A$1:$AS$1,0),FALSE)=0,#N/A,VLOOKUP(A202,Database!$A:$AS,MATCH($C$1,Database!$A$1:$AS$1,0),FALSE))</f>
        <v/>
      </c>
      <c r="D202" s="76">
        <f>IF(VLOOKUP(A202,Database!$A:$AS,MATCH($D$1,Database!$A$1:$AS$1,0),FALSE)=0,#N/A,VLOOKUP(A202,Database!$A:$AS,MATCH($D$1,Database!$A$1:$AS$1,0),FALSE))</f>
        <v/>
      </c>
      <c r="E202" s="76">
        <f>IF(VLOOKUP(A202,Database!$A:$AS,MATCH($E$1,Database!$A$1:$AS$1,0),FALSE)=0,#N/A,VLOOKUP(A202,Database!$A:$AS,MATCH($E$1,Database!$A$1:$AS$1,0),FALSE))</f>
        <v/>
      </c>
      <c r="F202" s="76">
        <f>IF(VLOOKUP(A202,Database!$A:$AS,MATCH($F$1,Database!$A$1:$AS$1,0),FALSE)=0,#N/A,VLOOKUP(A202,Database!$A:$AS,MATCH($F$1,Database!$A$1:$AS$1,0),FALSE))</f>
        <v/>
      </c>
      <c r="G202" s="76">
        <f>IF(VLOOKUP(A202,Database!$A:$AS,MATCH($G$1,Database!$A$1:$AS$1,0),FALSE)=0,#N/A,VLOOKUP(A202,Database!$A:$AS,MATCH($G$1,Database!$A$1:$AS$1,0),FALSE))</f>
        <v/>
      </c>
      <c r="H202" s="76">
        <f>(((Table134567891011121314151617343[[#This Row],[ITA]]-VLOOKUP($U$1,A:B,2,))/VLOOKUP($U$1,A:B,2,))*100)+100</f>
        <v/>
      </c>
      <c r="I202" s="76">
        <f>(((Table134567891011121314151617343[[#This Row],[FRA]]-VLOOKUP($U$1,A:C,3,))/VLOOKUP($U$1,A:C,3,))*100)+100</f>
        <v/>
      </c>
      <c r="J202" s="76">
        <f>(((Table134567891011121314151617343[[#This Row],[DEU]]-VLOOKUP($U$1,A:D,4,))/VLOOKUP($U$1,A:D,4,))*100)+100</f>
        <v/>
      </c>
      <c r="K202" s="76">
        <f>(((Table134567891011121314151617343[[#This Row],[ESP]]-VLOOKUP($U$1,A:E,5,))/VLOOKUP($U$1,A:E,5,))*100)+100</f>
        <v/>
      </c>
      <c r="L202" s="76">
        <f>(((Table134567891011121314151617343[[#This Row],[EA19]]-VLOOKUP($U$1,A:F,6,))/VLOOKUP($U$1,A:F,6,))*100)+100</f>
        <v/>
      </c>
      <c r="M202" s="76">
        <f>(((Table134567891011121314151617343[[#This Row],[GBR]]-VLOOKUP($U$1,A:G,7,))/VLOOKUP($U$1,A:G,7,))*100)+100</f>
        <v/>
      </c>
      <c r="N202" s="76">
        <f>IF(VLOOKUP(A202,Database!$A:$AU,MATCH($N$1,Database!$A$1:$AU$1,0),FALSE)=0,#N/A,VLOOKUP(A202,Database!$A:$AU,MATCH($N$1,Database!$A$1:$AU$1,0),FALSE))</f>
        <v/>
      </c>
      <c r="O202" s="76">
        <f>(((Table134567891011121314151617343[[#This Row],[USA]]-VLOOKUP($U$1,A:N,14,))/VLOOKUP($U$1,A:N,14,))*100)+100</f>
        <v/>
      </c>
      <c r="P202" s="76">
        <f>IF(VLOOKUP(A202,Database!$A:$AS,MATCH($P$1,Database!$A$1:$AS$1,0),FALSE)=0,#N/A,VLOOKUP(A202,Database!$A:$AS,MATCH($P$1,Database!$A$1:$AS$1,0),FALSE))</f>
        <v/>
      </c>
      <c r="Q202" s="76">
        <f>(((Table134567891011121314151617343[[#This Row],[JPN]]-VLOOKUP($U$1,A:Q,16,))/VLOOKUP($U$1,A:Q,16,))*100)+100</f>
        <v/>
      </c>
    </row>
    <row r="203" customFormat="1" s="86">
      <c r="A203" s="21" t="n">
        <v>38991</v>
      </c>
      <c r="B203" s="76">
        <f>IF(VLOOKUP(A203,Database!$A:$AS,MATCH($B$1,Database!$A$1:$AS$1,0),FALSE)=0,#N/A,VLOOKUP(A203,Database!$A:$AS,MATCH($B$1,Database!$A$1:$AS$1,0),FALSE))</f>
        <v/>
      </c>
      <c r="C203" s="76">
        <f>IF(VLOOKUP(A203,Database!$A:$AS,MATCH($C$1,Database!$A$1:$AS$1,0),FALSE)=0,#N/A,VLOOKUP(A203,Database!$A:$AS,MATCH($C$1,Database!$A$1:$AS$1,0),FALSE))</f>
        <v/>
      </c>
      <c r="D203" s="76">
        <f>IF(VLOOKUP(A203,Database!$A:$AS,MATCH($D$1,Database!$A$1:$AS$1,0),FALSE)=0,#N/A,VLOOKUP(A203,Database!$A:$AS,MATCH($D$1,Database!$A$1:$AS$1,0),FALSE))</f>
        <v/>
      </c>
      <c r="E203" s="76">
        <f>IF(VLOOKUP(A203,Database!$A:$AS,MATCH($E$1,Database!$A$1:$AS$1,0),FALSE)=0,#N/A,VLOOKUP(A203,Database!$A:$AS,MATCH($E$1,Database!$A$1:$AS$1,0),FALSE))</f>
        <v/>
      </c>
      <c r="F203" s="76">
        <f>IF(VLOOKUP(A203,Database!$A:$AS,MATCH($F$1,Database!$A$1:$AS$1,0),FALSE)=0,#N/A,VLOOKUP(A203,Database!$A:$AS,MATCH($F$1,Database!$A$1:$AS$1,0),FALSE))</f>
        <v/>
      </c>
      <c r="G203" s="76">
        <f>IF(VLOOKUP(A203,Database!$A:$AS,MATCH($G$1,Database!$A$1:$AS$1,0),FALSE)=0,#N/A,VLOOKUP(A203,Database!$A:$AS,MATCH($G$1,Database!$A$1:$AS$1,0),FALSE))</f>
        <v/>
      </c>
      <c r="H203" s="76">
        <f>(((Table134567891011121314151617343[[#This Row],[ITA]]-VLOOKUP($U$1,A:B,2,))/VLOOKUP($U$1,A:B,2,))*100)+100</f>
        <v/>
      </c>
      <c r="I203" s="76">
        <f>(((Table134567891011121314151617343[[#This Row],[FRA]]-VLOOKUP($U$1,A:C,3,))/VLOOKUP($U$1,A:C,3,))*100)+100</f>
        <v/>
      </c>
      <c r="J203" s="76">
        <f>(((Table134567891011121314151617343[[#This Row],[DEU]]-VLOOKUP($U$1,A:D,4,))/VLOOKUP($U$1,A:D,4,))*100)+100</f>
        <v/>
      </c>
      <c r="K203" s="76">
        <f>(((Table134567891011121314151617343[[#This Row],[ESP]]-VLOOKUP($U$1,A:E,5,))/VLOOKUP($U$1,A:E,5,))*100)+100</f>
        <v/>
      </c>
      <c r="L203" s="76">
        <f>(((Table134567891011121314151617343[[#This Row],[EA19]]-VLOOKUP($U$1,A:F,6,))/VLOOKUP($U$1,A:F,6,))*100)+100</f>
        <v/>
      </c>
      <c r="M203" s="76">
        <f>(((Table134567891011121314151617343[[#This Row],[GBR]]-VLOOKUP($U$1,A:G,7,))/VLOOKUP($U$1,A:G,7,))*100)+100</f>
        <v/>
      </c>
      <c r="N203" s="76">
        <f>IF(VLOOKUP(A203,Database!$A:$AU,MATCH($N$1,Database!$A$1:$AU$1,0),FALSE)=0,#N/A,VLOOKUP(A203,Database!$A:$AU,MATCH($N$1,Database!$A$1:$AU$1,0),FALSE))</f>
        <v/>
      </c>
      <c r="O203" s="76">
        <f>(((Table134567891011121314151617343[[#This Row],[USA]]-VLOOKUP($U$1,A:N,14,))/VLOOKUP($U$1,A:N,14,))*100)+100</f>
        <v/>
      </c>
      <c r="P203" s="76">
        <f>IF(VLOOKUP(A203,Database!$A:$AS,MATCH($P$1,Database!$A$1:$AS$1,0),FALSE)=0,#N/A,VLOOKUP(A203,Database!$A:$AS,MATCH($P$1,Database!$A$1:$AS$1,0),FALSE))</f>
        <v/>
      </c>
      <c r="Q203" s="76">
        <f>(((Table134567891011121314151617343[[#This Row],[JPN]]-VLOOKUP($U$1,A:Q,16,))/VLOOKUP($U$1,A:Q,16,))*100)+100</f>
        <v/>
      </c>
    </row>
    <row r="204" customFormat="1" s="86">
      <c r="A204" s="21" t="n">
        <v>39022</v>
      </c>
      <c r="B204" s="76">
        <f>IF(VLOOKUP(A204,Database!$A:$AS,MATCH($B$1,Database!$A$1:$AS$1,0),FALSE)=0,#N/A,VLOOKUP(A204,Database!$A:$AS,MATCH($B$1,Database!$A$1:$AS$1,0),FALSE))</f>
        <v/>
      </c>
      <c r="C204" s="76">
        <f>IF(VLOOKUP(A204,Database!$A:$AS,MATCH($C$1,Database!$A$1:$AS$1,0),FALSE)=0,#N/A,VLOOKUP(A204,Database!$A:$AS,MATCH($C$1,Database!$A$1:$AS$1,0),FALSE))</f>
        <v/>
      </c>
      <c r="D204" s="76">
        <f>IF(VLOOKUP(A204,Database!$A:$AS,MATCH($D$1,Database!$A$1:$AS$1,0),FALSE)=0,#N/A,VLOOKUP(A204,Database!$A:$AS,MATCH($D$1,Database!$A$1:$AS$1,0),FALSE))</f>
        <v/>
      </c>
      <c r="E204" s="76">
        <f>IF(VLOOKUP(A204,Database!$A:$AS,MATCH($E$1,Database!$A$1:$AS$1,0),FALSE)=0,#N/A,VLOOKUP(A204,Database!$A:$AS,MATCH($E$1,Database!$A$1:$AS$1,0),FALSE))</f>
        <v/>
      </c>
      <c r="F204" s="76">
        <f>IF(VLOOKUP(A204,Database!$A:$AS,MATCH($F$1,Database!$A$1:$AS$1,0),FALSE)=0,#N/A,VLOOKUP(A204,Database!$A:$AS,MATCH($F$1,Database!$A$1:$AS$1,0),FALSE))</f>
        <v/>
      </c>
      <c r="G204" s="76">
        <f>IF(VLOOKUP(A204,Database!$A:$AS,MATCH($G$1,Database!$A$1:$AS$1,0),FALSE)=0,#N/A,VLOOKUP(A204,Database!$A:$AS,MATCH($G$1,Database!$A$1:$AS$1,0),FALSE))</f>
        <v/>
      </c>
      <c r="H204" s="76">
        <f>(((Table134567891011121314151617343[[#This Row],[ITA]]-VLOOKUP($U$1,A:B,2,))/VLOOKUP($U$1,A:B,2,))*100)+100</f>
        <v/>
      </c>
      <c r="I204" s="76">
        <f>(((Table134567891011121314151617343[[#This Row],[FRA]]-VLOOKUP($U$1,A:C,3,))/VLOOKUP($U$1,A:C,3,))*100)+100</f>
        <v/>
      </c>
      <c r="J204" s="76">
        <f>(((Table134567891011121314151617343[[#This Row],[DEU]]-VLOOKUP($U$1,A:D,4,))/VLOOKUP($U$1,A:D,4,))*100)+100</f>
        <v/>
      </c>
      <c r="K204" s="76">
        <f>(((Table134567891011121314151617343[[#This Row],[ESP]]-VLOOKUP($U$1,A:E,5,))/VLOOKUP($U$1,A:E,5,))*100)+100</f>
        <v/>
      </c>
      <c r="L204" s="76">
        <f>(((Table134567891011121314151617343[[#This Row],[EA19]]-VLOOKUP($U$1,A:F,6,))/VLOOKUP($U$1,A:F,6,))*100)+100</f>
        <v/>
      </c>
      <c r="M204" s="76">
        <f>(((Table134567891011121314151617343[[#This Row],[GBR]]-VLOOKUP($U$1,A:G,7,))/VLOOKUP($U$1,A:G,7,))*100)+100</f>
        <v/>
      </c>
      <c r="N204" s="76">
        <f>IF(VLOOKUP(A204,Database!$A:$AU,MATCH($N$1,Database!$A$1:$AU$1,0),FALSE)=0,#N/A,VLOOKUP(A204,Database!$A:$AU,MATCH($N$1,Database!$A$1:$AU$1,0),FALSE))</f>
        <v/>
      </c>
      <c r="O204" s="76">
        <f>(((Table134567891011121314151617343[[#This Row],[USA]]-VLOOKUP($U$1,A:N,14,))/VLOOKUP($U$1,A:N,14,))*100)+100</f>
        <v/>
      </c>
      <c r="P204" s="76">
        <f>IF(VLOOKUP(A204,Database!$A:$AS,MATCH($P$1,Database!$A$1:$AS$1,0),FALSE)=0,#N/A,VLOOKUP(A204,Database!$A:$AS,MATCH($P$1,Database!$A$1:$AS$1,0),FALSE))</f>
        <v/>
      </c>
      <c r="Q204" s="76">
        <f>(((Table134567891011121314151617343[[#This Row],[JPN]]-VLOOKUP($U$1,A:Q,16,))/VLOOKUP($U$1,A:Q,16,))*100)+100</f>
        <v/>
      </c>
    </row>
    <row r="205" customFormat="1" s="86">
      <c r="A205" s="21" t="n">
        <v>39052</v>
      </c>
      <c r="B205" s="76">
        <f>IF(VLOOKUP(A205,Database!$A:$AS,MATCH($B$1,Database!$A$1:$AS$1,0),FALSE)=0,#N/A,VLOOKUP(A205,Database!$A:$AS,MATCH($B$1,Database!$A$1:$AS$1,0),FALSE))</f>
        <v/>
      </c>
      <c r="C205" s="76">
        <f>IF(VLOOKUP(A205,Database!$A:$AS,MATCH($C$1,Database!$A$1:$AS$1,0),FALSE)=0,#N/A,VLOOKUP(A205,Database!$A:$AS,MATCH($C$1,Database!$A$1:$AS$1,0),FALSE))</f>
        <v/>
      </c>
      <c r="D205" s="76">
        <f>IF(VLOOKUP(A205,Database!$A:$AS,MATCH($D$1,Database!$A$1:$AS$1,0),FALSE)=0,#N/A,VLOOKUP(A205,Database!$A:$AS,MATCH($D$1,Database!$A$1:$AS$1,0),FALSE))</f>
        <v/>
      </c>
      <c r="E205" s="76">
        <f>IF(VLOOKUP(A205,Database!$A:$AS,MATCH($E$1,Database!$A$1:$AS$1,0),FALSE)=0,#N/A,VLOOKUP(A205,Database!$A:$AS,MATCH($E$1,Database!$A$1:$AS$1,0),FALSE))</f>
        <v/>
      </c>
      <c r="F205" s="76">
        <f>IF(VLOOKUP(A205,Database!$A:$AS,MATCH($F$1,Database!$A$1:$AS$1,0),FALSE)=0,#N/A,VLOOKUP(A205,Database!$A:$AS,MATCH($F$1,Database!$A$1:$AS$1,0),FALSE))</f>
        <v/>
      </c>
      <c r="G205" s="76">
        <f>IF(VLOOKUP(A205,Database!$A:$AS,MATCH($G$1,Database!$A$1:$AS$1,0),FALSE)=0,#N/A,VLOOKUP(A205,Database!$A:$AS,MATCH($G$1,Database!$A$1:$AS$1,0),FALSE))</f>
        <v/>
      </c>
      <c r="H205" s="76">
        <f>(((Table134567891011121314151617343[[#This Row],[ITA]]-VLOOKUP($U$1,A:B,2,))/VLOOKUP($U$1,A:B,2,))*100)+100</f>
        <v/>
      </c>
      <c r="I205" s="76">
        <f>(((Table134567891011121314151617343[[#This Row],[FRA]]-VLOOKUP($U$1,A:C,3,))/VLOOKUP($U$1,A:C,3,))*100)+100</f>
        <v/>
      </c>
      <c r="J205" s="76">
        <f>(((Table134567891011121314151617343[[#This Row],[DEU]]-VLOOKUP($U$1,A:D,4,))/VLOOKUP($U$1,A:D,4,))*100)+100</f>
        <v/>
      </c>
      <c r="K205" s="76">
        <f>(((Table134567891011121314151617343[[#This Row],[ESP]]-VLOOKUP($U$1,A:E,5,))/VLOOKUP($U$1,A:E,5,))*100)+100</f>
        <v/>
      </c>
      <c r="L205" s="76">
        <f>(((Table134567891011121314151617343[[#This Row],[EA19]]-VLOOKUP($U$1,A:F,6,))/VLOOKUP($U$1,A:F,6,))*100)+100</f>
        <v/>
      </c>
      <c r="M205" s="76">
        <f>(((Table134567891011121314151617343[[#This Row],[GBR]]-VLOOKUP($U$1,A:G,7,))/VLOOKUP($U$1,A:G,7,))*100)+100</f>
        <v/>
      </c>
      <c r="N205" s="76">
        <f>IF(VLOOKUP(A205,Database!$A:$AU,MATCH($N$1,Database!$A$1:$AU$1,0),FALSE)=0,#N/A,VLOOKUP(A205,Database!$A:$AU,MATCH($N$1,Database!$A$1:$AU$1,0),FALSE))</f>
        <v/>
      </c>
      <c r="O205" s="76">
        <f>(((Table134567891011121314151617343[[#This Row],[USA]]-VLOOKUP($U$1,A:N,14,))/VLOOKUP($U$1,A:N,14,))*100)+100</f>
        <v/>
      </c>
      <c r="P205" s="76">
        <f>IF(VLOOKUP(A205,Database!$A:$AS,MATCH($P$1,Database!$A$1:$AS$1,0),FALSE)=0,#N/A,VLOOKUP(A205,Database!$A:$AS,MATCH($P$1,Database!$A$1:$AS$1,0),FALSE))</f>
        <v/>
      </c>
      <c r="Q205" s="76">
        <f>(((Table134567891011121314151617343[[#This Row],[JPN]]-VLOOKUP($U$1,A:Q,16,))/VLOOKUP($U$1,A:Q,16,))*100)+100</f>
        <v/>
      </c>
    </row>
    <row r="206" customFormat="1" s="86">
      <c r="A206" s="21" t="n">
        <v>39083</v>
      </c>
      <c r="B206" s="76">
        <f>IF(VLOOKUP(A206,Database!$A:$AS,MATCH($B$1,Database!$A$1:$AS$1,0),FALSE)=0,#N/A,VLOOKUP(A206,Database!$A:$AS,MATCH($B$1,Database!$A$1:$AS$1,0),FALSE))</f>
        <v/>
      </c>
      <c r="C206" s="76">
        <f>IF(VLOOKUP(A206,Database!$A:$AS,MATCH($C$1,Database!$A$1:$AS$1,0),FALSE)=0,#N/A,VLOOKUP(A206,Database!$A:$AS,MATCH($C$1,Database!$A$1:$AS$1,0),FALSE))</f>
        <v/>
      </c>
      <c r="D206" s="76">
        <f>IF(VLOOKUP(A206,Database!$A:$AS,MATCH($D$1,Database!$A$1:$AS$1,0),FALSE)=0,#N/A,VLOOKUP(A206,Database!$A:$AS,MATCH($D$1,Database!$A$1:$AS$1,0),FALSE))</f>
        <v/>
      </c>
      <c r="E206" s="76">
        <f>IF(VLOOKUP(A206,Database!$A:$AS,MATCH($E$1,Database!$A$1:$AS$1,0),FALSE)=0,#N/A,VLOOKUP(A206,Database!$A:$AS,MATCH($E$1,Database!$A$1:$AS$1,0),FALSE))</f>
        <v/>
      </c>
      <c r="F206" s="76">
        <f>IF(VLOOKUP(A206,Database!$A:$AS,MATCH($F$1,Database!$A$1:$AS$1,0),FALSE)=0,#N/A,VLOOKUP(A206,Database!$A:$AS,MATCH($F$1,Database!$A$1:$AS$1,0),FALSE))</f>
        <v/>
      </c>
      <c r="G206" s="76">
        <f>IF(VLOOKUP(A206,Database!$A:$AS,MATCH($G$1,Database!$A$1:$AS$1,0),FALSE)=0,#N/A,VLOOKUP(A206,Database!$A:$AS,MATCH($G$1,Database!$A$1:$AS$1,0),FALSE))</f>
        <v/>
      </c>
      <c r="H206" s="76">
        <f>(((Table134567891011121314151617343[[#This Row],[ITA]]-VLOOKUP($U$1,A:B,2,))/VLOOKUP($U$1,A:B,2,))*100)+100</f>
        <v/>
      </c>
      <c r="I206" s="76">
        <f>(((Table134567891011121314151617343[[#This Row],[FRA]]-VLOOKUP($U$1,A:C,3,))/VLOOKUP($U$1,A:C,3,))*100)+100</f>
        <v/>
      </c>
      <c r="J206" s="76">
        <f>(((Table134567891011121314151617343[[#This Row],[DEU]]-VLOOKUP($U$1,A:D,4,))/VLOOKUP($U$1,A:D,4,))*100)+100</f>
        <v/>
      </c>
      <c r="K206" s="76">
        <f>(((Table134567891011121314151617343[[#This Row],[ESP]]-VLOOKUP($U$1,A:E,5,))/VLOOKUP($U$1,A:E,5,))*100)+100</f>
        <v/>
      </c>
      <c r="L206" s="76">
        <f>(((Table134567891011121314151617343[[#This Row],[EA19]]-VLOOKUP($U$1,A:F,6,))/VLOOKUP($U$1,A:F,6,))*100)+100</f>
        <v/>
      </c>
      <c r="M206" s="76">
        <f>(((Table134567891011121314151617343[[#This Row],[GBR]]-VLOOKUP($U$1,A:G,7,))/VLOOKUP($U$1,A:G,7,))*100)+100</f>
        <v/>
      </c>
      <c r="N206" s="76">
        <f>IF(VLOOKUP(A206,Database!$A:$AU,MATCH($N$1,Database!$A$1:$AU$1,0),FALSE)=0,#N/A,VLOOKUP(A206,Database!$A:$AU,MATCH($N$1,Database!$A$1:$AU$1,0),FALSE))</f>
        <v/>
      </c>
      <c r="O206" s="76">
        <f>(((Table134567891011121314151617343[[#This Row],[USA]]-VLOOKUP($U$1,A:N,14,))/VLOOKUP($U$1,A:N,14,))*100)+100</f>
        <v/>
      </c>
      <c r="P206" s="76">
        <f>IF(VLOOKUP(A206,Database!$A:$AS,MATCH($P$1,Database!$A$1:$AS$1,0),FALSE)=0,#N/A,VLOOKUP(A206,Database!$A:$AS,MATCH($P$1,Database!$A$1:$AS$1,0),FALSE))</f>
        <v/>
      </c>
      <c r="Q206" s="76">
        <f>(((Table134567891011121314151617343[[#This Row],[JPN]]-VLOOKUP($U$1,A:Q,16,))/VLOOKUP($U$1,A:Q,16,))*100)+100</f>
        <v/>
      </c>
    </row>
    <row r="207" customFormat="1" s="86">
      <c r="A207" s="21" t="n">
        <v>39114</v>
      </c>
      <c r="B207" s="76">
        <f>IF(VLOOKUP(A207,Database!$A:$AS,MATCH($B$1,Database!$A$1:$AS$1,0),FALSE)=0,#N/A,VLOOKUP(A207,Database!$A:$AS,MATCH($B$1,Database!$A$1:$AS$1,0),FALSE))</f>
        <v/>
      </c>
      <c r="C207" s="76">
        <f>IF(VLOOKUP(A207,Database!$A:$AS,MATCH($C$1,Database!$A$1:$AS$1,0),FALSE)=0,#N/A,VLOOKUP(A207,Database!$A:$AS,MATCH($C$1,Database!$A$1:$AS$1,0),FALSE))</f>
        <v/>
      </c>
      <c r="D207" s="76">
        <f>IF(VLOOKUP(A207,Database!$A:$AS,MATCH($D$1,Database!$A$1:$AS$1,0),FALSE)=0,#N/A,VLOOKUP(A207,Database!$A:$AS,MATCH($D$1,Database!$A$1:$AS$1,0),FALSE))</f>
        <v/>
      </c>
      <c r="E207" s="76">
        <f>IF(VLOOKUP(A207,Database!$A:$AS,MATCH($E$1,Database!$A$1:$AS$1,0),FALSE)=0,#N/A,VLOOKUP(A207,Database!$A:$AS,MATCH($E$1,Database!$A$1:$AS$1,0),FALSE))</f>
        <v/>
      </c>
      <c r="F207" s="76">
        <f>IF(VLOOKUP(A207,Database!$A:$AS,MATCH($F$1,Database!$A$1:$AS$1,0),FALSE)=0,#N/A,VLOOKUP(A207,Database!$A:$AS,MATCH($F$1,Database!$A$1:$AS$1,0),FALSE))</f>
        <v/>
      </c>
      <c r="G207" s="76">
        <f>IF(VLOOKUP(A207,Database!$A:$AS,MATCH($G$1,Database!$A$1:$AS$1,0),FALSE)=0,#N/A,VLOOKUP(A207,Database!$A:$AS,MATCH($G$1,Database!$A$1:$AS$1,0),FALSE))</f>
        <v/>
      </c>
      <c r="H207" s="76">
        <f>(((Table134567891011121314151617343[[#This Row],[ITA]]-VLOOKUP($U$1,A:B,2,))/VLOOKUP($U$1,A:B,2,))*100)+100</f>
        <v/>
      </c>
      <c r="I207" s="76">
        <f>(((Table134567891011121314151617343[[#This Row],[FRA]]-VLOOKUP($U$1,A:C,3,))/VLOOKUP($U$1,A:C,3,))*100)+100</f>
        <v/>
      </c>
      <c r="J207" s="76">
        <f>(((Table134567891011121314151617343[[#This Row],[DEU]]-VLOOKUP($U$1,A:D,4,))/VLOOKUP($U$1,A:D,4,))*100)+100</f>
        <v/>
      </c>
      <c r="K207" s="76">
        <f>(((Table134567891011121314151617343[[#This Row],[ESP]]-VLOOKUP($U$1,A:E,5,))/VLOOKUP($U$1,A:E,5,))*100)+100</f>
        <v/>
      </c>
      <c r="L207" s="76">
        <f>(((Table134567891011121314151617343[[#This Row],[EA19]]-VLOOKUP($U$1,A:F,6,))/VLOOKUP($U$1,A:F,6,))*100)+100</f>
        <v/>
      </c>
      <c r="M207" s="76">
        <f>(((Table134567891011121314151617343[[#This Row],[GBR]]-VLOOKUP($U$1,A:G,7,))/VLOOKUP($U$1,A:G,7,))*100)+100</f>
        <v/>
      </c>
      <c r="N207" s="76">
        <f>IF(VLOOKUP(A207,Database!$A:$AU,MATCH($N$1,Database!$A$1:$AU$1,0),FALSE)=0,#N/A,VLOOKUP(A207,Database!$A:$AU,MATCH($N$1,Database!$A$1:$AU$1,0),FALSE))</f>
        <v/>
      </c>
      <c r="O207" s="76">
        <f>(((Table134567891011121314151617343[[#This Row],[USA]]-VLOOKUP($U$1,A:N,14,))/VLOOKUP($U$1,A:N,14,))*100)+100</f>
        <v/>
      </c>
      <c r="P207" s="76">
        <f>IF(VLOOKUP(A207,Database!$A:$AS,MATCH($P$1,Database!$A$1:$AS$1,0),FALSE)=0,#N/A,VLOOKUP(A207,Database!$A:$AS,MATCH($P$1,Database!$A$1:$AS$1,0),FALSE))</f>
        <v/>
      </c>
      <c r="Q207" s="76">
        <f>(((Table134567891011121314151617343[[#This Row],[JPN]]-VLOOKUP($U$1,A:Q,16,))/VLOOKUP($U$1,A:Q,16,))*100)+100</f>
        <v/>
      </c>
    </row>
    <row r="208" customFormat="1" s="86">
      <c r="A208" s="21" t="n">
        <v>39142</v>
      </c>
      <c r="B208" s="76">
        <f>IF(VLOOKUP(A208,Database!$A:$AS,MATCH($B$1,Database!$A$1:$AS$1,0),FALSE)=0,#N/A,VLOOKUP(A208,Database!$A:$AS,MATCH($B$1,Database!$A$1:$AS$1,0),FALSE))</f>
        <v/>
      </c>
      <c r="C208" s="76">
        <f>IF(VLOOKUP(A208,Database!$A:$AS,MATCH($C$1,Database!$A$1:$AS$1,0),FALSE)=0,#N/A,VLOOKUP(A208,Database!$A:$AS,MATCH($C$1,Database!$A$1:$AS$1,0),FALSE))</f>
        <v/>
      </c>
      <c r="D208" s="76">
        <f>IF(VLOOKUP(A208,Database!$A:$AS,MATCH($D$1,Database!$A$1:$AS$1,0),FALSE)=0,#N/A,VLOOKUP(A208,Database!$A:$AS,MATCH($D$1,Database!$A$1:$AS$1,0),FALSE))</f>
        <v/>
      </c>
      <c r="E208" s="76">
        <f>IF(VLOOKUP(A208,Database!$A:$AS,MATCH($E$1,Database!$A$1:$AS$1,0),FALSE)=0,#N/A,VLOOKUP(A208,Database!$A:$AS,MATCH($E$1,Database!$A$1:$AS$1,0),FALSE))</f>
        <v/>
      </c>
      <c r="F208" s="76">
        <f>IF(VLOOKUP(A208,Database!$A:$AS,MATCH($F$1,Database!$A$1:$AS$1,0),FALSE)=0,#N/A,VLOOKUP(A208,Database!$A:$AS,MATCH($F$1,Database!$A$1:$AS$1,0),FALSE))</f>
        <v/>
      </c>
      <c r="G208" s="76">
        <f>IF(VLOOKUP(A208,Database!$A:$AS,MATCH($G$1,Database!$A$1:$AS$1,0),FALSE)=0,#N/A,VLOOKUP(A208,Database!$A:$AS,MATCH($G$1,Database!$A$1:$AS$1,0),FALSE))</f>
        <v/>
      </c>
      <c r="H208" s="76">
        <f>(((Table134567891011121314151617343[[#This Row],[ITA]]-VLOOKUP($U$1,A:B,2,))/VLOOKUP($U$1,A:B,2,))*100)+100</f>
        <v/>
      </c>
      <c r="I208" s="76">
        <f>(((Table134567891011121314151617343[[#This Row],[FRA]]-VLOOKUP($U$1,A:C,3,))/VLOOKUP($U$1,A:C,3,))*100)+100</f>
        <v/>
      </c>
      <c r="J208" s="76">
        <f>(((Table134567891011121314151617343[[#This Row],[DEU]]-VLOOKUP($U$1,A:D,4,))/VLOOKUP($U$1,A:D,4,))*100)+100</f>
        <v/>
      </c>
      <c r="K208" s="76">
        <f>(((Table134567891011121314151617343[[#This Row],[ESP]]-VLOOKUP($U$1,A:E,5,))/VLOOKUP($U$1,A:E,5,))*100)+100</f>
        <v/>
      </c>
      <c r="L208" s="76">
        <f>(((Table134567891011121314151617343[[#This Row],[EA19]]-VLOOKUP($U$1,A:F,6,))/VLOOKUP($U$1,A:F,6,))*100)+100</f>
        <v/>
      </c>
      <c r="M208" s="76">
        <f>(((Table134567891011121314151617343[[#This Row],[GBR]]-VLOOKUP($U$1,A:G,7,))/VLOOKUP($U$1,A:G,7,))*100)+100</f>
        <v/>
      </c>
      <c r="N208" s="76">
        <f>IF(VLOOKUP(A208,Database!$A:$AU,MATCH($N$1,Database!$A$1:$AU$1,0),FALSE)=0,#N/A,VLOOKUP(A208,Database!$A:$AU,MATCH($N$1,Database!$A$1:$AU$1,0),FALSE))</f>
        <v/>
      </c>
      <c r="O208" s="76">
        <f>(((Table134567891011121314151617343[[#This Row],[USA]]-VLOOKUP($U$1,A:N,14,))/VLOOKUP($U$1,A:N,14,))*100)+100</f>
        <v/>
      </c>
      <c r="P208" s="76">
        <f>IF(VLOOKUP(A208,Database!$A:$AS,MATCH($P$1,Database!$A$1:$AS$1,0),FALSE)=0,#N/A,VLOOKUP(A208,Database!$A:$AS,MATCH($P$1,Database!$A$1:$AS$1,0),FALSE))</f>
        <v/>
      </c>
      <c r="Q208" s="76">
        <f>(((Table134567891011121314151617343[[#This Row],[JPN]]-VLOOKUP($U$1,A:Q,16,))/VLOOKUP($U$1,A:Q,16,))*100)+100</f>
        <v/>
      </c>
    </row>
    <row r="209" customFormat="1" s="86">
      <c r="A209" s="21" t="n">
        <v>39173</v>
      </c>
      <c r="B209" s="76">
        <f>IF(VLOOKUP(A209,Database!$A:$AS,MATCH($B$1,Database!$A$1:$AS$1,0),FALSE)=0,#N/A,VLOOKUP(A209,Database!$A:$AS,MATCH($B$1,Database!$A$1:$AS$1,0),FALSE))</f>
        <v/>
      </c>
      <c r="C209" s="76">
        <f>IF(VLOOKUP(A209,Database!$A:$AS,MATCH($C$1,Database!$A$1:$AS$1,0),FALSE)=0,#N/A,VLOOKUP(A209,Database!$A:$AS,MATCH($C$1,Database!$A$1:$AS$1,0),FALSE))</f>
        <v/>
      </c>
      <c r="D209" s="76">
        <f>IF(VLOOKUP(A209,Database!$A:$AS,MATCH($D$1,Database!$A$1:$AS$1,0),FALSE)=0,#N/A,VLOOKUP(A209,Database!$A:$AS,MATCH($D$1,Database!$A$1:$AS$1,0),FALSE))</f>
        <v/>
      </c>
      <c r="E209" s="76">
        <f>IF(VLOOKUP(A209,Database!$A:$AS,MATCH($E$1,Database!$A$1:$AS$1,0),FALSE)=0,#N/A,VLOOKUP(A209,Database!$A:$AS,MATCH($E$1,Database!$A$1:$AS$1,0),FALSE))</f>
        <v/>
      </c>
      <c r="F209" s="76">
        <f>IF(VLOOKUP(A209,Database!$A:$AS,MATCH($F$1,Database!$A$1:$AS$1,0),FALSE)=0,#N/A,VLOOKUP(A209,Database!$A:$AS,MATCH($F$1,Database!$A$1:$AS$1,0),FALSE))</f>
        <v/>
      </c>
      <c r="G209" s="76">
        <f>IF(VLOOKUP(A209,Database!$A:$AS,MATCH($G$1,Database!$A$1:$AS$1,0),FALSE)=0,#N/A,VLOOKUP(A209,Database!$A:$AS,MATCH($G$1,Database!$A$1:$AS$1,0),FALSE))</f>
        <v/>
      </c>
      <c r="H209" s="76">
        <f>(((Table134567891011121314151617343[[#This Row],[ITA]]-VLOOKUP($U$1,A:B,2,))/VLOOKUP($U$1,A:B,2,))*100)+100</f>
        <v/>
      </c>
      <c r="I209" s="76">
        <f>(((Table134567891011121314151617343[[#This Row],[FRA]]-VLOOKUP($U$1,A:C,3,))/VLOOKUP($U$1,A:C,3,))*100)+100</f>
        <v/>
      </c>
      <c r="J209" s="76">
        <f>(((Table134567891011121314151617343[[#This Row],[DEU]]-VLOOKUP($U$1,A:D,4,))/VLOOKUP($U$1,A:D,4,))*100)+100</f>
        <v/>
      </c>
      <c r="K209" s="76">
        <f>(((Table134567891011121314151617343[[#This Row],[ESP]]-VLOOKUP($U$1,A:E,5,))/VLOOKUP($U$1,A:E,5,))*100)+100</f>
        <v/>
      </c>
      <c r="L209" s="76">
        <f>(((Table134567891011121314151617343[[#This Row],[EA19]]-VLOOKUP($U$1,A:F,6,))/VLOOKUP($U$1,A:F,6,))*100)+100</f>
        <v/>
      </c>
      <c r="M209" s="76">
        <f>(((Table134567891011121314151617343[[#This Row],[GBR]]-VLOOKUP($U$1,A:G,7,))/VLOOKUP($U$1,A:G,7,))*100)+100</f>
        <v/>
      </c>
      <c r="N209" s="76">
        <f>IF(VLOOKUP(A209,Database!$A:$AU,MATCH($N$1,Database!$A$1:$AU$1,0),FALSE)=0,#N/A,VLOOKUP(A209,Database!$A:$AU,MATCH($N$1,Database!$A$1:$AU$1,0),FALSE))</f>
        <v/>
      </c>
      <c r="O209" s="76">
        <f>(((Table134567891011121314151617343[[#This Row],[USA]]-VLOOKUP($U$1,A:N,14,))/VLOOKUP($U$1,A:N,14,))*100)+100</f>
        <v/>
      </c>
      <c r="P209" s="76">
        <f>IF(VLOOKUP(A209,Database!$A:$AS,MATCH($P$1,Database!$A$1:$AS$1,0),FALSE)=0,#N/A,VLOOKUP(A209,Database!$A:$AS,MATCH($P$1,Database!$A$1:$AS$1,0),FALSE))</f>
        <v/>
      </c>
      <c r="Q209" s="76">
        <f>(((Table134567891011121314151617343[[#This Row],[JPN]]-VLOOKUP($U$1,A:Q,16,))/VLOOKUP($U$1,A:Q,16,))*100)+100</f>
        <v/>
      </c>
    </row>
    <row r="210" customFormat="1" s="86">
      <c r="A210" s="21" t="n">
        <v>39203</v>
      </c>
      <c r="B210" s="76">
        <f>IF(VLOOKUP(A210,Database!$A:$AS,MATCH($B$1,Database!$A$1:$AS$1,0),FALSE)=0,#N/A,VLOOKUP(A210,Database!$A:$AS,MATCH($B$1,Database!$A$1:$AS$1,0),FALSE))</f>
        <v/>
      </c>
      <c r="C210" s="76">
        <f>IF(VLOOKUP(A210,Database!$A:$AS,MATCH($C$1,Database!$A$1:$AS$1,0),FALSE)=0,#N/A,VLOOKUP(A210,Database!$A:$AS,MATCH($C$1,Database!$A$1:$AS$1,0),FALSE))</f>
        <v/>
      </c>
      <c r="D210" s="76">
        <f>IF(VLOOKUP(A210,Database!$A:$AS,MATCH($D$1,Database!$A$1:$AS$1,0),FALSE)=0,#N/A,VLOOKUP(A210,Database!$A:$AS,MATCH($D$1,Database!$A$1:$AS$1,0),FALSE))</f>
        <v/>
      </c>
      <c r="E210" s="76">
        <f>IF(VLOOKUP(A210,Database!$A:$AS,MATCH($E$1,Database!$A$1:$AS$1,0),FALSE)=0,#N/A,VLOOKUP(A210,Database!$A:$AS,MATCH($E$1,Database!$A$1:$AS$1,0),FALSE))</f>
        <v/>
      </c>
      <c r="F210" s="76">
        <f>IF(VLOOKUP(A210,Database!$A:$AS,MATCH($F$1,Database!$A$1:$AS$1,0),FALSE)=0,#N/A,VLOOKUP(A210,Database!$A:$AS,MATCH($F$1,Database!$A$1:$AS$1,0),FALSE))</f>
        <v/>
      </c>
      <c r="G210" s="76">
        <f>IF(VLOOKUP(A210,Database!$A:$AS,MATCH($G$1,Database!$A$1:$AS$1,0),FALSE)=0,#N/A,VLOOKUP(A210,Database!$A:$AS,MATCH($G$1,Database!$A$1:$AS$1,0),FALSE))</f>
        <v/>
      </c>
      <c r="H210" s="76">
        <f>(((Table134567891011121314151617343[[#This Row],[ITA]]-VLOOKUP($U$1,A:B,2,))/VLOOKUP($U$1,A:B,2,))*100)+100</f>
        <v/>
      </c>
      <c r="I210" s="76">
        <f>(((Table134567891011121314151617343[[#This Row],[FRA]]-VLOOKUP($U$1,A:C,3,))/VLOOKUP($U$1,A:C,3,))*100)+100</f>
        <v/>
      </c>
      <c r="J210" s="76">
        <f>(((Table134567891011121314151617343[[#This Row],[DEU]]-VLOOKUP($U$1,A:D,4,))/VLOOKUP($U$1,A:D,4,))*100)+100</f>
        <v/>
      </c>
      <c r="K210" s="76">
        <f>(((Table134567891011121314151617343[[#This Row],[ESP]]-VLOOKUP($U$1,A:E,5,))/VLOOKUP($U$1,A:E,5,))*100)+100</f>
        <v/>
      </c>
      <c r="L210" s="76">
        <f>(((Table134567891011121314151617343[[#This Row],[EA19]]-VLOOKUP($U$1,A:F,6,))/VLOOKUP($U$1,A:F,6,))*100)+100</f>
        <v/>
      </c>
      <c r="M210" s="76">
        <f>(((Table134567891011121314151617343[[#This Row],[GBR]]-VLOOKUP($U$1,A:G,7,))/VLOOKUP($U$1,A:G,7,))*100)+100</f>
        <v/>
      </c>
      <c r="N210" s="76">
        <f>IF(VLOOKUP(A210,Database!$A:$AU,MATCH($N$1,Database!$A$1:$AU$1,0),FALSE)=0,#N/A,VLOOKUP(A210,Database!$A:$AU,MATCH($N$1,Database!$A$1:$AU$1,0),FALSE))</f>
        <v/>
      </c>
      <c r="O210" s="76">
        <f>(((Table134567891011121314151617343[[#This Row],[USA]]-VLOOKUP($U$1,A:N,14,))/VLOOKUP($U$1,A:N,14,))*100)+100</f>
        <v/>
      </c>
      <c r="P210" s="76">
        <f>IF(VLOOKUP(A210,Database!$A:$AS,MATCH($P$1,Database!$A$1:$AS$1,0),FALSE)=0,#N/A,VLOOKUP(A210,Database!$A:$AS,MATCH($P$1,Database!$A$1:$AS$1,0),FALSE))</f>
        <v/>
      </c>
      <c r="Q210" s="76">
        <f>(((Table134567891011121314151617343[[#This Row],[JPN]]-VLOOKUP($U$1,A:Q,16,))/VLOOKUP($U$1,A:Q,16,))*100)+100</f>
        <v/>
      </c>
    </row>
    <row r="211" customFormat="1" s="86">
      <c r="A211" s="21" t="n">
        <v>39234</v>
      </c>
      <c r="B211" s="76">
        <f>IF(VLOOKUP(A211,Database!$A:$AS,MATCH($B$1,Database!$A$1:$AS$1,0),FALSE)=0,#N/A,VLOOKUP(A211,Database!$A:$AS,MATCH($B$1,Database!$A$1:$AS$1,0),FALSE))</f>
        <v/>
      </c>
      <c r="C211" s="76">
        <f>IF(VLOOKUP(A211,Database!$A:$AS,MATCH($C$1,Database!$A$1:$AS$1,0),FALSE)=0,#N/A,VLOOKUP(A211,Database!$A:$AS,MATCH($C$1,Database!$A$1:$AS$1,0),FALSE))</f>
        <v/>
      </c>
      <c r="D211" s="76">
        <f>IF(VLOOKUP(A211,Database!$A:$AS,MATCH($D$1,Database!$A$1:$AS$1,0),FALSE)=0,#N/A,VLOOKUP(A211,Database!$A:$AS,MATCH($D$1,Database!$A$1:$AS$1,0),FALSE))</f>
        <v/>
      </c>
      <c r="E211" s="76">
        <f>IF(VLOOKUP(A211,Database!$A:$AS,MATCH($E$1,Database!$A$1:$AS$1,0),FALSE)=0,#N/A,VLOOKUP(A211,Database!$A:$AS,MATCH($E$1,Database!$A$1:$AS$1,0),FALSE))</f>
        <v/>
      </c>
      <c r="F211" s="76">
        <f>IF(VLOOKUP(A211,Database!$A:$AS,MATCH($F$1,Database!$A$1:$AS$1,0),FALSE)=0,#N/A,VLOOKUP(A211,Database!$A:$AS,MATCH($F$1,Database!$A$1:$AS$1,0),FALSE))</f>
        <v/>
      </c>
      <c r="G211" s="76">
        <f>IF(VLOOKUP(A211,Database!$A:$AS,MATCH($G$1,Database!$A$1:$AS$1,0),FALSE)=0,#N/A,VLOOKUP(A211,Database!$A:$AS,MATCH($G$1,Database!$A$1:$AS$1,0),FALSE))</f>
        <v/>
      </c>
      <c r="H211" s="76">
        <f>(((Table134567891011121314151617343[[#This Row],[ITA]]-VLOOKUP($U$1,A:B,2,))/VLOOKUP($U$1,A:B,2,))*100)+100</f>
        <v/>
      </c>
      <c r="I211" s="76">
        <f>(((Table134567891011121314151617343[[#This Row],[FRA]]-VLOOKUP($U$1,A:C,3,))/VLOOKUP($U$1,A:C,3,))*100)+100</f>
        <v/>
      </c>
      <c r="J211" s="76">
        <f>(((Table134567891011121314151617343[[#This Row],[DEU]]-VLOOKUP($U$1,A:D,4,))/VLOOKUP($U$1,A:D,4,))*100)+100</f>
        <v/>
      </c>
      <c r="K211" s="76">
        <f>(((Table134567891011121314151617343[[#This Row],[ESP]]-VLOOKUP($U$1,A:E,5,))/VLOOKUP($U$1,A:E,5,))*100)+100</f>
        <v/>
      </c>
      <c r="L211" s="76">
        <f>(((Table134567891011121314151617343[[#This Row],[EA19]]-VLOOKUP($U$1,A:F,6,))/VLOOKUP($U$1,A:F,6,))*100)+100</f>
        <v/>
      </c>
      <c r="M211" s="76">
        <f>(((Table134567891011121314151617343[[#This Row],[GBR]]-VLOOKUP($U$1,A:G,7,))/VLOOKUP($U$1,A:G,7,))*100)+100</f>
        <v/>
      </c>
      <c r="N211" s="76">
        <f>IF(VLOOKUP(A211,Database!$A:$AU,MATCH($N$1,Database!$A$1:$AU$1,0),FALSE)=0,#N/A,VLOOKUP(A211,Database!$A:$AU,MATCH($N$1,Database!$A$1:$AU$1,0),FALSE))</f>
        <v/>
      </c>
      <c r="O211" s="76">
        <f>(((Table134567891011121314151617343[[#This Row],[USA]]-VLOOKUP($U$1,A:N,14,))/VLOOKUP($U$1,A:N,14,))*100)+100</f>
        <v/>
      </c>
      <c r="P211" s="76">
        <f>IF(VLOOKUP(A211,Database!$A:$AS,MATCH($P$1,Database!$A$1:$AS$1,0),FALSE)=0,#N/A,VLOOKUP(A211,Database!$A:$AS,MATCH($P$1,Database!$A$1:$AS$1,0),FALSE))</f>
        <v/>
      </c>
      <c r="Q211" s="76">
        <f>(((Table134567891011121314151617343[[#This Row],[JPN]]-VLOOKUP($U$1,A:Q,16,))/VLOOKUP($U$1,A:Q,16,))*100)+100</f>
        <v/>
      </c>
    </row>
    <row r="212" customFormat="1" s="86">
      <c r="A212" s="21" t="n">
        <v>39264</v>
      </c>
      <c r="B212" s="76">
        <f>IF(VLOOKUP(A212,Database!$A:$AS,MATCH($B$1,Database!$A$1:$AS$1,0),FALSE)=0,#N/A,VLOOKUP(A212,Database!$A:$AS,MATCH($B$1,Database!$A$1:$AS$1,0),FALSE))</f>
        <v/>
      </c>
      <c r="C212" s="76">
        <f>IF(VLOOKUP(A212,Database!$A:$AS,MATCH($C$1,Database!$A$1:$AS$1,0),FALSE)=0,#N/A,VLOOKUP(A212,Database!$A:$AS,MATCH($C$1,Database!$A$1:$AS$1,0),FALSE))</f>
        <v/>
      </c>
      <c r="D212" s="76">
        <f>IF(VLOOKUP(A212,Database!$A:$AS,MATCH($D$1,Database!$A$1:$AS$1,0),FALSE)=0,#N/A,VLOOKUP(A212,Database!$A:$AS,MATCH($D$1,Database!$A$1:$AS$1,0),FALSE))</f>
        <v/>
      </c>
      <c r="E212" s="76">
        <f>IF(VLOOKUP(A212,Database!$A:$AS,MATCH($E$1,Database!$A$1:$AS$1,0),FALSE)=0,#N/A,VLOOKUP(A212,Database!$A:$AS,MATCH($E$1,Database!$A$1:$AS$1,0),FALSE))</f>
        <v/>
      </c>
      <c r="F212" s="76">
        <f>IF(VLOOKUP(A212,Database!$A:$AS,MATCH($F$1,Database!$A$1:$AS$1,0),FALSE)=0,#N/A,VLOOKUP(A212,Database!$A:$AS,MATCH($F$1,Database!$A$1:$AS$1,0),FALSE))</f>
        <v/>
      </c>
      <c r="G212" s="76">
        <f>IF(VLOOKUP(A212,Database!$A:$AS,MATCH($G$1,Database!$A$1:$AS$1,0),FALSE)=0,#N/A,VLOOKUP(A212,Database!$A:$AS,MATCH($G$1,Database!$A$1:$AS$1,0),FALSE))</f>
        <v/>
      </c>
      <c r="H212" s="76">
        <f>(((Table134567891011121314151617343[[#This Row],[ITA]]-VLOOKUP($U$1,A:B,2,))/VLOOKUP($U$1,A:B,2,))*100)+100</f>
        <v/>
      </c>
      <c r="I212" s="76">
        <f>(((Table134567891011121314151617343[[#This Row],[FRA]]-VLOOKUP($U$1,A:C,3,))/VLOOKUP($U$1,A:C,3,))*100)+100</f>
        <v/>
      </c>
      <c r="J212" s="76">
        <f>(((Table134567891011121314151617343[[#This Row],[DEU]]-VLOOKUP($U$1,A:D,4,))/VLOOKUP($U$1,A:D,4,))*100)+100</f>
        <v/>
      </c>
      <c r="K212" s="76">
        <f>(((Table134567891011121314151617343[[#This Row],[ESP]]-VLOOKUP($U$1,A:E,5,))/VLOOKUP($U$1,A:E,5,))*100)+100</f>
        <v/>
      </c>
      <c r="L212" s="76">
        <f>(((Table134567891011121314151617343[[#This Row],[EA19]]-VLOOKUP($U$1,A:F,6,))/VLOOKUP($U$1,A:F,6,))*100)+100</f>
        <v/>
      </c>
      <c r="M212" s="76">
        <f>(((Table134567891011121314151617343[[#This Row],[GBR]]-VLOOKUP($U$1,A:G,7,))/VLOOKUP($U$1,A:G,7,))*100)+100</f>
        <v/>
      </c>
      <c r="N212" s="76">
        <f>IF(VLOOKUP(A212,Database!$A:$AU,MATCH($N$1,Database!$A$1:$AU$1,0),FALSE)=0,#N/A,VLOOKUP(A212,Database!$A:$AU,MATCH($N$1,Database!$A$1:$AU$1,0),FALSE))</f>
        <v/>
      </c>
      <c r="O212" s="76">
        <f>(((Table134567891011121314151617343[[#This Row],[USA]]-VLOOKUP($U$1,A:N,14,))/VLOOKUP($U$1,A:N,14,))*100)+100</f>
        <v/>
      </c>
      <c r="P212" s="76">
        <f>IF(VLOOKUP(A212,Database!$A:$AS,MATCH($P$1,Database!$A$1:$AS$1,0),FALSE)=0,#N/A,VLOOKUP(A212,Database!$A:$AS,MATCH($P$1,Database!$A$1:$AS$1,0),FALSE))</f>
        <v/>
      </c>
      <c r="Q212" s="76">
        <f>(((Table134567891011121314151617343[[#This Row],[JPN]]-VLOOKUP($U$1,A:Q,16,))/VLOOKUP($U$1,A:Q,16,))*100)+100</f>
        <v/>
      </c>
    </row>
    <row r="213" customFormat="1" s="86">
      <c r="A213" s="21" t="n">
        <v>39295</v>
      </c>
      <c r="B213" s="76">
        <f>IF(VLOOKUP(A213,Database!$A:$AS,MATCH($B$1,Database!$A$1:$AS$1,0),FALSE)=0,#N/A,VLOOKUP(A213,Database!$A:$AS,MATCH($B$1,Database!$A$1:$AS$1,0),FALSE))</f>
        <v/>
      </c>
      <c r="C213" s="76">
        <f>IF(VLOOKUP(A213,Database!$A:$AS,MATCH($C$1,Database!$A$1:$AS$1,0),FALSE)=0,#N/A,VLOOKUP(A213,Database!$A:$AS,MATCH($C$1,Database!$A$1:$AS$1,0),FALSE))</f>
        <v/>
      </c>
      <c r="D213" s="76">
        <f>IF(VLOOKUP(A213,Database!$A:$AS,MATCH($D$1,Database!$A$1:$AS$1,0),FALSE)=0,#N/A,VLOOKUP(A213,Database!$A:$AS,MATCH($D$1,Database!$A$1:$AS$1,0),FALSE))</f>
        <v/>
      </c>
      <c r="E213" s="76">
        <f>IF(VLOOKUP(A213,Database!$A:$AS,MATCH($E$1,Database!$A$1:$AS$1,0),FALSE)=0,#N/A,VLOOKUP(A213,Database!$A:$AS,MATCH($E$1,Database!$A$1:$AS$1,0),FALSE))</f>
        <v/>
      </c>
      <c r="F213" s="76">
        <f>IF(VLOOKUP(A213,Database!$A:$AS,MATCH($F$1,Database!$A$1:$AS$1,0),FALSE)=0,#N/A,VLOOKUP(A213,Database!$A:$AS,MATCH($F$1,Database!$A$1:$AS$1,0),FALSE))</f>
        <v/>
      </c>
      <c r="G213" s="76">
        <f>IF(VLOOKUP(A213,Database!$A:$AS,MATCH($G$1,Database!$A$1:$AS$1,0),FALSE)=0,#N/A,VLOOKUP(A213,Database!$A:$AS,MATCH($G$1,Database!$A$1:$AS$1,0),FALSE))</f>
        <v/>
      </c>
      <c r="H213" s="76">
        <f>(((Table134567891011121314151617343[[#This Row],[ITA]]-VLOOKUP($U$1,A:B,2,))/VLOOKUP($U$1,A:B,2,))*100)+100</f>
        <v/>
      </c>
      <c r="I213" s="76">
        <f>(((Table134567891011121314151617343[[#This Row],[FRA]]-VLOOKUP($U$1,A:C,3,))/VLOOKUP($U$1,A:C,3,))*100)+100</f>
        <v/>
      </c>
      <c r="J213" s="76">
        <f>(((Table134567891011121314151617343[[#This Row],[DEU]]-VLOOKUP($U$1,A:D,4,))/VLOOKUP($U$1,A:D,4,))*100)+100</f>
        <v/>
      </c>
      <c r="K213" s="76">
        <f>(((Table134567891011121314151617343[[#This Row],[ESP]]-VLOOKUP($U$1,A:E,5,))/VLOOKUP($U$1,A:E,5,))*100)+100</f>
        <v/>
      </c>
      <c r="L213" s="76">
        <f>(((Table134567891011121314151617343[[#This Row],[EA19]]-VLOOKUP($U$1,A:F,6,))/VLOOKUP($U$1,A:F,6,))*100)+100</f>
        <v/>
      </c>
      <c r="M213" s="76">
        <f>(((Table134567891011121314151617343[[#This Row],[GBR]]-VLOOKUP($U$1,A:G,7,))/VLOOKUP($U$1,A:G,7,))*100)+100</f>
        <v/>
      </c>
      <c r="N213" s="76">
        <f>IF(VLOOKUP(A213,Database!$A:$AU,MATCH($N$1,Database!$A$1:$AU$1,0),FALSE)=0,#N/A,VLOOKUP(A213,Database!$A:$AU,MATCH($N$1,Database!$A$1:$AU$1,0),FALSE))</f>
        <v/>
      </c>
      <c r="O213" s="76">
        <f>(((Table134567891011121314151617343[[#This Row],[USA]]-VLOOKUP($U$1,A:N,14,))/VLOOKUP($U$1,A:N,14,))*100)+100</f>
        <v/>
      </c>
      <c r="P213" s="76">
        <f>IF(VLOOKUP(A213,Database!$A:$AS,MATCH($P$1,Database!$A$1:$AS$1,0),FALSE)=0,#N/A,VLOOKUP(A213,Database!$A:$AS,MATCH($P$1,Database!$A$1:$AS$1,0),FALSE))</f>
        <v/>
      </c>
      <c r="Q213" s="76">
        <f>(((Table134567891011121314151617343[[#This Row],[JPN]]-VLOOKUP($U$1,A:Q,16,))/VLOOKUP($U$1,A:Q,16,))*100)+100</f>
        <v/>
      </c>
    </row>
    <row r="214" customFormat="1" s="86">
      <c r="A214" s="21" t="n">
        <v>39326</v>
      </c>
      <c r="B214" s="76">
        <f>IF(VLOOKUP(A214,Database!$A:$AS,MATCH($B$1,Database!$A$1:$AS$1,0),FALSE)=0,#N/A,VLOOKUP(A214,Database!$A:$AS,MATCH($B$1,Database!$A$1:$AS$1,0),FALSE))</f>
        <v/>
      </c>
      <c r="C214" s="76">
        <f>IF(VLOOKUP(A214,Database!$A:$AS,MATCH($C$1,Database!$A$1:$AS$1,0),FALSE)=0,#N/A,VLOOKUP(A214,Database!$A:$AS,MATCH($C$1,Database!$A$1:$AS$1,0),FALSE))</f>
        <v/>
      </c>
      <c r="D214" s="76">
        <f>IF(VLOOKUP(A214,Database!$A:$AS,MATCH($D$1,Database!$A$1:$AS$1,0),FALSE)=0,#N/A,VLOOKUP(A214,Database!$A:$AS,MATCH($D$1,Database!$A$1:$AS$1,0),FALSE))</f>
        <v/>
      </c>
      <c r="E214" s="76">
        <f>IF(VLOOKUP(A214,Database!$A:$AS,MATCH($E$1,Database!$A$1:$AS$1,0),FALSE)=0,#N/A,VLOOKUP(A214,Database!$A:$AS,MATCH($E$1,Database!$A$1:$AS$1,0),FALSE))</f>
        <v/>
      </c>
      <c r="F214" s="76">
        <f>IF(VLOOKUP(A214,Database!$A:$AS,MATCH($F$1,Database!$A$1:$AS$1,0),FALSE)=0,#N/A,VLOOKUP(A214,Database!$A:$AS,MATCH($F$1,Database!$A$1:$AS$1,0),FALSE))</f>
        <v/>
      </c>
      <c r="G214" s="76">
        <f>IF(VLOOKUP(A214,Database!$A:$AS,MATCH($G$1,Database!$A$1:$AS$1,0),FALSE)=0,#N/A,VLOOKUP(A214,Database!$A:$AS,MATCH($G$1,Database!$A$1:$AS$1,0),FALSE))</f>
        <v/>
      </c>
      <c r="H214" s="76">
        <f>(((Table134567891011121314151617343[[#This Row],[ITA]]-VLOOKUP($U$1,A:B,2,))/VLOOKUP($U$1,A:B,2,))*100)+100</f>
        <v/>
      </c>
      <c r="I214" s="76">
        <f>(((Table134567891011121314151617343[[#This Row],[FRA]]-VLOOKUP($U$1,A:C,3,))/VLOOKUP($U$1,A:C,3,))*100)+100</f>
        <v/>
      </c>
      <c r="J214" s="76">
        <f>(((Table134567891011121314151617343[[#This Row],[DEU]]-VLOOKUP($U$1,A:D,4,))/VLOOKUP($U$1,A:D,4,))*100)+100</f>
        <v/>
      </c>
      <c r="K214" s="76">
        <f>(((Table134567891011121314151617343[[#This Row],[ESP]]-VLOOKUP($U$1,A:E,5,))/VLOOKUP($U$1,A:E,5,))*100)+100</f>
        <v/>
      </c>
      <c r="L214" s="76">
        <f>(((Table134567891011121314151617343[[#This Row],[EA19]]-VLOOKUP($U$1,A:F,6,))/VLOOKUP($U$1,A:F,6,))*100)+100</f>
        <v/>
      </c>
      <c r="M214" s="76">
        <f>(((Table134567891011121314151617343[[#This Row],[GBR]]-VLOOKUP($U$1,A:G,7,))/VLOOKUP($U$1,A:G,7,))*100)+100</f>
        <v/>
      </c>
      <c r="N214" s="76">
        <f>IF(VLOOKUP(A214,Database!$A:$AU,MATCH($N$1,Database!$A$1:$AU$1,0),FALSE)=0,#N/A,VLOOKUP(A214,Database!$A:$AU,MATCH($N$1,Database!$A$1:$AU$1,0),FALSE))</f>
        <v/>
      </c>
      <c r="O214" s="76">
        <f>(((Table134567891011121314151617343[[#This Row],[USA]]-VLOOKUP($U$1,A:N,14,))/VLOOKUP($U$1,A:N,14,))*100)+100</f>
        <v/>
      </c>
      <c r="P214" s="76">
        <f>IF(VLOOKUP(A214,Database!$A:$AS,MATCH($P$1,Database!$A$1:$AS$1,0),FALSE)=0,#N/A,VLOOKUP(A214,Database!$A:$AS,MATCH($P$1,Database!$A$1:$AS$1,0),FALSE))</f>
        <v/>
      </c>
      <c r="Q214" s="76">
        <f>(((Table134567891011121314151617343[[#This Row],[JPN]]-VLOOKUP($U$1,A:Q,16,))/VLOOKUP($U$1,A:Q,16,))*100)+100</f>
        <v/>
      </c>
    </row>
    <row r="215" customFormat="1" s="86">
      <c r="A215" s="21" t="n">
        <v>39356</v>
      </c>
      <c r="B215" s="76">
        <f>IF(VLOOKUP(A215,Database!$A:$AS,MATCH($B$1,Database!$A$1:$AS$1,0),FALSE)=0,#N/A,VLOOKUP(A215,Database!$A:$AS,MATCH($B$1,Database!$A$1:$AS$1,0),FALSE))</f>
        <v/>
      </c>
      <c r="C215" s="76">
        <f>IF(VLOOKUP(A215,Database!$A:$AS,MATCH($C$1,Database!$A$1:$AS$1,0),FALSE)=0,#N/A,VLOOKUP(A215,Database!$A:$AS,MATCH($C$1,Database!$A$1:$AS$1,0),FALSE))</f>
        <v/>
      </c>
      <c r="D215" s="76">
        <f>IF(VLOOKUP(A215,Database!$A:$AS,MATCH($D$1,Database!$A$1:$AS$1,0),FALSE)=0,#N/A,VLOOKUP(A215,Database!$A:$AS,MATCH($D$1,Database!$A$1:$AS$1,0),FALSE))</f>
        <v/>
      </c>
      <c r="E215" s="76">
        <f>IF(VLOOKUP(A215,Database!$A:$AS,MATCH($E$1,Database!$A$1:$AS$1,0),FALSE)=0,#N/A,VLOOKUP(A215,Database!$A:$AS,MATCH($E$1,Database!$A$1:$AS$1,0),FALSE))</f>
        <v/>
      </c>
      <c r="F215" s="76">
        <f>IF(VLOOKUP(A215,Database!$A:$AS,MATCH($F$1,Database!$A$1:$AS$1,0),FALSE)=0,#N/A,VLOOKUP(A215,Database!$A:$AS,MATCH($F$1,Database!$A$1:$AS$1,0),FALSE))</f>
        <v/>
      </c>
      <c r="G215" s="76">
        <f>IF(VLOOKUP(A215,Database!$A:$AS,MATCH($G$1,Database!$A$1:$AS$1,0),FALSE)=0,#N/A,VLOOKUP(A215,Database!$A:$AS,MATCH($G$1,Database!$A$1:$AS$1,0),FALSE))</f>
        <v/>
      </c>
      <c r="H215" s="76">
        <f>(((Table134567891011121314151617343[[#This Row],[ITA]]-VLOOKUP($U$1,A:B,2,))/VLOOKUP($U$1,A:B,2,))*100)+100</f>
        <v/>
      </c>
      <c r="I215" s="76">
        <f>(((Table134567891011121314151617343[[#This Row],[FRA]]-VLOOKUP($U$1,A:C,3,))/VLOOKUP($U$1,A:C,3,))*100)+100</f>
        <v/>
      </c>
      <c r="J215" s="76">
        <f>(((Table134567891011121314151617343[[#This Row],[DEU]]-VLOOKUP($U$1,A:D,4,))/VLOOKUP($U$1,A:D,4,))*100)+100</f>
        <v/>
      </c>
      <c r="K215" s="76">
        <f>(((Table134567891011121314151617343[[#This Row],[ESP]]-VLOOKUP($U$1,A:E,5,))/VLOOKUP($U$1,A:E,5,))*100)+100</f>
        <v/>
      </c>
      <c r="L215" s="76">
        <f>(((Table134567891011121314151617343[[#This Row],[EA19]]-VLOOKUP($U$1,A:F,6,))/VLOOKUP($U$1,A:F,6,))*100)+100</f>
        <v/>
      </c>
      <c r="M215" s="76">
        <f>(((Table134567891011121314151617343[[#This Row],[GBR]]-VLOOKUP($U$1,A:G,7,))/VLOOKUP($U$1,A:G,7,))*100)+100</f>
        <v/>
      </c>
      <c r="N215" s="76">
        <f>IF(VLOOKUP(A215,Database!$A:$AU,MATCH($N$1,Database!$A$1:$AU$1,0),FALSE)=0,#N/A,VLOOKUP(A215,Database!$A:$AU,MATCH($N$1,Database!$A$1:$AU$1,0),FALSE))</f>
        <v/>
      </c>
      <c r="O215" s="76">
        <f>(((Table134567891011121314151617343[[#This Row],[USA]]-VLOOKUP($U$1,A:N,14,))/VLOOKUP($U$1,A:N,14,))*100)+100</f>
        <v/>
      </c>
      <c r="P215" s="76">
        <f>IF(VLOOKUP(A215,Database!$A:$AS,MATCH($P$1,Database!$A$1:$AS$1,0),FALSE)=0,#N/A,VLOOKUP(A215,Database!$A:$AS,MATCH($P$1,Database!$A$1:$AS$1,0),FALSE))</f>
        <v/>
      </c>
      <c r="Q215" s="76">
        <f>(((Table134567891011121314151617343[[#This Row],[JPN]]-VLOOKUP($U$1,A:Q,16,))/VLOOKUP($U$1,A:Q,16,))*100)+100</f>
        <v/>
      </c>
    </row>
    <row r="216" customFormat="1" s="86">
      <c r="A216" s="21" t="n">
        <v>39387</v>
      </c>
      <c r="B216" s="76">
        <f>IF(VLOOKUP(A216,Database!$A:$AS,MATCH($B$1,Database!$A$1:$AS$1,0),FALSE)=0,#N/A,VLOOKUP(A216,Database!$A:$AS,MATCH($B$1,Database!$A$1:$AS$1,0),FALSE))</f>
        <v/>
      </c>
      <c r="C216" s="76">
        <f>IF(VLOOKUP(A216,Database!$A:$AS,MATCH($C$1,Database!$A$1:$AS$1,0),FALSE)=0,#N/A,VLOOKUP(A216,Database!$A:$AS,MATCH($C$1,Database!$A$1:$AS$1,0),FALSE))</f>
        <v/>
      </c>
      <c r="D216" s="76">
        <f>IF(VLOOKUP(A216,Database!$A:$AS,MATCH($D$1,Database!$A$1:$AS$1,0),FALSE)=0,#N/A,VLOOKUP(A216,Database!$A:$AS,MATCH($D$1,Database!$A$1:$AS$1,0),FALSE))</f>
        <v/>
      </c>
      <c r="E216" s="76">
        <f>IF(VLOOKUP(A216,Database!$A:$AS,MATCH($E$1,Database!$A$1:$AS$1,0),FALSE)=0,#N/A,VLOOKUP(A216,Database!$A:$AS,MATCH($E$1,Database!$A$1:$AS$1,0),FALSE))</f>
        <v/>
      </c>
      <c r="F216" s="76">
        <f>IF(VLOOKUP(A216,Database!$A:$AS,MATCH($F$1,Database!$A$1:$AS$1,0),FALSE)=0,#N/A,VLOOKUP(A216,Database!$A:$AS,MATCH($F$1,Database!$A$1:$AS$1,0),FALSE))</f>
        <v/>
      </c>
      <c r="G216" s="76">
        <f>IF(VLOOKUP(A216,Database!$A:$AS,MATCH($G$1,Database!$A$1:$AS$1,0),FALSE)=0,#N/A,VLOOKUP(A216,Database!$A:$AS,MATCH($G$1,Database!$A$1:$AS$1,0),FALSE))</f>
        <v/>
      </c>
      <c r="H216" s="76">
        <f>(((Table134567891011121314151617343[[#This Row],[ITA]]-VLOOKUP($U$1,A:B,2,))/VLOOKUP($U$1,A:B,2,))*100)+100</f>
        <v/>
      </c>
      <c r="I216" s="76">
        <f>(((Table134567891011121314151617343[[#This Row],[FRA]]-VLOOKUP($U$1,A:C,3,))/VLOOKUP($U$1,A:C,3,))*100)+100</f>
        <v/>
      </c>
      <c r="J216" s="76">
        <f>(((Table134567891011121314151617343[[#This Row],[DEU]]-VLOOKUP($U$1,A:D,4,))/VLOOKUP($U$1,A:D,4,))*100)+100</f>
        <v/>
      </c>
      <c r="K216" s="76">
        <f>(((Table134567891011121314151617343[[#This Row],[ESP]]-VLOOKUP($U$1,A:E,5,))/VLOOKUP($U$1,A:E,5,))*100)+100</f>
        <v/>
      </c>
      <c r="L216" s="76">
        <f>(((Table134567891011121314151617343[[#This Row],[EA19]]-VLOOKUP($U$1,A:F,6,))/VLOOKUP($U$1,A:F,6,))*100)+100</f>
        <v/>
      </c>
      <c r="M216" s="76">
        <f>(((Table134567891011121314151617343[[#This Row],[GBR]]-VLOOKUP($U$1,A:G,7,))/VLOOKUP($U$1,A:G,7,))*100)+100</f>
        <v/>
      </c>
      <c r="N216" s="76">
        <f>IF(VLOOKUP(A216,Database!$A:$AU,MATCH($N$1,Database!$A$1:$AU$1,0),FALSE)=0,#N/A,VLOOKUP(A216,Database!$A:$AU,MATCH($N$1,Database!$A$1:$AU$1,0),FALSE))</f>
        <v/>
      </c>
      <c r="O216" s="76">
        <f>(((Table134567891011121314151617343[[#This Row],[USA]]-VLOOKUP($U$1,A:N,14,))/VLOOKUP($U$1,A:N,14,))*100)+100</f>
        <v/>
      </c>
      <c r="P216" s="76">
        <f>IF(VLOOKUP(A216,Database!$A:$AS,MATCH($P$1,Database!$A$1:$AS$1,0),FALSE)=0,#N/A,VLOOKUP(A216,Database!$A:$AS,MATCH($P$1,Database!$A$1:$AS$1,0),FALSE))</f>
        <v/>
      </c>
      <c r="Q216" s="76">
        <f>(((Table134567891011121314151617343[[#This Row],[JPN]]-VLOOKUP($U$1,A:Q,16,))/VLOOKUP($U$1,A:Q,16,))*100)+100</f>
        <v/>
      </c>
    </row>
    <row r="217" customFormat="1" s="86">
      <c r="A217" s="21" t="n">
        <v>39417</v>
      </c>
      <c r="B217" s="76">
        <f>IF(VLOOKUP(A217,Database!$A:$AS,MATCH($B$1,Database!$A$1:$AS$1,0),FALSE)=0,#N/A,VLOOKUP(A217,Database!$A:$AS,MATCH($B$1,Database!$A$1:$AS$1,0),FALSE))</f>
        <v/>
      </c>
      <c r="C217" s="76">
        <f>IF(VLOOKUP(A217,Database!$A:$AS,MATCH($C$1,Database!$A$1:$AS$1,0),FALSE)=0,#N/A,VLOOKUP(A217,Database!$A:$AS,MATCH($C$1,Database!$A$1:$AS$1,0),FALSE))</f>
        <v/>
      </c>
      <c r="D217" s="76">
        <f>IF(VLOOKUP(A217,Database!$A:$AS,MATCH($D$1,Database!$A$1:$AS$1,0),FALSE)=0,#N/A,VLOOKUP(A217,Database!$A:$AS,MATCH($D$1,Database!$A$1:$AS$1,0),FALSE))</f>
        <v/>
      </c>
      <c r="E217" s="76">
        <f>IF(VLOOKUP(A217,Database!$A:$AS,MATCH($E$1,Database!$A$1:$AS$1,0),FALSE)=0,#N/A,VLOOKUP(A217,Database!$A:$AS,MATCH($E$1,Database!$A$1:$AS$1,0),FALSE))</f>
        <v/>
      </c>
      <c r="F217" s="76">
        <f>IF(VLOOKUP(A217,Database!$A:$AS,MATCH($F$1,Database!$A$1:$AS$1,0),FALSE)=0,#N/A,VLOOKUP(A217,Database!$A:$AS,MATCH($F$1,Database!$A$1:$AS$1,0),FALSE))</f>
        <v/>
      </c>
      <c r="G217" s="76">
        <f>IF(VLOOKUP(A217,Database!$A:$AS,MATCH($G$1,Database!$A$1:$AS$1,0),FALSE)=0,#N/A,VLOOKUP(A217,Database!$A:$AS,MATCH($G$1,Database!$A$1:$AS$1,0),FALSE))</f>
        <v/>
      </c>
      <c r="H217" s="76">
        <f>(((Table134567891011121314151617343[[#This Row],[ITA]]-VLOOKUP($U$1,A:B,2,))/VLOOKUP($U$1,A:B,2,))*100)+100</f>
        <v/>
      </c>
      <c r="I217" s="76">
        <f>(((Table134567891011121314151617343[[#This Row],[FRA]]-VLOOKUP($U$1,A:C,3,))/VLOOKUP($U$1,A:C,3,))*100)+100</f>
        <v/>
      </c>
      <c r="J217" s="76">
        <f>(((Table134567891011121314151617343[[#This Row],[DEU]]-VLOOKUP($U$1,A:D,4,))/VLOOKUP($U$1,A:D,4,))*100)+100</f>
        <v/>
      </c>
      <c r="K217" s="76">
        <f>(((Table134567891011121314151617343[[#This Row],[ESP]]-VLOOKUP($U$1,A:E,5,))/VLOOKUP($U$1,A:E,5,))*100)+100</f>
        <v/>
      </c>
      <c r="L217" s="76">
        <f>(((Table134567891011121314151617343[[#This Row],[EA19]]-VLOOKUP($U$1,A:F,6,))/VLOOKUP($U$1,A:F,6,))*100)+100</f>
        <v/>
      </c>
      <c r="M217" s="76">
        <f>(((Table134567891011121314151617343[[#This Row],[GBR]]-VLOOKUP($U$1,A:G,7,))/VLOOKUP($U$1,A:G,7,))*100)+100</f>
        <v/>
      </c>
      <c r="N217" s="76">
        <f>IF(VLOOKUP(A217,Database!$A:$AU,MATCH($N$1,Database!$A$1:$AU$1,0),FALSE)=0,#N/A,VLOOKUP(A217,Database!$A:$AU,MATCH($N$1,Database!$A$1:$AU$1,0),FALSE))</f>
        <v/>
      </c>
      <c r="O217" s="76">
        <f>(((Table134567891011121314151617343[[#This Row],[USA]]-VLOOKUP($U$1,A:N,14,))/VLOOKUP($U$1,A:N,14,))*100)+100</f>
        <v/>
      </c>
      <c r="P217" s="76">
        <f>IF(VLOOKUP(A217,Database!$A:$AS,MATCH($P$1,Database!$A$1:$AS$1,0),FALSE)=0,#N/A,VLOOKUP(A217,Database!$A:$AS,MATCH($P$1,Database!$A$1:$AS$1,0),FALSE))</f>
        <v/>
      </c>
      <c r="Q217" s="76">
        <f>(((Table134567891011121314151617343[[#This Row],[JPN]]-VLOOKUP($U$1,A:Q,16,))/VLOOKUP($U$1,A:Q,16,))*100)+100</f>
        <v/>
      </c>
    </row>
    <row r="218" customFormat="1" s="86">
      <c r="A218" s="21" t="n">
        <v>39448</v>
      </c>
      <c r="B218" s="76">
        <f>IF(VLOOKUP(A218,Database!$A:$AS,MATCH($B$1,Database!$A$1:$AS$1,0),FALSE)=0,#N/A,VLOOKUP(A218,Database!$A:$AS,MATCH($B$1,Database!$A$1:$AS$1,0),FALSE))</f>
        <v/>
      </c>
      <c r="C218" s="76">
        <f>IF(VLOOKUP(A218,Database!$A:$AS,MATCH($C$1,Database!$A$1:$AS$1,0),FALSE)=0,#N/A,VLOOKUP(A218,Database!$A:$AS,MATCH($C$1,Database!$A$1:$AS$1,0),FALSE))</f>
        <v/>
      </c>
      <c r="D218" s="76">
        <f>IF(VLOOKUP(A218,Database!$A:$AS,MATCH($D$1,Database!$A$1:$AS$1,0),FALSE)=0,#N/A,VLOOKUP(A218,Database!$A:$AS,MATCH($D$1,Database!$A$1:$AS$1,0),FALSE))</f>
        <v/>
      </c>
      <c r="E218" s="76">
        <f>IF(VLOOKUP(A218,Database!$A:$AS,MATCH($E$1,Database!$A$1:$AS$1,0),FALSE)=0,#N/A,VLOOKUP(A218,Database!$A:$AS,MATCH($E$1,Database!$A$1:$AS$1,0),FALSE))</f>
        <v/>
      </c>
      <c r="F218" s="76">
        <f>IF(VLOOKUP(A218,Database!$A:$AS,MATCH($F$1,Database!$A$1:$AS$1,0),FALSE)=0,#N/A,VLOOKUP(A218,Database!$A:$AS,MATCH($F$1,Database!$A$1:$AS$1,0),FALSE))</f>
        <v/>
      </c>
      <c r="G218" s="76">
        <f>IF(VLOOKUP(A218,Database!$A:$AS,MATCH($G$1,Database!$A$1:$AS$1,0),FALSE)=0,#N/A,VLOOKUP(A218,Database!$A:$AS,MATCH($G$1,Database!$A$1:$AS$1,0),FALSE))</f>
        <v/>
      </c>
      <c r="H218" s="76">
        <f>(((Table134567891011121314151617343[[#This Row],[ITA]]-VLOOKUP($U$1,A:B,2,))/VLOOKUP($U$1,A:B,2,))*100)+100</f>
        <v/>
      </c>
      <c r="I218" s="76">
        <f>(((Table134567891011121314151617343[[#This Row],[FRA]]-VLOOKUP($U$1,A:C,3,))/VLOOKUP($U$1,A:C,3,))*100)+100</f>
        <v/>
      </c>
      <c r="J218" s="76">
        <f>(((Table134567891011121314151617343[[#This Row],[DEU]]-VLOOKUP($U$1,A:D,4,))/VLOOKUP($U$1,A:D,4,))*100)+100</f>
        <v/>
      </c>
      <c r="K218" s="76">
        <f>(((Table134567891011121314151617343[[#This Row],[ESP]]-VLOOKUP($U$1,A:E,5,))/VLOOKUP($U$1,A:E,5,))*100)+100</f>
        <v/>
      </c>
      <c r="L218" s="76">
        <f>(((Table134567891011121314151617343[[#This Row],[EA19]]-VLOOKUP($U$1,A:F,6,))/VLOOKUP($U$1,A:F,6,))*100)+100</f>
        <v/>
      </c>
      <c r="M218" s="76">
        <f>(((Table134567891011121314151617343[[#This Row],[GBR]]-VLOOKUP($U$1,A:G,7,))/VLOOKUP($U$1,A:G,7,))*100)+100</f>
        <v/>
      </c>
      <c r="N218" s="76">
        <f>IF(VLOOKUP(A218,Database!$A:$AU,MATCH($N$1,Database!$A$1:$AU$1,0),FALSE)=0,#N/A,VLOOKUP(A218,Database!$A:$AU,MATCH($N$1,Database!$A$1:$AU$1,0),FALSE))</f>
        <v/>
      </c>
      <c r="O218" s="76">
        <f>(((Table134567891011121314151617343[[#This Row],[USA]]-VLOOKUP($U$1,A:N,14,))/VLOOKUP($U$1,A:N,14,))*100)+100</f>
        <v/>
      </c>
      <c r="P218" s="76">
        <f>IF(VLOOKUP(A218,Database!$A:$AS,MATCH($P$1,Database!$A$1:$AS$1,0),FALSE)=0,#N/A,VLOOKUP(A218,Database!$A:$AS,MATCH($P$1,Database!$A$1:$AS$1,0),FALSE))</f>
        <v/>
      </c>
      <c r="Q218" s="76">
        <f>(((Table134567891011121314151617343[[#This Row],[JPN]]-VLOOKUP($U$1,A:Q,16,))/VLOOKUP($U$1,A:Q,16,))*100)+100</f>
        <v/>
      </c>
    </row>
    <row r="219" customFormat="1" s="86">
      <c r="A219" s="21" t="n">
        <v>39479</v>
      </c>
      <c r="B219" s="76">
        <f>IF(VLOOKUP(A219,Database!$A:$AS,MATCH($B$1,Database!$A$1:$AS$1,0),FALSE)=0,#N/A,VLOOKUP(A219,Database!$A:$AS,MATCH($B$1,Database!$A$1:$AS$1,0),FALSE))</f>
        <v/>
      </c>
      <c r="C219" s="76">
        <f>IF(VLOOKUP(A219,Database!$A:$AS,MATCH($C$1,Database!$A$1:$AS$1,0),FALSE)=0,#N/A,VLOOKUP(A219,Database!$A:$AS,MATCH($C$1,Database!$A$1:$AS$1,0),FALSE))</f>
        <v/>
      </c>
      <c r="D219" s="76">
        <f>IF(VLOOKUP(A219,Database!$A:$AS,MATCH($D$1,Database!$A$1:$AS$1,0),FALSE)=0,#N/A,VLOOKUP(A219,Database!$A:$AS,MATCH($D$1,Database!$A$1:$AS$1,0),FALSE))</f>
        <v/>
      </c>
      <c r="E219" s="76">
        <f>IF(VLOOKUP(A219,Database!$A:$AS,MATCH($E$1,Database!$A$1:$AS$1,0),FALSE)=0,#N/A,VLOOKUP(A219,Database!$A:$AS,MATCH($E$1,Database!$A$1:$AS$1,0),FALSE))</f>
        <v/>
      </c>
      <c r="F219" s="76">
        <f>IF(VLOOKUP(A219,Database!$A:$AS,MATCH($F$1,Database!$A$1:$AS$1,0),FALSE)=0,#N/A,VLOOKUP(A219,Database!$A:$AS,MATCH($F$1,Database!$A$1:$AS$1,0),FALSE))</f>
        <v/>
      </c>
      <c r="G219" s="76">
        <f>IF(VLOOKUP(A219,Database!$A:$AS,MATCH($G$1,Database!$A$1:$AS$1,0),FALSE)=0,#N/A,VLOOKUP(A219,Database!$A:$AS,MATCH($G$1,Database!$A$1:$AS$1,0),FALSE))</f>
        <v/>
      </c>
      <c r="H219" s="76">
        <f>(((Table134567891011121314151617343[[#This Row],[ITA]]-VLOOKUP($U$1,A:B,2,))/VLOOKUP($U$1,A:B,2,))*100)+100</f>
        <v/>
      </c>
      <c r="I219" s="76">
        <f>(((Table134567891011121314151617343[[#This Row],[FRA]]-VLOOKUP($U$1,A:C,3,))/VLOOKUP($U$1,A:C,3,))*100)+100</f>
        <v/>
      </c>
      <c r="J219" s="76">
        <f>(((Table134567891011121314151617343[[#This Row],[DEU]]-VLOOKUP($U$1,A:D,4,))/VLOOKUP($U$1,A:D,4,))*100)+100</f>
        <v/>
      </c>
      <c r="K219" s="76">
        <f>(((Table134567891011121314151617343[[#This Row],[ESP]]-VLOOKUP($U$1,A:E,5,))/VLOOKUP($U$1,A:E,5,))*100)+100</f>
        <v/>
      </c>
      <c r="L219" s="76">
        <f>(((Table134567891011121314151617343[[#This Row],[EA19]]-VLOOKUP($U$1,A:F,6,))/VLOOKUP($U$1,A:F,6,))*100)+100</f>
        <v/>
      </c>
      <c r="M219" s="76">
        <f>(((Table134567891011121314151617343[[#This Row],[GBR]]-VLOOKUP($U$1,A:G,7,))/VLOOKUP($U$1,A:G,7,))*100)+100</f>
        <v/>
      </c>
      <c r="N219" s="76">
        <f>IF(VLOOKUP(A219,Database!$A:$AU,MATCH($N$1,Database!$A$1:$AU$1,0),FALSE)=0,#N/A,VLOOKUP(A219,Database!$A:$AU,MATCH($N$1,Database!$A$1:$AU$1,0),FALSE))</f>
        <v/>
      </c>
      <c r="O219" s="76">
        <f>(((Table134567891011121314151617343[[#This Row],[USA]]-VLOOKUP($U$1,A:N,14,))/VLOOKUP($U$1,A:N,14,))*100)+100</f>
        <v/>
      </c>
      <c r="P219" s="76">
        <f>IF(VLOOKUP(A219,Database!$A:$AS,MATCH($P$1,Database!$A$1:$AS$1,0),FALSE)=0,#N/A,VLOOKUP(A219,Database!$A:$AS,MATCH($P$1,Database!$A$1:$AS$1,0),FALSE))</f>
        <v/>
      </c>
      <c r="Q219" s="76">
        <f>(((Table134567891011121314151617343[[#This Row],[JPN]]-VLOOKUP($U$1,A:Q,16,))/VLOOKUP($U$1,A:Q,16,))*100)+100</f>
        <v/>
      </c>
    </row>
    <row r="220" customFormat="1" s="86">
      <c r="A220" s="21" t="n">
        <v>39508</v>
      </c>
      <c r="B220" s="76">
        <f>IF(VLOOKUP(A220,Database!$A:$AS,MATCH($B$1,Database!$A$1:$AS$1,0),FALSE)=0,#N/A,VLOOKUP(A220,Database!$A:$AS,MATCH($B$1,Database!$A$1:$AS$1,0),FALSE))</f>
        <v/>
      </c>
      <c r="C220" s="76">
        <f>IF(VLOOKUP(A220,Database!$A:$AS,MATCH($C$1,Database!$A$1:$AS$1,0),FALSE)=0,#N/A,VLOOKUP(A220,Database!$A:$AS,MATCH($C$1,Database!$A$1:$AS$1,0),FALSE))</f>
        <v/>
      </c>
      <c r="D220" s="76">
        <f>IF(VLOOKUP(A220,Database!$A:$AS,MATCH($D$1,Database!$A$1:$AS$1,0),FALSE)=0,#N/A,VLOOKUP(A220,Database!$A:$AS,MATCH($D$1,Database!$A$1:$AS$1,0),FALSE))</f>
        <v/>
      </c>
      <c r="E220" s="76">
        <f>IF(VLOOKUP(A220,Database!$A:$AS,MATCH($E$1,Database!$A$1:$AS$1,0),FALSE)=0,#N/A,VLOOKUP(A220,Database!$A:$AS,MATCH($E$1,Database!$A$1:$AS$1,0),FALSE))</f>
        <v/>
      </c>
      <c r="F220" s="76">
        <f>IF(VLOOKUP(A220,Database!$A:$AS,MATCH($F$1,Database!$A$1:$AS$1,0),FALSE)=0,#N/A,VLOOKUP(A220,Database!$A:$AS,MATCH($F$1,Database!$A$1:$AS$1,0),FALSE))</f>
        <v/>
      </c>
      <c r="G220" s="76">
        <f>IF(VLOOKUP(A220,Database!$A:$AS,MATCH($G$1,Database!$A$1:$AS$1,0),FALSE)=0,#N/A,VLOOKUP(A220,Database!$A:$AS,MATCH($G$1,Database!$A$1:$AS$1,0),FALSE))</f>
        <v/>
      </c>
      <c r="H220" s="76">
        <f>(((Table134567891011121314151617343[[#This Row],[ITA]]-VLOOKUP($U$1,A:B,2,))/VLOOKUP($U$1,A:B,2,))*100)+100</f>
        <v/>
      </c>
      <c r="I220" s="76">
        <f>(((Table134567891011121314151617343[[#This Row],[FRA]]-VLOOKUP($U$1,A:C,3,))/VLOOKUP($U$1,A:C,3,))*100)+100</f>
        <v/>
      </c>
      <c r="J220" s="76">
        <f>(((Table134567891011121314151617343[[#This Row],[DEU]]-VLOOKUP($U$1,A:D,4,))/VLOOKUP($U$1,A:D,4,))*100)+100</f>
        <v/>
      </c>
      <c r="K220" s="76">
        <f>(((Table134567891011121314151617343[[#This Row],[ESP]]-VLOOKUP($U$1,A:E,5,))/VLOOKUP($U$1,A:E,5,))*100)+100</f>
        <v/>
      </c>
      <c r="L220" s="76">
        <f>(((Table134567891011121314151617343[[#This Row],[EA19]]-VLOOKUP($U$1,A:F,6,))/VLOOKUP($U$1,A:F,6,))*100)+100</f>
        <v/>
      </c>
      <c r="M220" s="76">
        <f>(((Table134567891011121314151617343[[#This Row],[GBR]]-VLOOKUP($U$1,A:G,7,))/VLOOKUP($U$1,A:G,7,))*100)+100</f>
        <v/>
      </c>
      <c r="N220" s="76">
        <f>IF(VLOOKUP(A220,Database!$A:$AU,MATCH($N$1,Database!$A$1:$AU$1,0),FALSE)=0,#N/A,VLOOKUP(A220,Database!$A:$AU,MATCH($N$1,Database!$A$1:$AU$1,0),FALSE))</f>
        <v/>
      </c>
      <c r="O220" s="76">
        <f>(((Table134567891011121314151617343[[#This Row],[USA]]-VLOOKUP($U$1,A:N,14,))/VLOOKUP($U$1,A:N,14,))*100)+100</f>
        <v/>
      </c>
      <c r="P220" s="76">
        <f>IF(VLOOKUP(A220,Database!$A:$AS,MATCH($P$1,Database!$A$1:$AS$1,0),FALSE)=0,#N/A,VLOOKUP(A220,Database!$A:$AS,MATCH($P$1,Database!$A$1:$AS$1,0),FALSE))</f>
        <v/>
      </c>
      <c r="Q220" s="76">
        <f>(((Table134567891011121314151617343[[#This Row],[JPN]]-VLOOKUP($U$1,A:Q,16,))/VLOOKUP($U$1,A:Q,16,))*100)+100</f>
        <v/>
      </c>
    </row>
    <row r="221" customFormat="1" s="86">
      <c r="A221" s="21" t="n">
        <v>39539</v>
      </c>
      <c r="B221" s="76">
        <f>IF(VLOOKUP(A221,Database!$A:$AS,MATCH($B$1,Database!$A$1:$AS$1,0),FALSE)=0,#N/A,VLOOKUP(A221,Database!$A:$AS,MATCH($B$1,Database!$A$1:$AS$1,0),FALSE))</f>
        <v/>
      </c>
      <c r="C221" s="76">
        <f>IF(VLOOKUP(A221,Database!$A:$AS,MATCH($C$1,Database!$A$1:$AS$1,0),FALSE)=0,#N/A,VLOOKUP(A221,Database!$A:$AS,MATCH($C$1,Database!$A$1:$AS$1,0),FALSE))</f>
        <v/>
      </c>
      <c r="D221" s="76">
        <f>IF(VLOOKUP(A221,Database!$A:$AS,MATCH($D$1,Database!$A$1:$AS$1,0),FALSE)=0,#N/A,VLOOKUP(A221,Database!$A:$AS,MATCH($D$1,Database!$A$1:$AS$1,0),FALSE))</f>
        <v/>
      </c>
      <c r="E221" s="76">
        <f>IF(VLOOKUP(A221,Database!$A:$AS,MATCH($E$1,Database!$A$1:$AS$1,0),FALSE)=0,#N/A,VLOOKUP(A221,Database!$A:$AS,MATCH($E$1,Database!$A$1:$AS$1,0),FALSE))</f>
        <v/>
      </c>
      <c r="F221" s="76">
        <f>IF(VLOOKUP(A221,Database!$A:$AS,MATCH($F$1,Database!$A$1:$AS$1,0),FALSE)=0,#N/A,VLOOKUP(A221,Database!$A:$AS,MATCH($F$1,Database!$A$1:$AS$1,0),FALSE))</f>
        <v/>
      </c>
      <c r="G221" s="76">
        <f>IF(VLOOKUP(A221,Database!$A:$AS,MATCH($G$1,Database!$A$1:$AS$1,0),FALSE)=0,#N/A,VLOOKUP(A221,Database!$A:$AS,MATCH($G$1,Database!$A$1:$AS$1,0),FALSE))</f>
        <v/>
      </c>
      <c r="H221" s="76">
        <f>(((Table134567891011121314151617343[[#This Row],[ITA]]-VLOOKUP($U$1,A:B,2,))/VLOOKUP($U$1,A:B,2,))*100)+100</f>
        <v/>
      </c>
      <c r="I221" s="76">
        <f>(((Table134567891011121314151617343[[#This Row],[FRA]]-VLOOKUP($U$1,A:C,3,))/VLOOKUP($U$1,A:C,3,))*100)+100</f>
        <v/>
      </c>
      <c r="J221" s="76">
        <f>(((Table134567891011121314151617343[[#This Row],[DEU]]-VLOOKUP($U$1,A:D,4,))/VLOOKUP($U$1,A:D,4,))*100)+100</f>
        <v/>
      </c>
      <c r="K221" s="76">
        <f>(((Table134567891011121314151617343[[#This Row],[ESP]]-VLOOKUP($U$1,A:E,5,))/VLOOKUP($U$1,A:E,5,))*100)+100</f>
        <v/>
      </c>
      <c r="L221" s="76">
        <f>(((Table134567891011121314151617343[[#This Row],[EA19]]-VLOOKUP($U$1,A:F,6,))/VLOOKUP($U$1,A:F,6,))*100)+100</f>
        <v/>
      </c>
      <c r="M221" s="76">
        <f>(((Table134567891011121314151617343[[#This Row],[GBR]]-VLOOKUP($U$1,A:G,7,))/VLOOKUP($U$1,A:G,7,))*100)+100</f>
        <v/>
      </c>
      <c r="N221" s="76">
        <f>IF(VLOOKUP(A221,Database!$A:$AU,MATCH($N$1,Database!$A$1:$AU$1,0),FALSE)=0,#N/A,VLOOKUP(A221,Database!$A:$AU,MATCH($N$1,Database!$A$1:$AU$1,0),FALSE))</f>
        <v/>
      </c>
      <c r="O221" s="76">
        <f>(((Table134567891011121314151617343[[#This Row],[USA]]-VLOOKUP($U$1,A:N,14,))/VLOOKUP($U$1,A:N,14,))*100)+100</f>
        <v/>
      </c>
      <c r="P221" s="76">
        <f>IF(VLOOKUP(A221,Database!$A:$AS,MATCH($P$1,Database!$A$1:$AS$1,0),FALSE)=0,#N/A,VLOOKUP(A221,Database!$A:$AS,MATCH($P$1,Database!$A$1:$AS$1,0),FALSE))</f>
        <v/>
      </c>
      <c r="Q221" s="76">
        <f>(((Table134567891011121314151617343[[#This Row],[JPN]]-VLOOKUP($U$1,A:Q,16,))/VLOOKUP($U$1,A:Q,16,))*100)+100</f>
        <v/>
      </c>
    </row>
    <row r="222" customFormat="1" s="86">
      <c r="A222" s="21" t="n">
        <v>39569</v>
      </c>
      <c r="B222" s="76">
        <f>IF(VLOOKUP(A222,Database!$A:$AS,MATCH($B$1,Database!$A$1:$AS$1,0),FALSE)=0,#N/A,VLOOKUP(A222,Database!$A:$AS,MATCH($B$1,Database!$A$1:$AS$1,0),FALSE))</f>
        <v/>
      </c>
      <c r="C222" s="76">
        <f>IF(VLOOKUP(A222,Database!$A:$AS,MATCH($C$1,Database!$A$1:$AS$1,0),FALSE)=0,#N/A,VLOOKUP(A222,Database!$A:$AS,MATCH($C$1,Database!$A$1:$AS$1,0),FALSE))</f>
        <v/>
      </c>
      <c r="D222" s="76">
        <f>IF(VLOOKUP(A222,Database!$A:$AS,MATCH($D$1,Database!$A$1:$AS$1,0),FALSE)=0,#N/A,VLOOKUP(A222,Database!$A:$AS,MATCH($D$1,Database!$A$1:$AS$1,0),FALSE))</f>
        <v/>
      </c>
      <c r="E222" s="76">
        <f>IF(VLOOKUP(A222,Database!$A:$AS,MATCH($E$1,Database!$A$1:$AS$1,0),FALSE)=0,#N/A,VLOOKUP(A222,Database!$A:$AS,MATCH($E$1,Database!$A$1:$AS$1,0),FALSE))</f>
        <v/>
      </c>
      <c r="F222" s="76">
        <f>IF(VLOOKUP(A222,Database!$A:$AS,MATCH($F$1,Database!$A$1:$AS$1,0),FALSE)=0,#N/A,VLOOKUP(A222,Database!$A:$AS,MATCH($F$1,Database!$A$1:$AS$1,0),FALSE))</f>
        <v/>
      </c>
      <c r="G222" s="76">
        <f>IF(VLOOKUP(A222,Database!$A:$AS,MATCH($G$1,Database!$A$1:$AS$1,0),FALSE)=0,#N/A,VLOOKUP(A222,Database!$A:$AS,MATCH($G$1,Database!$A$1:$AS$1,0),FALSE))</f>
        <v/>
      </c>
      <c r="H222" s="76">
        <f>(((Table134567891011121314151617343[[#This Row],[ITA]]-VLOOKUP($U$1,A:B,2,))/VLOOKUP($U$1,A:B,2,))*100)+100</f>
        <v/>
      </c>
      <c r="I222" s="76">
        <f>(((Table134567891011121314151617343[[#This Row],[FRA]]-VLOOKUP($U$1,A:C,3,))/VLOOKUP($U$1,A:C,3,))*100)+100</f>
        <v/>
      </c>
      <c r="J222" s="76">
        <f>(((Table134567891011121314151617343[[#This Row],[DEU]]-VLOOKUP($U$1,A:D,4,))/VLOOKUP($U$1,A:D,4,))*100)+100</f>
        <v/>
      </c>
      <c r="K222" s="76">
        <f>(((Table134567891011121314151617343[[#This Row],[ESP]]-VLOOKUP($U$1,A:E,5,))/VLOOKUP($U$1,A:E,5,))*100)+100</f>
        <v/>
      </c>
      <c r="L222" s="76">
        <f>(((Table134567891011121314151617343[[#This Row],[EA19]]-VLOOKUP($U$1,A:F,6,))/VLOOKUP($U$1,A:F,6,))*100)+100</f>
        <v/>
      </c>
      <c r="M222" s="76">
        <f>(((Table134567891011121314151617343[[#This Row],[GBR]]-VLOOKUP($U$1,A:G,7,))/VLOOKUP($U$1,A:G,7,))*100)+100</f>
        <v/>
      </c>
      <c r="N222" s="76">
        <f>IF(VLOOKUP(A222,Database!$A:$AU,MATCH($N$1,Database!$A$1:$AU$1,0),FALSE)=0,#N/A,VLOOKUP(A222,Database!$A:$AU,MATCH($N$1,Database!$A$1:$AU$1,0),FALSE))</f>
        <v/>
      </c>
      <c r="O222" s="76">
        <f>(((Table134567891011121314151617343[[#This Row],[USA]]-VLOOKUP($U$1,A:N,14,))/VLOOKUP($U$1,A:N,14,))*100)+100</f>
        <v/>
      </c>
      <c r="P222" s="76">
        <f>IF(VLOOKUP(A222,Database!$A:$AS,MATCH($P$1,Database!$A$1:$AS$1,0),FALSE)=0,#N/A,VLOOKUP(A222,Database!$A:$AS,MATCH($P$1,Database!$A$1:$AS$1,0),FALSE))</f>
        <v/>
      </c>
      <c r="Q222" s="76">
        <f>(((Table134567891011121314151617343[[#This Row],[JPN]]-VLOOKUP($U$1,A:Q,16,))/VLOOKUP($U$1,A:Q,16,))*100)+100</f>
        <v/>
      </c>
    </row>
    <row r="223" customFormat="1" s="86">
      <c r="A223" s="21" t="n">
        <v>39600</v>
      </c>
      <c r="B223" s="76">
        <f>IF(VLOOKUP(A223,Database!$A:$AS,MATCH($B$1,Database!$A$1:$AS$1,0),FALSE)=0,#N/A,VLOOKUP(A223,Database!$A:$AS,MATCH($B$1,Database!$A$1:$AS$1,0),FALSE))</f>
        <v/>
      </c>
      <c r="C223" s="76">
        <f>IF(VLOOKUP(A223,Database!$A:$AS,MATCH($C$1,Database!$A$1:$AS$1,0),FALSE)=0,#N/A,VLOOKUP(A223,Database!$A:$AS,MATCH($C$1,Database!$A$1:$AS$1,0),FALSE))</f>
        <v/>
      </c>
      <c r="D223" s="76">
        <f>IF(VLOOKUP(A223,Database!$A:$AS,MATCH($D$1,Database!$A$1:$AS$1,0),FALSE)=0,#N/A,VLOOKUP(A223,Database!$A:$AS,MATCH($D$1,Database!$A$1:$AS$1,0),FALSE))</f>
        <v/>
      </c>
      <c r="E223" s="76">
        <f>IF(VLOOKUP(A223,Database!$A:$AS,MATCH($E$1,Database!$A$1:$AS$1,0),FALSE)=0,#N/A,VLOOKUP(A223,Database!$A:$AS,MATCH($E$1,Database!$A$1:$AS$1,0),FALSE))</f>
        <v/>
      </c>
      <c r="F223" s="76">
        <f>IF(VLOOKUP(A223,Database!$A:$AS,MATCH($F$1,Database!$A$1:$AS$1,0),FALSE)=0,#N/A,VLOOKUP(A223,Database!$A:$AS,MATCH($F$1,Database!$A$1:$AS$1,0),FALSE))</f>
        <v/>
      </c>
      <c r="G223" s="76">
        <f>IF(VLOOKUP(A223,Database!$A:$AS,MATCH($G$1,Database!$A$1:$AS$1,0),FALSE)=0,#N/A,VLOOKUP(A223,Database!$A:$AS,MATCH($G$1,Database!$A$1:$AS$1,0),FALSE))</f>
        <v/>
      </c>
      <c r="H223" s="76">
        <f>(((Table134567891011121314151617343[[#This Row],[ITA]]-VLOOKUP($U$1,A:B,2,))/VLOOKUP($U$1,A:B,2,))*100)+100</f>
        <v/>
      </c>
      <c r="I223" s="76">
        <f>(((Table134567891011121314151617343[[#This Row],[FRA]]-VLOOKUP($U$1,A:C,3,))/VLOOKUP($U$1,A:C,3,))*100)+100</f>
        <v/>
      </c>
      <c r="J223" s="76">
        <f>(((Table134567891011121314151617343[[#This Row],[DEU]]-VLOOKUP($U$1,A:D,4,))/VLOOKUP($U$1,A:D,4,))*100)+100</f>
        <v/>
      </c>
      <c r="K223" s="76">
        <f>(((Table134567891011121314151617343[[#This Row],[ESP]]-VLOOKUP($U$1,A:E,5,))/VLOOKUP($U$1,A:E,5,))*100)+100</f>
        <v/>
      </c>
      <c r="L223" s="76">
        <f>(((Table134567891011121314151617343[[#This Row],[EA19]]-VLOOKUP($U$1,A:F,6,))/VLOOKUP($U$1,A:F,6,))*100)+100</f>
        <v/>
      </c>
      <c r="M223" s="76">
        <f>(((Table134567891011121314151617343[[#This Row],[GBR]]-VLOOKUP($U$1,A:G,7,))/VLOOKUP($U$1,A:G,7,))*100)+100</f>
        <v/>
      </c>
      <c r="N223" s="76">
        <f>IF(VLOOKUP(A223,Database!$A:$AU,MATCH($N$1,Database!$A$1:$AU$1,0),FALSE)=0,#N/A,VLOOKUP(A223,Database!$A:$AU,MATCH($N$1,Database!$A$1:$AU$1,0),FALSE))</f>
        <v/>
      </c>
      <c r="O223" s="76">
        <f>(((Table134567891011121314151617343[[#This Row],[USA]]-VLOOKUP($U$1,A:N,14,))/VLOOKUP($U$1,A:N,14,))*100)+100</f>
        <v/>
      </c>
      <c r="P223" s="76">
        <f>IF(VLOOKUP(A223,Database!$A:$AS,MATCH($P$1,Database!$A$1:$AS$1,0),FALSE)=0,#N/A,VLOOKUP(A223,Database!$A:$AS,MATCH($P$1,Database!$A$1:$AS$1,0),FALSE))</f>
        <v/>
      </c>
      <c r="Q223" s="76">
        <f>(((Table134567891011121314151617343[[#This Row],[JPN]]-VLOOKUP($U$1,A:Q,16,))/VLOOKUP($U$1,A:Q,16,))*100)+100</f>
        <v/>
      </c>
    </row>
    <row r="224" customFormat="1" s="86">
      <c r="A224" s="21" t="n">
        <v>39630</v>
      </c>
      <c r="B224" s="76">
        <f>IF(VLOOKUP(A224,Database!$A:$AS,MATCH($B$1,Database!$A$1:$AS$1,0),FALSE)=0,#N/A,VLOOKUP(A224,Database!$A:$AS,MATCH($B$1,Database!$A$1:$AS$1,0),FALSE))</f>
        <v/>
      </c>
      <c r="C224" s="76">
        <f>IF(VLOOKUP(A224,Database!$A:$AS,MATCH($C$1,Database!$A$1:$AS$1,0),FALSE)=0,#N/A,VLOOKUP(A224,Database!$A:$AS,MATCH($C$1,Database!$A$1:$AS$1,0),FALSE))</f>
        <v/>
      </c>
      <c r="D224" s="76">
        <f>IF(VLOOKUP(A224,Database!$A:$AS,MATCH($D$1,Database!$A$1:$AS$1,0),FALSE)=0,#N/A,VLOOKUP(A224,Database!$A:$AS,MATCH($D$1,Database!$A$1:$AS$1,0),FALSE))</f>
        <v/>
      </c>
      <c r="E224" s="76">
        <f>IF(VLOOKUP(A224,Database!$A:$AS,MATCH($E$1,Database!$A$1:$AS$1,0),FALSE)=0,#N/A,VLOOKUP(A224,Database!$A:$AS,MATCH($E$1,Database!$A$1:$AS$1,0),FALSE))</f>
        <v/>
      </c>
      <c r="F224" s="76">
        <f>IF(VLOOKUP(A224,Database!$A:$AS,MATCH($F$1,Database!$A$1:$AS$1,0),FALSE)=0,#N/A,VLOOKUP(A224,Database!$A:$AS,MATCH($F$1,Database!$A$1:$AS$1,0),FALSE))</f>
        <v/>
      </c>
      <c r="G224" s="76">
        <f>IF(VLOOKUP(A224,Database!$A:$AS,MATCH($G$1,Database!$A$1:$AS$1,0),FALSE)=0,#N/A,VLOOKUP(A224,Database!$A:$AS,MATCH($G$1,Database!$A$1:$AS$1,0),FALSE))</f>
        <v/>
      </c>
      <c r="H224" s="76">
        <f>(((Table134567891011121314151617343[[#This Row],[ITA]]-VLOOKUP($U$1,A:B,2,))/VLOOKUP($U$1,A:B,2,))*100)+100</f>
        <v/>
      </c>
      <c r="I224" s="76">
        <f>(((Table134567891011121314151617343[[#This Row],[FRA]]-VLOOKUP($U$1,A:C,3,))/VLOOKUP($U$1,A:C,3,))*100)+100</f>
        <v/>
      </c>
      <c r="J224" s="76">
        <f>(((Table134567891011121314151617343[[#This Row],[DEU]]-VLOOKUP($U$1,A:D,4,))/VLOOKUP($U$1,A:D,4,))*100)+100</f>
        <v/>
      </c>
      <c r="K224" s="76">
        <f>(((Table134567891011121314151617343[[#This Row],[ESP]]-VLOOKUP($U$1,A:E,5,))/VLOOKUP($U$1,A:E,5,))*100)+100</f>
        <v/>
      </c>
      <c r="L224" s="76">
        <f>(((Table134567891011121314151617343[[#This Row],[EA19]]-VLOOKUP($U$1,A:F,6,))/VLOOKUP($U$1,A:F,6,))*100)+100</f>
        <v/>
      </c>
      <c r="M224" s="76">
        <f>(((Table134567891011121314151617343[[#This Row],[GBR]]-VLOOKUP($U$1,A:G,7,))/VLOOKUP($U$1,A:G,7,))*100)+100</f>
        <v/>
      </c>
      <c r="N224" s="76">
        <f>IF(VLOOKUP(A224,Database!$A:$AU,MATCH($N$1,Database!$A$1:$AU$1,0),FALSE)=0,#N/A,VLOOKUP(A224,Database!$A:$AU,MATCH($N$1,Database!$A$1:$AU$1,0),FALSE))</f>
        <v/>
      </c>
      <c r="O224" s="76">
        <f>(((Table134567891011121314151617343[[#This Row],[USA]]-VLOOKUP($U$1,A:N,14,))/VLOOKUP($U$1,A:N,14,))*100)+100</f>
        <v/>
      </c>
      <c r="P224" s="76">
        <f>IF(VLOOKUP(A224,Database!$A:$AS,MATCH($P$1,Database!$A$1:$AS$1,0),FALSE)=0,#N/A,VLOOKUP(A224,Database!$A:$AS,MATCH($P$1,Database!$A$1:$AS$1,0),FALSE))</f>
        <v/>
      </c>
      <c r="Q224" s="76">
        <f>(((Table134567891011121314151617343[[#This Row],[JPN]]-VLOOKUP($U$1,A:Q,16,))/VLOOKUP($U$1,A:Q,16,))*100)+100</f>
        <v/>
      </c>
    </row>
    <row r="225" customFormat="1" s="86">
      <c r="A225" s="21" t="n">
        <v>39661</v>
      </c>
      <c r="B225" s="76">
        <f>IF(VLOOKUP(A225,Database!$A:$AS,MATCH($B$1,Database!$A$1:$AS$1,0),FALSE)=0,#N/A,VLOOKUP(A225,Database!$A:$AS,MATCH($B$1,Database!$A$1:$AS$1,0),FALSE))</f>
        <v/>
      </c>
      <c r="C225" s="76">
        <f>IF(VLOOKUP(A225,Database!$A:$AS,MATCH($C$1,Database!$A$1:$AS$1,0),FALSE)=0,#N/A,VLOOKUP(A225,Database!$A:$AS,MATCH($C$1,Database!$A$1:$AS$1,0),FALSE))</f>
        <v/>
      </c>
      <c r="D225" s="76">
        <f>IF(VLOOKUP(A225,Database!$A:$AS,MATCH($D$1,Database!$A$1:$AS$1,0),FALSE)=0,#N/A,VLOOKUP(A225,Database!$A:$AS,MATCH($D$1,Database!$A$1:$AS$1,0),FALSE))</f>
        <v/>
      </c>
      <c r="E225" s="76">
        <f>IF(VLOOKUP(A225,Database!$A:$AS,MATCH($E$1,Database!$A$1:$AS$1,0),FALSE)=0,#N/A,VLOOKUP(A225,Database!$A:$AS,MATCH($E$1,Database!$A$1:$AS$1,0),FALSE))</f>
        <v/>
      </c>
      <c r="F225" s="76">
        <f>IF(VLOOKUP(A225,Database!$A:$AS,MATCH($F$1,Database!$A$1:$AS$1,0),FALSE)=0,#N/A,VLOOKUP(A225,Database!$A:$AS,MATCH($F$1,Database!$A$1:$AS$1,0),FALSE))</f>
        <v/>
      </c>
      <c r="G225" s="76">
        <f>IF(VLOOKUP(A225,Database!$A:$AS,MATCH($G$1,Database!$A$1:$AS$1,0),FALSE)=0,#N/A,VLOOKUP(A225,Database!$A:$AS,MATCH($G$1,Database!$A$1:$AS$1,0),FALSE))</f>
        <v/>
      </c>
      <c r="H225" s="76">
        <f>(((Table134567891011121314151617343[[#This Row],[ITA]]-VLOOKUP($U$1,A:B,2,))/VLOOKUP($U$1,A:B,2,))*100)+100</f>
        <v/>
      </c>
      <c r="I225" s="76">
        <f>(((Table134567891011121314151617343[[#This Row],[FRA]]-VLOOKUP($U$1,A:C,3,))/VLOOKUP($U$1,A:C,3,))*100)+100</f>
        <v/>
      </c>
      <c r="J225" s="76">
        <f>(((Table134567891011121314151617343[[#This Row],[DEU]]-VLOOKUP($U$1,A:D,4,))/VLOOKUP($U$1,A:D,4,))*100)+100</f>
        <v/>
      </c>
      <c r="K225" s="76">
        <f>(((Table134567891011121314151617343[[#This Row],[ESP]]-VLOOKUP($U$1,A:E,5,))/VLOOKUP($U$1,A:E,5,))*100)+100</f>
        <v/>
      </c>
      <c r="L225" s="76">
        <f>(((Table134567891011121314151617343[[#This Row],[EA19]]-VLOOKUP($U$1,A:F,6,))/VLOOKUP($U$1,A:F,6,))*100)+100</f>
        <v/>
      </c>
      <c r="M225" s="76">
        <f>(((Table134567891011121314151617343[[#This Row],[GBR]]-VLOOKUP($U$1,A:G,7,))/VLOOKUP($U$1,A:G,7,))*100)+100</f>
        <v/>
      </c>
      <c r="N225" s="76">
        <f>IF(VLOOKUP(A225,Database!$A:$AU,MATCH($N$1,Database!$A$1:$AU$1,0),FALSE)=0,#N/A,VLOOKUP(A225,Database!$A:$AU,MATCH($N$1,Database!$A$1:$AU$1,0),FALSE))</f>
        <v/>
      </c>
      <c r="O225" s="76">
        <f>(((Table134567891011121314151617343[[#This Row],[USA]]-VLOOKUP($U$1,A:N,14,))/VLOOKUP($U$1,A:N,14,))*100)+100</f>
        <v/>
      </c>
      <c r="P225" s="76">
        <f>IF(VLOOKUP(A225,Database!$A:$AS,MATCH($P$1,Database!$A$1:$AS$1,0),FALSE)=0,#N/A,VLOOKUP(A225,Database!$A:$AS,MATCH($P$1,Database!$A$1:$AS$1,0),FALSE))</f>
        <v/>
      </c>
      <c r="Q225" s="76">
        <f>(((Table134567891011121314151617343[[#This Row],[JPN]]-VLOOKUP($U$1,A:Q,16,))/VLOOKUP($U$1,A:Q,16,))*100)+100</f>
        <v/>
      </c>
    </row>
    <row r="226" customFormat="1" s="86">
      <c r="A226" s="21" t="n">
        <v>39692</v>
      </c>
      <c r="B226" s="76">
        <f>IF(VLOOKUP(A226,Database!$A:$AS,MATCH($B$1,Database!$A$1:$AS$1,0),FALSE)=0,#N/A,VLOOKUP(A226,Database!$A:$AS,MATCH($B$1,Database!$A$1:$AS$1,0),FALSE))</f>
        <v/>
      </c>
      <c r="C226" s="76">
        <f>IF(VLOOKUP(A226,Database!$A:$AS,MATCH($C$1,Database!$A$1:$AS$1,0),FALSE)=0,#N/A,VLOOKUP(A226,Database!$A:$AS,MATCH($C$1,Database!$A$1:$AS$1,0),FALSE))</f>
        <v/>
      </c>
      <c r="D226" s="76">
        <f>IF(VLOOKUP(A226,Database!$A:$AS,MATCH($D$1,Database!$A$1:$AS$1,0),FALSE)=0,#N/A,VLOOKUP(A226,Database!$A:$AS,MATCH($D$1,Database!$A$1:$AS$1,0),FALSE))</f>
        <v/>
      </c>
      <c r="E226" s="76">
        <f>IF(VLOOKUP(A226,Database!$A:$AS,MATCH($E$1,Database!$A$1:$AS$1,0),FALSE)=0,#N/A,VLOOKUP(A226,Database!$A:$AS,MATCH($E$1,Database!$A$1:$AS$1,0),FALSE))</f>
        <v/>
      </c>
      <c r="F226" s="76">
        <f>IF(VLOOKUP(A226,Database!$A:$AS,MATCH($F$1,Database!$A$1:$AS$1,0),FALSE)=0,#N/A,VLOOKUP(A226,Database!$A:$AS,MATCH($F$1,Database!$A$1:$AS$1,0),FALSE))</f>
        <v/>
      </c>
      <c r="G226" s="76">
        <f>IF(VLOOKUP(A226,Database!$A:$AS,MATCH($G$1,Database!$A$1:$AS$1,0),FALSE)=0,#N/A,VLOOKUP(A226,Database!$A:$AS,MATCH($G$1,Database!$A$1:$AS$1,0),FALSE))</f>
        <v/>
      </c>
      <c r="H226" s="76">
        <f>(((Table134567891011121314151617343[[#This Row],[ITA]]-VLOOKUP($U$1,A:B,2,))/VLOOKUP($U$1,A:B,2,))*100)+100</f>
        <v/>
      </c>
      <c r="I226" s="76">
        <f>(((Table134567891011121314151617343[[#This Row],[FRA]]-VLOOKUP($U$1,A:C,3,))/VLOOKUP($U$1,A:C,3,))*100)+100</f>
        <v/>
      </c>
      <c r="J226" s="76">
        <f>(((Table134567891011121314151617343[[#This Row],[DEU]]-VLOOKUP($U$1,A:D,4,))/VLOOKUP($U$1,A:D,4,))*100)+100</f>
        <v/>
      </c>
      <c r="K226" s="76">
        <f>(((Table134567891011121314151617343[[#This Row],[ESP]]-VLOOKUP($U$1,A:E,5,))/VLOOKUP($U$1,A:E,5,))*100)+100</f>
        <v/>
      </c>
      <c r="L226" s="76">
        <f>(((Table134567891011121314151617343[[#This Row],[EA19]]-VLOOKUP($U$1,A:F,6,))/VLOOKUP($U$1,A:F,6,))*100)+100</f>
        <v/>
      </c>
      <c r="M226" s="76">
        <f>(((Table134567891011121314151617343[[#This Row],[GBR]]-VLOOKUP($U$1,A:G,7,))/VLOOKUP($U$1,A:G,7,))*100)+100</f>
        <v/>
      </c>
      <c r="N226" s="76">
        <f>IF(VLOOKUP(A226,Database!$A:$AU,MATCH($N$1,Database!$A$1:$AU$1,0),FALSE)=0,#N/A,VLOOKUP(A226,Database!$A:$AU,MATCH($N$1,Database!$A$1:$AU$1,0),FALSE))</f>
        <v/>
      </c>
      <c r="O226" s="76">
        <f>(((Table134567891011121314151617343[[#This Row],[USA]]-VLOOKUP($U$1,A:N,14,))/VLOOKUP($U$1,A:N,14,))*100)+100</f>
        <v/>
      </c>
      <c r="P226" s="76">
        <f>IF(VLOOKUP(A226,Database!$A:$AS,MATCH($P$1,Database!$A$1:$AS$1,0),FALSE)=0,#N/A,VLOOKUP(A226,Database!$A:$AS,MATCH($P$1,Database!$A$1:$AS$1,0),FALSE))</f>
        <v/>
      </c>
      <c r="Q226" s="76">
        <f>(((Table134567891011121314151617343[[#This Row],[JPN]]-VLOOKUP($U$1,A:Q,16,))/VLOOKUP($U$1,A:Q,16,))*100)+100</f>
        <v/>
      </c>
    </row>
    <row r="227" customFormat="1" s="86">
      <c r="A227" s="21" t="n">
        <v>39722</v>
      </c>
      <c r="B227" s="76">
        <f>IF(VLOOKUP(A227,Database!$A:$AS,MATCH($B$1,Database!$A$1:$AS$1,0),FALSE)=0,#N/A,VLOOKUP(A227,Database!$A:$AS,MATCH($B$1,Database!$A$1:$AS$1,0),FALSE))</f>
        <v/>
      </c>
      <c r="C227" s="76">
        <f>IF(VLOOKUP(A227,Database!$A:$AS,MATCH($C$1,Database!$A$1:$AS$1,0),FALSE)=0,#N/A,VLOOKUP(A227,Database!$A:$AS,MATCH($C$1,Database!$A$1:$AS$1,0),FALSE))</f>
        <v/>
      </c>
      <c r="D227" s="76">
        <f>IF(VLOOKUP(A227,Database!$A:$AS,MATCH($D$1,Database!$A$1:$AS$1,0),FALSE)=0,#N/A,VLOOKUP(A227,Database!$A:$AS,MATCH($D$1,Database!$A$1:$AS$1,0),FALSE))</f>
        <v/>
      </c>
      <c r="E227" s="76">
        <f>IF(VLOOKUP(A227,Database!$A:$AS,MATCH($E$1,Database!$A$1:$AS$1,0),FALSE)=0,#N/A,VLOOKUP(A227,Database!$A:$AS,MATCH($E$1,Database!$A$1:$AS$1,0),FALSE))</f>
        <v/>
      </c>
      <c r="F227" s="76">
        <f>IF(VLOOKUP(A227,Database!$A:$AS,MATCH($F$1,Database!$A$1:$AS$1,0),FALSE)=0,#N/A,VLOOKUP(A227,Database!$A:$AS,MATCH($F$1,Database!$A$1:$AS$1,0),FALSE))</f>
        <v/>
      </c>
      <c r="G227" s="76">
        <f>IF(VLOOKUP(A227,Database!$A:$AS,MATCH($G$1,Database!$A$1:$AS$1,0),FALSE)=0,#N/A,VLOOKUP(A227,Database!$A:$AS,MATCH($G$1,Database!$A$1:$AS$1,0),FALSE))</f>
        <v/>
      </c>
      <c r="H227" s="76">
        <f>(((Table134567891011121314151617343[[#This Row],[ITA]]-VLOOKUP($U$1,A:B,2,))/VLOOKUP($U$1,A:B,2,))*100)+100</f>
        <v/>
      </c>
      <c r="I227" s="76">
        <f>(((Table134567891011121314151617343[[#This Row],[FRA]]-VLOOKUP($U$1,A:C,3,))/VLOOKUP($U$1,A:C,3,))*100)+100</f>
        <v/>
      </c>
      <c r="J227" s="76">
        <f>(((Table134567891011121314151617343[[#This Row],[DEU]]-VLOOKUP($U$1,A:D,4,))/VLOOKUP($U$1,A:D,4,))*100)+100</f>
        <v/>
      </c>
      <c r="K227" s="76">
        <f>(((Table134567891011121314151617343[[#This Row],[ESP]]-VLOOKUP($U$1,A:E,5,))/VLOOKUP($U$1,A:E,5,))*100)+100</f>
        <v/>
      </c>
      <c r="L227" s="76">
        <f>(((Table134567891011121314151617343[[#This Row],[EA19]]-VLOOKUP($U$1,A:F,6,))/VLOOKUP($U$1,A:F,6,))*100)+100</f>
        <v/>
      </c>
      <c r="M227" s="76">
        <f>(((Table134567891011121314151617343[[#This Row],[GBR]]-VLOOKUP($U$1,A:G,7,))/VLOOKUP($U$1,A:G,7,))*100)+100</f>
        <v/>
      </c>
      <c r="N227" s="76">
        <f>IF(VLOOKUP(A227,Database!$A:$AU,MATCH($N$1,Database!$A$1:$AU$1,0),FALSE)=0,#N/A,VLOOKUP(A227,Database!$A:$AU,MATCH($N$1,Database!$A$1:$AU$1,0),FALSE))</f>
        <v/>
      </c>
      <c r="O227" s="76">
        <f>(((Table134567891011121314151617343[[#This Row],[USA]]-VLOOKUP($U$1,A:N,14,))/VLOOKUP($U$1,A:N,14,))*100)+100</f>
        <v/>
      </c>
      <c r="P227" s="76">
        <f>IF(VLOOKUP(A227,Database!$A:$AS,MATCH($P$1,Database!$A$1:$AS$1,0),FALSE)=0,#N/A,VLOOKUP(A227,Database!$A:$AS,MATCH($P$1,Database!$A$1:$AS$1,0),FALSE))</f>
        <v/>
      </c>
      <c r="Q227" s="76">
        <f>(((Table134567891011121314151617343[[#This Row],[JPN]]-VLOOKUP($U$1,A:Q,16,))/VLOOKUP($U$1,A:Q,16,))*100)+100</f>
        <v/>
      </c>
    </row>
    <row r="228" customFormat="1" s="86">
      <c r="A228" s="21" t="n">
        <v>39753</v>
      </c>
      <c r="B228" s="76">
        <f>IF(VLOOKUP(A228,Database!$A:$AS,MATCH($B$1,Database!$A$1:$AS$1,0),FALSE)=0,#N/A,VLOOKUP(A228,Database!$A:$AS,MATCH($B$1,Database!$A$1:$AS$1,0),FALSE))</f>
        <v/>
      </c>
      <c r="C228" s="76">
        <f>IF(VLOOKUP(A228,Database!$A:$AS,MATCH($C$1,Database!$A$1:$AS$1,0),FALSE)=0,#N/A,VLOOKUP(A228,Database!$A:$AS,MATCH($C$1,Database!$A$1:$AS$1,0),FALSE))</f>
        <v/>
      </c>
      <c r="D228" s="76">
        <f>IF(VLOOKUP(A228,Database!$A:$AS,MATCH($D$1,Database!$A$1:$AS$1,0),FALSE)=0,#N/A,VLOOKUP(A228,Database!$A:$AS,MATCH($D$1,Database!$A$1:$AS$1,0),FALSE))</f>
        <v/>
      </c>
      <c r="E228" s="76">
        <f>IF(VLOOKUP(A228,Database!$A:$AS,MATCH($E$1,Database!$A$1:$AS$1,0),FALSE)=0,#N/A,VLOOKUP(A228,Database!$A:$AS,MATCH($E$1,Database!$A$1:$AS$1,0),FALSE))</f>
        <v/>
      </c>
      <c r="F228" s="76">
        <f>IF(VLOOKUP(A228,Database!$A:$AS,MATCH($F$1,Database!$A$1:$AS$1,0),FALSE)=0,#N/A,VLOOKUP(A228,Database!$A:$AS,MATCH($F$1,Database!$A$1:$AS$1,0),FALSE))</f>
        <v/>
      </c>
      <c r="G228" s="76">
        <f>IF(VLOOKUP(A228,Database!$A:$AS,MATCH($G$1,Database!$A$1:$AS$1,0),FALSE)=0,#N/A,VLOOKUP(A228,Database!$A:$AS,MATCH($G$1,Database!$A$1:$AS$1,0),FALSE))</f>
        <v/>
      </c>
      <c r="H228" s="76">
        <f>(((Table134567891011121314151617343[[#This Row],[ITA]]-VLOOKUP($U$1,A:B,2,))/VLOOKUP($U$1,A:B,2,))*100)+100</f>
        <v/>
      </c>
      <c r="I228" s="76">
        <f>(((Table134567891011121314151617343[[#This Row],[FRA]]-VLOOKUP($U$1,A:C,3,))/VLOOKUP($U$1,A:C,3,))*100)+100</f>
        <v/>
      </c>
      <c r="J228" s="76">
        <f>(((Table134567891011121314151617343[[#This Row],[DEU]]-VLOOKUP($U$1,A:D,4,))/VLOOKUP($U$1,A:D,4,))*100)+100</f>
        <v/>
      </c>
      <c r="K228" s="76">
        <f>(((Table134567891011121314151617343[[#This Row],[ESP]]-VLOOKUP($U$1,A:E,5,))/VLOOKUP($U$1,A:E,5,))*100)+100</f>
        <v/>
      </c>
      <c r="L228" s="76">
        <f>(((Table134567891011121314151617343[[#This Row],[EA19]]-VLOOKUP($U$1,A:F,6,))/VLOOKUP($U$1,A:F,6,))*100)+100</f>
        <v/>
      </c>
      <c r="M228" s="76">
        <f>(((Table134567891011121314151617343[[#This Row],[GBR]]-VLOOKUP($U$1,A:G,7,))/VLOOKUP($U$1,A:G,7,))*100)+100</f>
        <v/>
      </c>
      <c r="N228" s="76">
        <f>IF(VLOOKUP(A228,Database!$A:$AU,MATCH($N$1,Database!$A$1:$AU$1,0),FALSE)=0,#N/A,VLOOKUP(A228,Database!$A:$AU,MATCH($N$1,Database!$A$1:$AU$1,0),FALSE))</f>
        <v/>
      </c>
      <c r="O228" s="76">
        <f>(((Table134567891011121314151617343[[#This Row],[USA]]-VLOOKUP($U$1,A:N,14,))/VLOOKUP($U$1,A:N,14,))*100)+100</f>
        <v/>
      </c>
      <c r="P228" s="76">
        <f>IF(VLOOKUP(A228,Database!$A:$AS,MATCH($P$1,Database!$A$1:$AS$1,0),FALSE)=0,#N/A,VLOOKUP(A228,Database!$A:$AS,MATCH($P$1,Database!$A$1:$AS$1,0),FALSE))</f>
        <v/>
      </c>
      <c r="Q228" s="76">
        <f>(((Table134567891011121314151617343[[#This Row],[JPN]]-VLOOKUP($U$1,A:Q,16,))/VLOOKUP($U$1,A:Q,16,))*100)+100</f>
        <v/>
      </c>
    </row>
    <row r="229" customFormat="1" s="86">
      <c r="A229" s="21" t="n">
        <v>39783</v>
      </c>
      <c r="B229" s="76">
        <f>IF(VLOOKUP(A229,Database!$A:$AS,MATCH($B$1,Database!$A$1:$AS$1,0),FALSE)=0,#N/A,VLOOKUP(A229,Database!$A:$AS,MATCH($B$1,Database!$A$1:$AS$1,0),FALSE))</f>
        <v/>
      </c>
      <c r="C229" s="76">
        <f>IF(VLOOKUP(A229,Database!$A:$AS,MATCH($C$1,Database!$A$1:$AS$1,0),FALSE)=0,#N/A,VLOOKUP(A229,Database!$A:$AS,MATCH($C$1,Database!$A$1:$AS$1,0),FALSE))</f>
        <v/>
      </c>
      <c r="D229" s="76">
        <f>IF(VLOOKUP(A229,Database!$A:$AS,MATCH($D$1,Database!$A$1:$AS$1,0),FALSE)=0,#N/A,VLOOKUP(A229,Database!$A:$AS,MATCH($D$1,Database!$A$1:$AS$1,0),FALSE))</f>
        <v/>
      </c>
      <c r="E229" s="76">
        <f>IF(VLOOKUP(A229,Database!$A:$AS,MATCH($E$1,Database!$A$1:$AS$1,0),FALSE)=0,#N/A,VLOOKUP(A229,Database!$A:$AS,MATCH($E$1,Database!$A$1:$AS$1,0),FALSE))</f>
        <v/>
      </c>
      <c r="F229" s="76">
        <f>IF(VLOOKUP(A229,Database!$A:$AS,MATCH($F$1,Database!$A$1:$AS$1,0),FALSE)=0,#N/A,VLOOKUP(A229,Database!$A:$AS,MATCH($F$1,Database!$A$1:$AS$1,0),FALSE))</f>
        <v/>
      </c>
      <c r="G229" s="76">
        <f>IF(VLOOKUP(A229,Database!$A:$AS,MATCH($G$1,Database!$A$1:$AS$1,0),FALSE)=0,#N/A,VLOOKUP(A229,Database!$A:$AS,MATCH($G$1,Database!$A$1:$AS$1,0),FALSE))</f>
        <v/>
      </c>
      <c r="H229" s="76">
        <f>(((Table134567891011121314151617343[[#This Row],[ITA]]-VLOOKUP($U$1,A:B,2,))/VLOOKUP($U$1,A:B,2,))*100)+100</f>
        <v/>
      </c>
      <c r="I229" s="76">
        <f>(((Table134567891011121314151617343[[#This Row],[FRA]]-VLOOKUP($U$1,A:C,3,))/VLOOKUP($U$1,A:C,3,))*100)+100</f>
        <v/>
      </c>
      <c r="J229" s="76">
        <f>(((Table134567891011121314151617343[[#This Row],[DEU]]-VLOOKUP($U$1,A:D,4,))/VLOOKUP($U$1,A:D,4,))*100)+100</f>
        <v/>
      </c>
      <c r="K229" s="76">
        <f>(((Table134567891011121314151617343[[#This Row],[ESP]]-VLOOKUP($U$1,A:E,5,))/VLOOKUP($U$1,A:E,5,))*100)+100</f>
        <v/>
      </c>
      <c r="L229" s="76">
        <f>(((Table134567891011121314151617343[[#This Row],[EA19]]-VLOOKUP($U$1,A:F,6,))/VLOOKUP($U$1,A:F,6,))*100)+100</f>
        <v/>
      </c>
      <c r="M229" s="76">
        <f>(((Table134567891011121314151617343[[#This Row],[GBR]]-VLOOKUP($U$1,A:G,7,))/VLOOKUP($U$1,A:G,7,))*100)+100</f>
        <v/>
      </c>
      <c r="N229" s="76">
        <f>IF(VLOOKUP(A229,Database!$A:$AU,MATCH($N$1,Database!$A$1:$AU$1,0),FALSE)=0,#N/A,VLOOKUP(A229,Database!$A:$AU,MATCH($N$1,Database!$A$1:$AU$1,0),FALSE))</f>
        <v/>
      </c>
      <c r="O229" s="76">
        <f>(((Table134567891011121314151617343[[#This Row],[USA]]-VLOOKUP($U$1,A:N,14,))/VLOOKUP($U$1,A:N,14,))*100)+100</f>
        <v/>
      </c>
      <c r="P229" s="76">
        <f>IF(VLOOKUP(A229,Database!$A:$AS,MATCH($P$1,Database!$A$1:$AS$1,0),FALSE)=0,#N/A,VLOOKUP(A229,Database!$A:$AS,MATCH($P$1,Database!$A$1:$AS$1,0),FALSE))</f>
        <v/>
      </c>
      <c r="Q229" s="76">
        <f>(((Table134567891011121314151617343[[#This Row],[JPN]]-VLOOKUP($U$1,A:Q,16,))/VLOOKUP($U$1,A:Q,16,))*100)+100</f>
        <v/>
      </c>
    </row>
    <row r="230" customFormat="1" s="86">
      <c r="A230" s="21" t="n">
        <v>39814</v>
      </c>
      <c r="B230" s="76">
        <f>IF(VLOOKUP(A230,Database!$A:$AS,MATCH($B$1,Database!$A$1:$AS$1,0),FALSE)=0,#N/A,VLOOKUP(A230,Database!$A:$AS,MATCH($B$1,Database!$A$1:$AS$1,0),FALSE))</f>
        <v/>
      </c>
      <c r="C230" s="76">
        <f>IF(VLOOKUP(A230,Database!$A:$AS,MATCH($C$1,Database!$A$1:$AS$1,0),FALSE)=0,#N/A,VLOOKUP(A230,Database!$A:$AS,MATCH($C$1,Database!$A$1:$AS$1,0),FALSE))</f>
        <v/>
      </c>
      <c r="D230" s="76">
        <f>IF(VLOOKUP(A230,Database!$A:$AS,MATCH($D$1,Database!$A$1:$AS$1,0),FALSE)=0,#N/A,VLOOKUP(A230,Database!$A:$AS,MATCH($D$1,Database!$A$1:$AS$1,0),FALSE))</f>
        <v/>
      </c>
      <c r="E230" s="76">
        <f>IF(VLOOKUP(A230,Database!$A:$AS,MATCH($E$1,Database!$A$1:$AS$1,0),FALSE)=0,#N/A,VLOOKUP(A230,Database!$A:$AS,MATCH($E$1,Database!$A$1:$AS$1,0),FALSE))</f>
        <v/>
      </c>
      <c r="F230" s="76">
        <f>IF(VLOOKUP(A230,Database!$A:$AS,MATCH($F$1,Database!$A$1:$AS$1,0),FALSE)=0,#N/A,VLOOKUP(A230,Database!$A:$AS,MATCH($F$1,Database!$A$1:$AS$1,0),FALSE))</f>
        <v/>
      </c>
      <c r="G230" s="76">
        <f>IF(VLOOKUP(A230,Database!$A:$AS,MATCH($G$1,Database!$A$1:$AS$1,0),FALSE)=0,#N/A,VLOOKUP(A230,Database!$A:$AS,MATCH($G$1,Database!$A$1:$AS$1,0),FALSE))</f>
        <v/>
      </c>
      <c r="H230" s="76">
        <f>(((Table134567891011121314151617343[[#This Row],[ITA]]-VLOOKUP($U$1,A:B,2,))/VLOOKUP($U$1,A:B,2,))*100)+100</f>
        <v/>
      </c>
      <c r="I230" s="76">
        <f>(((Table134567891011121314151617343[[#This Row],[FRA]]-VLOOKUP($U$1,A:C,3,))/VLOOKUP($U$1,A:C,3,))*100)+100</f>
        <v/>
      </c>
      <c r="J230" s="76">
        <f>(((Table134567891011121314151617343[[#This Row],[DEU]]-VLOOKUP($U$1,A:D,4,))/VLOOKUP($U$1,A:D,4,))*100)+100</f>
        <v/>
      </c>
      <c r="K230" s="76">
        <f>(((Table134567891011121314151617343[[#This Row],[ESP]]-VLOOKUP($U$1,A:E,5,))/VLOOKUP($U$1,A:E,5,))*100)+100</f>
        <v/>
      </c>
      <c r="L230" s="76">
        <f>(((Table134567891011121314151617343[[#This Row],[EA19]]-VLOOKUP($U$1,A:F,6,))/VLOOKUP($U$1,A:F,6,))*100)+100</f>
        <v/>
      </c>
      <c r="M230" s="76">
        <f>(((Table134567891011121314151617343[[#This Row],[GBR]]-VLOOKUP($U$1,A:G,7,))/VLOOKUP($U$1,A:G,7,))*100)+100</f>
        <v/>
      </c>
      <c r="N230" s="76">
        <f>IF(VLOOKUP(A230,Database!$A:$AU,MATCH($N$1,Database!$A$1:$AU$1,0),FALSE)=0,#N/A,VLOOKUP(A230,Database!$A:$AU,MATCH($N$1,Database!$A$1:$AU$1,0),FALSE))</f>
        <v/>
      </c>
      <c r="O230" s="76">
        <f>(((Table134567891011121314151617343[[#This Row],[USA]]-VLOOKUP($U$1,A:N,14,))/VLOOKUP($U$1,A:N,14,))*100)+100</f>
        <v/>
      </c>
      <c r="P230" s="76">
        <f>IF(VLOOKUP(A230,Database!$A:$AS,MATCH($P$1,Database!$A$1:$AS$1,0),FALSE)=0,#N/A,VLOOKUP(A230,Database!$A:$AS,MATCH($P$1,Database!$A$1:$AS$1,0),FALSE))</f>
        <v/>
      </c>
      <c r="Q230" s="76">
        <f>(((Table134567891011121314151617343[[#This Row],[JPN]]-VLOOKUP($U$1,A:Q,16,))/VLOOKUP($U$1,A:Q,16,))*100)+100</f>
        <v/>
      </c>
    </row>
    <row r="231" customFormat="1" s="86">
      <c r="A231" s="21" t="n">
        <v>39845</v>
      </c>
      <c r="B231" s="76">
        <f>IF(VLOOKUP(A231,Database!$A:$AS,MATCH($B$1,Database!$A$1:$AS$1,0),FALSE)=0,#N/A,VLOOKUP(A231,Database!$A:$AS,MATCH($B$1,Database!$A$1:$AS$1,0),FALSE))</f>
        <v/>
      </c>
      <c r="C231" s="76">
        <f>IF(VLOOKUP(A231,Database!$A:$AS,MATCH($C$1,Database!$A$1:$AS$1,0),FALSE)=0,#N/A,VLOOKUP(A231,Database!$A:$AS,MATCH($C$1,Database!$A$1:$AS$1,0),FALSE))</f>
        <v/>
      </c>
      <c r="D231" s="76">
        <f>IF(VLOOKUP(A231,Database!$A:$AS,MATCH($D$1,Database!$A$1:$AS$1,0),FALSE)=0,#N/A,VLOOKUP(A231,Database!$A:$AS,MATCH($D$1,Database!$A$1:$AS$1,0),FALSE))</f>
        <v/>
      </c>
      <c r="E231" s="76">
        <f>IF(VLOOKUP(A231,Database!$A:$AS,MATCH($E$1,Database!$A$1:$AS$1,0),FALSE)=0,#N/A,VLOOKUP(A231,Database!$A:$AS,MATCH($E$1,Database!$A$1:$AS$1,0),FALSE))</f>
        <v/>
      </c>
      <c r="F231" s="76">
        <f>IF(VLOOKUP(A231,Database!$A:$AS,MATCH($F$1,Database!$A$1:$AS$1,0),FALSE)=0,#N/A,VLOOKUP(A231,Database!$A:$AS,MATCH($F$1,Database!$A$1:$AS$1,0),FALSE))</f>
        <v/>
      </c>
      <c r="G231" s="76">
        <f>IF(VLOOKUP(A231,Database!$A:$AS,MATCH($G$1,Database!$A$1:$AS$1,0),FALSE)=0,#N/A,VLOOKUP(A231,Database!$A:$AS,MATCH($G$1,Database!$A$1:$AS$1,0),FALSE))</f>
        <v/>
      </c>
      <c r="H231" s="76">
        <f>(((Table134567891011121314151617343[[#This Row],[ITA]]-VLOOKUP($U$1,A:B,2,))/VLOOKUP($U$1,A:B,2,))*100)+100</f>
        <v/>
      </c>
      <c r="I231" s="76">
        <f>(((Table134567891011121314151617343[[#This Row],[FRA]]-VLOOKUP($U$1,A:C,3,))/VLOOKUP($U$1,A:C,3,))*100)+100</f>
        <v/>
      </c>
      <c r="J231" s="76">
        <f>(((Table134567891011121314151617343[[#This Row],[DEU]]-VLOOKUP($U$1,A:D,4,))/VLOOKUP($U$1,A:D,4,))*100)+100</f>
        <v/>
      </c>
      <c r="K231" s="76">
        <f>(((Table134567891011121314151617343[[#This Row],[ESP]]-VLOOKUP($U$1,A:E,5,))/VLOOKUP($U$1,A:E,5,))*100)+100</f>
        <v/>
      </c>
      <c r="L231" s="76">
        <f>(((Table134567891011121314151617343[[#This Row],[EA19]]-VLOOKUP($U$1,A:F,6,))/VLOOKUP($U$1,A:F,6,))*100)+100</f>
        <v/>
      </c>
      <c r="M231" s="76">
        <f>(((Table134567891011121314151617343[[#This Row],[GBR]]-VLOOKUP($U$1,A:G,7,))/VLOOKUP($U$1,A:G,7,))*100)+100</f>
        <v/>
      </c>
      <c r="N231" s="76">
        <f>IF(VLOOKUP(A231,Database!$A:$AU,MATCH($N$1,Database!$A$1:$AU$1,0),FALSE)=0,#N/A,VLOOKUP(A231,Database!$A:$AU,MATCH($N$1,Database!$A$1:$AU$1,0),FALSE))</f>
        <v/>
      </c>
      <c r="O231" s="76">
        <f>(((Table134567891011121314151617343[[#This Row],[USA]]-VLOOKUP($U$1,A:N,14,))/VLOOKUP($U$1,A:N,14,))*100)+100</f>
        <v/>
      </c>
      <c r="P231" s="76">
        <f>IF(VLOOKUP(A231,Database!$A:$AS,MATCH($P$1,Database!$A$1:$AS$1,0),FALSE)=0,#N/A,VLOOKUP(A231,Database!$A:$AS,MATCH($P$1,Database!$A$1:$AS$1,0),FALSE))</f>
        <v/>
      </c>
      <c r="Q231" s="76">
        <f>(((Table134567891011121314151617343[[#This Row],[JPN]]-VLOOKUP($U$1,A:Q,16,))/VLOOKUP($U$1,A:Q,16,))*100)+100</f>
        <v/>
      </c>
    </row>
    <row r="232" customFormat="1" s="86">
      <c r="A232" s="21" t="n">
        <v>39873</v>
      </c>
      <c r="B232" s="76">
        <f>IF(VLOOKUP(A232,Database!$A:$AS,MATCH($B$1,Database!$A$1:$AS$1,0),FALSE)=0,#N/A,VLOOKUP(A232,Database!$A:$AS,MATCH($B$1,Database!$A$1:$AS$1,0),FALSE))</f>
        <v/>
      </c>
      <c r="C232" s="76">
        <f>IF(VLOOKUP(A232,Database!$A:$AS,MATCH($C$1,Database!$A$1:$AS$1,0),FALSE)=0,#N/A,VLOOKUP(A232,Database!$A:$AS,MATCH($C$1,Database!$A$1:$AS$1,0),FALSE))</f>
        <v/>
      </c>
      <c r="D232" s="76">
        <f>IF(VLOOKUP(A232,Database!$A:$AS,MATCH($D$1,Database!$A$1:$AS$1,0),FALSE)=0,#N/A,VLOOKUP(A232,Database!$A:$AS,MATCH($D$1,Database!$A$1:$AS$1,0),FALSE))</f>
        <v/>
      </c>
      <c r="E232" s="76">
        <f>IF(VLOOKUP(A232,Database!$A:$AS,MATCH($E$1,Database!$A$1:$AS$1,0),FALSE)=0,#N/A,VLOOKUP(A232,Database!$A:$AS,MATCH($E$1,Database!$A$1:$AS$1,0),FALSE))</f>
        <v/>
      </c>
      <c r="F232" s="76">
        <f>IF(VLOOKUP(A232,Database!$A:$AS,MATCH($F$1,Database!$A$1:$AS$1,0),FALSE)=0,#N/A,VLOOKUP(A232,Database!$A:$AS,MATCH($F$1,Database!$A$1:$AS$1,0),FALSE))</f>
        <v/>
      </c>
      <c r="G232" s="76">
        <f>IF(VLOOKUP(A232,Database!$A:$AS,MATCH($G$1,Database!$A$1:$AS$1,0),FALSE)=0,#N/A,VLOOKUP(A232,Database!$A:$AS,MATCH($G$1,Database!$A$1:$AS$1,0),FALSE))</f>
        <v/>
      </c>
      <c r="H232" s="76">
        <f>(((Table134567891011121314151617343[[#This Row],[ITA]]-VLOOKUP($U$1,A:B,2,))/VLOOKUP($U$1,A:B,2,))*100)+100</f>
        <v/>
      </c>
      <c r="I232" s="76">
        <f>(((Table134567891011121314151617343[[#This Row],[FRA]]-VLOOKUP($U$1,A:C,3,))/VLOOKUP($U$1,A:C,3,))*100)+100</f>
        <v/>
      </c>
      <c r="J232" s="76">
        <f>(((Table134567891011121314151617343[[#This Row],[DEU]]-VLOOKUP($U$1,A:D,4,))/VLOOKUP($U$1,A:D,4,))*100)+100</f>
        <v/>
      </c>
      <c r="K232" s="76">
        <f>(((Table134567891011121314151617343[[#This Row],[ESP]]-VLOOKUP($U$1,A:E,5,))/VLOOKUP($U$1,A:E,5,))*100)+100</f>
        <v/>
      </c>
      <c r="L232" s="76">
        <f>(((Table134567891011121314151617343[[#This Row],[EA19]]-VLOOKUP($U$1,A:F,6,))/VLOOKUP($U$1,A:F,6,))*100)+100</f>
        <v/>
      </c>
      <c r="M232" s="76">
        <f>(((Table134567891011121314151617343[[#This Row],[GBR]]-VLOOKUP($U$1,A:G,7,))/VLOOKUP($U$1,A:G,7,))*100)+100</f>
        <v/>
      </c>
      <c r="N232" s="76">
        <f>IF(VLOOKUP(A232,Database!$A:$AU,MATCH($N$1,Database!$A$1:$AU$1,0),FALSE)=0,#N/A,VLOOKUP(A232,Database!$A:$AU,MATCH($N$1,Database!$A$1:$AU$1,0),FALSE))</f>
        <v/>
      </c>
      <c r="O232" s="76">
        <f>(((Table134567891011121314151617343[[#This Row],[USA]]-VLOOKUP($U$1,A:N,14,))/VLOOKUP($U$1,A:N,14,))*100)+100</f>
        <v/>
      </c>
      <c r="P232" s="76">
        <f>IF(VLOOKUP(A232,Database!$A:$AS,MATCH($P$1,Database!$A$1:$AS$1,0),FALSE)=0,#N/A,VLOOKUP(A232,Database!$A:$AS,MATCH($P$1,Database!$A$1:$AS$1,0),FALSE))</f>
        <v/>
      </c>
      <c r="Q232" s="76">
        <f>(((Table134567891011121314151617343[[#This Row],[JPN]]-VLOOKUP($U$1,A:Q,16,))/VLOOKUP($U$1,A:Q,16,))*100)+100</f>
        <v/>
      </c>
    </row>
    <row r="233" customFormat="1" s="86">
      <c r="A233" s="21" t="n">
        <v>39904</v>
      </c>
      <c r="B233" s="76">
        <f>IF(VLOOKUP(A233,Database!$A:$AS,MATCH($B$1,Database!$A$1:$AS$1,0),FALSE)=0,#N/A,VLOOKUP(A233,Database!$A:$AS,MATCH($B$1,Database!$A$1:$AS$1,0),FALSE))</f>
        <v/>
      </c>
      <c r="C233" s="76">
        <f>IF(VLOOKUP(A233,Database!$A:$AS,MATCH($C$1,Database!$A$1:$AS$1,0),FALSE)=0,#N/A,VLOOKUP(A233,Database!$A:$AS,MATCH($C$1,Database!$A$1:$AS$1,0),FALSE))</f>
        <v/>
      </c>
      <c r="D233" s="76">
        <f>IF(VLOOKUP(A233,Database!$A:$AS,MATCH($D$1,Database!$A$1:$AS$1,0),FALSE)=0,#N/A,VLOOKUP(A233,Database!$A:$AS,MATCH($D$1,Database!$A$1:$AS$1,0),FALSE))</f>
        <v/>
      </c>
      <c r="E233" s="76">
        <f>IF(VLOOKUP(A233,Database!$A:$AS,MATCH($E$1,Database!$A$1:$AS$1,0),FALSE)=0,#N/A,VLOOKUP(A233,Database!$A:$AS,MATCH($E$1,Database!$A$1:$AS$1,0),FALSE))</f>
        <v/>
      </c>
      <c r="F233" s="76">
        <f>IF(VLOOKUP(A233,Database!$A:$AS,MATCH($F$1,Database!$A$1:$AS$1,0),FALSE)=0,#N/A,VLOOKUP(A233,Database!$A:$AS,MATCH($F$1,Database!$A$1:$AS$1,0),FALSE))</f>
        <v/>
      </c>
      <c r="G233" s="76">
        <f>IF(VLOOKUP(A233,Database!$A:$AS,MATCH($G$1,Database!$A$1:$AS$1,0),FALSE)=0,#N/A,VLOOKUP(A233,Database!$A:$AS,MATCH($G$1,Database!$A$1:$AS$1,0),FALSE))</f>
        <v/>
      </c>
      <c r="H233" s="76">
        <f>(((Table134567891011121314151617343[[#This Row],[ITA]]-VLOOKUP($U$1,A:B,2,))/VLOOKUP($U$1,A:B,2,))*100)+100</f>
        <v/>
      </c>
      <c r="I233" s="76">
        <f>(((Table134567891011121314151617343[[#This Row],[FRA]]-VLOOKUP($U$1,A:C,3,))/VLOOKUP($U$1,A:C,3,))*100)+100</f>
        <v/>
      </c>
      <c r="J233" s="76">
        <f>(((Table134567891011121314151617343[[#This Row],[DEU]]-VLOOKUP($U$1,A:D,4,))/VLOOKUP($U$1,A:D,4,))*100)+100</f>
        <v/>
      </c>
      <c r="K233" s="76">
        <f>(((Table134567891011121314151617343[[#This Row],[ESP]]-VLOOKUP($U$1,A:E,5,))/VLOOKUP($U$1,A:E,5,))*100)+100</f>
        <v/>
      </c>
      <c r="L233" s="76">
        <f>(((Table134567891011121314151617343[[#This Row],[EA19]]-VLOOKUP($U$1,A:F,6,))/VLOOKUP($U$1,A:F,6,))*100)+100</f>
        <v/>
      </c>
      <c r="M233" s="76">
        <f>(((Table134567891011121314151617343[[#This Row],[GBR]]-VLOOKUP($U$1,A:G,7,))/VLOOKUP($U$1,A:G,7,))*100)+100</f>
        <v/>
      </c>
      <c r="N233" s="76">
        <f>IF(VLOOKUP(A233,Database!$A:$AU,MATCH($N$1,Database!$A$1:$AU$1,0),FALSE)=0,#N/A,VLOOKUP(A233,Database!$A:$AU,MATCH($N$1,Database!$A$1:$AU$1,0),FALSE))</f>
        <v/>
      </c>
      <c r="O233" s="76">
        <f>(((Table134567891011121314151617343[[#This Row],[USA]]-VLOOKUP($U$1,A:N,14,))/VLOOKUP($U$1,A:N,14,))*100)+100</f>
        <v/>
      </c>
      <c r="P233" s="76">
        <f>IF(VLOOKUP(A233,Database!$A:$AS,MATCH($P$1,Database!$A$1:$AS$1,0),FALSE)=0,#N/A,VLOOKUP(A233,Database!$A:$AS,MATCH($P$1,Database!$A$1:$AS$1,0),FALSE))</f>
        <v/>
      </c>
      <c r="Q233" s="76">
        <f>(((Table134567891011121314151617343[[#This Row],[JPN]]-VLOOKUP($U$1,A:Q,16,))/VLOOKUP($U$1,A:Q,16,))*100)+100</f>
        <v/>
      </c>
    </row>
    <row r="234" customFormat="1" s="86">
      <c r="A234" s="21" t="n">
        <v>39934</v>
      </c>
      <c r="B234" s="76">
        <f>IF(VLOOKUP(A234,Database!$A:$AS,MATCH($B$1,Database!$A$1:$AS$1,0),FALSE)=0,#N/A,VLOOKUP(A234,Database!$A:$AS,MATCH($B$1,Database!$A$1:$AS$1,0),FALSE))</f>
        <v/>
      </c>
      <c r="C234" s="76">
        <f>IF(VLOOKUP(A234,Database!$A:$AS,MATCH($C$1,Database!$A$1:$AS$1,0),FALSE)=0,#N/A,VLOOKUP(A234,Database!$A:$AS,MATCH($C$1,Database!$A$1:$AS$1,0),FALSE))</f>
        <v/>
      </c>
      <c r="D234" s="76">
        <f>IF(VLOOKUP(A234,Database!$A:$AS,MATCH($D$1,Database!$A$1:$AS$1,0),FALSE)=0,#N/A,VLOOKUP(A234,Database!$A:$AS,MATCH($D$1,Database!$A$1:$AS$1,0),FALSE))</f>
        <v/>
      </c>
      <c r="E234" s="76">
        <f>IF(VLOOKUP(A234,Database!$A:$AS,MATCH($E$1,Database!$A$1:$AS$1,0),FALSE)=0,#N/A,VLOOKUP(A234,Database!$A:$AS,MATCH($E$1,Database!$A$1:$AS$1,0),FALSE))</f>
        <v/>
      </c>
      <c r="F234" s="76">
        <f>IF(VLOOKUP(A234,Database!$A:$AS,MATCH($F$1,Database!$A$1:$AS$1,0),FALSE)=0,#N/A,VLOOKUP(A234,Database!$A:$AS,MATCH($F$1,Database!$A$1:$AS$1,0),FALSE))</f>
        <v/>
      </c>
      <c r="G234" s="76">
        <f>IF(VLOOKUP(A234,Database!$A:$AS,MATCH($G$1,Database!$A$1:$AS$1,0),FALSE)=0,#N/A,VLOOKUP(A234,Database!$A:$AS,MATCH($G$1,Database!$A$1:$AS$1,0),FALSE))</f>
        <v/>
      </c>
      <c r="H234" s="76">
        <f>(((Table134567891011121314151617343[[#This Row],[ITA]]-VLOOKUP($U$1,A:B,2,))/VLOOKUP($U$1,A:B,2,))*100)+100</f>
        <v/>
      </c>
      <c r="I234" s="76">
        <f>(((Table134567891011121314151617343[[#This Row],[FRA]]-VLOOKUP($U$1,A:C,3,))/VLOOKUP($U$1,A:C,3,))*100)+100</f>
        <v/>
      </c>
      <c r="J234" s="76">
        <f>(((Table134567891011121314151617343[[#This Row],[DEU]]-VLOOKUP($U$1,A:D,4,))/VLOOKUP($U$1,A:D,4,))*100)+100</f>
        <v/>
      </c>
      <c r="K234" s="76">
        <f>(((Table134567891011121314151617343[[#This Row],[ESP]]-VLOOKUP($U$1,A:E,5,))/VLOOKUP($U$1,A:E,5,))*100)+100</f>
        <v/>
      </c>
      <c r="L234" s="76">
        <f>(((Table134567891011121314151617343[[#This Row],[EA19]]-VLOOKUP($U$1,A:F,6,))/VLOOKUP($U$1,A:F,6,))*100)+100</f>
        <v/>
      </c>
      <c r="M234" s="76">
        <f>(((Table134567891011121314151617343[[#This Row],[GBR]]-VLOOKUP($U$1,A:G,7,))/VLOOKUP($U$1,A:G,7,))*100)+100</f>
        <v/>
      </c>
      <c r="N234" s="76">
        <f>IF(VLOOKUP(A234,Database!$A:$AU,MATCH($N$1,Database!$A$1:$AU$1,0),FALSE)=0,#N/A,VLOOKUP(A234,Database!$A:$AU,MATCH($N$1,Database!$A$1:$AU$1,0),FALSE))</f>
        <v/>
      </c>
      <c r="O234" s="76">
        <f>(((Table134567891011121314151617343[[#This Row],[USA]]-VLOOKUP($U$1,A:N,14,))/VLOOKUP($U$1,A:N,14,))*100)+100</f>
        <v/>
      </c>
      <c r="P234" s="76">
        <f>IF(VLOOKUP(A234,Database!$A:$AS,MATCH($P$1,Database!$A$1:$AS$1,0),FALSE)=0,#N/A,VLOOKUP(A234,Database!$A:$AS,MATCH($P$1,Database!$A$1:$AS$1,0),FALSE))</f>
        <v/>
      </c>
      <c r="Q234" s="76">
        <f>(((Table134567891011121314151617343[[#This Row],[JPN]]-VLOOKUP($U$1,A:Q,16,))/VLOOKUP($U$1,A:Q,16,))*100)+100</f>
        <v/>
      </c>
    </row>
    <row r="235" customFormat="1" s="86">
      <c r="A235" s="21" t="n">
        <v>39965</v>
      </c>
      <c r="B235" s="76">
        <f>IF(VLOOKUP(A235,Database!$A:$AS,MATCH($B$1,Database!$A$1:$AS$1,0),FALSE)=0,#N/A,VLOOKUP(A235,Database!$A:$AS,MATCH($B$1,Database!$A$1:$AS$1,0),FALSE))</f>
        <v/>
      </c>
      <c r="C235" s="76">
        <f>IF(VLOOKUP(A235,Database!$A:$AS,MATCH($C$1,Database!$A$1:$AS$1,0),FALSE)=0,#N/A,VLOOKUP(A235,Database!$A:$AS,MATCH($C$1,Database!$A$1:$AS$1,0),FALSE))</f>
        <v/>
      </c>
      <c r="D235" s="76">
        <f>IF(VLOOKUP(A235,Database!$A:$AS,MATCH($D$1,Database!$A$1:$AS$1,0),FALSE)=0,#N/A,VLOOKUP(A235,Database!$A:$AS,MATCH($D$1,Database!$A$1:$AS$1,0),FALSE))</f>
        <v/>
      </c>
      <c r="E235" s="76">
        <f>IF(VLOOKUP(A235,Database!$A:$AS,MATCH($E$1,Database!$A$1:$AS$1,0),FALSE)=0,#N/A,VLOOKUP(A235,Database!$A:$AS,MATCH($E$1,Database!$A$1:$AS$1,0),FALSE))</f>
        <v/>
      </c>
      <c r="F235" s="76">
        <f>IF(VLOOKUP(A235,Database!$A:$AS,MATCH($F$1,Database!$A$1:$AS$1,0),FALSE)=0,#N/A,VLOOKUP(A235,Database!$A:$AS,MATCH($F$1,Database!$A$1:$AS$1,0),FALSE))</f>
        <v/>
      </c>
      <c r="G235" s="76">
        <f>IF(VLOOKUP(A235,Database!$A:$AS,MATCH($G$1,Database!$A$1:$AS$1,0),FALSE)=0,#N/A,VLOOKUP(A235,Database!$A:$AS,MATCH($G$1,Database!$A$1:$AS$1,0),FALSE))</f>
        <v/>
      </c>
      <c r="H235" s="76">
        <f>(((Table134567891011121314151617343[[#This Row],[ITA]]-VLOOKUP($U$1,A:B,2,))/VLOOKUP($U$1,A:B,2,))*100)+100</f>
        <v/>
      </c>
      <c r="I235" s="76">
        <f>(((Table134567891011121314151617343[[#This Row],[FRA]]-VLOOKUP($U$1,A:C,3,))/VLOOKUP($U$1,A:C,3,))*100)+100</f>
        <v/>
      </c>
      <c r="J235" s="76">
        <f>(((Table134567891011121314151617343[[#This Row],[DEU]]-VLOOKUP($U$1,A:D,4,))/VLOOKUP($U$1,A:D,4,))*100)+100</f>
        <v/>
      </c>
      <c r="K235" s="76">
        <f>(((Table134567891011121314151617343[[#This Row],[ESP]]-VLOOKUP($U$1,A:E,5,))/VLOOKUP($U$1,A:E,5,))*100)+100</f>
        <v/>
      </c>
      <c r="L235" s="76">
        <f>(((Table134567891011121314151617343[[#This Row],[EA19]]-VLOOKUP($U$1,A:F,6,))/VLOOKUP($U$1,A:F,6,))*100)+100</f>
        <v/>
      </c>
      <c r="M235" s="76">
        <f>(((Table134567891011121314151617343[[#This Row],[GBR]]-VLOOKUP($U$1,A:G,7,))/VLOOKUP($U$1,A:G,7,))*100)+100</f>
        <v/>
      </c>
      <c r="N235" s="76">
        <f>IF(VLOOKUP(A235,Database!$A:$AU,MATCH($N$1,Database!$A$1:$AU$1,0),FALSE)=0,#N/A,VLOOKUP(A235,Database!$A:$AU,MATCH($N$1,Database!$A$1:$AU$1,0),FALSE))</f>
        <v/>
      </c>
      <c r="O235" s="76">
        <f>(((Table134567891011121314151617343[[#This Row],[USA]]-VLOOKUP($U$1,A:N,14,))/VLOOKUP($U$1,A:N,14,))*100)+100</f>
        <v/>
      </c>
      <c r="P235" s="76">
        <f>IF(VLOOKUP(A235,Database!$A:$AS,MATCH($P$1,Database!$A$1:$AS$1,0),FALSE)=0,#N/A,VLOOKUP(A235,Database!$A:$AS,MATCH($P$1,Database!$A$1:$AS$1,0),FALSE))</f>
        <v/>
      </c>
      <c r="Q235" s="76">
        <f>(((Table134567891011121314151617343[[#This Row],[JPN]]-VLOOKUP($U$1,A:Q,16,))/VLOOKUP($U$1,A:Q,16,))*100)+100</f>
        <v/>
      </c>
    </row>
    <row r="236" customFormat="1" s="86">
      <c r="A236" s="21" t="n">
        <v>39995</v>
      </c>
      <c r="B236" s="76">
        <f>IF(VLOOKUP(A236,Database!$A:$AS,MATCH($B$1,Database!$A$1:$AS$1,0),FALSE)=0,#N/A,VLOOKUP(A236,Database!$A:$AS,MATCH($B$1,Database!$A$1:$AS$1,0),FALSE))</f>
        <v/>
      </c>
      <c r="C236" s="76">
        <f>IF(VLOOKUP(A236,Database!$A:$AS,MATCH($C$1,Database!$A$1:$AS$1,0),FALSE)=0,#N/A,VLOOKUP(A236,Database!$A:$AS,MATCH($C$1,Database!$A$1:$AS$1,0),FALSE))</f>
        <v/>
      </c>
      <c r="D236" s="76">
        <f>IF(VLOOKUP(A236,Database!$A:$AS,MATCH($D$1,Database!$A$1:$AS$1,0),FALSE)=0,#N/A,VLOOKUP(A236,Database!$A:$AS,MATCH($D$1,Database!$A$1:$AS$1,0),FALSE))</f>
        <v/>
      </c>
      <c r="E236" s="76">
        <f>IF(VLOOKUP(A236,Database!$A:$AS,MATCH($E$1,Database!$A$1:$AS$1,0),FALSE)=0,#N/A,VLOOKUP(A236,Database!$A:$AS,MATCH($E$1,Database!$A$1:$AS$1,0),FALSE))</f>
        <v/>
      </c>
      <c r="F236" s="76">
        <f>IF(VLOOKUP(A236,Database!$A:$AS,MATCH($F$1,Database!$A$1:$AS$1,0),FALSE)=0,#N/A,VLOOKUP(A236,Database!$A:$AS,MATCH($F$1,Database!$A$1:$AS$1,0),FALSE))</f>
        <v/>
      </c>
      <c r="G236" s="76">
        <f>IF(VLOOKUP(A236,Database!$A:$AS,MATCH($G$1,Database!$A$1:$AS$1,0),FALSE)=0,#N/A,VLOOKUP(A236,Database!$A:$AS,MATCH($G$1,Database!$A$1:$AS$1,0),FALSE))</f>
        <v/>
      </c>
      <c r="H236" s="76">
        <f>(((Table134567891011121314151617343[[#This Row],[ITA]]-VLOOKUP($U$1,A:B,2,))/VLOOKUP($U$1,A:B,2,))*100)+100</f>
        <v/>
      </c>
      <c r="I236" s="76">
        <f>(((Table134567891011121314151617343[[#This Row],[FRA]]-VLOOKUP($U$1,A:C,3,))/VLOOKUP($U$1,A:C,3,))*100)+100</f>
        <v/>
      </c>
      <c r="J236" s="76">
        <f>(((Table134567891011121314151617343[[#This Row],[DEU]]-VLOOKUP($U$1,A:D,4,))/VLOOKUP($U$1,A:D,4,))*100)+100</f>
        <v/>
      </c>
      <c r="K236" s="76">
        <f>(((Table134567891011121314151617343[[#This Row],[ESP]]-VLOOKUP($U$1,A:E,5,))/VLOOKUP($U$1,A:E,5,))*100)+100</f>
        <v/>
      </c>
      <c r="L236" s="76">
        <f>(((Table134567891011121314151617343[[#This Row],[EA19]]-VLOOKUP($U$1,A:F,6,))/VLOOKUP($U$1,A:F,6,))*100)+100</f>
        <v/>
      </c>
      <c r="M236" s="76">
        <f>(((Table134567891011121314151617343[[#This Row],[GBR]]-VLOOKUP($U$1,A:G,7,))/VLOOKUP($U$1,A:G,7,))*100)+100</f>
        <v/>
      </c>
      <c r="N236" s="76">
        <f>IF(VLOOKUP(A236,Database!$A:$AU,MATCH($N$1,Database!$A$1:$AU$1,0),FALSE)=0,#N/A,VLOOKUP(A236,Database!$A:$AU,MATCH($N$1,Database!$A$1:$AU$1,0),FALSE))</f>
        <v/>
      </c>
      <c r="O236" s="76">
        <f>(((Table134567891011121314151617343[[#This Row],[USA]]-VLOOKUP($U$1,A:N,14,))/VLOOKUP($U$1,A:N,14,))*100)+100</f>
        <v/>
      </c>
      <c r="P236" s="76">
        <f>IF(VLOOKUP(A236,Database!$A:$AS,MATCH($P$1,Database!$A$1:$AS$1,0),FALSE)=0,#N/A,VLOOKUP(A236,Database!$A:$AS,MATCH($P$1,Database!$A$1:$AS$1,0),FALSE))</f>
        <v/>
      </c>
      <c r="Q236" s="76">
        <f>(((Table134567891011121314151617343[[#This Row],[JPN]]-VLOOKUP($U$1,A:Q,16,))/VLOOKUP($U$1,A:Q,16,))*100)+100</f>
        <v/>
      </c>
    </row>
    <row r="237" customFormat="1" s="86">
      <c r="A237" s="21" t="n">
        <v>40026</v>
      </c>
      <c r="B237" s="76">
        <f>IF(VLOOKUP(A237,Database!$A:$AS,MATCH($B$1,Database!$A$1:$AS$1,0),FALSE)=0,#N/A,VLOOKUP(A237,Database!$A:$AS,MATCH($B$1,Database!$A$1:$AS$1,0),FALSE))</f>
        <v/>
      </c>
      <c r="C237" s="76">
        <f>IF(VLOOKUP(A237,Database!$A:$AS,MATCH($C$1,Database!$A$1:$AS$1,0),FALSE)=0,#N/A,VLOOKUP(A237,Database!$A:$AS,MATCH($C$1,Database!$A$1:$AS$1,0),FALSE))</f>
        <v/>
      </c>
      <c r="D237" s="76">
        <f>IF(VLOOKUP(A237,Database!$A:$AS,MATCH($D$1,Database!$A$1:$AS$1,0),FALSE)=0,#N/A,VLOOKUP(A237,Database!$A:$AS,MATCH($D$1,Database!$A$1:$AS$1,0),FALSE))</f>
        <v/>
      </c>
      <c r="E237" s="76">
        <f>IF(VLOOKUP(A237,Database!$A:$AS,MATCH($E$1,Database!$A$1:$AS$1,0),FALSE)=0,#N/A,VLOOKUP(A237,Database!$A:$AS,MATCH($E$1,Database!$A$1:$AS$1,0),FALSE))</f>
        <v/>
      </c>
      <c r="F237" s="76">
        <f>IF(VLOOKUP(A237,Database!$A:$AS,MATCH($F$1,Database!$A$1:$AS$1,0),FALSE)=0,#N/A,VLOOKUP(A237,Database!$A:$AS,MATCH($F$1,Database!$A$1:$AS$1,0),FALSE))</f>
        <v/>
      </c>
      <c r="G237" s="76">
        <f>IF(VLOOKUP(A237,Database!$A:$AS,MATCH($G$1,Database!$A$1:$AS$1,0),FALSE)=0,#N/A,VLOOKUP(A237,Database!$A:$AS,MATCH($G$1,Database!$A$1:$AS$1,0),FALSE))</f>
        <v/>
      </c>
      <c r="H237" s="76">
        <f>(((Table134567891011121314151617343[[#This Row],[ITA]]-VLOOKUP($U$1,A:B,2,))/VLOOKUP($U$1,A:B,2,))*100)+100</f>
        <v/>
      </c>
      <c r="I237" s="76">
        <f>(((Table134567891011121314151617343[[#This Row],[FRA]]-VLOOKUP($U$1,A:C,3,))/VLOOKUP($U$1,A:C,3,))*100)+100</f>
        <v/>
      </c>
      <c r="J237" s="76">
        <f>(((Table134567891011121314151617343[[#This Row],[DEU]]-VLOOKUP($U$1,A:D,4,))/VLOOKUP($U$1,A:D,4,))*100)+100</f>
        <v/>
      </c>
      <c r="K237" s="76">
        <f>(((Table134567891011121314151617343[[#This Row],[ESP]]-VLOOKUP($U$1,A:E,5,))/VLOOKUP($U$1,A:E,5,))*100)+100</f>
        <v/>
      </c>
      <c r="L237" s="76">
        <f>(((Table134567891011121314151617343[[#This Row],[EA19]]-VLOOKUP($U$1,A:F,6,))/VLOOKUP($U$1,A:F,6,))*100)+100</f>
        <v/>
      </c>
      <c r="M237" s="76">
        <f>(((Table134567891011121314151617343[[#This Row],[GBR]]-VLOOKUP($U$1,A:G,7,))/VLOOKUP($U$1,A:G,7,))*100)+100</f>
        <v/>
      </c>
      <c r="N237" s="76">
        <f>IF(VLOOKUP(A237,Database!$A:$AU,MATCH($N$1,Database!$A$1:$AU$1,0),FALSE)=0,#N/A,VLOOKUP(A237,Database!$A:$AU,MATCH($N$1,Database!$A$1:$AU$1,0),FALSE))</f>
        <v/>
      </c>
      <c r="O237" s="76">
        <f>(((Table134567891011121314151617343[[#This Row],[USA]]-VLOOKUP($U$1,A:N,14,))/VLOOKUP($U$1,A:N,14,))*100)+100</f>
        <v/>
      </c>
      <c r="P237" s="76">
        <f>IF(VLOOKUP(A237,Database!$A:$AS,MATCH($P$1,Database!$A$1:$AS$1,0),FALSE)=0,#N/A,VLOOKUP(A237,Database!$A:$AS,MATCH($P$1,Database!$A$1:$AS$1,0),FALSE))</f>
        <v/>
      </c>
      <c r="Q237" s="76">
        <f>(((Table134567891011121314151617343[[#This Row],[JPN]]-VLOOKUP($U$1,A:Q,16,))/VLOOKUP($U$1,A:Q,16,))*100)+100</f>
        <v/>
      </c>
    </row>
    <row r="238" customFormat="1" s="86">
      <c r="A238" s="21" t="n">
        <v>40057</v>
      </c>
      <c r="B238" s="76">
        <f>IF(VLOOKUP(A238,Database!$A:$AS,MATCH($B$1,Database!$A$1:$AS$1,0),FALSE)=0,#N/A,VLOOKUP(A238,Database!$A:$AS,MATCH($B$1,Database!$A$1:$AS$1,0),FALSE))</f>
        <v/>
      </c>
      <c r="C238" s="76">
        <f>IF(VLOOKUP(A238,Database!$A:$AS,MATCH($C$1,Database!$A$1:$AS$1,0),FALSE)=0,#N/A,VLOOKUP(A238,Database!$A:$AS,MATCH($C$1,Database!$A$1:$AS$1,0),FALSE))</f>
        <v/>
      </c>
      <c r="D238" s="76">
        <f>IF(VLOOKUP(A238,Database!$A:$AS,MATCH($D$1,Database!$A$1:$AS$1,0),FALSE)=0,#N/A,VLOOKUP(A238,Database!$A:$AS,MATCH($D$1,Database!$A$1:$AS$1,0),FALSE))</f>
        <v/>
      </c>
      <c r="E238" s="76">
        <f>IF(VLOOKUP(A238,Database!$A:$AS,MATCH($E$1,Database!$A$1:$AS$1,0),FALSE)=0,#N/A,VLOOKUP(A238,Database!$A:$AS,MATCH($E$1,Database!$A$1:$AS$1,0),FALSE))</f>
        <v/>
      </c>
      <c r="F238" s="76">
        <f>IF(VLOOKUP(A238,Database!$A:$AS,MATCH($F$1,Database!$A$1:$AS$1,0),FALSE)=0,#N/A,VLOOKUP(A238,Database!$A:$AS,MATCH($F$1,Database!$A$1:$AS$1,0),FALSE))</f>
        <v/>
      </c>
      <c r="G238" s="76">
        <f>IF(VLOOKUP(A238,Database!$A:$AS,MATCH($G$1,Database!$A$1:$AS$1,0),FALSE)=0,#N/A,VLOOKUP(A238,Database!$A:$AS,MATCH($G$1,Database!$A$1:$AS$1,0),FALSE))</f>
        <v/>
      </c>
      <c r="H238" s="76">
        <f>(((Table134567891011121314151617343[[#This Row],[ITA]]-VLOOKUP($U$1,A:B,2,))/VLOOKUP($U$1,A:B,2,))*100)+100</f>
        <v/>
      </c>
      <c r="I238" s="76">
        <f>(((Table134567891011121314151617343[[#This Row],[FRA]]-VLOOKUP($U$1,A:C,3,))/VLOOKUP($U$1,A:C,3,))*100)+100</f>
        <v/>
      </c>
      <c r="J238" s="76">
        <f>(((Table134567891011121314151617343[[#This Row],[DEU]]-VLOOKUP($U$1,A:D,4,))/VLOOKUP($U$1,A:D,4,))*100)+100</f>
        <v/>
      </c>
      <c r="K238" s="76">
        <f>(((Table134567891011121314151617343[[#This Row],[ESP]]-VLOOKUP($U$1,A:E,5,))/VLOOKUP($U$1,A:E,5,))*100)+100</f>
        <v/>
      </c>
      <c r="L238" s="76">
        <f>(((Table134567891011121314151617343[[#This Row],[EA19]]-VLOOKUP($U$1,A:F,6,))/VLOOKUP($U$1,A:F,6,))*100)+100</f>
        <v/>
      </c>
      <c r="M238" s="76">
        <f>(((Table134567891011121314151617343[[#This Row],[GBR]]-VLOOKUP($U$1,A:G,7,))/VLOOKUP($U$1,A:G,7,))*100)+100</f>
        <v/>
      </c>
      <c r="N238" s="76">
        <f>IF(VLOOKUP(A238,Database!$A:$AU,MATCH($N$1,Database!$A$1:$AU$1,0),FALSE)=0,#N/A,VLOOKUP(A238,Database!$A:$AU,MATCH($N$1,Database!$A$1:$AU$1,0),FALSE))</f>
        <v/>
      </c>
      <c r="O238" s="76">
        <f>(((Table134567891011121314151617343[[#This Row],[USA]]-VLOOKUP($U$1,A:N,14,))/VLOOKUP($U$1,A:N,14,))*100)+100</f>
        <v/>
      </c>
      <c r="P238" s="76">
        <f>IF(VLOOKUP(A238,Database!$A:$AS,MATCH($P$1,Database!$A$1:$AS$1,0),FALSE)=0,#N/A,VLOOKUP(A238,Database!$A:$AS,MATCH($P$1,Database!$A$1:$AS$1,0),FALSE))</f>
        <v/>
      </c>
      <c r="Q238" s="76">
        <f>(((Table134567891011121314151617343[[#This Row],[JPN]]-VLOOKUP($U$1,A:Q,16,))/VLOOKUP($U$1,A:Q,16,))*100)+100</f>
        <v/>
      </c>
    </row>
    <row r="239" customFormat="1" s="86">
      <c r="A239" s="21" t="n">
        <v>40087</v>
      </c>
      <c r="B239" s="76">
        <f>IF(VLOOKUP(A239,Database!$A:$AS,MATCH($B$1,Database!$A$1:$AS$1,0),FALSE)=0,#N/A,VLOOKUP(A239,Database!$A:$AS,MATCH($B$1,Database!$A$1:$AS$1,0),FALSE))</f>
        <v/>
      </c>
      <c r="C239" s="76">
        <f>IF(VLOOKUP(A239,Database!$A:$AS,MATCH($C$1,Database!$A$1:$AS$1,0),FALSE)=0,#N/A,VLOOKUP(A239,Database!$A:$AS,MATCH($C$1,Database!$A$1:$AS$1,0),FALSE))</f>
        <v/>
      </c>
      <c r="D239" s="76">
        <f>IF(VLOOKUP(A239,Database!$A:$AS,MATCH($D$1,Database!$A$1:$AS$1,0),FALSE)=0,#N/A,VLOOKUP(A239,Database!$A:$AS,MATCH($D$1,Database!$A$1:$AS$1,0),FALSE))</f>
        <v/>
      </c>
      <c r="E239" s="76">
        <f>IF(VLOOKUP(A239,Database!$A:$AS,MATCH($E$1,Database!$A$1:$AS$1,0),FALSE)=0,#N/A,VLOOKUP(A239,Database!$A:$AS,MATCH($E$1,Database!$A$1:$AS$1,0),FALSE))</f>
        <v/>
      </c>
      <c r="F239" s="76">
        <f>IF(VLOOKUP(A239,Database!$A:$AS,MATCH($F$1,Database!$A$1:$AS$1,0),FALSE)=0,#N/A,VLOOKUP(A239,Database!$A:$AS,MATCH($F$1,Database!$A$1:$AS$1,0),FALSE))</f>
        <v/>
      </c>
      <c r="G239" s="76">
        <f>IF(VLOOKUP(A239,Database!$A:$AS,MATCH($G$1,Database!$A$1:$AS$1,0),FALSE)=0,#N/A,VLOOKUP(A239,Database!$A:$AS,MATCH($G$1,Database!$A$1:$AS$1,0),FALSE))</f>
        <v/>
      </c>
      <c r="H239" s="76">
        <f>(((Table134567891011121314151617343[[#This Row],[ITA]]-VLOOKUP($U$1,A:B,2,))/VLOOKUP($U$1,A:B,2,))*100)+100</f>
        <v/>
      </c>
      <c r="I239" s="76">
        <f>(((Table134567891011121314151617343[[#This Row],[FRA]]-VLOOKUP($U$1,A:C,3,))/VLOOKUP($U$1,A:C,3,))*100)+100</f>
        <v/>
      </c>
      <c r="J239" s="76">
        <f>(((Table134567891011121314151617343[[#This Row],[DEU]]-VLOOKUP($U$1,A:D,4,))/VLOOKUP($U$1,A:D,4,))*100)+100</f>
        <v/>
      </c>
      <c r="K239" s="76">
        <f>(((Table134567891011121314151617343[[#This Row],[ESP]]-VLOOKUP($U$1,A:E,5,))/VLOOKUP($U$1,A:E,5,))*100)+100</f>
        <v/>
      </c>
      <c r="L239" s="76">
        <f>(((Table134567891011121314151617343[[#This Row],[EA19]]-VLOOKUP($U$1,A:F,6,))/VLOOKUP($U$1,A:F,6,))*100)+100</f>
        <v/>
      </c>
      <c r="M239" s="76">
        <f>(((Table134567891011121314151617343[[#This Row],[GBR]]-VLOOKUP($U$1,A:G,7,))/VLOOKUP($U$1,A:G,7,))*100)+100</f>
        <v/>
      </c>
      <c r="N239" s="76">
        <f>IF(VLOOKUP(A239,Database!$A:$AU,MATCH($N$1,Database!$A$1:$AU$1,0),FALSE)=0,#N/A,VLOOKUP(A239,Database!$A:$AU,MATCH($N$1,Database!$A$1:$AU$1,0),FALSE))</f>
        <v/>
      </c>
      <c r="O239" s="76">
        <f>(((Table134567891011121314151617343[[#This Row],[USA]]-VLOOKUP($U$1,A:N,14,))/VLOOKUP($U$1,A:N,14,))*100)+100</f>
        <v/>
      </c>
      <c r="P239" s="76">
        <f>IF(VLOOKUP(A239,Database!$A:$AS,MATCH($P$1,Database!$A$1:$AS$1,0),FALSE)=0,#N/A,VLOOKUP(A239,Database!$A:$AS,MATCH($P$1,Database!$A$1:$AS$1,0),FALSE))</f>
        <v/>
      </c>
      <c r="Q239" s="76">
        <f>(((Table134567891011121314151617343[[#This Row],[JPN]]-VLOOKUP($U$1,A:Q,16,))/VLOOKUP($U$1,A:Q,16,))*100)+100</f>
        <v/>
      </c>
    </row>
    <row r="240" customFormat="1" s="86">
      <c r="A240" s="21" t="n">
        <v>40118</v>
      </c>
      <c r="B240" s="76">
        <f>IF(VLOOKUP(A240,Database!$A:$AS,MATCH($B$1,Database!$A$1:$AS$1,0),FALSE)=0,#N/A,VLOOKUP(A240,Database!$A:$AS,MATCH($B$1,Database!$A$1:$AS$1,0),FALSE))</f>
        <v/>
      </c>
      <c r="C240" s="76">
        <f>IF(VLOOKUP(A240,Database!$A:$AS,MATCH($C$1,Database!$A$1:$AS$1,0),FALSE)=0,#N/A,VLOOKUP(A240,Database!$A:$AS,MATCH($C$1,Database!$A$1:$AS$1,0),FALSE))</f>
        <v/>
      </c>
      <c r="D240" s="76">
        <f>IF(VLOOKUP(A240,Database!$A:$AS,MATCH($D$1,Database!$A$1:$AS$1,0),FALSE)=0,#N/A,VLOOKUP(A240,Database!$A:$AS,MATCH($D$1,Database!$A$1:$AS$1,0),FALSE))</f>
        <v/>
      </c>
      <c r="E240" s="76">
        <f>IF(VLOOKUP(A240,Database!$A:$AS,MATCH($E$1,Database!$A$1:$AS$1,0),FALSE)=0,#N/A,VLOOKUP(A240,Database!$A:$AS,MATCH($E$1,Database!$A$1:$AS$1,0),FALSE))</f>
        <v/>
      </c>
      <c r="F240" s="76">
        <f>IF(VLOOKUP(A240,Database!$A:$AS,MATCH($F$1,Database!$A$1:$AS$1,0),FALSE)=0,#N/A,VLOOKUP(A240,Database!$A:$AS,MATCH($F$1,Database!$A$1:$AS$1,0),FALSE))</f>
        <v/>
      </c>
      <c r="G240" s="76">
        <f>IF(VLOOKUP(A240,Database!$A:$AS,MATCH($G$1,Database!$A$1:$AS$1,0),FALSE)=0,#N/A,VLOOKUP(A240,Database!$A:$AS,MATCH($G$1,Database!$A$1:$AS$1,0),FALSE))</f>
        <v/>
      </c>
      <c r="H240" s="76">
        <f>(((Table134567891011121314151617343[[#This Row],[ITA]]-VLOOKUP($U$1,A:B,2,))/VLOOKUP($U$1,A:B,2,))*100)+100</f>
        <v/>
      </c>
      <c r="I240" s="76">
        <f>(((Table134567891011121314151617343[[#This Row],[FRA]]-VLOOKUP($U$1,A:C,3,))/VLOOKUP($U$1,A:C,3,))*100)+100</f>
        <v/>
      </c>
      <c r="J240" s="76">
        <f>(((Table134567891011121314151617343[[#This Row],[DEU]]-VLOOKUP($U$1,A:D,4,))/VLOOKUP($U$1,A:D,4,))*100)+100</f>
        <v/>
      </c>
      <c r="K240" s="76">
        <f>(((Table134567891011121314151617343[[#This Row],[ESP]]-VLOOKUP($U$1,A:E,5,))/VLOOKUP($U$1,A:E,5,))*100)+100</f>
        <v/>
      </c>
      <c r="L240" s="76">
        <f>(((Table134567891011121314151617343[[#This Row],[EA19]]-VLOOKUP($U$1,A:F,6,))/VLOOKUP($U$1,A:F,6,))*100)+100</f>
        <v/>
      </c>
      <c r="M240" s="76">
        <f>(((Table134567891011121314151617343[[#This Row],[GBR]]-VLOOKUP($U$1,A:G,7,))/VLOOKUP($U$1,A:G,7,))*100)+100</f>
        <v/>
      </c>
      <c r="N240" s="76">
        <f>IF(VLOOKUP(A240,Database!$A:$AU,MATCH($N$1,Database!$A$1:$AU$1,0),FALSE)=0,#N/A,VLOOKUP(A240,Database!$A:$AU,MATCH($N$1,Database!$A$1:$AU$1,0),FALSE))</f>
        <v/>
      </c>
      <c r="O240" s="76">
        <f>(((Table134567891011121314151617343[[#This Row],[USA]]-VLOOKUP($U$1,A:N,14,))/VLOOKUP($U$1,A:N,14,))*100)+100</f>
        <v/>
      </c>
      <c r="P240" s="76">
        <f>IF(VLOOKUP(A240,Database!$A:$AS,MATCH($P$1,Database!$A$1:$AS$1,0),FALSE)=0,#N/A,VLOOKUP(A240,Database!$A:$AS,MATCH($P$1,Database!$A$1:$AS$1,0),FALSE))</f>
        <v/>
      </c>
      <c r="Q240" s="76">
        <f>(((Table134567891011121314151617343[[#This Row],[JPN]]-VLOOKUP($U$1,A:Q,16,))/VLOOKUP($U$1,A:Q,16,))*100)+100</f>
        <v/>
      </c>
    </row>
    <row r="241" customFormat="1" s="86">
      <c r="A241" s="21" t="n">
        <v>40148</v>
      </c>
      <c r="B241" s="76">
        <f>IF(VLOOKUP(A241,Database!$A:$AS,MATCH($B$1,Database!$A$1:$AS$1,0),FALSE)=0,#N/A,VLOOKUP(A241,Database!$A:$AS,MATCH($B$1,Database!$A$1:$AS$1,0),FALSE))</f>
        <v/>
      </c>
      <c r="C241" s="76">
        <f>IF(VLOOKUP(A241,Database!$A:$AS,MATCH($C$1,Database!$A$1:$AS$1,0),FALSE)=0,#N/A,VLOOKUP(A241,Database!$A:$AS,MATCH($C$1,Database!$A$1:$AS$1,0),FALSE))</f>
        <v/>
      </c>
      <c r="D241" s="76">
        <f>IF(VLOOKUP(A241,Database!$A:$AS,MATCH($D$1,Database!$A$1:$AS$1,0),FALSE)=0,#N/A,VLOOKUP(A241,Database!$A:$AS,MATCH($D$1,Database!$A$1:$AS$1,0),FALSE))</f>
        <v/>
      </c>
      <c r="E241" s="76">
        <f>IF(VLOOKUP(A241,Database!$A:$AS,MATCH($E$1,Database!$A$1:$AS$1,0),FALSE)=0,#N/A,VLOOKUP(A241,Database!$A:$AS,MATCH($E$1,Database!$A$1:$AS$1,0),FALSE))</f>
        <v/>
      </c>
      <c r="F241" s="76">
        <f>IF(VLOOKUP(A241,Database!$A:$AS,MATCH($F$1,Database!$A$1:$AS$1,0),FALSE)=0,#N/A,VLOOKUP(A241,Database!$A:$AS,MATCH($F$1,Database!$A$1:$AS$1,0),FALSE))</f>
        <v/>
      </c>
      <c r="G241" s="76">
        <f>IF(VLOOKUP(A241,Database!$A:$AS,MATCH($G$1,Database!$A$1:$AS$1,0),FALSE)=0,#N/A,VLOOKUP(A241,Database!$A:$AS,MATCH($G$1,Database!$A$1:$AS$1,0),FALSE))</f>
        <v/>
      </c>
      <c r="H241" s="76">
        <f>(((Table134567891011121314151617343[[#This Row],[ITA]]-VLOOKUP($U$1,A:B,2,))/VLOOKUP($U$1,A:B,2,))*100)+100</f>
        <v/>
      </c>
      <c r="I241" s="76">
        <f>(((Table134567891011121314151617343[[#This Row],[FRA]]-VLOOKUP($U$1,A:C,3,))/VLOOKUP($U$1,A:C,3,))*100)+100</f>
        <v/>
      </c>
      <c r="J241" s="76">
        <f>(((Table134567891011121314151617343[[#This Row],[DEU]]-VLOOKUP($U$1,A:D,4,))/VLOOKUP($U$1,A:D,4,))*100)+100</f>
        <v/>
      </c>
      <c r="K241" s="76">
        <f>(((Table134567891011121314151617343[[#This Row],[ESP]]-VLOOKUP($U$1,A:E,5,))/VLOOKUP($U$1,A:E,5,))*100)+100</f>
        <v/>
      </c>
      <c r="L241" s="76">
        <f>(((Table134567891011121314151617343[[#This Row],[EA19]]-VLOOKUP($U$1,A:F,6,))/VLOOKUP($U$1,A:F,6,))*100)+100</f>
        <v/>
      </c>
      <c r="M241" s="76">
        <f>(((Table134567891011121314151617343[[#This Row],[GBR]]-VLOOKUP($U$1,A:G,7,))/VLOOKUP($U$1,A:G,7,))*100)+100</f>
        <v/>
      </c>
      <c r="N241" s="76">
        <f>IF(VLOOKUP(A241,Database!$A:$AU,MATCH($N$1,Database!$A$1:$AU$1,0),FALSE)=0,#N/A,VLOOKUP(A241,Database!$A:$AU,MATCH($N$1,Database!$A$1:$AU$1,0),FALSE))</f>
        <v/>
      </c>
      <c r="O241" s="76">
        <f>(((Table134567891011121314151617343[[#This Row],[USA]]-VLOOKUP($U$1,A:N,14,))/VLOOKUP($U$1,A:N,14,))*100)+100</f>
        <v/>
      </c>
      <c r="P241" s="76">
        <f>IF(VLOOKUP(A241,Database!$A:$AS,MATCH($P$1,Database!$A$1:$AS$1,0),FALSE)=0,#N/A,VLOOKUP(A241,Database!$A:$AS,MATCH($P$1,Database!$A$1:$AS$1,0),FALSE))</f>
        <v/>
      </c>
      <c r="Q241" s="76">
        <f>(((Table134567891011121314151617343[[#This Row],[JPN]]-VLOOKUP($U$1,A:Q,16,))/VLOOKUP($U$1,A:Q,16,))*100)+100</f>
        <v/>
      </c>
    </row>
    <row r="242" customFormat="1" s="86">
      <c r="A242" s="21" t="n">
        <v>40179</v>
      </c>
      <c r="B242" s="76">
        <f>IF(VLOOKUP(A242,Database!$A:$AS,MATCH($B$1,Database!$A$1:$AS$1,0),FALSE)=0,#N/A,VLOOKUP(A242,Database!$A:$AS,MATCH($B$1,Database!$A$1:$AS$1,0),FALSE))</f>
        <v/>
      </c>
      <c r="C242" s="76">
        <f>IF(VLOOKUP(A242,Database!$A:$AS,MATCH($C$1,Database!$A$1:$AS$1,0),FALSE)=0,#N/A,VLOOKUP(A242,Database!$A:$AS,MATCH($C$1,Database!$A$1:$AS$1,0),FALSE))</f>
        <v/>
      </c>
      <c r="D242" s="76">
        <f>IF(VLOOKUP(A242,Database!$A:$AS,MATCH($D$1,Database!$A$1:$AS$1,0),FALSE)=0,#N/A,VLOOKUP(A242,Database!$A:$AS,MATCH($D$1,Database!$A$1:$AS$1,0),FALSE))</f>
        <v/>
      </c>
      <c r="E242" s="76">
        <f>IF(VLOOKUP(A242,Database!$A:$AS,MATCH($E$1,Database!$A$1:$AS$1,0),FALSE)=0,#N/A,VLOOKUP(A242,Database!$A:$AS,MATCH($E$1,Database!$A$1:$AS$1,0),FALSE))</f>
        <v/>
      </c>
      <c r="F242" s="76">
        <f>IF(VLOOKUP(A242,Database!$A:$AS,MATCH($F$1,Database!$A$1:$AS$1,0),FALSE)=0,#N/A,VLOOKUP(A242,Database!$A:$AS,MATCH($F$1,Database!$A$1:$AS$1,0),FALSE))</f>
        <v/>
      </c>
      <c r="G242" s="76">
        <f>IF(VLOOKUP(A242,Database!$A:$AS,MATCH($G$1,Database!$A$1:$AS$1,0),FALSE)=0,#N/A,VLOOKUP(A242,Database!$A:$AS,MATCH($G$1,Database!$A$1:$AS$1,0),FALSE))</f>
        <v/>
      </c>
      <c r="H242" s="76">
        <f>(((Table134567891011121314151617343[[#This Row],[ITA]]-VLOOKUP($U$1,A:B,2,))/VLOOKUP($U$1,A:B,2,))*100)+100</f>
        <v/>
      </c>
      <c r="I242" s="76">
        <f>(((Table134567891011121314151617343[[#This Row],[FRA]]-VLOOKUP($U$1,A:C,3,))/VLOOKUP($U$1,A:C,3,))*100)+100</f>
        <v/>
      </c>
      <c r="J242" s="76">
        <f>(((Table134567891011121314151617343[[#This Row],[DEU]]-VLOOKUP($U$1,A:D,4,))/VLOOKUP($U$1,A:D,4,))*100)+100</f>
        <v/>
      </c>
      <c r="K242" s="76">
        <f>(((Table134567891011121314151617343[[#This Row],[ESP]]-VLOOKUP($U$1,A:E,5,))/VLOOKUP($U$1,A:E,5,))*100)+100</f>
        <v/>
      </c>
      <c r="L242" s="76">
        <f>(((Table134567891011121314151617343[[#This Row],[EA19]]-VLOOKUP($U$1,A:F,6,))/VLOOKUP($U$1,A:F,6,))*100)+100</f>
        <v/>
      </c>
      <c r="M242" s="76">
        <f>(((Table134567891011121314151617343[[#This Row],[GBR]]-VLOOKUP($U$1,A:G,7,))/VLOOKUP($U$1,A:G,7,))*100)+100</f>
        <v/>
      </c>
      <c r="N242" s="76">
        <f>IF(VLOOKUP(A242,Database!$A:$AU,MATCH($N$1,Database!$A$1:$AU$1,0),FALSE)=0,#N/A,VLOOKUP(A242,Database!$A:$AU,MATCH($N$1,Database!$A$1:$AU$1,0),FALSE))</f>
        <v/>
      </c>
      <c r="O242" s="76">
        <f>(((Table134567891011121314151617343[[#This Row],[USA]]-VLOOKUP($U$1,A:N,14,))/VLOOKUP($U$1,A:N,14,))*100)+100</f>
        <v/>
      </c>
      <c r="P242" s="76">
        <f>IF(VLOOKUP(A242,Database!$A:$AS,MATCH($P$1,Database!$A$1:$AS$1,0),FALSE)=0,#N/A,VLOOKUP(A242,Database!$A:$AS,MATCH($P$1,Database!$A$1:$AS$1,0),FALSE))</f>
        <v/>
      </c>
      <c r="Q242" s="76">
        <f>(((Table134567891011121314151617343[[#This Row],[JPN]]-VLOOKUP($U$1,A:Q,16,))/VLOOKUP($U$1,A:Q,16,))*100)+100</f>
        <v/>
      </c>
    </row>
    <row r="243" customFormat="1" s="86">
      <c r="A243" s="21" t="n">
        <v>40210</v>
      </c>
      <c r="B243" s="76">
        <f>IF(VLOOKUP(A243,Database!$A:$AS,MATCH($B$1,Database!$A$1:$AS$1,0),FALSE)=0,#N/A,VLOOKUP(A243,Database!$A:$AS,MATCH($B$1,Database!$A$1:$AS$1,0),FALSE))</f>
        <v/>
      </c>
      <c r="C243" s="76">
        <f>IF(VLOOKUP(A243,Database!$A:$AS,MATCH($C$1,Database!$A$1:$AS$1,0),FALSE)=0,#N/A,VLOOKUP(A243,Database!$A:$AS,MATCH($C$1,Database!$A$1:$AS$1,0),FALSE))</f>
        <v/>
      </c>
      <c r="D243" s="76">
        <f>IF(VLOOKUP(A243,Database!$A:$AS,MATCH($D$1,Database!$A$1:$AS$1,0),FALSE)=0,#N/A,VLOOKUP(A243,Database!$A:$AS,MATCH($D$1,Database!$A$1:$AS$1,0),FALSE))</f>
        <v/>
      </c>
      <c r="E243" s="76">
        <f>IF(VLOOKUP(A243,Database!$A:$AS,MATCH($E$1,Database!$A$1:$AS$1,0),FALSE)=0,#N/A,VLOOKUP(A243,Database!$A:$AS,MATCH($E$1,Database!$A$1:$AS$1,0),FALSE))</f>
        <v/>
      </c>
      <c r="F243" s="76">
        <f>IF(VLOOKUP(A243,Database!$A:$AS,MATCH($F$1,Database!$A$1:$AS$1,0),FALSE)=0,#N/A,VLOOKUP(A243,Database!$A:$AS,MATCH($F$1,Database!$A$1:$AS$1,0),FALSE))</f>
        <v/>
      </c>
      <c r="G243" s="76">
        <f>IF(VLOOKUP(A243,Database!$A:$AS,MATCH($G$1,Database!$A$1:$AS$1,0),FALSE)=0,#N/A,VLOOKUP(A243,Database!$A:$AS,MATCH($G$1,Database!$A$1:$AS$1,0),FALSE))</f>
        <v/>
      </c>
      <c r="H243" s="76">
        <f>(((Table134567891011121314151617343[[#This Row],[ITA]]-VLOOKUP($U$1,A:B,2,))/VLOOKUP($U$1,A:B,2,))*100)+100</f>
        <v/>
      </c>
      <c r="I243" s="76">
        <f>(((Table134567891011121314151617343[[#This Row],[FRA]]-VLOOKUP($U$1,A:C,3,))/VLOOKUP($U$1,A:C,3,))*100)+100</f>
        <v/>
      </c>
      <c r="J243" s="76">
        <f>(((Table134567891011121314151617343[[#This Row],[DEU]]-VLOOKUP($U$1,A:D,4,))/VLOOKUP($U$1,A:D,4,))*100)+100</f>
        <v/>
      </c>
      <c r="K243" s="76">
        <f>(((Table134567891011121314151617343[[#This Row],[ESP]]-VLOOKUP($U$1,A:E,5,))/VLOOKUP($U$1,A:E,5,))*100)+100</f>
        <v/>
      </c>
      <c r="L243" s="76">
        <f>(((Table134567891011121314151617343[[#This Row],[EA19]]-VLOOKUP($U$1,A:F,6,))/VLOOKUP($U$1,A:F,6,))*100)+100</f>
        <v/>
      </c>
      <c r="M243" s="76">
        <f>(((Table134567891011121314151617343[[#This Row],[GBR]]-VLOOKUP($U$1,A:G,7,))/VLOOKUP($U$1,A:G,7,))*100)+100</f>
        <v/>
      </c>
      <c r="N243" s="76">
        <f>IF(VLOOKUP(A243,Database!$A:$AU,MATCH($N$1,Database!$A$1:$AU$1,0),FALSE)=0,#N/A,VLOOKUP(A243,Database!$A:$AU,MATCH($N$1,Database!$A$1:$AU$1,0),FALSE))</f>
        <v/>
      </c>
      <c r="O243" s="76">
        <f>(((Table134567891011121314151617343[[#This Row],[USA]]-VLOOKUP($U$1,A:N,14,))/VLOOKUP($U$1,A:N,14,))*100)+100</f>
        <v/>
      </c>
      <c r="P243" s="76">
        <f>IF(VLOOKUP(A243,Database!$A:$AS,MATCH($P$1,Database!$A$1:$AS$1,0),FALSE)=0,#N/A,VLOOKUP(A243,Database!$A:$AS,MATCH($P$1,Database!$A$1:$AS$1,0),FALSE))</f>
        <v/>
      </c>
      <c r="Q243" s="76">
        <f>(((Table134567891011121314151617343[[#This Row],[JPN]]-VLOOKUP($U$1,A:Q,16,))/VLOOKUP($U$1,A:Q,16,))*100)+100</f>
        <v/>
      </c>
    </row>
    <row r="244" customFormat="1" s="86">
      <c r="A244" s="21" t="n">
        <v>40238</v>
      </c>
      <c r="B244" s="76">
        <f>IF(VLOOKUP(A244,Database!$A:$AS,MATCH($B$1,Database!$A$1:$AS$1,0),FALSE)=0,#N/A,VLOOKUP(A244,Database!$A:$AS,MATCH($B$1,Database!$A$1:$AS$1,0),FALSE))</f>
        <v/>
      </c>
      <c r="C244" s="76">
        <f>IF(VLOOKUP(A244,Database!$A:$AS,MATCH($C$1,Database!$A$1:$AS$1,0),FALSE)=0,#N/A,VLOOKUP(A244,Database!$A:$AS,MATCH($C$1,Database!$A$1:$AS$1,0),FALSE))</f>
        <v/>
      </c>
      <c r="D244" s="76">
        <f>IF(VLOOKUP(A244,Database!$A:$AS,MATCH($D$1,Database!$A$1:$AS$1,0),FALSE)=0,#N/A,VLOOKUP(A244,Database!$A:$AS,MATCH($D$1,Database!$A$1:$AS$1,0),FALSE))</f>
        <v/>
      </c>
      <c r="E244" s="76">
        <f>IF(VLOOKUP(A244,Database!$A:$AS,MATCH($E$1,Database!$A$1:$AS$1,0),FALSE)=0,#N/A,VLOOKUP(A244,Database!$A:$AS,MATCH($E$1,Database!$A$1:$AS$1,0),FALSE))</f>
        <v/>
      </c>
      <c r="F244" s="76">
        <f>IF(VLOOKUP(A244,Database!$A:$AS,MATCH($F$1,Database!$A$1:$AS$1,0),FALSE)=0,#N/A,VLOOKUP(A244,Database!$A:$AS,MATCH($F$1,Database!$A$1:$AS$1,0),FALSE))</f>
        <v/>
      </c>
      <c r="G244" s="76">
        <f>IF(VLOOKUP(A244,Database!$A:$AS,MATCH($G$1,Database!$A$1:$AS$1,0),FALSE)=0,#N/A,VLOOKUP(A244,Database!$A:$AS,MATCH($G$1,Database!$A$1:$AS$1,0),FALSE))</f>
        <v/>
      </c>
      <c r="H244" s="76">
        <f>(((Table134567891011121314151617343[[#This Row],[ITA]]-VLOOKUP($U$1,A:B,2,))/VLOOKUP($U$1,A:B,2,))*100)+100</f>
        <v/>
      </c>
      <c r="I244" s="76">
        <f>(((Table134567891011121314151617343[[#This Row],[FRA]]-VLOOKUP($U$1,A:C,3,))/VLOOKUP($U$1,A:C,3,))*100)+100</f>
        <v/>
      </c>
      <c r="J244" s="76">
        <f>(((Table134567891011121314151617343[[#This Row],[DEU]]-VLOOKUP($U$1,A:D,4,))/VLOOKUP($U$1,A:D,4,))*100)+100</f>
        <v/>
      </c>
      <c r="K244" s="76">
        <f>(((Table134567891011121314151617343[[#This Row],[ESP]]-VLOOKUP($U$1,A:E,5,))/VLOOKUP($U$1,A:E,5,))*100)+100</f>
        <v/>
      </c>
      <c r="L244" s="76">
        <f>(((Table134567891011121314151617343[[#This Row],[EA19]]-VLOOKUP($U$1,A:F,6,))/VLOOKUP($U$1,A:F,6,))*100)+100</f>
        <v/>
      </c>
      <c r="M244" s="76">
        <f>(((Table134567891011121314151617343[[#This Row],[GBR]]-VLOOKUP($U$1,A:G,7,))/VLOOKUP($U$1,A:G,7,))*100)+100</f>
        <v/>
      </c>
      <c r="N244" s="76">
        <f>IF(VLOOKUP(A244,Database!$A:$AU,MATCH($N$1,Database!$A$1:$AU$1,0),FALSE)=0,#N/A,VLOOKUP(A244,Database!$A:$AU,MATCH($N$1,Database!$A$1:$AU$1,0),FALSE))</f>
        <v/>
      </c>
      <c r="O244" s="76">
        <f>(((Table134567891011121314151617343[[#This Row],[USA]]-VLOOKUP($U$1,A:N,14,))/VLOOKUP($U$1,A:N,14,))*100)+100</f>
        <v/>
      </c>
      <c r="P244" s="76">
        <f>IF(VLOOKUP(A244,Database!$A:$AS,MATCH($P$1,Database!$A$1:$AS$1,0),FALSE)=0,#N/A,VLOOKUP(A244,Database!$A:$AS,MATCH($P$1,Database!$A$1:$AS$1,0),FALSE))</f>
        <v/>
      </c>
      <c r="Q244" s="76">
        <f>(((Table134567891011121314151617343[[#This Row],[JPN]]-VLOOKUP($U$1,A:Q,16,))/VLOOKUP($U$1,A:Q,16,))*100)+100</f>
        <v/>
      </c>
    </row>
    <row r="245" customFormat="1" s="86">
      <c r="A245" s="21" t="n">
        <v>40269</v>
      </c>
      <c r="B245" s="76">
        <f>IF(VLOOKUP(A245,Database!$A:$AS,MATCH($B$1,Database!$A$1:$AS$1,0),FALSE)=0,#N/A,VLOOKUP(A245,Database!$A:$AS,MATCH($B$1,Database!$A$1:$AS$1,0),FALSE))</f>
        <v/>
      </c>
      <c r="C245" s="76">
        <f>IF(VLOOKUP(A245,Database!$A:$AS,MATCH($C$1,Database!$A$1:$AS$1,0),FALSE)=0,#N/A,VLOOKUP(A245,Database!$A:$AS,MATCH($C$1,Database!$A$1:$AS$1,0),FALSE))</f>
        <v/>
      </c>
      <c r="D245" s="76">
        <f>IF(VLOOKUP(A245,Database!$A:$AS,MATCH($D$1,Database!$A$1:$AS$1,0),FALSE)=0,#N/A,VLOOKUP(A245,Database!$A:$AS,MATCH($D$1,Database!$A$1:$AS$1,0),FALSE))</f>
        <v/>
      </c>
      <c r="E245" s="76">
        <f>IF(VLOOKUP(A245,Database!$A:$AS,MATCH($E$1,Database!$A$1:$AS$1,0),FALSE)=0,#N/A,VLOOKUP(A245,Database!$A:$AS,MATCH($E$1,Database!$A$1:$AS$1,0),FALSE))</f>
        <v/>
      </c>
      <c r="F245" s="76">
        <f>IF(VLOOKUP(A245,Database!$A:$AS,MATCH($F$1,Database!$A$1:$AS$1,0),FALSE)=0,#N/A,VLOOKUP(A245,Database!$A:$AS,MATCH($F$1,Database!$A$1:$AS$1,0),FALSE))</f>
        <v/>
      </c>
      <c r="G245" s="76">
        <f>IF(VLOOKUP(A245,Database!$A:$AS,MATCH($G$1,Database!$A$1:$AS$1,0),FALSE)=0,#N/A,VLOOKUP(A245,Database!$A:$AS,MATCH($G$1,Database!$A$1:$AS$1,0),FALSE))</f>
        <v/>
      </c>
      <c r="H245" s="76">
        <f>(((Table134567891011121314151617343[[#This Row],[ITA]]-VLOOKUP($U$1,A:B,2,))/VLOOKUP($U$1,A:B,2,))*100)+100</f>
        <v/>
      </c>
      <c r="I245" s="76">
        <f>(((Table134567891011121314151617343[[#This Row],[FRA]]-VLOOKUP($U$1,A:C,3,))/VLOOKUP($U$1,A:C,3,))*100)+100</f>
        <v/>
      </c>
      <c r="J245" s="76">
        <f>(((Table134567891011121314151617343[[#This Row],[DEU]]-VLOOKUP($U$1,A:D,4,))/VLOOKUP($U$1,A:D,4,))*100)+100</f>
        <v/>
      </c>
      <c r="K245" s="76">
        <f>(((Table134567891011121314151617343[[#This Row],[ESP]]-VLOOKUP($U$1,A:E,5,))/VLOOKUP($U$1,A:E,5,))*100)+100</f>
        <v/>
      </c>
      <c r="L245" s="76">
        <f>(((Table134567891011121314151617343[[#This Row],[EA19]]-VLOOKUP($U$1,A:F,6,))/VLOOKUP($U$1,A:F,6,))*100)+100</f>
        <v/>
      </c>
      <c r="M245" s="76">
        <f>(((Table134567891011121314151617343[[#This Row],[GBR]]-VLOOKUP($U$1,A:G,7,))/VLOOKUP($U$1,A:G,7,))*100)+100</f>
        <v/>
      </c>
      <c r="N245" s="76">
        <f>IF(VLOOKUP(A245,Database!$A:$AU,MATCH($N$1,Database!$A$1:$AU$1,0),FALSE)=0,#N/A,VLOOKUP(A245,Database!$A:$AU,MATCH($N$1,Database!$A$1:$AU$1,0),FALSE))</f>
        <v/>
      </c>
      <c r="O245" s="76">
        <f>(((Table134567891011121314151617343[[#This Row],[USA]]-VLOOKUP($U$1,A:N,14,))/VLOOKUP($U$1,A:N,14,))*100)+100</f>
        <v/>
      </c>
      <c r="P245" s="76">
        <f>IF(VLOOKUP(A245,Database!$A:$AS,MATCH($P$1,Database!$A$1:$AS$1,0),FALSE)=0,#N/A,VLOOKUP(A245,Database!$A:$AS,MATCH($P$1,Database!$A$1:$AS$1,0),FALSE))</f>
        <v/>
      </c>
      <c r="Q245" s="76">
        <f>(((Table134567891011121314151617343[[#This Row],[JPN]]-VLOOKUP($U$1,A:Q,16,))/VLOOKUP($U$1,A:Q,16,))*100)+100</f>
        <v/>
      </c>
    </row>
    <row r="246" customFormat="1" s="86">
      <c r="A246" s="21" t="n">
        <v>40299</v>
      </c>
      <c r="B246" s="76">
        <f>IF(VLOOKUP(A246,Database!$A:$AS,MATCH($B$1,Database!$A$1:$AS$1,0),FALSE)=0,#N/A,VLOOKUP(A246,Database!$A:$AS,MATCH($B$1,Database!$A$1:$AS$1,0),FALSE))</f>
        <v/>
      </c>
      <c r="C246" s="76">
        <f>IF(VLOOKUP(A246,Database!$A:$AS,MATCH($C$1,Database!$A$1:$AS$1,0),FALSE)=0,#N/A,VLOOKUP(A246,Database!$A:$AS,MATCH($C$1,Database!$A$1:$AS$1,0),FALSE))</f>
        <v/>
      </c>
      <c r="D246" s="76">
        <f>IF(VLOOKUP(A246,Database!$A:$AS,MATCH($D$1,Database!$A$1:$AS$1,0),FALSE)=0,#N/A,VLOOKUP(A246,Database!$A:$AS,MATCH($D$1,Database!$A$1:$AS$1,0),FALSE))</f>
        <v/>
      </c>
      <c r="E246" s="76">
        <f>IF(VLOOKUP(A246,Database!$A:$AS,MATCH($E$1,Database!$A$1:$AS$1,0),FALSE)=0,#N/A,VLOOKUP(A246,Database!$A:$AS,MATCH($E$1,Database!$A$1:$AS$1,0),FALSE))</f>
        <v/>
      </c>
      <c r="F246" s="76">
        <f>IF(VLOOKUP(A246,Database!$A:$AS,MATCH($F$1,Database!$A$1:$AS$1,0),FALSE)=0,#N/A,VLOOKUP(A246,Database!$A:$AS,MATCH($F$1,Database!$A$1:$AS$1,0),FALSE))</f>
        <v/>
      </c>
      <c r="G246" s="76">
        <f>IF(VLOOKUP(A246,Database!$A:$AS,MATCH($G$1,Database!$A$1:$AS$1,0),FALSE)=0,#N/A,VLOOKUP(A246,Database!$A:$AS,MATCH($G$1,Database!$A$1:$AS$1,0),FALSE))</f>
        <v/>
      </c>
      <c r="H246" s="76">
        <f>(((Table134567891011121314151617343[[#This Row],[ITA]]-VLOOKUP($U$1,A:B,2,))/VLOOKUP($U$1,A:B,2,))*100)+100</f>
        <v/>
      </c>
      <c r="I246" s="76">
        <f>(((Table134567891011121314151617343[[#This Row],[FRA]]-VLOOKUP($U$1,A:C,3,))/VLOOKUP($U$1,A:C,3,))*100)+100</f>
        <v/>
      </c>
      <c r="J246" s="76">
        <f>(((Table134567891011121314151617343[[#This Row],[DEU]]-VLOOKUP($U$1,A:D,4,))/VLOOKUP($U$1,A:D,4,))*100)+100</f>
        <v/>
      </c>
      <c r="K246" s="76">
        <f>(((Table134567891011121314151617343[[#This Row],[ESP]]-VLOOKUP($U$1,A:E,5,))/VLOOKUP($U$1,A:E,5,))*100)+100</f>
        <v/>
      </c>
      <c r="L246" s="76">
        <f>(((Table134567891011121314151617343[[#This Row],[EA19]]-VLOOKUP($U$1,A:F,6,))/VLOOKUP($U$1,A:F,6,))*100)+100</f>
        <v/>
      </c>
      <c r="M246" s="76">
        <f>(((Table134567891011121314151617343[[#This Row],[GBR]]-VLOOKUP($U$1,A:G,7,))/VLOOKUP($U$1,A:G,7,))*100)+100</f>
        <v/>
      </c>
      <c r="N246" s="76">
        <f>IF(VLOOKUP(A246,Database!$A:$AU,MATCH($N$1,Database!$A$1:$AU$1,0),FALSE)=0,#N/A,VLOOKUP(A246,Database!$A:$AU,MATCH($N$1,Database!$A$1:$AU$1,0),FALSE))</f>
        <v/>
      </c>
      <c r="O246" s="76">
        <f>(((Table134567891011121314151617343[[#This Row],[USA]]-VLOOKUP($U$1,A:N,14,))/VLOOKUP($U$1,A:N,14,))*100)+100</f>
        <v/>
      </c>
      <c r="P246" s="76">
        <f>IF(VLOOKUP(A246,Database!$A:$AS,MATCH($P$1,Database!$A$1:$AS$1,0),FALSE)=0,#N/A,VLOOKUP(A246,Database!$A:$AS,MATCH($P$1,Database!$A$1:$AS$1,0),FALSE))</f>
        <v/>
      </c>
      <c r="Q246" s="76">
        <f>(((Table134567891011121314151617343[[#This Row],[JPN]]-VLOOKUP($U$1,A:Q,16,))/VLOOKUP($U$1,A:Q,16,))*100)+100</f>
        <v/>
      </c>
    </row>
    <row r="247" customFormat="1" s="86">
      <c r="A247" s="21" t="n">
        <v>40330</v>
      </c>
      <c r="B247" s="76">
        <f>IF(VLOOKUP(A247,Database!$A:$AS,MATCH($B$1,Database!$A$1:$AS$1,0),FALSE)=0,#N/A,VLOOKUP(A247,Database!$A:$AS,MATCH($B$1,Database!$A$1:$AS$1,0),FALSE))</f>
        <v/>
      </c>
      <c r="C247" s="76">
        <f>IF(VLOOKUP(A247,Database!$A:$AS,MATCH($C$1,Database!$A$1:$AS$1,0),FALSE)=0,#N/A,VLOOKUP(A247,Database!$A:$AS,MATCH($C$1,Database!$A$1:$AS$1,0),FALSE))</f>
        <v/>
      </c>
      <c r="D247" s="76">
        <f>IF(VLOOKUP(A247,Database!$A:$AS,MATCH($D$1,Database!$A$1:$AS$1,0),FALSE)=0,#N/A,VLOOKUP(A247,Database!$A:$AS,MATCH($D$1,Database!$A$1:$AS$1,0),FALSE))</f>
        <v/>
      </c>
      <c r="E247" s="76">
        <f>IF(VLOOKUP(A247,Database!$A:$AS,MATCH($E$1,Database!$A$1:$AS$1,0),FALSE)=0,#N/A,VLOOKUP(A247,Database!$A:$AS,MATCH($E$1,Database!$A$1:$AS$1,0),FALSE))</f>
        <v/>
      </c>
      <c r="F247" s="76">
        <f>IF(VLOOKUP(A247,Database!$A:$AS,MATCH($F$1,Database!$A$1:$AS$1,0),FALSE)=0,#N/A,VLOOKUP(A247,Database!$A:$AS,MATCH($F$1,Database!$A$1:$AS$1,0),FALSE))</f>
        <v/>
      </c>
      <c r="G247" s="76">
        <f>IF(VLOOKUP(A247,Database!$A:$AS,MATCH($G$1,Database!$A$1:$AS$1,0),FALSE)=0,#N/A,VLOOKUP(A247,Database!$A:$AS,MATCH($G$1,Database!$A$1:$AS$1,0),FALSE))</f>
        <v/>
      </c>
      <c r="H247" s="76">
        <f>(((Table134567891011121314151617343[[#This Row],[ITA]]-VLOOKUP($U$1,A:B,2,))/VLOOKUP($U$1,A:B,2,))*100)+100</f>
        <v/>
      </c>
      <c r="I247" s="76">
        <f>(((Table134567891011121314151617343[[#This Row],[FRA]]-VLOOKUP($U$1,A:C,3,))/VLOOKUP($U$1,A:C,3,))*100)+100</f>
        <v/>
      </c>
      <c r="J247" s="76">
        <f>(((Table134567891011121314151617343[[#This Row],[DEU]]-VLOOKUP($U$1,A:D,4,))/VLOOKUP($U$1,A:D,4,))*100)+100</f>
        <v/>
      </c>
      <c r="K247" s="76">
        <f>(((Table134567891011121314151617343[[#This Row],[ESP]]-VLOOKUP($U$1,A:E,5,))/VLOOKUP($U$1,A:E,5,))*100)+100</f>
        <v/>
      </c>
      <c r="L247" s="76">
        <f>(((Table134567891011121314151617343[[#This Row],[EA19]]-VLOOKUP($U$1,A:F,6,))/VLOOKUP($U$1,A:F,6,))*100)+100</f>
        <v/>
      </c>
      <c r="M247" s="76">
        <f>(((Table134567891011121314151617343[[#This Row],[GBR]]-VLOOKUP($U$1,A:G,7,))/VLOOKUP($U$1,A:G,7,))*100)+100</f>
        <v/>
      </c>
      <c r="N247" s="76">
        <f>IF(VLOOKUP(A247,Database!$A:$AU,MATCH($N$1,Database!$A$1:$AU$1,0),FALSE)=0,#N/A,VLOOKUP(A247,Database!$A:$AU,MATCH($N$1,Database!$A$1:$AU$1,0),FALSE))</f>
        <v/>
      </c>
      <c r="O247" s="76">
        <f>(((Table134567891011121314151617343[[#This Row],[USA]]-VLOOKUP($U$1,A:N,14,))/VLOOKUP($U$1,A:N,14,))*100)+100</f>
        <v/>
      </c>
      <c r="P247" s="76">
        <f>IF(VLOOKUP(A247,Database!$A:$AS,MATCH($P$1,Database!$A$1:$AS$1,0),FALSE)=0,#N/A,VLOOKUP(A247,Database!$A:$AS,MATCH($P$1,Database!$A$1:$AS$1,0),FALSE))</f>
        <v/>
      </c>
      <c r="Q247" s="76">
        <f>(((Table134567891011121314151617343[[#This Row],[JPN]]-VLOOKUP($U$1,A:Q,16,))/VLOOKUP($U$1,A:Q,16,))*100)+100</f>
        <v/>
      </c>
    </row>
    <row r="248" customFormat="1" s="86">
      <c r="A248" s="21" t="n">
        <v>40360</v>
      </c>
      <c r="B248" s="76">
        <f>IF(VLOOKUP(A248,Database!$A:$AS,MATCH($B$1,Database!$A$1:$AS$1,0),FALSE)=0,#N/A,VLOOKUP(A248,Database!$A:$AS,MATCH($B$1,Database!$A$1:$AS$1,0),FALSE))</f>
        <v/>
      </c>
      <c r="C248" s="76">
        <f>IF(VLOOKUP(A248,Database!$A:$AS,MATCH($C$1,Database!$A$1:$AS$1,0),FALSE)=0,#N/A,VLOOKUP(A248,Database!$A:$AS,MATCH($C$1,Database!$A$1:$AS$1,0),FALSE))</f>
        <v/>
      </c>
      <c r="D248" s="76">
        <f>IF(VLOOKUP(A248,Database!$A:$AS,MATCH($D$1,Database!$A$1:$AS$1,0),FALSE)=0,#N/A,VLOOKUP(A248,Database!$A:$AS,MATCH($D$1,Database!$A$1:$AS$1,0),FALSE))</f>
        <v/>
      </c>
      <c r="E248" s="76">
        <f>IF(VLOOKUP(A248,Database!$A:$AS,MATCH($E$1,Database!$A$1:$AS$1,0),FALSE)=0,#N/A,VLOOKUP(A248,Database!$A:$AS,MATCH($E$1,Database!$A$1:$AS$1,0),FALSE))</f>
        <v/>
      </c>
      <c r="F248" s="76">
        <f>IF(VLOOKUP(A248,Database!$A:$AS,MATCH($F$1,Database!$A$1:$AS$1,0),FALSE)=0,#N/A,VLOOKUP(A248,Database!$A:$AS,MATCH($F$1,Database!$A$1:$AS$1,0),FALSE))</f>
        <v/>
      </c>
      <c r="G248" s="76">
        <f>IF(VLOOKUP(A248,Database!$A:$AS,MATCH($G$1,Database!$A$1:$AS$1,0),FALSE)=0,#N/A,VLOOKUP(A248,Database!$A:$AS,MATCH($G$1,Database!$A$1:$AS$1,0),FALSE))</f>
        <v/>
      </c>
      <c r="H248" s="76">
        <f>(((Table134567891011121314151617343[[#This Row],[ITA]]-VLOOKUP($U$1,A:B,2,))/VLOOKUP($U$1,A:B,2,))*100)+100</f>
        <v/>
      </c>
      <c r="I248" s="76">
        <f>(((Table134567891011121314151617343[[#This Row],[FRA]]-VLOOKUP($U$1,A:C,3,))/VLOOKUP($U$1,A:C,3,))*100)+100</f>
        <v/>
      </c>
      <c r="J248" s="76">
        <f>(((Table134567891011121314151617343[[#This Row],[DEU]]-VLOOKUP($U$1,A:D,4,))/VLOOKUP($U$1,A:D,4,))*100)+100</f>
        <v/>
      </c>
      <c r="K248" s="76">
        <f>(((Table134567891011121314151617343[[#This Row],[ESP]]-VLOOKUP($U$1,A:E,5,))/VLOOKUP($U$1,A:E,5,))*100)+100</f>
        <v/>
      </c>
      <c r="L248" s="76">
        <f>(((Table134567891011121314151617343[[#This Row],[EA19]]-VLOOKUP($U$1,A:F,6,))/VLOOKUP($U$1,A:F,6,))*100)+100</f>
        <v/>
      </c>
      <c r="M248" s="76">
        <f>(((Table134567891011121314151617343[[#This Row],[GBR]]-VLOOKUP($U$1,A:G,7,))/VLOOKUP($U$1,A:G,7,))*100)+100</f>
        <v/>
      </c>
      <c r="N248" s="76">
        <f>IF(VLOOKUP(A248,Database!$A:$AU,MATCH($N$1,Database!$A$1:$AU$1,0),FALSE)=0,#N/A,VLOOKUP(A248,Database!$A:$AU,MATCH($N$1,Database!$A$1:$AU$1,0),FALSE))</f>
        <v/>
      </c>
      <c r="O248" s="76">
        <f>(((Table134567891011121314151617343[[#This Row],[USA]]-VLOOKUP($U$1,A:N,14,))/VLOOKUP($U$1,A:N,14,))*100)+100</f>
        <v/>
      </c>
      <c r="P248" s="76">
        <f>IF(VLOOKUP(A248,Database!$A:$AS,MATCH($P$1,Database!$A$1:$AS$1,0),FALSE)=0,#N/A,VLOOKUP(A248,Database!$A:$AS,MATCH($P$1,Database!$A$1:$AS$1,0),FALSE))</f>
        <v/>
      </c>
      <c r="Q248" s="76">
        <f>(((Table134567891011121314151617343[[#This Row],[JPN]]-VLOOKUP($U$1,A:Q,16,))/VLOOKUP($U$1,A:Q,16,))*100)+100</f>
        <v/>
      </c>
    </row>
    <row r="249" customFormat="1" s="86">
      <c r="A249" s="21" t="n">
        <v>40391</v>
      </c>
      <c r="B249" s="76">
        <f>IF(VLOOKUP(A249,Database!$A:$AS,MATCH($B$1,Database!$A$1:$AS$1,0),FALSE)=0,#N/A,VLOOKUP(A249,Database!$A:$AS,MATCH($B$1,Database!$A$1:$AS$1,0),FALSE))</f>
        <v/>
      </c>
      <c r="C249" s="76">
        <f>IF(VLOOKUP(A249,Database!$A:$AS,MATCH($C$1,Database!$A$1:$AS$1,0),FALSE)=0,#N/A,VLOOKUP(A249,Database!$A:$AS,MATCH($C$1,Database!$A$1:$AS$1,0),FALSE))</f>
        <v/>
      </c>
      <c r="D249" s="76">
        <f>IF(VLOOKUP(A249,Database!$A:$AS,MATCH($D$1,Database!$A$1:$AS$1,0),FALSE)=0,#N/A,VLOOKUP(A249,Database!$A:$AS,MATCH($D$1,Database!$A$1:$AS$1,0),FALSE))</f>
        <v/>
      </c>
      <c r="E249" s="76">
        <f>IF(VLOOKUP(A249,Database!$A:$AS,MATCH($E$1,Database!$A$1:$AS$1,0),FALSE)=0,#N/A,VLOOKUP(A249,Database!$A:$AS,MATCH($E$1,Database!$A$1:$AS$1,0),FALSE))</f>
        <v/>
      </c>
      <c r="F249" s="76">
        <f>IF(VLOOKUP(A249,Database!$A:$AS,MATCH($F$1,Database!$A$1:$AS$1,0),FALSE)=0,#N/A,VLOOKUP(A249,Database!$A:$AS,MATCH($F$1,Database!$A$1:$AS$1,0),FALSE))</f>
        <v/>
      </c>
      <c r="G249" s="76">
        <f>IF(VLOOKUP(A249,Database!$A:$AS,MATCH($G$1,Database!$A$1:$AS$1,0),FALSE)=0,#N/A,VLOOKUP(A249,Database!$A:$AS,MATCH($G$1,Database!$A$1:$AS$1,0),FALSE))</f>
        <v/>
      </c>
      <c r="H249" s="76">
        <f>(((Table134567891011121314151617343[[#This Row],[ITA]]-VLOOKUP($U$1,A:B,2,))/VLOOKUP($U$1,A:B,2,))*100)+100</f>
        <v/>
      </c>
      <c r="I249" s="76">
        <f>(((Table134567891011121314151617343[[#This Row],[FRA]]-VLOOKUP($U$1,A:C,3,))/VLOOKUP($U$1,A:C,3,))*100)+100</f>
        <v/>
      </c>
      <c r="J249" s="76">
        <f>(((Table134567891011121314151617343[[#This Row],[DEU]]-VLOOKUP($U$1,A:D,4,))/VLOOKUP($U$1,A:D,4,))*100)+100</f>
        <v/>
      </c>
      <c r="K249" s="76">
        <f>(((Table134567891011121314151617343[[#This Row],[ESP]]-VLOOKUP($U$1,A:E,5,))/VLOOKUP($U$1,A:E,5,))*100)+100</f>
        <v/>
      </c>
      <c r="L249" s="76">
        <f>(((Table134567891011121314151617343[[#This Row],[EA19]]-VLOOKUP($U$1,A:F,6,))/VLOOKUP($U$1,A:F,6,))*100)+100</f>
        <v/>
      </c>
      <c r="M249" s="76">
        <f>(((Table134567891011121314151617343[[#This Row],[GBR]]-VLOOKUP($U$1,A:G,7,))/VLOOKUP($U$1,A:G,7,))*100)+100</f>
        <v/>
      </c>
      <c r="N249" s="76">
        <f>IF(VLOOKUP(A249,Database!$A:$AU,MATCH($N$1,Database!$A$1:$AU$1,0),FALSE)=0,#N/A,VLOOKUP(A249,Database!$A:$AU,MATCH($N$1,Database!$A$1:$AU$1,0),FALSE))</f>
        <v/>
      </c>
      <c r="O249" s="76">
        <f>(((Table134567891011121314151617343[[#This Row],[USA]]-VLOOKUP($U$1,A:N,14,))/VLOOKUP($U$1,A:N,14,))*100)+100</f>
        <v/>
      </c>
      <c r="P249" s="76">
        <f>IF(VLOOKUP(A249,Database!$A:$AS,MATCH($P$1,Database!$A$1:$AS$1,0),FALSE)=0,#N/A,VLOOKUP(A249,Database!$A:$AS,MATCH($P$1,Database!$A$1:$AS$1,0),FALSE))</f>
        <v/>
      </c>
      <c r="Q249" s="76">
        <f>(((Table134567891011121314151617343[[#This Row],[JPN]]-VLOOKUP($U$1,A:Q,16,))/VLOOKUP($U$1,A:Q,16,))*100)+100</f>
        <v/>
      </c>
    </row>
    <row r="250" customFormat="1" s="86">
      <c r="A250" s="21" t="n">
        <v>40422</v>
      </c>
      <c r="B250" s="76">
        <f>IF(VLOOKUP(A250,Database!$A:$AS,MATCH($B$1,Database!$A$1:$AS$1,0),FALSE)=0,#N/A,VLOOKUP(A250,Database!$A:$AS,MATCH($B$1,Database!$A$1:$AS$1,0),FALSE))</f>
        <v/>
      </c>
      <c r="C250" s="76">
        <f>IF(VLOOKUP(A250,Database!$A:$AS,MATCH($C$1,Database!$A$1:$AS$1,0),FALSE)=0,#N/A,VLOOKUP(A250,Database!$A:$AS,MATCH($C$1,Database!$A$1:$AS$1,0),FALSE))</f>
        <v/>
      </c>
      <c r="D250" s="76">
        <f>IF(VLOOKUP(A250,Database!$A:$AS,MATCH($D$1,Database!$A$1:$AS$1,0),FALSE)=0,#N/A,VLOOKUP(A250,Database!$A:$AS,MATCH($D$1,Database!$A$1:$AS$1,0),FALSE))</f>
        <v/>
      </c>
      <c r="E250" s="76">
        <f>IF(VLOOKUP(A250,Database!$A:$AS,MATCH($E$1,Database!$A$1:$AS$1,0),FALSE)=0,#N/A,VLOOKUP(A250,Database!$A:$AS,MATCH($E$1,Database!$A$1:$AS$1,0),FALSE))</f>
        <v/>
      </c>
      <c r="F250" s="76">
        <f>IF(VLOOKUP(A250,Database!$A:$AS,MATCH($F$1,Database!$A$1:$AS$1,0),FALSE)=0,#N/A,VLOOKUP(A250,Database!$A:$AS,MATCH($F$1,Database!$A$1:$AS$1,0),FALSE))</f>
        <v/>
      </c>
      <c r="G250" s="76">
        <f>IF(VLOOKUP(A250,Database!$A:$AS,MATCH($G$1,Database!$A$1:$AS$1,0),FALSE)=0,#N/A,VLOOKUP(A250,Database!$A:$AS,MATCH($G$1,Database!$A$1:$AS$1,0),FALSE))</f>
        <v/>
      </c>
      <c r="H250" s="76">
        <f>(((Table134567891011121314151617343[[#This Row],[ITA]]-VLOOKUP($U$1,A:B,2,))/VLOOKUP($U$1,A:B,2,))*100)+100</f>
        <v/>
      </c>
      <c r="I250" s="76">
        <f>(((Table134567891011121314151617343[[#This Row],[FRA]]-VLOOKUP($U$1,A:C,3,))/VLOOKUP($U$1,A:C,3,))*100)+100</f>
        <v/>
      </c>
      <c r="J250" s="76">
        <f>(((Table134567891011121314151617343[[#This Row],[DEU]]-VLOOKUP($U$1,A:D,4,))/VLOOKUP($U$1,A:D,4,))*100)+100</f>
        <v/>
      </c>
      <c r="K250" s="76">
        <f>(((Table134567891011121314151617343[[#This Row],[ESP]]-VLOOKUP($U$1,A:E,5,))/VLOOKUP($U$1,A:E,5,))*100)+100</f>
        <v/>
      </c>
      <c r="L250" s="76">
        <f>(((Table134567891011121314151617343[[#This Row],[EA19]]-VLOOKUP($U$1,A:F,6,))/VLOOKUP($U$1,A:F,6,))*100)+100</f>
        <v/>
      </c>
      <c r="M250" s="76">
        <f>(((Table134567891011121314151617343[[#This Row],[GBR]]-VLOOKUP($U$1,A:G,7,))/VLOOKUP($U$1,A:G,7,))*100)+100</f>
        <v/>
      </c>
      <c r="N250" s="76">
        <f>IF(VLOOKUP(A250,Database!$A:$AU,MATCH($N$1,Database!$A$1:$AU$1,0),FALSE)=0,#N/A,VLOOKUP(A250,Database!$A:$AU,MATCH($N$1,Database!$A$1:$AU$1,0),FALSE))</f>
        <v/>
      </c>
      <c r="O250" s="76">
        <f>(((Table134567891011121314151617343[[#This Row],[USA]]-VLOOKUP($U$1,A:N,14,))/VLOOKUP($U$1,A:N,14,))*100)+100</f>
        <v/>
      </c>
      <c r="P250" s="76">
        <f>IF(VLOOKUP(A250,Database!$A:$AS,MATCH($P$1,Database!$A$1:$AS$1,0),FALSE)=0,#N/A,VLOOKUP(A250,Database!$A:$AS,MATCH($P$1,Database!$A$1:$AS$1,0),FALSE))</f>
        <v/>
      </c>
      <c r="Q250" s="76">
        <f>(((Table134567891011121314151617343[[#This Row],[JPN]]-VLOOKUP($U$1,A:Q,16,))/VLOOKUP($U$1,A:Q,16,))*100)+100</f>
        <v/>
      </c>
    </row>
    <row r="251" customFormat="1" s="86">
      <c r="A251" s="21" t="n">
        <v>40452</v>
      </c>
      <c r="B251" s="76">
        <f>IF(VLOOKUP(A251,Database!$A:$AS,MATCH($B$1,Database!$A$1:$AS$1,0),FALSE)=0,#N/A,VLOOKUP(A251,Database!$A:$AS,MATCH($B$1,Database!$A$1:$AS$1,0),FALSE))</f>
        <v/>
      </c>
      <c r="C251" s="76">
        <f>IF(VLOOKUP(A251,Database!$A:$AS,MATCH($C$1,Database!$A$1:$AS$1,0),FALSE)=0,#N/A,VLOOKUP(A251,Database!$A:$AS,MATCH($C$1,Database!$A$1:$AS$1,0),FALSE))</f>
        <v/>
      </c>
      <c r="D251" s="76">
        <f>IF(VLOOKUP(A251,Database!$A:$AS,MATCH($D$1,Database!$A$1:$AS$1,0),FALSE)=0,#N/A,VLOOKUP(A251,Database!$A:$AS,MATCH($D$1,Database!$A$1:$AS$1,0),FALSE))</f>
        <v/>
      </c>
      <c r="E251" s="76">
        <f>IF(VLOOKUP(A251,Database!$A:$AS,MATCH($E$1,Database!$A$1:$AS$1,0),FALSE)=0,#N/A,VLOOKUP(A251,Database!$A:$AS,MATCH($E$1,Database!$A$1:$AS$1,0),FALSE))</f>
        <v/>
      </c>
      <c r="F251" s="76">
        <f>IF(VLOOKUP(A251,Database!$A:$AS,MATCH($F$1,Database!$A$1:$AS$1,0),FALSE)=0,#N/A,VLOOKUP(A251,Database!$A:$AS,MATCH($F$1,Database!$A$1:$AS$1,0),FALSE))</f>
        <v/>
      </c>
      <c r="G251" s="76">
        <f>IF(VLOOKUP(A251,Database!$A:$AS,MATCH($G$1,Database!$A$1:$AS$1,0),FALSE)=0,#N/A,VLOOKUP(A251,Database!$A:$AS,MATCH($G$1,Database!$A$1:$AS$1,0),FALSE))</f>
        <v/>
      </c>
      <c r="H251" s="76">
        <f>(((Table134567891011121314151617343[[#This Row],[ITA]]-VLOOKUP($U$1,A:B,2,))/VLOOKUP($U$1,A:B,2,))*100)+100</f>
        <v/>
      </c>
      <c r="I251" s="76">
        <f>(((Table134567891011121314151617343[[#This Row],[FRA]]-VLOOKUP($U$1,A:C,3,))/VLOOKUP($U$1,A:C,3,))*100)+100</f>
        <v/>
      </c>
      <c r="J251" s="76">
        <f>(((Table134567891011121314151617343[[#This Row],[DEU]]-VLOOKUP($U$1,A:D,4,))/VLOOKUP($U$1,A:D,4,))*100)+100</f>
        <v/>
      </c>
      <c r="K251" s="76">
        <f>(((Table134567891011121314151617343[[#This Row],[ESP]]-VLOOKUP($U$1,A:E,5,))/VLOOKUP($U$1,A:E,5,))*100)+100</f>
        <v/>
      </c>
      <c r="L251" s="76">
        <f>(((Table134567891011121314151617343[[#This Row],[EA19]]-VLOOKUP($U$1,A:F,6,))/VLOOKUP($U$1,A:F,6,))*100)+100</f>
        <v/>
      </c>
      <c r="M251" s="76">
        <f>(((Table134567891011121314151617343[[#This Row],[GBR]]-VLOOKUP($U$1,A:G,7,))/VLOOKUP($U$1,A:G,7,))*100)+100</f>
        <v/>
      </c>
      <c r="N251" s="76">
        <f>IF(VLOOKUP(A251,Database!$A:$AU,MATCH($N$1,Database!$A$1:$AU$1,0),FALSE)=0,#N/A,VLOOKUP(A251,Database!$A:$AU,MATCH($N$1,Database!$A$1:$AU$1,0),FALSE))</f>
        <v/>
      </c>
      <c r="O251" s="76">
        <f>(((Table134567891011121314151617343[[#This Row],[USA]]-VLOOKUP($U$1,A:N,14,))/VLOOKUP($U$1,A:N,14,))*100)+100</f>
        <v/>
      </c>
      <c r="P251" s="76">
        <f>IF(VLOOKUP(A251,Database!$A:$AS,MATCH($P$1,Database!$A$1:$AS$1,0),FALSE)=0,#N/A,VLOOKUP(A251,Database!$A:$AS,MATCH($P$1,Database!$A$1:$AS$1,0),FALSE))</f>
        <v/>
      </c>
      <c r="Q251" s="76">
        <f>(((Table134567891011121314151617343[[#This Row],[JPN]]-VLOOKUP($U$1,A:Q,16,))/VLOOKUP($U$1,A:Q,16,))*100)+100</f>
        <v/>
      </c>
    </row>
    <row r="252" customFormat="1" s="86">
      <c r="A252" s="21" t="n">
        <v>40483</v>
      </c>
      <c r="B252" s="76">
        <f>IF(VLOOKUP(A252,Database!$A:$AS,MATCH($B$1,Database!$A$1:$AS$1,0),FALSE)=0,#N/A,VLOOKUP(A252,Database!$A:$AS,MATCH($B$1,Database!$A$1:$AS$1,0),FALSE))</f>
        <v/>
      </c>
      <c r="C252" s="76">
        <f>IF(VLOOKUP(A252,Database!$A:$AS,MATCH($C$1,Database!$A$1:$AS$1,0),FALSE)=0,#N/A,VLOOKUP(A252,Database!$A:$AS,MATCH($C$1,Database!$A$1:$AS$1,0),FALSE))</f>
        <v/>
      </c>
      <c r="D252" s="76">
        <f>IF(VLOOKUP(A252,Database!$A:$AS,MATCH($D$1,Database!$A$1:$AS$1,0),FALSE)=0,#N/A,VLOOKUP(A252,Database!$A:$AS,MATCH($D$1,Database!$A$1:$AS$1,0),FALSE))</f>
        <v/>
      </c>
      <c r="E252" s="76">
        <f>IF(VLOOKUP(A252,Database!$A:$AS,MATCH($E$1,Database!$A$1:$AS$1,0),FALSE)=0,#N/A,VLOOKUP(A252,Database!$A:$AS,MATCH($E$1,Database!$A$1:$AS$1,0),FALSE))</f>
        <v/>
      </c>
      <c r="F252" s="76">
        <f>IF(VLOOKUP(A252,Database!$A:$AS,MATCH($F$1,Database!$A$1:$AS$1,0),FALSE)=0,#N/A,VLOOKUP(A252,Database!$A:$AS,MATCH($F$1,Database!$A$1:$AS$1,0),FALSE))</f>
        <v/>
      </c>
      <c r="G252" s="76">
        <f>IF(VLOOKUP(A252,Database!$A:$AS,MATCH($G$1,Database!$A$1:$AS$1,0),FALSE)=0,#N/A,VLOOKUP(A252,Database!$A:$AS,MATCH($G$1,Database!$A$1:$AS$1,0),FALSE))</f>
        <v/>
      </c>
      <c r="H252" s="76">
        <f>(((Table134567891011121314151617343[[#This Row],[ITA]]-VLOOKUP($U$1,A:B,2,))/VLOOKUP($U$1,A:B,2,))*100)+100</f>
        <v/>
      </c>
      <c r="I252" s="76">
        <f>(((Table134567891011121314151617343[[#This Row],[FRA]]-VLOOKUP($U$1,A:C,3,))/VLOOKUP($U$1,A:C,3,))*100)+100</f>
        <v/>
      </c>
      <c r="J252" s="76">
        <f>(((Table134567891011121314151617343[[#This Row],[DEU]]-VLOOKUP($U$1,A:D,4,))/VLOOKUP($U$1,A:D,4,))*100)+100</f>
        <v/>
      </c>
      <c r="K252" s="76">
        <f>(((Table134567891011121314151617343[[#This Row],[ESP]]-VLOOKUP($U$1,A:E,5,))/VLOOKUP($U$1,A:E,5,))*100)+100</f>
        <v/>
      </c>
      <c r="L252" s="76">
        <f>(((Table134567891011121314151617343[[#This Row],[EA19]]-VLOOKUP($U$1,A:F,6,))/VLOOKUP($U$1,A:F,6,))*100)+100</f>
        <v/>
      </c>
      <c r="M252" s="76">
        <f>(((Table134567891011121314151617343[[#This Row],[GBR]]-VLOOKUP($U$1,A:G,7,))/VLOOKUP($U$1,A:G,7,))*100)+100</f>
        <v/>
      </c>
      <c r="N252" s="76">
        <f>IF(VLOOKUP(A252,Database!$A:$AU,MATCH($N$1,Database!$A$1:$AU$1,0),FALSE)=0,#N/A,VLOOKUP(A252,Database!$A:$AU,MATCH($N$1,Database!$A$1:$AU$1,0),FALSE))</f>
        <v/>
      </c>
      <c r="O252" s="76">
        <f>(((Table134567891011121314151617343[[#This Row],[USA]]-VLOOKUP($U$1,A:N,14,))/VLOOKUP($U$1,A:N,14,))*100)+100</f>
        <v/>
      </c>
      <c r="P252" s="76">
        <f>IF(VLOOKUP(A252,Database!$A:$AS,MATCH($P$1,Database!$A$1:$AS$1,0),FALSE)=0,#N/A,VLOOKUP(A252,Database!$A:$AS,MATCH($P$1,Database!$A$1:$AS$1,0),FALSE))</f>
        <v/>
      </c>
      <c r="Q252" s="76">
        <f>(((Table134567891011121314151617343[[#This Row],[JPN]]-VLOOKUP($U$1,A:Q,16,))/VLOOKUP($U$1,A:Q,16,))*100)+100</f>
        <v/>
      </c>
    </row>
    <row r="253" customFormat="1" s="86">
      <c r="A253" s="21" t="n">
        <v>40513</v>
      </c>
      <c r="B253" s="76">
        <f>IF(VLOOKUP(A253,Database!$A:$AS,MATCH($B$1,Database!$A$1:$AS$1,0),FALSE)=0,#N/A,VLOOKUP(A253,Database!$A:$AS,MATCH($B$1,Database!$A$1:$AS$1,0),FALSE))</f>
        <v/>
      </c>
      <c r="C253" s="76">
        <f>IF(VLOOKUP(A253,Database!$A:$AS,MATCH($C$1,Database!$A$1:$AS$1,0),FALSE)=0,#N/A,VLOOKUP(A253,Database!$A:$AS,MATCH($C$1,Database!$A$1:$AS$1,0),FALSE))</f>
        <v/>
      </c>
      <c r="D253" s="76">
        <f>IF(VLOOKUP(A253,Database!$A:$AS,MATCH($D$1,Database!$A$1:$AS$1,0),FALSE)=0,#N/A,VLOOKUP(A253,Database!$A:$AS,MATCH($D$1,Database!$A$1:$AS$1,0),FALSE))</f>
        <v/>
      </c>
      <c r="E253" s="76">
        <f>IF(VLOOKUP(A253,Database!$A:$AS,MATCH($E$1,Database!$A$1:$AS$1,0),FALSE)=0,#N/A,VLOOKUP(A253,Database!$A:$AS,MATCH($E$1,Database!$A$1:$AS$1,0),FALSE))</f>
        <v/>
      </c>
      <c r="F253" s="76">
        <f>IF(VLOOKUP(A253,Database!$A:$AS,MATCH($F$1,Database!$A$1:$AS$1,0),FALSE)=0,#N/A,VLOOKUP(A253,Database!$A:$AS,MATCH($F$1,Database!$A$1:$AS$1,0),FALSE))</f>
        <v/>
      </c>
      <c r="G253" s="76">
        <f>IF(VLOOKUP(A253,Database!$A:$AS,MATCH($G$1,Database!$A$1:$AS$1,0),FALSE)=0,#N/A,VLOOKUP(A253,Database!$A:$AS,MATCH($G$1,Database!$A$1:$AS$1,0),FALSE))</f>
        <v/>
      </c>
      <c r="H253" s="76">
        <f>(((Table134567891011121314151617343[[#This Row],[ITA]]-VLOOKUP($U$1,A:B,2,))/VLOOKUP($U$1,A:B,2,))*100)+100</f>
        <v/>
      </c>
      <c r="I253" s="76">
        <f>(((Table134567891011121314151617343[[#This Row],[FRA]]-VLOOKUP($U$1,A:C,3,))/VLOOKUP($U$1,A:C,3,))*100)+100</f>
        <v/>
      </c>
      <c r="J253" s="76">
        <f>(((Table134567891011121314151617343[[#This Row],[DEU]]-VLOOKUP($U$1,A:D,4,))/VLOOKUP($U$1,A:D,4,))*100)+100</f>
        <v/>
      </c>
      <c r="K253" s="76">
        <f>(((Table134567891011121314151617343[[#This Row],[ESP]]-VLOOKUP($U$1,A:E,5,))/VLOOKUP($U$1,A:E,5,))*100)+100</f>
        <v/>
      </c>
      <c r="L253" s="76">
        <f>(((Table134567891011121314151617343[[#This Row],[EA19]]-VLOOKUP($U$1,A:F,6,))/VLOOKUP($U$1,A:F,6,))*100)+100</f>
        <v/>
      </c>
      <c r="M253" s="76">
        <f>(((Table134567891011121314151617343[[#This Row],[GBR]]-VLOOKUP($U$1,A:G,7,))/VLOOKUP($U$1,A:G,7,))*100)+100</f>
        <v/>
      </c>
      <c r="N253" s="76">
        <f>IF(VLOOKUP(A253,Database!$A:$AU,MATCH($N$1,Database!$A$1:$AU$1,0),FALSE)=0,#N/A,VLOOKUP(A253,Database!$A:$AU,MATCH($N$1,Database!$A$1:$AU$1,0),FALSE))</f>
        <v/>
      </c>
      <c r="O253" s="76">
        <f>(((Table134567891011121314151617343[[#This Row],[USA]]-VLOOKUP($U$1,A:N,14,))/VLOOKUP($U$1,A:N,14,))*100)+100</f>
        <v/>
      </c>
      <c r="P253" s="76">
        <f>IF(VLOOKUP(A253,Database!$A:$AS,MATCH($P$1,Database!$A$1:$AS$1,0),FALSE)=0,#N/A,VLOOKUP(A253,Database!$A:$AS,MATCH($P$1,Database!$A$1:$AS$1,0),FALSE))</f>
        <v/>
      </c>
      <c r="Q253" s="76">
        <f>(((Table134567891011121314151617343[[#This Row],[JPN]]-VLOOKUP($U$1,A:Q,16,))/VLOOKUP($U$1,A:Q,16,))*100)+100</f>
        <v/>
      </c>
    </row>
    <row r="254" customFormat="1" s="86">
      <c r="A254" s="21" t="n">
        <v>40544</v>
      </c>
      <c r="B254" s="76">
        <f>IF(VLOOKUP(A254,Database!$A:$AS,MATCH($B$1,Database!$A$1:$AS$1,0),FALSE)=0,#N/A,VLOOKUP(A254,Database!$A:$AS,MATCH($B$1,Database!$A$1:$AS$1,0),FALSE))</f>
        <v/>
      </c>
      <c r="C254" s="76">
        <f>IF(VLOOKUP(A254,Database!$A:$AS,MATCH($C$1,Database!$A$1:$AS$1,0),FALSE)=0,#N/A,VLOOKUP(A254,Database!$A:$AS,MATCH($C$1,Database!$A$1:$AS$1,0),FALSE))</f>
        <v/>
      </c>
      <c r="D254" s="76">
        <f>IF(VLOOKUP(A254,Database!$A:$AS,MATCH($D$1,Database!$A$1:$AS$1,0),FALSE)=0,#N/A,VLOOKUP(A254,Database!$A:$AS,MATCH($D$1,Database!$A$1:$AS$1,0),FALSE))</f>
        <v/>
      </c>
      <c r="E254" s="76">
        <f>IF(VLOOKUP(A254,Database!$A:$AS,MATCH($E$1,Database!$A$1:$AS$1,0),FALSE)=0,#N/A,VLOOKUP(A254,Database!$A:$AS,MATCH($E$1,Database!$A$1:$AS$1,0),FALSE))</f>
        <v/>
      </c>
      <c r="F254" s="76">
        <f>IF(VLOOKUP(A254,Database!$A:$AS,MATCH($F$1,Database!$A$1:$AS$1,0),FALSE)=0,#N/A,VLOOKUP(A254,Database!$A:$AS,MATCH($F$1,Database!$A$1:$AS$1,0),FALSE))</f>
        <v/>
      </c>
      <c r="G254" s="76">
        <f>IF(VLOOKUP(A254,Database!$A:$AS,MATCH($G$1,Database!$A$1:$AS$1,0),FALSE)=0,#N/A,VLOOKUP(A254,Database!$A:$AS,MATCH($G$1,Database!$A$1:$AS$1,0),FALSE))</f>
        <v/>
      </c>
      <c r="H254" s="76">
        <f>(((Table134567891011121314151617343[[#This Row],[ITA]]-VLOOKUP($U$1,A:B,2,))/VLOOKUP($U$1,A:B,2,))*100)+100</f>
        <v/>
      </c>
      <c r="I254" s="76">
        <f>(((Table134567891011121314151617343[[#This Row],[FRA]]-VLOOKUP($U$1,A:C,3,))/VLOOKUP($U$1,A:C,3,))*100)+100</f>
        <v/>
      </c>
      <c r="J254" s="76">
        <f>(((Table134567891011121314151617343[[#This Row],[DEU]]-VLOOKUP($U$1,A:D,4,))/VLOOKUP($U$1,A:D,4,))*100)+100</f>
        <v/>
      </c>
      <c r="K254" s="76">
        <f>(((Table134567891011121314151617343[[#This Row],[ESP]]-VLOOKUP($U$1,A:E,5,))/VLOOKUP($U$1,A:E,5,))*100)+100</f>
        <v/>
      </c>
      <c r="L254" s="76">
        <f>(((Table134567891011121314151617343[[#This Row],[EA19]]-VLOOKUP($U$1,A:F,6,))/VLOOKUP($U$1,A:F,6,))*100)+100</f>
        <v/>
      </c>
      <c r="M254" s="76">
        <f>(((Table134567891011121314151617343[[#This Row],[GBR]]-VLOOKUP($U$1,A:G,7,))/VLOOKUP($U$1,A:G,7,))*100)+100</f>
        <v/>
      </c>
      <c r="N254" s="76">
        <f>IF(VLOOKUP(A254,Database!$A:$AU,MATCH($N$1,Database!$A$1:$AU$1,0),FALSE)=0,#N/A,VLOOKUP(A254,Database!$A:$AU,MATCH($N$1,Database!$A$1:$AU$1,0),FALSE))</f>
        <v/>
      </c>
      <c r="O254" s="76">
        <f>(((Table134567891011121314151617343[[#This Row],[USA]]-VLOOKUP($U$1,A:N,14,))/VLOOKUP($U$1,A:N,14,))*100)+100</f>
        <v/>
      </c>
      <c r="P254" s="76">
        <f>IF(VLOOKUP(A254,Database!$A:$AS,MATCH($P$1,Database!$A$1:$AS$1,0),FALSE)=0,#N/A,VLOOKUP(A254,Database!$A:$AS,MATCH($P$1,Database!$A$1:$AS$1,0),FALSE))</f>
        <v/>
      </c>
      <c r="Q254" s="76">
        <f>(((Table134567891011121314151617343[[#This Row],[JPN]]-VLOOKUP($U$1,A:Q,16,))/VLOOKUP($U$1,A:Q,16,))*100)+100</f>
        <v/>
      </c>
    </row>
    <row r="255" customFormat="1" s="86">
      <c r="A255" s="21" t="n">
        <v>40575</v>
      </c>
      <c r="B255" s="76">
        <f>IF(VLOOKUP(A255,Database!$A:$AS,MATCH($B$1,Database!$A$1:$AS$1,0),FALSE)=0,#N/A,VLOOKUP(A255,Database!$A:$AS,MATCH($B$1,Database!$A$1:$AS$1,0),FALSE))</f>
        <v/>
      </c>
      <c r="C255" s="76">
        <f>IF(VLOOKUP(A255,Database!$A:$AS,MATCH($C$1,Database!$A$1:$AS$1,0),FALSE)=0,#N/A,VLOOKUP(A255,Database!$A:$AS,MATCH($C$1,Database!$A$1:$AS$1,0),FALSE))</f>
        <v/>
      </c>
      <c r="D255" s="76">
        <f>IF(VLOOKUP(A255,Database!$A:$AS,MATCH($D$1,Database!$A$1:$AS$1,0),FALSE)=0,#N/A,VLOOKUP(A255,Database!$A:$AS,MATCH($D$1,Database!$A$1:$AS$1,0),FALSE))</f>
        <v/>
      </c>
      <c r="E255" s="76">
        <f>IF(VLOOKUP(A255,Database!$A:$AS,MATCH($E$1,Database!$A$1:$AS$1,0),FALSE)=0,#N/A,VLOOKUP(A255,Database!$A:$AS,MATCH($E$1,Database!$A$1:$AS$1,0),FALSE))</f>
        <v/>
      </c>
      <c r="F255" s="76">
        <f>IF(VLOOKUP(A255,Database!$A:$AS,MATCH($F$1,Database!$A$1:$AS$1,0),FALSE)=0,#N/A,VLOOKUP(A255,Database!$A:$AS,MATCH($F$1,Database!$A$1:$AS$1,0),FALSE))</f>
        <v/>
      </c>
      <c r="G255" s="76">
        <f>IF(VLOOKUP(A255,Database!$A:$AS,MATCH($G$1,Database!$A$1:$AS$1,0),FALSE)=0,#N/A,VLOOKUP(A255,Database!$A:$AS,MATCH($G$1,Database!$A$1:$AS$1,0),FALSE))</f>
        <v/>
      </c>
      <c r="H255" s="76">
        <f>(((Table134567891011121314151617343[[#This Row],[ITA]]-VLOOKUP($U$1,A:B,2,))/VLOOKUP($U$1,A:B,2,))*100)+100</f>
        <v/>
      </c>
      <c r="I255" s="76">
        <f>(((Table134567891011121314151617343[[#This Row],[FRA]]-VLOOKUP($U$1,A:C,3,))/VLOOKUP($U$1,A:C,3,))*100)+100</f>
        <v/>
      </c>
      <c r="J255" s="76">
        <f>(((Table134567891011121314151617343[[#This Row],[DEU]]-VLOOKUP($U$1,A:D,4,))/VLOOKUP($U$1,A:D,4,))*100)+100</f>
        <v/>
      </c>
      <c r="K255" s="76">
        <f>(((Table134567891011121314151617343[[#This Row],[ESP]]-VLOOKUP($U$1,A:E,5,))/VLOOKUP($U$1,A:E,5,))*100)+100</f>
        <v/>
      </c>
      <c r="L255" s="76">
        <f>(((Table134567891011121314151617343[[#This Row],[EA19]]-VLOOKUP($U$1,A:F,6,))/VLOOKUP($U$1,A:F,6,))*100)+100</f>
        <v/>
      </c>
      <c r="M255" s="76">
        <f>(((Table134567891011121314151617343[[#This Row],[GBR]]-VLOOKUP($U$1,A:G,7,))/VLOOKUP($U$1,A:G,7,))*100)+100</f>
        <v/>
      </c>
      <c r="N255" s="76">
        <f>IF(VLOOKUP(A255,Database!$A:$AU,MATCH($N$1,Database!$A$1:$AU$1,0),FALSE)=0,#N/A,VLOOKUP(A255,Database!$A:$AU,MATCH($N$1,Database!$A$1:$AU$1,0),FALSE))</f>
        <v/>
      </c>
      <c r="O255" s="76">
        <f>(((Table134567891011121314151617343[[#This Row],[USA]]-VLOOKUP($U$1,A:N,14,))/VLOOKUP($U$1,A:N,14,))*100)+100</f>
        <v/>
      </c>
      <c r="P255" s="76">
        <f>IF(VLOOKUP(A255,Database!$A:$AS,MATCH($P$1,Database!$A$1:$AS$1,0),FALSE)=0,#N/A,VLOOKUP(A255,Database!$A:$AS,MATCH($P$1,Database!$A$1:$AS$1,0),FALSE))</f>
        <v/>
      </c>
      <c r="Q255" s="76">
        <f>(((Table134567891011121314151617343[[#This Row],[JPN]]-VLOOKUP($U$1,A:Q,16,))/VLOOKUP($U$1,A:Q,16,))*100)+100</f>
        <v/>
      </c>
    </row>
    <row r="256" customFormat="1" s="86">
      <c r="A256" s="21" t="n">
        <v>40603</v>
      </c>
      <c r="B256" s="76">
        <f>IF(VLOOKUP(A256,Database!$A:$AS,MATCH($B$1,Database!$A$1:$AS$1,0),FALSE)=0,#N/A,VLOOKUP(A256,Database!$A:$AS,MATCH($B$1,Database!$A$1:$AS$1,0),FALSE))</f>
        <v/>
      </c>
      <c r="C256" s="76">
        <f>IF(VLOOKUP(A256,Database!$A:$AS,MATCH($C$1,Database!$A$1:$AS$1,0),FALSE)=0,#N/A,VLOOKUP(A256,Database!$A:$AS,MATCH($C$1,Database!$A$1:$AS$1,0),FALSE))</f>
        <v/>
      </c>
      <c r="D256" s="76">
        <f>IF(VLOOKUP(A256,Database!$A:$AS,MATCH($D$1,Database!$A$1:$AS$1,0),FALSE)=0,#N/A,VLOOKUP(A256,Database!$A:$AS,MATCH($D$1,Database!$A$1:$AS$1,0),FALSE))</f>
        <v/>
      </c>
      <c r="E256" s="76">
        <f>IF(VLOOKUP(A256,Database!$A:$AS,MATCH($E$1,Database!$A$1:$AS$1,0),FALSE)=0,#N/A,VLOOKUP(A256,Database!$A:$AS,MATCH($E$1,Database!$A$1:$AS$1,0),FALSE))</f>
        <v/>
      </c>
      <c r="F256" s="76">
        <f>IF(VLOOKUP(A256,Database!$A:$AS,MATCH($F$1,Database!$A$1:$AS$1,0),FALSE)=0,#N/A,VLOOKUP(A256,Database!$A:$AS,MATCH($F$1,Database!$A$1:$AS$1,0),FALSE))</f>
        <v/>
      </c>
      <c r="G256" s="76">
        <f>IF(VLOOKUP(A256,Database!$A:$AS,MATCH($G$1,Database!$A$1:$AS$1,0),FALSE)=0,#N/A,VLOOKUP(A256,Database!$A:$AS,MATCH($G$1,Database!$A$1:$AS$1,0),FALSE))</f>
        <v/>
      </c>
      <c r="H256" s="76">
        <f>(((Table134567891011121314151617343[[#This Row],[ITA]]-VLOOKUP($U$1,A:B,2,))/VLOOKUP($U$1,A:B,2,))*100)+100</f>
        <v/>
      </c>
      <c r="I256" s="76">
        <f>(((Table134567891011121314151617343[[#This Row],[FRA]]-VLOOKUP($U$1,A:C,3,))/VLOOKUP($U$1,A:C,3,))*100)+100</f>
        <v/>
      </c>
      <c r="J256" s="76">
        <f>(((Table134567891011121314151617343[[#This Row],[DEU]]-VLOOKUP($U$1,A:D,4,))/VLOOKUP($U$1,A:D,4,))*100)+100</f>
        <v/>
      </c>
      <c r="K256" s="76">
        <f>(((Table134567891011121314151617343[[#This Row],[ESP]]-VLOOKUP($U$1,A:E,5,))/VLOOKUP($U$1,A:E,5,))*100)+100</f>
        <v/>
      </c>
      <c r="L256" s="76">
        <f>(((Table134567891011121314151617343[[#This Row],[EA19]]-VLOOKUP($U$1,A:F,6,))/VLOOKUP($U$1,A:F,6,))*100)+100</f>
        <v/>
      </c>
      <c r="M256" s="76">
        <f>(((Table134567891011121314151617343[[#This Row],[GBR]]-VLOOKUP($U$1,A:G,7,))/VLOOKUP($U$1,A:G,7,))*100)+100</f>
        <v/>
      </c>
      <c r="N256" s="76">
        <f>IF(VLOOKUP(A256,Database!$A:$AU,MATCH($N$1,Database!$A$1:$AU$1,0),FALSE)=0,#N/A,VLOOKUP(A256,Database!$A:$AU,MATCH($N$1,Database!$A$1:$AU$1,0),FALSE))</f>
        <v/>
      </c>
      <c r="O256" s="76">
        <f>(((Table134567891011121314151617343[[#This Row],[USA]]-VLOOKUP($U$1,A:N,14,))/VLOOKUP($U$1,A:N,14,))*100)+100</f>
        <v/>
      </c>
      <c r="P256" s="76">
        <f>IF(VLOOKUP(A256,Database!$A:$AS,MATCH($P$1,Database!$A$1:$AS$1,0),FALSE)=0,#N/A,VLOOKUP(A256,Database!$A:$AS,MATCH($P$1,Database!$A$1:$AS$1,0),FALSE))</f>
        <v/>
      </c>
      <c r="Q256" s="76">
        <f>(((Table134567891011121314151617343[[#This Row],[JPN]]-VLOOKUP($U$1,A:Q,16,))/VLOOKUP($U$1,A:Q,16,))*100)+100</f>
        <v/>
      </c>
    </row>
    <row r="257" customFormat="1" s="86">
      <c r="A257" s="21" t="n">
        <v>40634</v>
      </c>
      <c r="B257" s="76">
        <f>IF(VLOOKUP(A257,Database!$A:$AS,MATCH($B$1,Database!$A$1:$AS$1,0),FALSE)=0,#N/A,VLOOKUP(A257,Database!$A:$AS,MATCH($B$1,Database!$A$1:$AS$1,0),FALSE))</f>
        <v/>
      </c>
      <c r="C257" s="76">
        <f>IF(VLOOKUP(A257,Database!$A:$AS,MATCH($C$1,Database!$A$1:$AS$1,0),FALSE)=0,#N/A,VLOOKUP(A257,Database!$A:$AS,MATCH($C$1,Database!$A$1:$AS$1,0),FALSE))</f>
        <v/>
      </c>
      <c r="D257" s="76">
        <f>IF(VLOOKUP(A257,Database!$A:$AS,MATCH($D$1,Database!$A$1:$AS$1,0),FALSE)=0,#N/A,VLOOKUP(A257,Database!$A:$AS,MATCH($D$1,Database!$A$1:$AS$1,0),FALSE))</f>
        <v/>
      </c>
      <c r="E257" s="76">
        <f>IF(VLOOKUP(A257,Database!$A:$AS,MATCH($E$1,Database!$A$1:$AS$1,0),FALSE)=0,#N/A,VLOOKUP(A257,Database!$A:$AS,MATCH($E$1,Database!$A$1:$AS$1,0),FALSE))</f>
        <v/>
      </c>
      <c r="F257" s="76">
        <f>IF(VLOOKUP(A257,Database!$A:$AS,MATCH($F$1,Database!$A$1:$AS$1,0),FALSE)=0,#N/A,VLOOKUP(A257,Database!$A:$AS,MATCH($F$1,Database!$A$1:$AS$1,0),FALSE))</f>
        <v/>
      </c>
      <c r="G257" s="76">
        <f>IF(VLOOKUP(A257,Database!$A:$AS,MATCH($G$1,Database!$A$1:$AS$1,0),FALSE)=0,#N/A,VLOOKUP(A257,Database!$A:$AS,MATCH($G$1,Database!$A$1:$AS$1,0),FALSE))</f>
        <v/>
      </c>
      <c r="H257" s="76">
        <f>(((Table134567891011121314151617343[[#This Row],[ITA]]-VLOOKUP($U$1,A:B,2,))/VLOOKUP($U$1,A:B,2,))*100)+100</f>
        <v/>
      </c>
      <c r="I257" s="76">
        <f>(((Table134567891011121314151617343[[#This Row],[FRA]]-VLOOKUP($U$1,A:C,3,))/VLOOKUP($U$1,A:C,3,))*100)+100</f>
        <v/>
      </c>
      <c r="J257" s="76">
        <f>(((Table134567891011121314151617343[[#This Row],[DEU]]-VLOOKUP($U$1,A:D,4,))/VLOOKUP($U$1,A:D,4,))*100)+100</f>
        <v/>
      </c>
      <c r="K257" s="76">
        <f>(((Table134567891011121314151617343[[#This Row],[ESP]]-VLOOKUP($U$1,A:E,5,))/VLOOKUP($U$1,A:E,5,))*100)+100</f>
        <v/>
      </c>
      <c r="L257" s="76">
        <f>(((Table134567891011121314151617343[[#This Row],[EA19]]-VLOOKUP($U$1,A:F,6,))/VLOOKUP($U$1,A:F,6,))*100)+100</f>
        <v/>
      </c>
      <c r="M257" s="76">
        <f>(((Table134567891011121314151617343[[#This Row],[GBR]]-VLOOKUP($U$1,A:G,7,))/VLOOKUP($U$1,A:G,7,))*100)+100</f>
        <v/>
      </c>
      <c r="N257" s="76">
        <f>IF(VLOOKUP(A257,Database!$A:$AU,MATCH($N$1,Database!$A$1:$AU$1,0),FALSE)=0,#N/A,VLOOKUP(A257,Database!$A:$AU,MATCH($N$1,Database!$A$1:$AU$1,0),FALSE))</f>
        <v/>
      </c>
      <c r="O257" s="76">
        <f>(((Table134567891011121314151617343[[#This Row],[USA]]-VLOOKUP($U$1,A:N,14,))/VLOOKUP($U$1,A:N,14,))*100)+100</f>
        <v/>
      </c>
      <c r="P257" s="76">
        <f>IF(VLOOKUP(A257,Database!$A:$AS,MATCH($P$1,Database!$A$1:$AS$1,0),FALSE)=0,#N/A,VLOOKUP(A257,Database!$A:$AS,MATCH($P$1,Database!$A$1:$AS$1,0),FALSE))</f>
        <v/>
      </c>
      <c r="Q257" s="76">
        <f>(((Table134567891011121314151617343[[#This Row],[JPN]]-VLOOKUP($U$1,A:Q,16,))/VLOOKUP($U$1,A:Q,16,))*100)+100</f>
        <v/>
      </c>
    </row>
    <row r="258" customFormat="1" s="86">
      <c r="A258" s="21" t="n">
        <v>40664</v>
      </c>
      <c r="B258" s="76">
        <f>IF(VLOOKUP(A258,Database!$A:$AS,MATCH($B$1,Database!$A$1:$AS$1,0),FALSE)=0,#N/A,VLOOKUP(A258,Database!$A:$AS,MATCH($B$1,Database!$A$1:$AS$1,0),FALSE))</f>
        <v/>
      </c>
      <c r="C258" s="76">
        <f>IF(VLOOKUP(A258,Database!$A:$AS,MATCH($C$1,Database!$A$1:$AS$1,0),FALSE)=0,#N/A,VLOOKUP(A258,Database!$A:$AS,MATCH($C$1,Database!$A$1:$AS$1,0),FALSE))</f>
        <v/>
      </c>
      <c r="D258" s="76">
        <f>IF(VLOOKUP(A258,Database!$A:$AS,MATCH($D$1,Database!$A$1:$AS$1,0),FALSE)=0,#N/A,VLOOKUP(A258,Database!$A:$AS,MATCH($D$1,Database!$A$1:$AS$1,0),FALSE))</f>
        <v/>
      </c>
      <c r="E258" s="76">
        <f>IF(VLOOKUP(A258,Database!$A:$AS,MATCH($E$1,Database!$A$1:$AS$1,0),FALSE)=0,#N/A,VLOOKUP(A258,Database!$A:$AS,MATCH($E$1,Database!$A$1:$AS$1,0),FALSE))</f>
        <v/>
      </c>
      <c r="F258" s="76">
        <f>IF(VLOOKUP(A258,Database!$A:$AS,MATCH($F$1,Database!$A$1:$AS$1,0),FALSE)=0,#N/A,VLOOKUP(A258,Database!$A:$AS,MATCH($F$1,Database!$A$1:$AS$1,0),FALSE))</f>
        <v/>
      </c>
      <c r="G258" s="76">
        <f>IF(VLOOKUP(A258,Database!$A:$AS,MATCH($G$1,Database!$A$1:$AS$1,0),FALSE)=0,#N/A,VLOOKUP(A258,Database!$A:$AS,MATCH($G$1,Database!$A$1:$AS$1,0),FALSE))</f>
        <v/>
      </c>
      <c r="H258" s="76">
        <f>(((Table134567891011121314151617343[[#This Row],[ITA]]-VLOOKUP($U$1,A:B,2,))/VLOOKUP($U$1,A:B,2,))*100)+100</f>
        <v/>
      </c>
      <c r="I258" s="76">
        <f>(((Table134567891011121314151617343[[#This Row],[FRA]]-VLOOKUP($U$1,A:C,3,))/VLOOKUP($U$1,A:C,3,))*100)+100</f>
        <v/>
      </c>
      <c r="J258" s="76">
        <f>(((Table134567891011121314151617343[[#This Row],[DEU]]-VLOOKUP($U$1,A:D,4,))/VLOOKUP($U$1,A:D,4,))*100)+100</f>
        <v/>
      </c>
      <c r="K258" s="76">
        <f>(((Table134567891011121314151617343[[#This Row],[ESP]]-VLOOKUP($U$1,A:E,5,))/VLOOKUP($U$1,A:E,5,))*100)+100</f>
        <v/>
      </c>
      <c r="L258" s="76">
        <f>(((Table134567891011121314151617343[[#This Row],[EA19]]-VLOOKUP($U$1,A:F,6,))/VLOOKUP($U$1,A:F,6,))*100)+100</f>
        <v/>
      </c>
      <c r="M258" s="76">
        <f>(((Table134567891011121314151617343[[#This Row],[GBR]]-VLOOKUP($U$1,A:G,7,))/VLOOKUP($U$1,A:G,7,))*100)+100</f>
        <v/>
      </c>
      <c r="N258" s="76">
        <f>IF(VLOOKUP(A258,Database!$A:$AU,MATCH($N$1,Database!$A$1:$AU$1,0),FALSE)=0,#N/A,VLOOKUP(A258,Database!$A:$AU,MATCH($N$1,Database!$A$1:$AU$1,0),FALSE))</f>
        <v/>
      </c>
      <c r="O258" s="76">
        <f>(((Table134567891011121314151617343[[#This Row],[USA]]-VLOOKUP($U$1,A:N,14,))/VLOOKUP($U$1,A:N,14,))*100)+100</f>
        <v/>
      </c>
      <c r="P258" s="76">
        <f>IF(VLOOKUP(A258,Database!$A:$AS,MATCH($P$1,Database!$A$1:$AS$1,0),FALSE)=0,#N/A,VLOOKUP(A258,Database!$A:$AS,MATCH($P$1,Database!$A$1:$AS$1,0),FALSE))</f>
        <v/>
      </c>
      <c r="Q258" s="76">
        <f>(((Table134567891011121314151617343[[#This Row],[JPN]]-VLOOKUP($U$1,A:Q,16,))/VLOOKUP($U$1,A:Q,16,))*100)+100</f>
        <v/>
      </c>
    </row>
    <row r="259" customFormat="1" s="86">
      <c r="A259" s="21" t="n">
        <v>40695</v>
      </c>
      <c r="B259" s="76">
        <f>IF(VLOOKUP(A259,Database!$A:$AS,MATCH($B$1,Database!$A$1:$AS$1,0),FALSE)=0,#N/A,VLOOKUP(A259,Database!$A:$AS,MATCH($B$1,Database!$A$1:$AS$1,0),FALSE))</f>
        <v/>
      </c>
      <c r="C259" s="76">
        <f>IF(VLOOKUP(A259,Database!$A:$AS,MATCH($C$1,Database!$A$1:$AS$1,0),FALSE)=0,#N/A,VLOOKUP(A259,Database!$A:$AS,MATCH($C$1,Database!$A$1:$AS$1,0),FALSE))</f>
        <v/>
      </c>
      <c r="D259" s="76">
        <f>IF(VLOOKUP(A259,Database!$A:$AS,MATCH($D$1,Database!$A$1:$AS$1,0),FALSE)=0,#N/A,VLOOKUP(A259,Database!$A:$AS,MATCH($D$1,Database!$A$1:$AS$1,0),FALSE))</f>
        <v/>
      </c>
      <c r="E259" s="76">
        <f>IF(VLOOKUP(A259,Database!$A:$AS,MATCH($E$1,Database!$A$1:$AS$1,0),FALSE)=0,#N/A,VLOOKUP(A259,Database!$A:$AS,MATCH($E$1,Database!$A$1:$AS$1,0),FALSE))</f>
        <v/>
      </c>
      <c r="F259" s="76">
        <f>IF(VLOOKUP(A259,Database!$A:$AS,MATCH($F$1,Database!$A$1:$AS$1,0),FALSE)=0,#N/A,VLOOKUP(A259,Database!$A:$AS,MATCH($F$1,Database!$A$1:$AS$1,0),FALSE))</f>
        <v/>
      </c>
      <c r="G259" s="76">
        <f>IF(VLOOKUP(A259,Database!$A:$AS,MATCH($G$1,Database!$A$1:$AS$1,0),FALSE)=0,#N/A,VLOOKUP(A259,Database!$A:$AS,MATCH($G$1,Database!$A$1:$AS$1,0),FALSE))</f>
        <v/>
      </c>
      <c r="H259" s="76">
        <f>(((Table134567891011121314151617343[[#This Row],[ITA]]-VLOOKUP($U$1,A:B,2,))/VLOOKUP($U$1,A:B,2,))*100)+100</f>
        <v/>
      </c>
      <c r="I259" s="76">
        <f>(((Table134567891011121314151617343[[#This Row],[FRA]]-VLOOKUP($U$1,A:C,3,))/VLOOKUP($U$1,A:C,3,))*100)+100</f>
        <v/>
      </c>
      <c r="J259" s="76">
        <f>(((Table134567891011121314151617343[[#This Row],[DEU]]-VLOOKUP($U$1,A:D,4,))/VLOOKUP($U$1,A:D,4,))*100)+100</f>
        <v/>
      </c>
      <c r="K259" s="76">
        <f>(((Table134567891011121314151617343[[#This Row],[ESP]]-VLOOKUP($U$1,A:E,5,))/VLOOKUP($U$1,A:E,5,))*100)+100</f>
        <v/>
      </c>
      <c r="L259" s="76">
        <f>(((Table134567891011121314151617343[[#This Row],[EA19]]-VLOOKUP($U$1,A:F,6,))/VLOOKUP($U$1,A:F,6,))*100)+100</f>
        <v/>
      </c>
      <c r="M259" s="76">
        <f>(((Table134567891011121314151617343[[#This Row],[GBR]]-VLOOKUP($U$1,A:G,7,))/VLOOKUP($U$1,A:G,7,))*100)+100</f>
        <v/>
      </c>
      <c r="N259" s="76">
        <f>IF(VLOOKUP(A259,Database!$A:$AU,MATCH($N$1,Database!$A$1:$AU$1,0),FALSE)=0,#N/A,VLOOKUP(A259,Database!$A:$AU,MATCH($N$1,Database!$A$1:$AU$1,0),FALSE))</f>
        <v/>
      </c>
      <c r="O259" s="76">
        <f>(((Table134567891011121314151617343[[#This Row],[USA]]-VLOOKUP($U$1,A:N,14,))/VLOOKUP($U$1,A:N,14,))*100)+100</f>
        <v/>
      </c>
      <c r="P259" s="76">
        <f>IF(VLOOKUP(A259,Database!$A:$AS,MATCH($P$1,Database!$A$1:$AS$1,0),FALSE)=0,#N/A,VLOOKUP(A259,Database!$A:$AS,MATCH($P$1,Database!$A$1:$AS$1,0),FALSE))</f>
        <v/>
      </c>
      <c r="Q259" s="76">
        <f>(((Table134567891011121314151617343[[#This Row],[JPN]]-VLOOKUP($U$1,A:Q,16,))/VLOOKUP($U$1,A:Q,16,))*100)+100</f>
        <v/>
      </c>
    </row>
    <row r="260" customFormat="1" s="86">
      <c r="A260" s="21" t="n">
        <v>40725</v>
      </c>
      <c r="B260" s="76">
        <f>IF(VLOOKUP(A260,Database!$A:$AS,MATCH($B$1,Database!$A$1:$AS$1,0),FALSE)=0,#N/A,VLOOKUP(A260,Database!$A:$AS,MATCH($B$1,Database!$A$1:$AS$1,0),FALSE))</f>
        <v/>
      </c>
      <c r="C260" s="76">
        <f>IF(VLOOKUP(A260,Database!$A:$AS,MATCH($C$1,Database!$A$1:$AS$1,0),FALSE)=0,#N/A,VLOOKUP(A260,Database!$A:$AS,MATCH($C$1,Database!$A$1:$AS$1,0),FALSE))</f>
        <v/>
      </c>
      <c r="D260" s="76">
        <f>IF(VLOOKUP(A260,Database!$A:$AS,MATCH($D$1,Database!$A$1:$AS$1,0),FALSE)=0,#N/A,VLOOKUP(A260,Database!$A:$AS,MATCH($D$1,Database!$A$1:$AS$1,0),FALSE))</f>
        <v/>
      </c>
      <c r="E260" s="76">
        <f>IF(VLOOKUP(A260,Database!$A:$AS,MATCH($E$1,Database!$A$1:$AS$1,0),FALSE)=0,#N/A,VLOOKUP(A260,Database!$A:$AS,MATCH($E$1,Database!$A$1:$AS$1,0),FALSE))</f>
        <v/>
      </c>
      <c r="F260" s="76">
        <f>IF(VLOOKUP(A260,Database!$A:$AS,MATCH($F$1,Database!$A$1:$AS$1,0),FALSE)=0,#N/A,VLOOKUP(A260,Database!$A:$AS,MATCH($F$1,Database!$A$1:$AS$1,0),FALSE))</f>
        <v/>
      </c>
      <c r="G260" s="76">
        <f>IF(VLOOKUP(A260,Database!$A:$AS,MATCH($G$1,Database!$A$1:$AS$1,0),FALSE)=0,#N/A,VLOOKUP(A260,Database!$A:$AS,MATCH($G$1,Database!$A$1:$AS$1,0),FALSE))</f>
        <v/>
      </c>
      <c r="H260" s="76">
        <f>(((Table134567891011121314151617343[[#This Row],[ITA]]-VLOOKUP($U$1,A:B,2,))/VLOOKUP($U$1,A:B,2,))*100)+100</f>
        <v/>
      </c>
      <c r="I260" s="76">
        <f>(((Table134567891011121314151617343[[#This Row],[FRA]]-VLOOKUP($U$1,A:C,3,))/VLOOKUP($U$1,A:C,3,))*100)+100</f>
        <v/>
      </c>
      <c r="J260" s="76">
        <f>(((Table134567891011121314151617343[[#This Row],[DEU]]-VLOOKUP($U$1,A:D,4,))/VLOOKUP($U$1,A:D,4,))*100)+100</f>
        <v/>
      </c>
      <c r="K260" s="76">
        <f>(((Table134567891011121314151617343[[#This Row],[ESP]]-VLOOKUP($U$1,A:E,5,))/VLOOKUP($U$1,A:E,5,))*100)+100</f>
        <v/>
      </c>
      <c r="L260" s="76">
        <f>(((Table134567891011121314151617343[[#This Row],[EA19]]-VLOOKUP($U$1,A:F,6,))/VLOOKUP($U$1,A:F,6,))*100)+100</f>
        <v/>
      </c>
      <c r="M260" s="76">
        <f>(((Table134567891011121314151617343[[#This Row],[GBR]]-VLOOKUP($U$1,A:G,7,))/VLOOKUP($U$1,A:G,7,))*100)+100</f>
        <v/>
      </c>
      <c r="N260" s="76">
        <f>IF(VLOOKUP(A260,Database!$A:$AU,MATCH($N$1,Database!$A$1:$AU$1,0),FALSE)=0,#N/A,VLOOKUP(A260,Database!$A:$AU,MATCH($N$1,Database!$A$1:$AU$1,0),FALSE))</f>
        <v/>
      </c>
      <c r="O260" s="76">
        <f>(((Table134567891011121314151617343[[#This Row],[USA]]-VLOOKUP($U$1,A:N,14,))/VLOOKUP($U$1,A:N,14,))*100)+100</f>
        <v/>
      </c>
      <c r="P260" s="76">
        <f>IF(VLOOKUP(A260,Database!$A:$AS,MATCH($P$1,Database!$A$1:$AS$1,0),FALSE)=0,#N/A,VLOOKUP(A260,Database!$A:$AS,MATCH($P$1,Database!$A$1:$AS$1,0),FALSE))</f>
        <v/>
      </c>
      <c r="Q260" s="76">
        <f>(((Table134567891011121314151617343[[#This Row],[JPN]]-VLOOKUP($U$1,A:Q,16,))/VLOOKUP($U$1,A:Q,16,))*100)+100</f>
        <v/>
      </c>
    </row>
    <row r="261" customFormat="1" s="86">
      <c r="A261" s="21" t="n">
        <v>40756</v>
      </c>
      <c r="B261" s="76">
        <f>IF(VLOOKUP(A261,Database!$A:$AS,MATCH($B$1,Database!$A$1:$AS$1,0),FALSE)=0,#N/A,VLOOKUP(A261,Database!$A:$AS,MATCH($B$1,Database!$A$1:$AS$1,0),FALSE))</f>
        <v/>
      </c>
      <c r="C261" s="76">
        <f>IF(VLOOKUP(A261,Database!$A:$AS,MATCH($C$1,Database!$A$1:$AS$1,0),FALSE)=0,#N/A,VLOOKUP(A261,Database!$A:$AS,MATCH($C$1,Database!$A$1:$AS$1,0),FALSE))</f>
        <v/>
      </c>
      <c r="D261" s="76">
        <f>IF(VLOOKUP(A261,Database!$A:$AS,MATCH($D$1,Database!$A$1:$AS$1,0),FALSE)=0,#N/A,VLOOKUP(A261,Database!$A:$AS,MATCH($D$1,Database!$A$1:$AS$1,0),FALSE))</f>
        <v/>
      </c>
      <c r="E261" s="76">
        <f>IF(VLOOKUP(A261,Database!$A:$AS,MATCH($E$1,Database!$A$1:$AS$1,0),FALSE)=0,#N/A,VLOOKUP(A261,Database!$A:$AS,MATCH($E$1,Database!$A$1:$AS$1,0),FALSE))</f>
        <v/>
      </c>
      <c r="F261" s="76">
        <f>IF(VLOOKUP(A261,Database!$A:$AS,MATCH($F$1,Database!$A$1:$AS$1,0),FALSE)=0,#N/A,VLOOKUP(A261,Database!$A:$AS,MATCH($F$1,Database!$A$1:$AS$1,0),FALSE))</f>
        <v/>
      </c>
      <c r="G261" s="76">
        <f>IF(VLOOKUP(A261,Database!$A:$AS,MATCH($G$1,Database!$A$1:$AS$1,0),FALSE)=0,#N/A,VLOOKUP(A261,Database!$A:$AS,MATCH($G$1,Database!$A$1:$AS$1,0),FALSE))</f>
        <v/>
      </c>
      <c r="H261" s="76">
        <f>(((Table134567891011121314151617343[[#This Row],[ITA]]-VLOOKUP($U$1,A:B,2,))/VLOOKUP($U$1,A:B,2,))*100)+100</f>
        <v/>
      </c>
      <c r="I261" s="76">
        <f>(((Table134567891011121314151617343[[#This Row],[FRA]]-VLOOKUP($U$1,A:C,3,))/VLOOKUP($U$1,A:C,3,))*100)+100</f>
        <v/>
      </c>
      <c r="J261" s="76">
        <f>(((Table134567891011121314151617343[[#This Row],[DEU]]-VLOOKUP($U$1,A:D,4,))/VLOOKUP($U$1,A:D,4,))*100)+100</f>
        <v/>
      </c>
      <c r="K261" s="76">
        <f>(((Table134567891011121314151617343[[#This Row],[ESP]]-VLOOKUP($U$1,A:E,5,))/VLOOKUP($U$1,A:E,5,))*100)+100</f>
        <v/>
      </c>
      <c r="L261" s="76">
        <f>(((Table134567891011121314151617343[[#This Row],[EA19]]-VLOOKUP($U$1,A:F,6,))/VLOOKUP($U$1,A:F,6,))*100)+100</f>
        <v/>
      </c>
      <c r="M261" s="76">
        <f>(((Table134567891011121314151617343[[#This Row],[GBR]]-VLOOKUP($U$1,A:G,7,))/VLOOKUP($U$1,A:G,7,))*100)+100</f>
        <v/>
      </c>
      <c r="N261" s="76">
        <f>IF(VLOOKUP(A261,Database!$A:$AU,MATCH($N$1,Database!$A$1:$AU$1,0),FALSE)=0,#N/A,VLOOKUP(A261,Database!$A:$AU,MATCH($N$1,Database!$A$1:$AU$1,0),FALSE))</f>
        <v/>
      </c>
      <c r="O261" s="76">
        <f>(((Table134567891011121314151617343[[#This Row],[USA]]-VLOOKUP($U$1,A:N,14,))/VLOOKUP($U$1,A:N,14,))*100)+100</f>
        <v/>
      </c>
      <c r="P261" s="76">
        <f>IF(VLOOKUP(A261,Database!$A:$AS,MATCH($P$1,Database!$A$1:$AS$1,0),FALSE)=0,#N/A,VLOOKUP(A261,Database!$A:$AS,MATCH($P$1,Database!$A$1:$AS$1,0),FALSE))</f>
        <v/>
      </c>
      <c r="Q261" s="76">
        <f>(((Table134567891011121314151617343[[#This Row],[JPN]]-VLOOKUP($U$1,A:Q,16,))/VLOOKUP($U$1,A:Q,16,))*100)+100</f>
        <v/>
      </c>
    </row>
    <row r="262" customFormat="1" s="86">
      <c r="A262" s="21" t="n">
        <v>40787</v>
      </c>
      <c r="B262" s="76">
        <f>IF(VLOOKUP(A262,Database!$A:$AS,MATCH($B$1,Database!$A$1:$AS$1,0),FALSE)=0,#N/A,VLOOKUP(A262,Database!$A:$AS,MATCH($B$1,Database!$A$1:$AS$1,0),FALSE))</f>
        <v/>
      </c>
      <c r="C262" s="76">
        <f>IF(VLOOKUP(A262,Database!$A:$AS,MATCH($C$1,Database!$A$1:$AS$1,0),FALSE)=0,#N/A,VLOOKUP(A262,Database!$A:$AS,MATCH($C$1,Database!$A$1:$AS$1,0),FALSE))</f>
        <v/>
      </c>
      <c r="D262" s="76">
        <f>IF(VLOOKUP(A262,Database!$A:$AS,MATCH($D$1,Database!$A$1:$AS$1,0),FALSE)=0,#N/A,VLOOKUP(A262,Database!$A:$AS,MATCH($D$1,Database!$A$1:$AS$1,0),FALSE))</f>
        <v/>
      </c>
      <c r="E262" s="76">
        <f>IF(VLOOKUP(A262,Database!$A:$AS,MATCH($E$1,Database!$A$1:$AS$1,0),FALSE)=0,#N/A,VLOOKUP(A262,Database!$A:$AS,MATCH($E$1,Database!$A$1:$AS$1,0),FALSE))</f>
        <v/>
      </c>
      <c r="F262" s="76">
        <f>IF(VLOOKUP(A262,Database!$A:$AS,MATCH($F$1,Database!$A$1:$AS$1,0),FALSE)=0,#N/A,VLOOKUP(A262,Database!$A:$AS,MATCH($F$1,Database!$A$1:$AS$1,0),FALSE))</f>
        <v/>
      </c>
      <c r="G262" s="76">
        <f>IF(VLOOKUP(A262,Database!$A:$AS,MATCH($G$1,Database!$A$1:$AS$1,0),FALSE)=0,#N/A,VLOOKUP(A262,Database!$A:$AS,MATCH($G$1,Database!$A$1:$AS$1,0),FALSE))</f>
        <v/>
      </c>
      <c r="H262" s="76">
        <f>(((Table134567891011121314151617343[[#This Row],[ITA]]-VLOOKUP($U$1,A:B,2,))/VLOOKUP($U$1,A:B,2,))*100)+100</f>
        <v/>
      </c>
      <c r="I262" s="76">
        <f>(((Table134567891011121314151617343[[#This Row],[FRA]]-VLOOKUP($U$1,A:C,3,))/VLOOKUP($U$1,A:C,3,))*100)+100</f>
        <v/>
      </c>
      <c r="J262" s="76">
        <f>(((Table134567891011121314151617343[[#This Row],[DEU]]-VLOOKUP($U$1,A:D,4,))/VLOOKUP($U$1,A:D,4,))*100)+100</f>
        <v/>
      </c>
      <c r="K262" s="76">
        <f>(((Table134567891011121314151617343[[#This Row],[ESP]]-VLOOKUP($U$1,A:E,5,))/VLOOKUP($U$1,A:E,5,))*100)+100</f>
        <v/>
      </c>
      <c r="L262" s="76">
        <f>(((Table134567891011121314151617343[[#This Row],[EA19]]-VLOOKUP($U$1,A:F,6,))/VLOOKUP($U$1,A:F,6,))*100)+100</f>
        <v/>
      </c>
      <c r="M262" s="76">
        <f>(((Table134567891011121314151617343[[#This Row],[GBR]]-VLOOKUP($U$1,A:G,7,))/VLOOKUP($U$1,A:G,7,))*100)+100</f>
        <v/>
      </c>
      <c r="N262" s="76">
        <f>IF(VLOOKUP(A262,Database!$A:$AU,MATCH($N$1,Database!$A$1:$AU$1,0),FALSE)=0,#N/A,VLOOKUP(A262,Database!$A:$AU,MATCH($N$1,Database!$A$1:$AU$1,0),FALSE))</f>
        <v/>
      </c>
      <c r="O262" s="76">
        <f>(((Table134567891011121314151617343[[#This Row],[USA]]-VLOOKUP($U$1,A:N,14,))/VLOOKUP($U$1,A:N,14,))*100)+100</f>
        <v/>
      </c>
      <c r="P262" s="76">
        <f>IF(VLOOKUP(A262,Database!$A:$AS,MATCH($P$1,Database!$A$1:$AS$1,0),FALSE)=0,#N/A,VLOOKUP(A262,Database!$A:$AS,MATCH($P$1,Database!$A$1:$AS$1,0),FALSE))</f>
        <v/>
      </c>
      <c r="Q262" s="76">
        <f>(((Table134567891011121314151617343[[#This Row],[JPN]]-VLOOKUP($U$1,A:Q,16,))/VLOOKUP($U$1,A:Q,16,))*100)+100</f>
        <v/>
      </c>
    </row>
    <row r="263" customFormat="1" s="86">
      <c r="A263" s="21" t="n">
        <v>40817</v>
      </c>
      <c r="B263" s="76">
        <f>IF(VLOOKUP(A263,Database!$A:$AS,MATCH($B$1,Database!$A$1:$AS$1,0),FALSE)=0,#N/A,VLOOKUP(A263,Database!$A:$AS,MATCH($B$1,Database!$A$1:$AS$1,0),FALSE))</f>
        <v/>
      </c>
      <c r="C263" s="76">
        <f>IF(VLOOKUP(A263,Database!$A:$AS,MATCH($C$1,Database!$A$1:$AS$1,0),FALSE)=0,#N/A,VLOOKUP(A263,Database!$A:$AS,MATCH($C$1,Database!$A$1:$AS$1,0),FALSE))</f>
        <v/>
      </c>
      <c r="D263" s="76">
        <f>IF(VLOOKUP(A263,Database!$A:$AS,MATCH($D$1,Database!$A$1:$AS$1,0),FALSE)=0,#N/A,VLOOKUP(A263,Database!$A:$AS,MATCH($D$1,Database!$A$1:$AS$1,0),FALSE))</f>
        <v/>
      </c>
      <c r="E263" s="76">
        <f>IF(VLOOKUP(A263,Database!$A:$AS,MATCH($E$1,Database!$A$1:$AS$1,0),FALSE)=0,#N/A,VLOOKUP(A263,Database!$A:$AS,MATCH($E$1,Database!$A$1:$AS$1,0),FALSE))</f>
        <v/>
      </c>
      <c r="F263" s="76">
        <f>IF(VLOOKUP(A263,Database!$A:$AS,MATCH($F$1,Database!$A$1:$AS$1,0),FALSE)=0,#N/A,VLOOKUP(A263,Database!$A:$AS,MATCH($F$1,Database!$A$1:$AS$1,0),FALSE))</f>
        <v/>
      </c>
      <c r="G263" s="76">
        <f>IF(VLOOKUP(A263,Database!$A:$AS,MATCH($G$1,Database!$A$1:$AS$1,0),FALSE)=0,#N/A,VLOOKUP(A263,Database!$A:$AS,MATCH($G$1,Database!$A$1:$AS$1,0),FALSE))</f>
        <v/>
      </c>
      <c r="H263" s="76">
        <f>(((Table134567891011121314151617343[[#This Row],[ITA]]-VLOOKUP($U$1,A:B,2,))/VLOOKUP($U$1,A:B,2,))*100)+100</f>
        <v/>
      </c>
      <c r="I263" s="76">
        <f>(((Table134567891011121314151617343[[#This Row],[FRA]]-VLOOKUP($U$1,A:C,3,))/VLOOKUP($U$1,A:C,3,))*100)+100</f>
        <v/>
      </c>
      <c r="J263" s="76">
        <f>(((Table134567891011121314151617343[[#This Row],[DEU]]-VLOOKUP($U$1,A:D,4,))/VLOOKUP($U$1,A:D,4,))*100)+100</f>
        <v/>
      </c>
      <c r="K263" s="76">
        <f>(((Table134567891011121314151617343[[#This Row],[ESP]]-VLOOKUP($U$1,A:E,5,))/VLOOKUP($U$1,A:E,5,))*100)+100</f>
        <v/>
      </c>
      <c r="L263" s="76">
        <f>(((Table134567891011121314151617343[[#This Row],[EA19]]-VLOOKUP($U$1,A:F,6,))/VLOOKUP($U$1,A:F,6,))*100)+100</f>
        <v/>
      </c>
      <c r="M263" s="76">
        <f>(((Table134567891011121314151617343[[#This Row],[GBR]]-VLOOKUP($U$1,A:G,7,))/VLOOKUP($U$1,A:G,7,))*100)+100</f>
        <v/>
      </c>
      <c r="N263" s="76">
        <f>IF(VLOOKUP(A263,Database!$A:$AU,MATCH($N$1,Database!$A$1:$AU$1,0),FALSE)=0,#N/A,VLOOKUP(A263,Database!$A:$AU,MATCH($N$1,Database!$A$1:$AU$1,0),FALSE))</f>
        <v/>
      </c>
      <c r="O263" s="76">
        <f>(((Table134567891011121314151617343[[#This Row],[USA]]-VLOOKUP($U$1,A:N,14,))/VLOOKUP($U$1,A:N,14,))*100)+100</f>
        <v/>
      </c>
      <c r="P263" s="76">
        <f>IF(VLOOKUP(A263,Database!$A:$AS,MATCH($P$1,Database!$A$1:$AS$1,0),FALSE)=0,#N/A,VLOOKUP(A263,Database!$A:$AS,MATCH($P$1,Database!$A$1:$AS$1,0),FALSE))</f>
        <v/>
      </c>
      <c r="Q263" s="76">
        <f>(((Table134567891011121314151617343[[#This Row],[JPN]]-VLOOKUP($U$1,A:Q,16,))/VLOOKUP($U$1,A:Q,16,))*100)+100</f>
        <v/>
      </c>
    </row>
    <row r="264" customFormat="1" s="86">
      <c r="A264" s="21" t="n">
        <v>40848</v>
      </c>
      <c r="B264" s="76">
        <f>IF(VLOOKUP(A264,Database!$A:$AS,MATCH($B$1,Database!$A$1:$AS$1,0),FALSE)=0,#N/A,VLOOKUP(A264,Database!$A:$AS,MATCH($B$1,Database!$A$1:$AS$1,0),FALSE))</f>
        <v/>
      </c>
      <c r="C264" s="76">
        <f>IF(VLOOKUP(A264,Database!$A:$AS,MATCH($C$1,Database!$A$1:$AS$1,0),FALSE)=0,#N/A,VLOOKUP(A264,Database!$A:$AS,MATCH($C$1,Database!$A$1:$AS$1,0),FALSE))</f>
        <v/>
      </c>
      <c r="D264" s="76">
        <f>IF(VLOOKUP(A264,Database!$A:$AS,MATCH($D$1,Database!$A$1:$AS$1,0),FALSE)=0,#N/A,VLOOKUP(A264,Database!$A:$AS,MATCH($D$1,Database!$A$1:$AS$1,0),FALSE))</f>
        <v/>
      </c>
      <c r="E264" s="76">
        <f>IF(VLOOKUP(A264,Database!$A:$AS,MATCH($E$1,Database!$A$1:$AS$1,0),FALSE)=0,#N/A,VLOOKUP(A264,Database!$A:$AS,MATCH($E$1,Database!$A$1:$AS$1,0),FALSE))</f>
        <v/>
      </c>
      <c r="F264" s="76">
        <f>IF(VLOOKUP(A264,Database!$A:$AS,MATCH($F$1,Database!$A$1:$AS$1,0),FALSE)=0,#N/A,VLOOKUP(A264,Database!$A:$AS,MATCH($F$1,Database!$A$1:$AS$1,0),FALSE))</f>
        <v/>
      </c>
      <c r="G264" s="76">
        <f>IF(VLOOKUP(A264,Database!$A:$AS,MATCH($G$1,Database!$A$1:$AS$1,0),FALSE)=0,#N/A,VLOOKUP(A264,Database!$A:$AS,MATCH($G$1,Database!$A$1:$AS$1,0),FALSE))</f>
        <v/>
      </c>
      <c r="H264" s="76">
        <f>(((Table134567891011121314151617343[[#This Row],[ITA]]-VLOOKUP($U$1,A:B,2,))/VLOOKUP($U$1,A:B,2,))*100)+100</f>
        <v/>
      </c>
      <c r="I264" s="76">
        <f>(((Table134567891011121314151617343[[#This Row],[FRA]]-VLOOKUP($U$1,A:C,3,))/VLOOKUP($U$1,A:C,3,))*100)+100</f>
        <v/>
      </c>
      <c r="J264" s="76">
        <f>(((Table134567891011121314151617343[[#This Row],[DEU]]-VLOOKUP($U$1,A:D,4,))/VLOOKUP($U$1,A:D,4,))*100)+100</f>
        <v/>
      </c>
      <c r="K264" s="76">
        <f>(((Table134567891011121314151617343[[#This Row],[ESP]]-VLOOKUP($U$1,A:E,5,))/VLOOKUP($U$1,A:E,5,))*100)+100</f>
        <v/>
      </c>
      <c r="L264" s="76">
        <f>(((Table134567891011121314151617343[[#This Row],[EA19]]-VLOOKUP($U$1,A:F,6,))/VLOOKUP($U$1,A:F,6,))*100)+100</f>
        <v/>
      </c>
      <c r="M264" s="76">
        <f>(((Table134567891011121314151617343[[#This Row],[GBR]]-VLOOKUP($U$1,A:G,7,))/VLOOKUP($U$1,A:G,7,))*100)+100</f>
        <v/>
      </c>
      <c r="N264" s="76">
        <f>IF(VLOOKUP(A264,Database!$A:$AU,MATCH($N$1,Database!$A$1:$AU$1,0),FALSE)=0,#N/A,VLOOKUP(A264,Database!$A:$AU,MATCH($N$1,Database!$A$1:$AU$1,0),FALSE))</f>
        <v/>
      </c>
      <c r="O264" s="76">
        <f>(((Table134567891011121314151617343[[#This Row],[USA]]-VLOOKUP($U$1,A:N,14,))/VLOOKUP($U$1,A:N,14,))*100)+100</f>
        <v/>
      </c>
      <c r="P264" s="76">
        <f>IF(VLOOKUP(A264,Database!$A:$AS,MATCH($P$1,Database!$A$1:$AS$1,0),FALSE)=0,#N/A,VLOOKUP(A264,Database!$A:$AS,MATCH($P$1,Database!$A$1:$AS$1,0),FALSE))</f>
        <v/>
      </c>
      <c r="Q264" s="76">
        <f>(((Table134567891011121314151617343[[#This Row],[JPN]]-VLOOKUP($U$1,A:Q,16,))/VLOOKUP($U$1,A:Q,16,))*100)+100</f>
        <v/>
      </c>
    </row>
    <row r="265" customFormat="1" s="86">
      <c r="A265" s="21" t="n">
        <v>40878</v>
      </c>
      <c r="B265" s="76">
        <f>IF(VLOOKUP(A265,Database!$A:$AS,MATCH($B$1,Database!$A$1:$AS$1,0),FALSE)=0,#N/A,VLOOKUP(A265,Database!$A:$AS,MATCH($B$1,Database!$A$1:$AS$1,0),FALSE))</f>
        <v/>
      </c>
      <c r="C265" s="76">
        <f>IF(VLOOKUP(A265,Database!$A:$AS,MATCH($C$1,Database!$A$1:$AS$1,0),FALSE)=0,#N/A,VLOOKUP(A265,Database!$A:$AS,MATCH($C$1,Database!$A$1:$AS$1,0),FALSE))</f>
        <v/>
      </c>
      <c r="D265" s="76">
        <f>IF(VLOOKUP(A265,Database!$A:$AS,MATCH($D$1,Database!$A$1:$AS$1,0),FALSE)=0,#N/A,VLOOKUP(A265,Database!$A:$AS,MATCH($D$1,Database!$A$1:$AS$1,0),FALSE))</f>
        <v/>
      </c>
      <c r="E265" s="76">
        <f>IF(VLOOKUP(A265,Database!$A:$AS,MATCH($E$1,Database!$A$1:$AS$1,0),FALSE)=0,#N/A,VLOOKUP(A265,Database!$A:$AS,MATCH($E$1,Database!$A$1:$AS$1,0),FALSE))</f>
        <v/>
      </c>
      <c r="F265" s="76">
        <f>IF(VLOOKUP(A265,Database!$A:$AS,MATCH($F$1,Database!$A$1:$AS$1,0),FALSE)=0,#N/A,VLOOKUP(A265,Database!$A:$AS,MATCH($F$1,Database!$A$1:$AS$1,0),FALSE))</f>
        <v/>
      </c>
      <c r="G265" s="76">
        <f>IF(VLOOKUP(A265,Database!$A:$AS,MATCH($G$1,Database!$A$1:$AS$1,0),FALSE)=0,#N/A,VLOOKUP(A265,Database!$A:$AS,MATCH($G$1,Database!$A$1:$AS$1,0),FALSE))</f>
        <v/>
      </c>
      <c r="H265" s="76">
        <f>(((Table134567891011121314151617343[[#This Row],[ITA]]-VLOOKUP($U$1,A:B,2,))/VLOOKUP($U$1,A:B,2,))*100)+100</f>
        <v/>
      </c>
      <c r="I265" s="76">
        <f>(((Table134567891011121314151617343[[#This Row],[FRA]]-VLOOKUP($U$1,A:C,3,))/VLOOKUP($U$1,A:C,3,))*100)+100</f>
        <v/>
      </c>
      <c r="J265" s="76">
        <f>(((Table134567891011121314151617343[[#This Row],[DEU]]-VLOOKUP($U$1,A:D,4,))/VLOOKUP($U$1,A:D,4,))*100)+100</f>
        <v/>
      </c>
      <c r="K265" s="76">
        <f>(((Table134567891011121314151617343[[#This Row],[ESP]]-VLOOKUP($U$1,A:E,5,))/VLOOKUP($U$1,A:E,5,))*100)+100</f>
        <v/>
      </c>
      <c r="L265" s="76">
        <f>(((Table134567891011121314151617343[[#This Row],[EA19]]-VLOOKUP($U$1,A:F,6,))/VLOOKUP($U$1,A:F,6,))*100)+100</f>
        <v/>
      </c>
      <c r="M265" s="76">
        <f>(((Table134567891011121314151617343[[#This Row],[GBR]]-VLOOKUP($U$1,A:G,7,))/VLOOKUP($U$1,A:G,7,))*100)+100</f>
        <v/>
      </c>
      <c r="N265" s="76">
        <f>IF(VLOOKUP(A265,Database!$A:$AU,MATCH($N$1,Database!$A$1:$AU$1,0),FALSE)=0,#N/A,VLOOKUP(A265,Database!$A:$AU,MATCH($N$1,Database!$A$1:$AU$1,0),FALSE))</f>
        <v/>
      </c>
      <c r="O265" s="76">
        <f>(((Table134567891011121314151617343[[#This Row],[USA]]-VLOOKUP($U$1,A:N,14,))/VLOOKUP($U$1,A:N,14,))*100)+100</f>
        <v/>
      </c>
      <c r="P265" s="76">
        <f>IF(VLOOKUP(A265,Database!$A:$AS,MATCH($P$1,Database!$A$1:$AS$1,0),FALSE)=0,#N/A,VLOOKUP(A265,Database!$A:$AS,MATCH($P$1,Database!$A$1:$AS$1,0),FALSE))</f>
        <v/>
      </c>
      <c r="Q265" s="76">
        <f>(((Table134567891011121314151617343[[#This Row],[JPN]]-VLOOKUP($U$1,A:Q,16,))/VLOOKUP($U$1,A:Q,16,))*100)+100</f>
        <v/>
      </c>
    </row>
    <row r="266" customFormat="1" s="86">
      <c r="A266" s="21" t="n">
        <v>40909</v>
      </c>
      <c r="B266" s="76">
        <f>IF(VLOOKUP(A266,Database!$A:$AS,MATCH($B$1,Database!$A$1:$AS$1,0),FALSE)=0,#N/A,VLOOKUP(A266,Database!$A:$AS,MATCH($B$1,Database!$A$1:$AS$1,0),FALSE))</f>
        <v/>
      </c>
      <c r="C266" s="76">
        <f>IF(VLOOKUP(A266,Database!$A:$AS,MATCH($C$1,Database!$A$1:$AS$1,0),FALSE)=0,#N/A,VLOOKUP(A266,Database!$A:$AS,MATCH($C$1,Database!$A$1:$AS$1,0),FALSE))</f>
        <v/>
      </c>
      <c r="D266" s="76">
        <f>IF(VLOOKUP(A266,Database!$A:$AS,MATCH($D$1,Database!$A$1:$AS$1,0),FALSE)=0,#N/A,VLOOKUP(A266,Database!$A:$AS,MATCH($D$1,Database!$A$1:$AS$1,0),FALSE))</f>
        <v/>
      </c>
      <c r="E266" s="76">
        <f>IF(VLOOKUP(A266,Database!$A:$AS,MATCH($E$1,Database!$A$1:$AS$1,0),FALSE)=0,#N/A,VLOOKUP(A266,Database!$A:$AS,MATCH($E$1,Database!$A$1:$AS$1,0),FALSE))</f>
        <v/>
      </c>
      <c r="F266" s="76">
        <f>IF(VLOOKUP(A266,Database!$A:$AS,MATCH($F$1,Database!$A$1:$AS$1,0),FALSE)=0,#N/A,VLOOKUP(A266,Database!$A:$AS,MATCH($F$1,Database!$A$1:$AS$1,0),FALSE))</f>
        <v/>
      </c>
      <c r="G266" s="76">
        <f>IF(VLOOKUP(A266,Database!$A:$AS,MATCH($G$1,Database!$A$1:$AS$1,0),FALSE)=0,#N/A,VLOOKUP(A266,Database!$A:$AS,MATCH($G$1,Database!$A$1:$AS$1,0),FALSE))</f>
        <v/>
      </c>
      <c r="H266" s="76">
        <f>(((Table134567891011121314151617343[[#This Row],[ITA]]-VLOOKUP($U$1,A:B,2,))/VLOOKUP($U$1,A:B,2,))*100)+100</f>
        <v/>
      </c>
      <c r="I266" s="76">
        <f>(((Table134567891011121314151617343[[#This Row],[FRA]]-VLOOKUP($U$1,A:C,3,))/VLOOKUP($U$1,A:C,3,))*100)+100</f>
        <v/>
      </c>
      <c r="J266" s="76">
        <f>(((Table134567891011121314151617343[[#This Row],[DEU]]-VLOOKUP($U$1,A:D,4,))/VLOOKUP($U$1,A:D,4,))*100)+100</f>
        <v/>
      </c>
      <c r="K266" s="76">
        <f>(((Table134567891011121314151617343[[#This Row],[ESP]]-VLOOKUP($U$1,A:E,5,))/VLOOKUP($U$1,A:E,5,))*100)+100</f>
        <v/>
      </c>
      <c r="L266" s="76">
        <f>(((Table134567891011121314151617343[[#This Row],[EA19]]-VLOOKUP($U$1,A:F,6,))/VLOOKUP($U$1,A:F,6,))*100)+100</f>
        <v/>
      </c>
      <c r="M266" s="76">
        <f>(((Table134567891011121314151617343[[#This Row],[GBR]]-VLOOKUP($U$1,A:G,7,))/VLOOKUP($U$1,A:G,7,))*100)+100</f>
        <v/>
      </c>
      <c r="N266" s="76">
        <f>IF(VLOOKUP(A266,Database!$A:$AU,MATCH($N$1,Database!$A$1:$AU$1,0),FALSE)=0,#N/A,VLOOKUP(A266,Database!$A:$AU,MATCH($N$1,Database!$A$1:$AU$1,0),FALSE))</f>
        <v/>
      </c>
      <c r="O266" s="76">
        <f>(((Table134567891011121314151617343[[#This Row],[USA]]-VLOOKUP($U$1,A:N,14,))/VLOOKUP($U$1,A:N,14,))*100)+100</f>
        <v/>
      </c>
      <c r="P266" s="76">
        <f>IF(VLOOKUP(A266,Database!$A:$AS,MATCH($P$1,Database!$A$1:$AS$1,0),FALSE)=0,#N/A,VLOOKUP(A266,Database!$A:$AS,MATCH($P$1,Database!$A$1:$AS$1,0),FALSE))</f>
        <v/>
      </c>
      <c r="Q266" s="76">
        <f>(((Table134567891011121314151617343[[#This Row],[JPN]]-VLOOKUP($U$1,A:Q,16,))/VLOOKUP($U$1,A:Q,16,))*100)+100</f>
        <v/>
      </c>
    </row>
    <row r="267" customFormat="1" s="86">
      <c r="A267" s="21" t="n">
        <v>40940</v>
      </c>
      <c r="B267" s="76">
        <f>IF(VLOOKUP(A267,Database!$A:$AS,MATCH($B$1,Database!$A$1:$AS$1,0),FALSE)=0,#N/A,VLOOKUP(A267,Database!$A:$AS,MATCH($B$1,Database!$A$1:$AS$1,0),FALSE))</f>
        <v/>
      </c>
      <c r="C267" s="76">
        <f>IF(VLOOKUP(A267,Database!$A:$AS,MATCH($C$1,Database!$A$1:$AS$1,0),FALSE)=0,#N/A,VLOOKUP(A267,Database!$A:$AS,MATCH($C$1,Database!$A$1:$AS$1,0),FALSE))</f>
        <v/>
      </c>
      <c r="D267" s="76">
        <f>IF(VLOOKUP(A267,Database!$A:$AS,MATCH($D$1,Database!$A$1:$AS$1,0),FALSE)=0,#N/A,VLOOKUP(A267,Database!$A:$AS,MATCH($D$1,Database!$A$1:$AS$1,0),FALSE))</f>
        <v/>
      </c>
      <c r="E267" s="76">
        <f>IF(VLOOKUP(A267,Database!$A:$AS,MATCH($E$1,Database!$A$1:$AS$1,0),FALSE)=0,#N/A,VLOOKUP(A267,Database!$A:$AS,MATCH($E$1,Database!$A$1:$AS$1,0),FALSE))</f>
        <v/>
      </c>
      <c r="F267" s="76">
        <f>IF(VLOOKUP(A267,Database!$A:$AS,MATCH($F$1,Database!$A$1:$AS$1,0),FALSE)=0,#N/A,VLOOKUP(A267,Database!$A:$AS,MATCH($F$1,Database!$A$1:$AS$1,0),FALSE))</f>
        <v/>
      </c>
      <c r="G267" s="76">
        <f>IF(VLOOKUP(A267,Database!$A:$AS,MATCH($G$1,Database!$A$1:$AS$1,0),FALSE)=0,#N/A,VLOOKUP(A267,Database!$A:$AS,MATCH($G$1,Database!$A$1:$AS$1,0),FALSE))</f>
        <v/>
      </c>
      <c r="H267" s="76">
        <f>(((Table134567891011121314151617343[[#This Row],[ITA]]-VLOOKUP($U$1,A:B,2,))/VLOOKUP($U$1,A:B,2,))*100)+100</f>
        <v/>
      </c>
      <c r="I267" s="76">
        <f>(((Table134567891011121314151617343[[#This Row],[FRA]]-VLOOKUP($U$1,A:C,3,))/VLOOKUP($U$1,A:C,3,))*100)+100</f>
        <v/>
      </c>
      <c r="J267" s="76">
        <f>(((Table134567891011121314151617343[[#This Row],[DEU]]-VLOOKUP($U$1,A:D,4,))/VLOOKUP($U$1,A:D,4,))*100)+100</f>
        <v/>
      </c>
      <c r="K267" s="76">
        <f>(((Table134567891011121314151617343[[#This Row],[ESP]]-VLOOKUP($U$1,A:E,5,))/VLOOKUP($U$1,A:E,5,))*100)+100</f>
        <v/>
      </c>
      <c r="L267" s="76">
        <f>(((Table134567891011121314151617343[[#This Row],[EA19]]-VLOOKUP($U$1,A:F,6,))/VLOOKUP($U$1,A:F,6,))*100)+100</f>
        <v/>
      </c>
      <c r="M267" s="76">
        <f>(((Table134567891011121314151617343[[#This Row],[GBR]]-VLOOKUP($U$1,A:G,7,))/VLOOKUP($U$1,A:G,7,))*100)+100</f>
        <v/>
      </c>
      <c r="N267" s="76">
        <f>IF(VLOOKUP(A267,Database!$A:$AU,MATCH($N$1,Database!$A$1:$AU$1,0),FALSE)=0,#N/A,VLOOKUP(A267,Database!$A:$AU,MATCH($N$1,Database!$A$1:$AU$1,0),FALSE))</f>
        <v/>
      </c>
      <c r="O267" s="76">
        <f>(((Table134567891011121314151617343[[#This Row],[USA]]-VLOOKUP($U$1,A:N,14,))/VLOOKUP($U$1,A:N,14,))*100)+100</f>
        <v/>
      </c>
      <c r="P267" s="76">
        <f>IF(VLOOKUP(A267,Database!$A:$AS,MATCH($P$1,Database!$A$1:$AS$1,0),FALSE)=0,#N/A,VLOOKUP(A267,Database!$A:$AS,MATCH($P$1,Database!$A$1:$AS$1,0),FALSE))</f>
        <v/>
      </c>
      <c r="Q267" s="76">
        <f>(((Table134567891011121314151617343[[#This Row],[JPN]]-VLOOKUP($U$1,A:Q,16,))/VLOOKUP($U$1,A:Q,16,))*100)+100</f>
        <v/>
      </c>
    </row>
    <row r="268" customFormat="1" s="86">
      <c r="A268" s="21" t="n">
        <v>40969</v>
      </c>
      <c r="B268" s="76">
        <f>IF(VLOOKUP(A268,Database!$A:$AS,MATCH($B$1,Database!$A$1:$AS$1,0),FALSE)=0,#N/A,VLOOKUP(A268,Database!$A:$AS,MATCH($B$1,Database!$A$1:$AS$1,0),FALSE))</f>
        <v/>
      </c>
      <c r="C268" s="76">
        <f>IF(VLOOKUP(A268,Database!$A:$AS,MATCH($C$1,Database!$A$1:$AS$1,0),FALSE)=0,#N/A,VLOOKUP(A268,Database!$A:$AS,MATCH($C$1,Database!$A$1:$AS$1,0),FALSE))</f>
        <v/>
      </c>
      <c r="D268" s="76">
        <f>IF(VLOOKUP(A268,Database!$A:$AS,MATCH($D$1,Database!$A$1:$AS$1,0),FALSE)=0,#N/A,VLOOKUP(A268,Database!$A:$AS,MATCH($D$1,Database!$A$1:$AS$1,0),FALSE))</f>
        <v/>
      </c>
      <c r="E268" s="76">
        <f>IF(VLOOKUP(A268,Database!$A:$AS,MATCH($E$1,Database!$A$1:$AS$1,0),FALSE)=0,#N/A,VLOOKUP(A268,Database!$A:$AS,MATCH($E$1,Database!$A$1:$AS$1,0),FALSE))</f>
        <v/>
      </c>
      <c r="F268" s="76">
        <f>IF(VLOOKUP(A268,Database!$A:$AS,MATCH($F$1,Database!$A$1:$AS$1,0),FALSE)=0,#N/A,VLOOKUP(A268,Database!$A:$AS,MATCH($F$1,Database!$A$1:$AS$1,0),FALSE))</f>
        <v/>
      </c>
      <c r="G268" s="76">
        <f>IF(VLOOKUP(A268,Database!$A:$AS,MATCH($G$1,Database!$A$1:$AS$1,0),FALSE)=0,#N/A,VLOOKUP(A268,Database!$A:$AS,MATCH($G$1,Database!$A$1:$AS$1,0),FALSE))</f>
        <v/>
      </c>
      <c r="H268" s="76">
        <f>(((Table134567891011121314151617343[[#This Row],[ITA]]-VLOOKUP($U$1,A:B,2,))/VLOOKUP($U$1,A:B,2,))*100)+100</f>
        <v/>
      </c>
      <c r="I268" s="76">
        <f>(((Table134567891011121314151617343[[#This Row],[FRA]]-VLOOKUP($U$1,A:C,3,))/VLOOKUP($U$1,A:C,3,))*100)+100</f>
        <v/>
      </c>
      <c r="J268" s="76">
        <f>(((Table134567891011121314151617343[[#This Row],[DEU]]-VLOOKUP($U$1,A:D,4,))/VLOOKUP($U$1,A:D,4,))*100)+100</f>
        <v/>
      </c>
      <c r="K268" s="76">
        <f>(((Table134567891011121314151617343[[#This Row],[ESP]]-VLOOKUP($U$1,A:E,5,))/VLOOKUP($U$1,A:E,5,))*100)+100</f>
        <v/>
      </c>
      <c r="L268" s="76">
        <f>(((Table134567891011121314151617343[[#This Row],[EA19]]-VLOOKUP($U$1,A:F,6,))/VLOOKUP($U$1,A:F,6,))*100)+100</f>
        <v/>
      </c>
      <c r="M268" s="76">
        <f>(((Table134567891011121314151617343[[#This Row],[GBR]]-VLOOKUP($U$1,A:G,7,))/VLOOKUP($U$1,A:G,7,))*100)+100</f>
        <v/>
      </c>
      <c r="N268" s="76">
        <f>IF(VLOOKUP(A268,Database!$A:$AU,MATCH($N$1,Database!$A$1:$AU$1,0),FALSE)=0,#N/A,VLOOKUP(A268,Database!$A:$AU,MATCH($N$1,Database!$A$1:$AU$1,0),FALSE))</f>
        <v/>
      </c>
      <c r="O268" s="76">
        <f>(((Table134567891011121314151617343[[#This Row],[USA]]-VLOOKUP($U$1,A:N,14,))/VLOOKUP($U$1,A:N,14,))*100)+100</f>
        <v/>
      </c>
      <c r="P268" s="76">
        <f>IF(VLOOKUP(A268,Database!$A:$AS,MATCH($P$1,Database!$A$1:$AS$1,0),FALSE)=0,#N/A,VLOOKUP(A268,Database!$A:$AS,MATCH($P$1,Database!$A$1:$AS$1,0),FALSE))</f>
        <v/>
      </c>
      <c r="Q268" s="76">
        <f>(((Table134567891011121314151617343[[#This Row],[JPN]]-VLOOKUP($U$1,A:Q,16,))/VLOOKUP($U$1,A:Q,16,))*100)+100</f>
        <v/>
      </c>
    </row>
    <row r="269" customFormat="1" s="86">
      <c r="A269" s="21" t="n">
        <v>41000</v>
      </c>
      <c r="B269" s="76">
        <f>IF(VLOOKUP(A269,Database!$A:$AS,MATCH($B$1,Database!$A$1:$AS$1,0),FALSE)=0,#N/A,VLOOKUP(A269,Database!$A:$AS,MATCH($B$1,Database!$A$1:$AS$1,0),FALSE))</f>
        <v/>
      </c>
      <c r="C269" s="76">
        <f>IF(VLOOKUP(A269,Database!$A:$AS,MATCH($C$1,Database!$A$1:$AS$1,0),FALSE)=0,#N/A,VLOOKUP(A269,Database!$A:$AS,MATCH($C$1,Database!$A$1:$AS$1,0),FALSE))</f>
        <v/>
      </c>
      <c r="D269" s="76">
        <f>IF(VLOOKUP(A269,Database!$A:$AS,MATCH($D$1,Database!$A$1:$AS$1,0),FALSE)=0,#N/A,VLOOKUP(A269,Database!$A:$AS,MATCH($D$1,Database!$A$1:$AS$1,0),FALSE))</f>
        <v/>
      </c>
      <c r="E269" s="76">
        <f>IF(VLOOKUP(A269,Database!$A:$AS,MATCH($E$1,Database!$A$1:$AS$1,0),FALSE)=0,#N/A,VLOOKUP(A269,Database!$A:$AS,MATCH($E$1,Database!$A$1:$AS$1,0),FALSE))</f>
        <v/>
      </c>
      <c r="F269" s="76">
        <f>IF(VLOOKUP(A269,Database!$A:$AS,MATCH($F$1,Database!$A$1:$AS$1,0),FALSE)=0,#N/A,VLOOKUP(A269,Database!$A:$AS,MATCH($F$1,Database!$A$1:$AS$1,0),FALSE))</f>
        <v/>
      </c>
      <c r="G269" s="76">
        <f>IF(VLOOKUP(A269,Database!$A:$AS,MATCH($G$1,Database!$A$1:$AS$1,0),FALSE)=0,#N/A,VLOOKUP(A269,Database!$A:$AS,MATCH($G$1,Database!$A$1:$AS$1,0),FALSE))</f>
        <v/>
      </c>
      <c r="H269" s="76">
        <f>(((Table134567891011121314151617343[[#This Row],[ITA]]-VLOOKUP($U$1,A:B,2,))/VLOOKUP($U$1,A:B,2,))*100)+100</f>
        <v/>
      </c>
      <c r="I269" s="76">
        <f>(((Table134567891011121314151617343[[#This Row],[FRA]]-VLOOKUP($U$1,A:C,3,))/VLOOKUP($U$1,A:C,3,))*100)+100</f>
        <v/>
      </c>
      <c r="J269" s="76">
        <f>(((Table134567891011121314151617343[[#This Row],[DEU]]-VLOOKUP($U$1,A:D,4,))/VLOOKUP($U$1,A:D,4,))*100)+100</f>
        <v/>
      </c>
      <c r="K269" s="76">
        <f>(((Table134567891011121314151617343[[#This Row],[ESP]]-VLOOKUP($U$1,A:E,5,))/VLOOKUP($U$1,A:E,5,))*100)+100</f>
        <v/>
      </c>
      <c r="L269" s="76">
        <f>(((Table134567891011121314151617343[[#This Row],[EA19]]-VLOOKUP($U$1,A:F,6,))/VLOOKUP($U$1,A:F,6,))*100)+100</f>
        <v/>
      </c>
      <c r="M269" s="76">
        <f>(((Table134567891011121314151617343[[#This Row],[GBR]]-VLOOKUP($U$1,A:G,7,))/VLOOKUP($U$1,A:G,7,))*100)+100</f>
        <v/>
      </c>
      <c r="N269" s="76">
        <f>IF(VLOOKUP(A269,Database!$A:$AU,MATCH($N$1,Database!$A$1:$AU$1,0),FALSE)=0,#N/A,VLOOKUP(A269,Database!$A:$AU,MATCH($N$1,Database!$A$1:$AU$1,0),FALSE))</f>
        <v/>
      </c>
      <c r="O269" s="76">
        <f>(((Table134567891011121314151617343[[#This Row],[USA]]-VLOOKUP($U$1,A:N,14,))/VLOOKUP($U$1,A:N,14,))*100)+100</f>
        <v/>
      </c>
      <c r="P269" s="76">
        <f>IF(VLOOKUP(A269,Database!$A:$AS,MATCH($P$1,Database!$A$1:$AS$1,0),FALSE)=0,#N/A,VLOOKUP(A269,Database!$A:$AS,MATCH($P$1,Database!$A$1:$AS$1,0),FALSE))</f>
        <v/>
      </c>
      <c r="Q269" s="76">
        <f>(((Table134567891011121314151617343[[#This Row],[JPN]]-VLOOKUP($U$1,A:Q,16,))/VLOOKUP($U$1,A:Q,16,))*100)+100</f>
        <v/>
      </c>
    </row>
    <row r="270" customFormat="1" s="86">
      <c r="A270" s="21" t="n">
        <v>41030</v>
      </c>
      <c r="B270" s="76">
        <f>IF(VLOOKUP(A270,Database!$A:$AS,MATCH($B$1,Database!$A$1:$AS$1,0),FALSE)=0,#N/A,VLOOKUP(A270,Database!$A:$AS,MATCH($B$1,Database!$A$1:$AS$1,0),FALSE))</f>
        <v/>
      </c>
      <c r="C270" s="76">
        <f>IF(VLOOKUP(A270,Database!$A:$AS,MATCH($C$1,Database!$A$1:$AS$1,0),FALSE)=0,#N/A,VLOOKUP(A270,Database!$A:$AS,MATCH($C$1,Database!$A$1:$AS$1,0),FALSE))</f>
        <v/>
      </c>
      <c r="D270" s="76">
        <f>IF(VLOOKUP(A270,Database!$A:$AS,MATCH($D$1,Database!$A$1:$AS$1,0),FALSE)=0,#N/A,VLOOKUP(A270,Database!$A:$AS,MATCH($D$1,Database!$A$1:$AS$1,0),FALSE))</f>
        <v/>
      </c>
      <c r="E270" s="76">
        <f>IF(VLOOKUP(A270,Database!$A:$AS,MATCH($E$1,Database!$A$1:$AS$1,0),FALSE)=0,#N/A,VLOOKUP(A270,Database!$A:$AS,MATCH($E$1,Database!$A$1:$AS$1,0),FALSE))</f>
        <v/>
      </c>
      <c r="F270" s="76">
        <f>IF(VLOOKUP(A270,Database!$A:$AS,MATCH($F$1,Database!$A$1:$AS$1,0),FALSE)=0,#N/A,VLOOKUP(A270,Database!$A:$AS,MATCH($F$1,Database!$A$1:$AS$1,0),FALSE))</f>
        <v/>
      </c>
      <c r="G270" s="76">
        <f>IF(VLOOKUP(A270,Database!$A:$AS,MATCH($G$1,Database!$A$1:$AS$1,0),FALSE)=0,#N/A,VLOOKUP(A270,Database!$A:$AS,MATCH($G$1,Database!$A$1:$AS$1,0),FALSE))</f>
        <v/>
      </c>
      <c r="H270" s="76">
        <f>(((Table134567891011121314151617343[[#This Row],[ITA]]-VLOOKUP($U$1,A:B,2,))/VLOOKUP($U$1,A:B,2,))*100)+100</f>
        <v/>
      </c>
      <c r="I270" s="76">
        <f>(((Table134567891011121314151617343[[#This Row],[FRA]]-VLOOKUP($U$1,A:C,3,))/VLOOKUP($U$1,A:C,3,))*100)+100</f>
        <v/>
      </c>
      <c r="J270" s="76">
        <f>(((Table134567891011121314151617343[[#This Row],[DEU]]-VLOOKUP($U$1,A:D,4,))/VLOOKUP($U$1,A:D,4,))*100)+100</f>
        <v/>
      </c>
      <c r="K270" s="76">
        <f>(((Table134567891011121314151617343[[#This Row],[ESP]]-VLOOKUP($U$1,A:E,5,))/VLOOKUP($U$1,A:E,5,))*100)+100</f>
        <v/>
      </c>
      <c r="L270" s="76">
        <f>(((Table134567891011121314151617343[[#This Row],[EA19]]-VLOOKUP($U$1,A:F,6,))/VLOOKUP($U$1,A:F,6,))*100)+100</f>
        <v/>
      </c>
      <c r="M270" s="76">
        <f>(((Table134567891011121314151617343[[#This Row],[GBR]]-VLOOKUP($U$1,A:G,7,))/VLOOKUP($U$1,A:G,7,))*100)+100</f>
        <v/>
      </c>
      <c r="N270" s="76">
        <f>IF(VLOOKUP(A270,Database!$A:$AU,MATCH($N$1,Database!$A$1:$AU$1,0),FALSE)=0,#N/A,VLOOKUP(A270,Database!$A:$AU,MATCH($N$1,Database!$A$1:$AU$1,0),FALSE))</f>
        <v/>
      </c>
      <c r="O270" s="76">
        <f>(((Table134567891011121314151617343[[#This Row],[USA]]-VLOOKUP($U$1,A:N,14,))/VLOOKUP($U$1,A:N,14,))*100)+100</f>
        <v/>
      </c>
      <c r="P270" s="76">
        <f>IF(VLOOKUP(A270,Database!$A:$AS,MATCH($P$1,Database!$A$1:$AS$1,0),FALSE)=0,#N/A,VLOOKUP(A270,Database!$A:$AS,MATCH($P$1,Database!$A$1:$AS$1,0),FALSE))</f>
        <v/>
      </c>
      <c r="Q270" s="76">
        <f>(((Table134567891011121314151617343[[#This Row],[JPN]]-VLOOKUP($U$1,A:Q,16,))/VLOOKUP($U$1,A:Q,16,))*100)+100</f>
        <v/>
      </c>
    </row>
    <row r="271" customFormat="1" s="86">
      <c r="A271" s="21" t="n">
        <v>41061</v>
      </c>
      <c r="B271" s="76">
        <f>IF(VLOOKUP(A271,Database!$A:$AS,MATCH($B$1,Database!$A$1:$AS$1,0),FALSE)=0,#N/A,VLOOKUP(A271,Database!$A:$AS,MATCH($B$1,Database!$A$1:$AS$1,0),FALSE))</f>
        <v/>
      </c>
      <c r="C271" s="76">
        <f>IF(VLOOKUP(A271,Database!$A:$AS,MATCH($C$1,Database!$A$1:$AS$1,0),FALSE)=0,#N/A,VLOOKUP(A271,Database!$A:$AS,MATCH($C$1,Database!$A$1:$AS$1,0),FALSE))</f>
        <v/>
      </c>
      <c r="D271" s="76">
        <f>IF(VLOOKUP(A271,Database!$A:$AS,MATCH($D$1,Database!$A$1:$AS$1,0),FALSE)=0,#N/A,VLOOKUP(A271,Database!$A:$AS,MATCH($D$1,Database!$A$1:$AS$1,0),FALSE))</f>
        <v/>
      </c>
      <c r="E271" s="76">
        <f>IF(VLOOKUP(A271,Database!$A:$AS,MATCH($E$1,Database!$A$1:$AS$1,0),FALSE)=0,#N/A,VLOOKUP(A271,Database!$A:$AS,MATCH($E$1,Database!$A$1:$AS$1,0),FALSE))</f>
        <v/>
      </c>
      <c r="F271" s="76">
        <f>IF(VLOOKUP(A271,Database!$A:$AS,MATCH($F$1,Database!$A$1:$AS$1,0),FALSE)=0,#N/A,VLOOKUP(A271,Database!$A:$AS,MATCH($F$1,Database!$A$1:$AS$1,0),FALSE))</f>
        <v/>
      </c>
      <c r="G271" s="76">
        <f>IF(VLOOKUP(A271,Database!$A:$AS,MATCH($G$1,Database!$A$1:$AS$1,0),FALSE)=0,#N/A,VLOOKUP(A271,Database!$A:$AS,MATCH($G$1,Database!$A$1:$AS$1,0),FALSE))</f>
        <v/>
      </c>
      <c r="H271" s="76">
        <f>(((Table134567891011121314151617343[[#This Row],[ITA]]-VLOOKUP($U$1,A:B,2,))/VLOOKUP($U$1,A:B,2,))*100)+100</f>
        <v/>
      </c>
      <c r="I271" s="76">
        <f>(((Table134567891011121314151617343[[#This Row],[FRA]]-VLOOKUP($U$1,A:C,3,))/VLOOKUP($U$1,A:C,3,))*100)+100</f>
        <v/>
      </c>
      <c r="J271" s="76">
        <f>(((Table134567891011121314151617343[[#This Row],[DEU]]-VLOOKUP($U$1,A:D,4,))/VLOOKUP($U$1,A:D,4,))*100)+100</f>
        <v/>
      </c>
      <c r="K271" s="76">
        <f>(((Table134567891011121314151617343[[#This Row],[ESP]]-VLOOKUP($U$1,A:E,5,))/VLOOKUP($U$1,A:E,5,))*100)+100</f>
        <v/>
      </c>
      <c r="L271" s="76">
        <f>(((Table134567891011121314151617343[[#This Row],[EA19]]-VLOOKUP($U$1,A:F,6,))/VLOOKUP($U$1,A:F,6,))*100)+100</f>
        <v/>
      </c>
      <c r="M271" s="76">
        <f>(((Table134567891011121314151617343[[#This Row],[GBR]]-VLOOKUP($U$1,A:G,7,))/VLOOKUP($U$1,A:G,7,))*100)+100</f>
        <v/>
      </c>
      <c r="N271" s="76">
        <f>IF(VLOOKUP(A271,Database!$A:$AU,MATCH($N$1,Database!$A$1:$AU$1,0),FALSE)=0,#N/A,VLOOKUP(A271,Database!$A:$AU,MATCH($N$1,Database!$A$1:$AU$1,0),FALSE))</f>
        <v/>
      </c>
      <c r="O271" s="76">
        <f>(((Table134567891011121314151617343[[#This Row],[USA]]-VLOOKUP($U$1,A:N,14,))/VLOOKUP($U$1,A:N,14,))*100)+100</f>
        <v/>
      </c>
      <c r="P271" s="76">
        <f>IF(VLOOKUP(A271,Database!$A:$AS,MATCH($P$1,Database!$A$1:$AS$1,0),FALSE)=0,#N/A,VLOOKUP(A271,Database!$A:$AS,MATCH($P$1,Database!$A$1:$AS$1,0),FALSE))</f>
        <v/>
      </c>
      <c r="Q271" s="76">
        <f>(((Table134567891011121314151617343[[#This Row],[JPN]]-VLOOKUP($U$1,A:Q,16,))/VLOOKUP($U$1,A:Q,16,))*100)+100</f>
        <v/>
      </c>
    </row>
    <row r="272" customFormat="1" s="86">
      <c r="A272" s="21" t="n">
        <v>41091</v>
      </c>
      <c r="B272" s="76">
        <f>IF(VLOOKUP(A272,Database!$A:$AS,MATCH($B$1,Database!$A$1:$AS$1,0),FALSE)=0,#N/A,VLOOKUP(A272,Database!$A:$AS,MATCH($B$1,Database!$A$1:$AS$1,0),FALSE))</f>
        <v/>
      </c>
      <c r="C272" s="76">
        <f>IF(VLOOKUP(A272,Database!$A:$AS,MATCH($C$1,Database!$A$1:$AS$1,0),FALSE)=0,#N/A,VLOOKUP(A272,Database!$A:$AS,MATCH($C$1,Database!$A$1:$AS$1,0),FALSE))</f>
        <v/>
      </c>
      <c r="D272" s="76">
        <f>IF(VLOOKUP(A272,Database!$A:$AS,MATCH($D$1,Database!$A$1:$AS$1,0),FALSE)=0,#N/A,VLOOKUP(A272,Database!$A:$AS,MATCH($D$1,Database!$A$1:$AS$1,0),FALSE))</f>
        <v/>
      </c>
      <c r="E272" s="76">
        <f>IF(VLOOKUP(A272,Database!$A:$AS,MATCH($E$1,Database!$A$1:$AS$1,0),FALSE)=0,#N/A,VLOOKUP(A272,Database!$A:$AS,MATCH($E$1,Database!$A$1:$AS$1,0),FALSE))</f>
        <v/>
      </c>
      <c r="F272" s="76">
        <f>IF(VLOOKUP(A272,Database!$A:$AS,MATCH($F$1,Database!$A$1:$AS$1,0),FALSE)=0,#N/A,VLOOKUP(A272,Database!$A:$AS,MATCH($F$1,Database!$A$1:$AS$1,0),FALSE))</f>
        <v/>
      </c>
      <c r="G272" s="76">
        <f>IF(VLOOKUP(A272,Database!$A:$AS,MATCH($G$1,Database!$A$1:$AS$1,0),FALSE)=0,#N/A,VLOOKUP(A272,Database!$A:$AS,MATCH($G$1,Database!$A$1:$AS$1,0),FALSE))</f>
        <v/>
      </c>
      <c r="H272" s="76">
        <f>(((Table134567891011121314151617343[[#This Row],[ITA]]-VLOOKUP($U$1,A:B,2,))/VLOOKUP($U$1,A:B,2,))*100)+100</f>
        <v/>
      </c>
      <c r="I272" s="76">
        <f>(((Table134567891011121314151617343[[#This Row],[FRA]]-VLOOKUP($U$1,A:C,3,))/VLOOKUP($U$1,A:C,3,))*100)+100</f>
        <v/>
      </c>
      <c r="J272" s="76">
        <f>(((Table134567891011121314151617343[[#This Row],[DEU]]-VLOOKUP($U$1,A:D,4,))/VLOOKUP($U$1,A:D,4,))*100)+100</f>
        <v/>
      </c>
      <c r="K272" s="76">
        <f>(((Table134567891011121314151617343[[#This Row],[ESP]]-VLOOKUP($U$1,A:E,5,))/VLOOKUP($U$1,A:E,5,))*100)+100</f>
        <v/>
      </c>
      <c r="L272" s="76">
        <f>(((Table134567891011121314151617343[[#This Row],[EA19]]-VLOOKUP($U$1,A:F,6,))/VLOOKUP($U$1,A:F,6,))*100)+100</f>
        <v/>
      </c>
      <c r="M272" s="76">
        <f>(((Table134567891011121314151617343[[#This Row],[GBR]]-VLOOKUP($U$1,A:G,7,))/VLOOKUP($U$1,A:G,7,))*100)+100</f>
        <v/>
      </c>
      <c r="N272" s="76">
        <f>IF(VLOOKUP(A272,Database!$A:$AU,MATCH($N$1,Database!$A$1:$AU$1,0),FALSE)=0,#N/A,VLOOKUP(A272,Database!$A:$AU,MATCH($N$1,Database!$A$1:$AU$1,0),FALSE))</f>
        <v/>
      </c>
      <c r="O272" s="76">
        <f>(((Table134567891011121314151617343[[#This Row],[USA]]-VLOOKUP($U$1,A:N,14,))/VLOOKUP($U$1,A:N,14,))*100)+100</f>
        <v/>
      </c>
      <c r="P272" s="76">
        <f>IF(VLOOKUP(A272,Database!$A:$AS,MATCH($P$1,Database!$A$1:$AS$1,0),FALSE)=0,#N/A,VLOOKUP(A272,Database!$A:$AS,MATCH($P$1,Database!$A$1:$AS$1,0),FALSE))</f>
        <v/>
      </c>
      <c r="Q272" s="76">
        <f>(((Table134567891011121314151617343[[#This Row],[JPN]]-VLOOKUP($U$1,A:Q,16,))/VLOOKUP($U$1,A:Q,16,))*100)+100</f>
        <v/>
      </c>
    </row>
    <row r="273" customFormat="1" s="86">
      <c r="A273" s="21" t="n">
        <v>41122</v>
      </c>
      <c r="B273" s="76">
        <f>IF(VLOOKUP(A273,Database!$A:$AS,MATCH($B$1,Database!$A$1:$AS$1,0),FALSE)=0,#N/A,VLOOKUP(A273,Database!$A:$AS,MATCH($B$1,Database!$A$1:$AS$1,0),FALSE))</f>
        <v/>
      </c>
      <c r="C273" s="76">
        <f>IF(VLOOKUP(A273,Database!$A:$AS,MATCH($C$1,Database!$A$1:$AS$1,0),FALSE)=0,#N/A,VLOOKUP(A273,Database!$A:$AS,MATCH($C$1,Database!$A$1:$AS$1,0),FALSE))</f>
        <v/>
      </c>
      <c r="D273" s="76">
        <f>IF(VLOOKUP(A273,Database!$A:$AS,MATCH($D$1,Database!$A$1:$AS$1,0),FALSE)=0,#N/A,VLOOKUP(A273,Database!$A:$AS,MATCH($D$1,Database!$A$1:$AS$1,0),FALSE))</f>
        <v/>
      </c>
      <c r="E273" s="76">
        <f>IF(VLOOKUP(A273,Database!$A:$AS,MATCH($E$1,Database!$A$1:$AS$1,0),FALSE)=0,#N/A,VLOOKUP(A273,Database!$A:$AS,MATCH($E$1,Database!$A$1:$AS$1,0),FALSE))</f>
        <v/>
      </c>
      <c r="F273" s="76">
        <f>IF(VLOOKUP(A273,Database!$A:$AS,MATCH($F$1,Database!$A$1:$AS$1,0),FALSE)=0,#N/A,VLOOKUP(A273,Database!$A:$AS,MATCH($F$1,Database!$A$1:$AS$1,0),FALSE))</f>
        <v/>
      </c>
      <c r="G273" s="76">
        <f>IF(VLOOKUP(A273,Database!$A:$AS,MATCH($G$1,Database!$A$1:$AS$1,0),FALSE)=0,#N/A,VLOOKUP(A273,Database!$A:$AS,MATCH($G$1,Database!$A$1:$AS$1,0),FALSE))</f>
        <v/>
      </c>
      <c r="H273" s="76">
        <f>(((Table134567891011121314151617343[[#This Row],[ITA]]-VLOOKUP($U$1,A:B,2,))/VLOOKUP($U$1,A:B,2,))*100)+100</f>
        <v/>
      </c>
      <c r="I273" s="76">
        <f>(((Table134567891011121314151617343[[#This Row],[FRA]]-VLOOKUP($U$1,A:C,3,))/VLOOKUP($U$1,A:C,3,))*100)+100</f>
        <v/>
      </c>
      <c r="J273" s="76">
        <f>(((Table134567891011121314151617343[[#This Row],[DEU]]-VLOOKUP($U$1,A:D,4,))/VLOOKUP($U$1,A:D,4,))*100)+100</f>
        <v/>
      </c>
      <c r="K273" s="76">
        <f>(((Table134567891011121314151617343[[#This Row],[ESP]]-VLOOKUP($U$1,A:E,5,))/VLOOKUP($U$1,A:E,5,))*100)+100</f>
        <v/>
      </c>
      <c r="L273" s="76">
        <f>(((Table134567891011121314151617343[[#This Row],[EA19]]-VLOOKUP($U$1,A:F,6,))/VLOOKUP($U$1,A:F,6,))*100)+100</f>
        <v/>
      </c>
      <c r="M273" s="76">
        <f>(((Table134567891011121314151617343[[#This Row],[GBR]]-VLOOKUP($U$1,A:G,7,))/VLOOKUP($U$1,A:G,7,))*100)+100</f>
        <v/>
      </c>
      <c r="N273" s="76">
        <f>IF(VLOOKUP(A273,Database!$A:$AU,MATCH($N$1,Database!$A$1:$AU$1,0),FALSE)=0,#N/A,VLOOKUP(A273,Database!$A:$AU,MATCH($N$1,Database!$A$1:$AU$1,0),FALSE))</f>
        <v/>
      </c>
      <c r="O273" s="76">
        <f>(((Table134567891011121314151617343[[#This Row],[USA]]-VLOOKUP($U$1,A:N,14,))/VLOOKUP($U$1,A:N,14,))*100)+100</f>
        <v/>
      </c>
      <c r="P273" s="76">
        <f>IF(VLOOKUP(A273,Database!$A:$AS,MATCH($P$1,Database!$A$1:$AS$1,0),FALSE)=0,#N/A,VLOOKUP(A273,Database!$A:$AS,MATCH($P$1,Database!$A$1:$AS$1,0),FALSE))</f>
        <v/>
      </c>
      <c r="Q273" s="76">
        <f>(((Table134567891011121314151617343[[#This Row],[JPN]]-VLOOKUP($U$1,A:Q,16,))/VLOOKUP($U$1,A:Q,16,))*100)+100</f>
        <v/>
      </c>
    </row>
    <row r="274" customFormat="1" s="86">
      <c r="A274" s="21" t="n">
        <v>41153</v>
      </c>
      <c r="B274" s="76">
        <f>IF(VLOOKUP(A274,Database!$A:$AS,MATCH($B$1,Database!$A$1:$AS$1,0),FALSE)=0,#N/A,VLOOKUP(A274,Database!$A:$AS,MATCH($B$1,Database!$A$1:$AS$1,0),FALSE))</f>
        <v/>
      </c>
      <c r="C274" s="76">
        <f>IF(VLOOKUP(A274,Database!$A:$AS,MATCH($C$1,Database!$A$1:$AS$1,0),FALSE)=0,#N/A,VLOOKUP(A274,Database!$A:$AS,MATCH($C$1,Database!$A$1:$AS$1,0),FALSE))</f>
        <v/>
      </c>
      <c r="D274" s="76">
        <f>IF(VLOOKUP(A274,Database!$A:$AS,MATCH($D$1,Database!$A$1:$AS$1,0),FALSE)=0,#N/A,VLOOKUP(A274,Database!$A:$AS,MATCH($D$1,Database!$A$1:$AS$1,0),FALSE))</f>
        <v/>
      </c>
      <c r="E274" s="76">
        <f>IF(VLOOKUP(A274,Database!$A:$AS,MATCH($E$1,Database!$A$1:$AS$1,0),FALSE)=0,#N/A,VLOOKUP(A274,Database!$A:$AS,MATCH($E$1,Database!$A$1:$AS$1,0),FALSE))</f>
        <v/>
      </c>
      <c r="F274" s="76">
        <f>IF(VLOOKUP(A274,Database!$A:$AS,MATCH($F$1,Database!$A$1:$AS$1,0),FALSE)=0,#N/A,VLOOKUP(A274,Database!$A:$AS,MATCH($F$1,Database!$A$1:$AS$1,0),FALSE))</f>
        <v/>
      </c>
      <c r="G274" s="76">
        <f>IF(VLOOKUP(A274,Database!$A:$AS,MATCH($G$1,Database!$A$1:$AS$1,0),FALSE)=0,#N/A,VLOOKUP(A274,Database!$A:$AS,MATCH($G$1,Database!$A$1:$AS$1,0),FALSE))</f>
        <v/>
      </c>
      <c r="H274" s="76">
        <f>(((Table134567891011121314151617343[[#This Row],[ITA]]-VLOOKUP($U$1,A:B,2,))/VLOOKUP($U$1,A:B,2,))*100)+100</f>
        <v/>
      </c>
      <c r="I274" s="76">
        <f>(((Table134567891011121314151617343[[#This Row],[FRA]]-VLOOKUP($U$1,A:C,3,))/VLOOKUP($U$1,A:C,3,))*100)+100</f>
        <v/>
      </c>
      <c r="J274" s="76">
        <f>(((Table134567891011121314151617343[[#This Row],[DEU]]-VLOOKUP($U$1,A:D,4,))/VLOOKUP($U$1,A:D,4,))*100)+100</f>
        <v/>
      </c>
      <c r="K274" s="76">
        <f>(((Table134567891011121314151617343[[#This Row],[ESP]]-VLOOKUP($U$1,A:E,5,))/VLOOKUP($U$1,A:E,5,))*100)+100</f>
        <v/>
      </c>
      <c r="L274" s="76">
        <f>(((Table134567891011121314151617343[[#This Row],[EA19]]-VLOOKUP($U$1,A:F,6,))/VLOOKUP($U$1,A:F,6,))*100)+100</f>
        <v/>
      </c>
      <c r="M274" s="76">
        <f>(((Table134567891011121314151617343[[#This Row],[GBR]]-VLOOKUP($U$1,A:G,7,))/VLOOKUP($U$1,A:G,7,))*100)+100</f>
        <v/>
      </c>
      <c r="N274" s="76">
        <f>IF(VLOOKUP(A274,Database!$A:$AU,MATCH($N$1,Database!$A$1:$AU$1,0),FALSE)=0,#N/A,VLOOKUP(A274,Database!$A:$AU,MATCH($N$1,Database!$A$1:$AU$1,0),FALSE))</f>
        <v/>
      </c>
      <c r="O274" s="76">
        <f>(((Table134567891011121314151617343[[#This Row],[USA]]-VLOOKUP($U$1,A:N,14,))/VLOOKUP($U$1,A:N,14,))*100)+100</f>
        <v/>
      </c>
      <c r="P274" s="76">
        <f>IF(VLOOKUP(A274,Database!$A:$AS,MATCH($P$1,Database!$A$1:$AS$1,0),FALSE)=0,#N/A,VLOOKUP(A274,Database!$A:$AS,MATCH($P$1,Database!$A$1:$AS$1,0),FALSE))</f>
        <v/>
      </c>
      <c r="Q274" s="76">
        <f>(((Table134567891011121314151617343[[#This Row],[JPN]]-VLOOKUP($U$1,A:Q,16,))/VLOOKUP($U$1,A:Q,16,))*100)+100</f>
        <v/>
      </c>
    </row>
    <row r="275" customFormat="1" s="86">
      <c r="A275" s="21" t="n">
        <v>41183</v>
      </c>
      <c r="B275" s="76">
        <f>IF(VLOOKUP(A275,Database!$A:$AS,MATCH($B$1,Database!$A$1:$AS$1,0),FALSE)=0,#N/A,VLOOKUP(A275,Database!$A:$AS,MATCH($B$1,Database!$A$1:$AS$1,0),FALSE))</f>
        <v/>
      </c>
      <c r="C275" s="76">
        <f>IF(VLOOKUP(A275,Database!$A:$AS,MATCH($C$1,Database!$A$1:$AS$1,0),FALSE)=0,#N/A,VLOOKUP(A275,Database!$A:$AS,MATCH($C$1,Database!$A$1:$AS$1,0),FALSE))</f>
        <v/>
      </c>
      <c r="D275" s="76">
        <f>IF(VLOOKUP(A275,Database!$A:$AS,MATCH($D$1,Database!$A$1:$AS$1,0),FALSE)=0,#N/A,VLOOKUP(A275,Database!$A:$AS,MATCH($D$1,Database!$A$1:$AS$1,0),FALSE))</f>
        <v/>
      </c>
      <c r="E275" s="76">
        <f>IF(VLOOKUP(A275,Database!$A:$AS,MATCH($E$1,Database!$A$1:$AS$1,0),FALSE)=0,#N/A,VLOOKUP(A275,Database!$A:$AS,MATCH($E$1,Database!$A$1:$AS$1,0),FALSE))</f>
        <v/>
      </c>
      <c r="F275" s="76">
        <f>IF(VLOOKUP(A275,Database!$A:$AS,MATCH($F$1,Database!$A$1:$AS$1,0),FALSE)=0,#N/A,VLOOKUP(A275,Database!$A:$AS,MATCH($F$1,Database!$A$1:$AS$1,0),FALSE))</f>
        <v/>
      </c>
      <c r="G275" s="76">
        <f>IF(VLOOKUP(A275,Database!$A:$AS,MATCH($G$1,Database!$A$1:$AS$1,0),FALSE)=0,#N/A,VLOOKUP(A275,Database!$A:$AS,MATCH($G$1,Database!$A$1:$AS$1,0),FALSE))</f>
        <v/>
      </c>
      <c r="H275" s="76">
        <f>(((Table134567891011121314151617343[[#This Row],[ITA]]-VLOOKUP($U$1,A:B,2,))/VLOOKUP($U$1,A:B,2,))*100)+100</f>
        <v/>
      </c>
      <c r="I275" s="76">
        <f>(((Table134567891011121314151617343[[#This Row],[FRA]]-VLOOKUP($U$1,A:C,3,))/VLOOKUP($U$1,A:C,3,))*100)+100</f>
        <v/>
      </c>
      <c r="J275" s="76">
        <f>(((Table134567891011121314151617343[[#This Row],[DEU]]-VLOOKUP($U$1,A:D,4,))/VLOOKUP($U$1,A:D,4,))*100)+100</f>
        <v/>
      </c>
      <c r="K275" s="76">
        <f>(((Table134567891011121314151617343[[#This Row],[ESP]]-VLOOKUP($U$1,A:E,5,))/VLOOKUP($U$1,A:E,5,))*100)+100</f>
        <v/>
      </c>
      <c r="L275" s="76">
        <f>(((Table134567891011121314151617343[[#This Row],[EA19]]-VLOOKUP($U$1,A:F,6,))/VLOOKUP($U$1,A:F,6,))*100)+100</f>
        <v/>
      </c>
      <c r="M275" s="76">
        <f>(((Table134567891011121314151617343[[#This Row],[GBR]]-VLOOKUP($U$1,A:G,7,))/VLOOKUP($U$1,A:G,7,))*100)+100</f>
        <v/>
      </c>
      <c r="N275" s="76">
        <f>IF(VLOOKUP(A275,Database!$A:$AU,MATCH($N$1,Database!$A$1:$AU$1,0),FALSE)=0,#N/A,VLOOKUP(A275,Database!$A:$AU,MATCH($N$1,Database!$A$1:$AU$1,0),FALSE))</f>
        <v/>
      </c>
      <c r="O275" s="76">
        <f>(((Table134567891011121314151617343[[#This Row],[USA]]-VLOOKUP($U$1,A:N,14,))/VLOOKUP($U$1,A:N,14,))*100)+100</f>
        <v/>
      </c>
      <c r="P275" s="76">
        <f>IF(VLOOKUP(A275,Database!$A:$AS,MATCH($P$1,Database!$A$1:$AS$1,0),FALSE)=0,#N/A,VLOOKUP(A275,Database!$A:$AS,MATCH($P$1,Database!$A$1:$AS$1,0),FALSE))</f>
        <v/>
      </c>
      <c r="Q275" s="76">
        <f>(((Table134567891011121314151617343[[#This Row],[JPN]]-VLOOKUP($U$1,A:Q,16,))/VLOOKUP($U$1,A:Q,16,))*100)+100</f>
        <v/>
      </c>
    </row>
    <row r="276" customFormat="1" s="86">
      <c r="A276" s="21" t="n">
        <v>41214</v>
      </c>
      <c r="B276" s="76">
        <f>IF(VLOOKUP(A276,Database!$A:$AS,MATCH($B$1,Database!$A$1:$AS$1,0),FALSE)=0,#N/A,VLOOKUP(A276,Database!$A:$AS,MATCH($B$1,Database!$A$1:$AS$1,0),FALSE))</f>
        <v/>
      </c>
      <c r="C276" s="76">
        <f>IF(VLOOKUP(A276,Database!$A:$AS,MATCH($C$1,Database!$A$1:$AS$1,0),FALSE)=0,#N/A,VLOOKUP(A276,Database!$A:$AS,MATCH($C$1,Database!$A$1:$AS$1,0),FALSE))</f>
        <v/>
      </c>
      <c r="D276" s="76">
        <f>IF(VLOOKUP(A276,Database!$A:$AS,MATCH($D$1,Database!$A$1:$AS$1,0),FALSE)=0,#N/A,VLOOKUP(A276,Database!$A:$AS,MATCH($D$1,Database!$A$1:$AS$1,0),FALSE))</f>
        <v/>
      </c>
      <c r="E276" s="76">
        <f>IF(VLOOKUP(A276,Database!$A:$AS,MATCH($E$1,Database!$A$1:$AS$1,0),FALSE)=0,#N/A,VLOOKUP(A276,Database!$A:$AS,MATCH($E$1,Database!$A$1:$AS$1,0),FALSE))</f>
        <v/>
      </c>
      <c r="F276" s="76">
        <f>IF(VLOOKUP(A276,Database!$A:$AS,MATCH($F$1,Database!$A$1:$AS$1,0),FALSE)=0,#N/A,VLOOKUP(A276,Database!$A:$AS,MATCH($F$1,Database!$A$1:$AS$1,0),FALSE))</f>
        <v/>
      </c>
      <c r="G276" s="76">
        <f>IF(VLOOKUP(A276,Database!$A:$AS,MATCH($G$1,Database!$A$1:$AS$1,0),FALSE)=0,#N/A,VLOOKUP(A276,Database!$A:$AS,MATCH($G$1,Database!$A$1:$AS$1,0),FALSE))</f>
        <v/>
      </c>
      <c r="H276" s="76">
        <f>(((Table134567891011121314151617343[[#This Row],[ITA]]-VLOOKUP($U$1,A:B,2,))/VLOOKUP($U$1,A:B,2,))*100)+100</f>
        <v/>
      </c>
      <c r="I276" s="76">
        <f>(((Table134567891011121314151617343[[#This Row],[FRA]]-VLOOKUP($U$1,A:C,3,))/VLOOKUP($U$1,A:C,3,))*100)+100</f>
        <v/>
      </c>
      <c r="J276" s="76">
        <f>(((Table134567891011121314151617343[[#This Row],[DEU]]-VLOOKUP($U$1,A:D,4,))/VLOOKUP($U$1,A:D,4,))*100)+100</f>
        <v/>
      </c>
      <c r="K276" s="76">
        <f>(((Table134567891011121314151617343[[#This Row],[ESP]]-VLOOKUP($U$1,A:E,5,))/VLOOKUP($U$1,A:E,5,))*100)+100</f>
        <v/>
      </c>
      <c r="L276" s="76">
        <f>(((Table134567891011121314151617343[[#This Row],[EA19]]-VLOOKUP($U$1,A:F,6,))/VLOOKUP($U$1,A:F,6,))*100)+100</f>
        <v/>
      </c>
      <c r="M276" s="76">
        <f>(((Table134567891011121314151617343[[#This Row],[GBR]]-VLOOKUP($U$1,A:G,7,))/VLOOKUP($U$1,A:G,7,))*100)+100</f>
        <v/>
      </c>
      <c r="N276" s="76">
        <f>IF(VLOOKUP(A276,Database!$A:$AU,MATCH($N$1,Database!$A$1:$AU$1,0),FALSE)=0,#N/A,VLOOKUP(A276,Database!$A:$AU,MATCH($N$1,Database!$A$1:$AU$1,0),FALSE))</f>
        <v/>
      </c>
      <c r="O276" s="76">
        <f>(((Table134567891011121314151617343[[#This Row],[USA]]-VLOOKUP($U$1,A:N,14,))/VLOOKUP($U$1,A:N,14,))*100)+100</f>
        <v/>
      </c>
      <c r="P276" s="76">
        <f>IF(VLOOKUP(A276,Database!$A:$AS,MATCH($P$1,Database!$A$1:$AS$1,0),FALSE)=0,#N/A,VLOOKUP(A276,Database!$A:$AS,MATCH($P$1,Database!$A$1:$AS$1,0),FALSE))</f>
        <v/>
      </c>
      <c r="Q276" s="76">
        <f>(((Table134567891011121314151617343[[#This Row],[JPN]]-VLOOKUP($U$1,A:Q,16,))/VLOOKUP($U$1,A:Q,16,))*100)+100</f>
        <v/>
      </c>
    </row>
    <row r="277" customFormat="1" s="86">
      <c r="A277" s="21" t="n">
        <v>41244</v>
      </c>
      <c r="B277" s="76">
        <f>IF(VLOOKUP(A277,Database!$A:$AS,MATCH($B$1,Database!$A$1:$AS$1,0),FALSE)=0,#N/A,VLOOKUP(A277,Database!$A:$AS,MATCH($B$1,Database!$A$1:$AS$1,0),FALSE))</f>
        <v/>
      </c>
      <c r="C277" s="76">
        <f>IF(VLOOKUP(A277,Database!$A:$AS,MATCH($C$1,Database!$A$1:$AS$1,0),FALSE)=0,#N/A,VLOOKUP(A277,Database!$A:$AS,MATCH($C$1,Database!$A$1:$AS$1,0),FALSE))</f>
        <v/>
      </c>
      <c r="D277" s="76">
        <f>IF(VLOOKUP(A277,Database!$A:$AS,MATCH($D$1,Database!$A$1:$AS$1,0),FALSE)=0,#N/A,VLOOKUP(A277,Database!$A:$AS,MATCH($D$1,Database!$A$1:$AS$1,0),FALSE))</f>
        <v/>
      </c>
      <c r="E277" s="76">
        <f>IF(VLOOKUP(A277,Database!$A:$AS,MATCH($E$1,Database!$A$1:$AS$1,0),FALSE)=0,#N/A,VLOOKUP(A277,Database!$A:$AS,MATCH($E$1,Database!$A$1:$AS$1,0),FALSE))</f>
        <v/>
      </c>
      <c r="F277" s="76">
        <f>IF(VLOOKUP(A277,Database!$A:$AS,MATCH($F$1,Database!$A$1:$AS$1,0),FALSE)=0,#N/A,VLOOKUP(A277,Database!$A:$AS,MATCH($F$1,Database!$A$1:$AS$1,0),FALSE))</f>
        <v/>
      </c>
      <c r="G277" s="76">
        <f>IF(VLOOKUP(A277,Database!$A:$AS,MATCH($G$1,Database!$A$1:$AS$1,0),FALSE)=0,#N/A,VLOOKUP(A277,Database!$A:$AS,MATCH($G$1,Database!$A$1:$AS$1,0),FALSE))</f>
        <v/>
      </c>
      <c r="H277" s="76">
        <f>(((Table134567891011121314151617343[[#This Row],[ITA]]-VLOOKUP($U$1,A:B,2,))/VLOOKUP($U$1,A:B,2,))*100)+100</f>
        <v/>
      </c>
      <c r="I277" s="76">
        <f>(((Table134567891011121314151617343[[#This Row],[FRA]]-VLOOKUP($U$1,A:C,3,))/VLOOKUP($U$1,A:C,3,))*100)+100</f>
        <v/>
      </c>
      <c r="J277" s="76">
        <f>(((Table134567891011121314151617343[[#This Row],[DEU]]-VLOOKUP($U$1,A:D,4,))/VLOOKUP($U$1,A:D,4,))*100)+100</f>
        <v/>
      </c>
      <c r="K277" s="76">
        <f>(((Table134567891011121314151617343[[#This Row],[ESP]]-VLOOKUP($U$1,A:E,5,))/VLOOKUP($U$1,A:E,5,))*100)+100</f>
        <v/>
      </c>
      <c r="L277" s="76">
        <f>(((Table134567891011121314151617343[[#This Row],[EA19]]-VLOOKUP($U$1,A:F,6,))/VLOOKUP($U$1,A:F,6,))*100)+100</f>
        <v/>
      </c>
      <c r="M277" s="76">
        <f>(((Table134567891011121314151617343[[#This Row],[GBR]]-VLOOKUP($U$1,A:G,7,))/VLOOKUP($U$1,A:G,7,))*100)+100</f>
        <v/>
      </c>
      <c r="N277" s="76">
        <f>IF(VLOOKUP(A277,Database!$A:$AU,MATCH($N$1,Database!$A$1:$AU$1,0),FALSE)=0,#N/A,VLOOKUP(A277,Database!$A:$AU,MATCH($N$1,Database!$A$1:$AU$1,0),FALSE))</f>
        <v/>
      </c>
      <c r="O277" s="76">
        <f>(((Table134567891011121314151617343[[#This Row],[USA]]-VLOOKUP($U$1,A:N,14,))/VLOOKUP($U$1,A:N,14,))*100)+100</f>
        <v/>
      </c>
      <c r="P277" s="76">
        <f>IF(VLOOKUP(A277,Database!$A:$AS,MATCH($P$1,Database!$A$1:$AS$1,0),FALSE)=0,#N/A,VLOOKUP(A277,Database!$A:$AS,MATCH($P$1,Database!$A$1:$AS$1,0),FALSE))</f>
        <v/>
      </c>
      <c r="Q277" s="76">
        <f>(((Table134567891011121314151617343[[#This Row],[JPN]]-VLOOKUP($U$1,A:Q,16,))/VLOOKUP($U$1,A:Q,16,))*100)+100</f>
        <v/>
      </c>
    </row>
    <row r="278" customFormat="1" s="86">
      <c r="A278" s="21" t="n">
        <v>41275</v>
      </c>
      <c r="B278" s="76">
        <f>IF(VLOOKUP(A278,Database!$A:$AS,MATCH($B$1,Database!$A$1:$AS$1,0),FALSE)=0,#N/A,VLOOKUP(A278,Database!$A:$AS,MATCH($B$1,Database!$A$1:$AS$1,0),FALSE))</f>
        <v/>
      </c>
      <c r="C278" s="76">
        <f>IF(VLOOKUP(A278,Database!$A:$AS,MATCH($C$1,Database!$A$1:$AS$1,0),FALSE)=0,#N/A,VLOOKUP(A278,Database!$A:$AS,MATCH($C$1,Database!$A$1:$AS$1,0),FALSE))</f>
        <v/>
      </c>
      <c r="D278" s="76">
        <f>IF(VLOOKUP(A278,Database!$A:$AS,MATCH($D$1,Database!$A$1:$AS$1,0),FALSE)=0,#N/A,VLOOKUP(A278,Database!$A:$AS,MATCH($D$1,Database!$A$1:$AS$1,0),FALSE))</f>
        <v/>
      </c>
      <c r="E278" s="76">
        <f>IF(VLOOKUP(A278,Database!$A:$AS,MATCH($E$1,Database!$A$1:$AS$1,0),FALSE)=0,#N/A,VLOOKUP(A278,Database!$A:$AS,MATCH($E$1,Database!$A$1:$AS$1,0),FALSE))</f>
        <v/>
      </c>
      <c r="F278" s="76">
        <f>IF(VLOOKUP(A278,Database!$A:$AS,MATCH($F$1,Database!$A$1:$AS$1,0),FALSE)=0,#N/A,VLOOKUP(A278,Database!$A:$AS,MATCH($F$1,Database!$A$1:$AS$1,0),FALSE))</f>
        <v/>
      </c>
      <c r="G278" s="76">
        <f>IF(VLOOKUP(A278,Database!$A:$AS,MATCH($G$1,Database!$A$1:$AS$1,0),FALSE)=0,#N/A,VLOOKUP(A278,Database!$A:$AS,MATCH($G$1,Database!$A$1:$AS$1,0),FALSE))</f>
        <v/>
      </c>
      <c r="H278" s="76">
        <f>(((Table134567891011121314151617343[[#This Row],[ITA]]-VLOOKUP($U$1,A:B,2,))/VLOOKUP($U$1,A:B,2,))*100)+100</f>
        <v/>
      </c>
      <c r="I278" s="76">
        <f>(((Table134567891011121314151617343[[#This Row],[FRA]]-VLOOKUP($U$1,A:C,3,))/VLOOKUP($U$1,A:C,3,))*100)+100</f>
        <v/>
      </c>
      <c r="J278" s="76">
        <f>(((Table134567891011121314151617343[[#This Row],[DEU]]-VLOOKUP($U$1,A:D,4,))/VLOOKUP($U$1,A:D,4,))*100)+100</f>
        <v/>
      </c>
      <c r="K278" s="76">
        <f>(((Table134567891011121314151617343[[#This Row],[ESP]]-VLOOKUP($U$1,A:E,5,))/VLOOKUP($U$1,A:E,5,))*100)+100</f>
        <v/>
      </c>
      <c r="L278" s="76">
        <f>(((Table134567891011121314151617343[[#This Row],[EA19]]-VLOOKUP($U$1,A:F,6,))/VLOOKUP($U$1,A:F,6,))*100)+100</f>
        <v/>
      </c>
      <c r="M278" s="76">
        <f>(((Table134567891011121314151617343[[#This Row],[GBR]]-VLOOKUP($U$1,A:G,7,))/VLOOKUP($U$1,A:G,7,))*100)+100</f>
        <v/>
      </c>
      <c r="N278" s="76">
        <f>IF(VLOOKUP(A278,Database!$A:$AU,MATCH($N$1,Database!$A$1:$AU$1,0),FALSE)=0,#N/A,VLOOKUP(A278,Database!$A:$AU,MATCH($N$1,Database!$A$1:$AU$1,0),FALSE))</f>
        <v/>
      </c>
      <c r="O278" s="76">
        <f>(((Table134567891011121314151617343[[#This Row],[USA]]-VLOOKUP($U$1,A:N,14,))/VLOOKUP($U$1,A:N,14,))*100)+100</f>
        <v/>
      </c>
      <c r="P278" s="76">
        <f>IF(VLOOKUP(A278,Database!$A:$AS,MATCH($P$1,Database!$A$1:$AS$1,0),FALSE)=0,#N/A,VLOOKUP(A278,Database!$A:$AS,MATCH($P$1,Database!$A$1:$AS$1,0),FALSE))</f>
        <v/>
      </c>
      <c r="Q278" s="76">
        <f>(((Table134567891011121314151617343[[#This Row],[JPN]]-VLOOKUP($U$1,A:Q,16,))/VLOOKUP($U$1,A:Q,16,))*100)+100</f>
        <v/>
      </c>
    </row>
    <row r="279" customFormat="1" s="86">
      <c r="A279" s="21" t="n">
        <v>41306</v>
      </c>
      <c r="B279" s="76">
        <f>IF(VLOOKUP(A279,Database!$A:$AS,MATCH($B$1,Database!$A$1:$AS$1,0),FALSE)=0,#N/A,VLOOKUP(A279,Database!$A:$AS,MATCH($B$1,Database!$A$1:$AS$1,0),FALSE))</f>
        <v/>
      </c>
      <c r="C279" s="76">
        <f>IF(VLOOKUP(A279,Database!$A:$AS,MATCH($C$1,Database!$A$1:$AS$1,0),FALSE)=0,#N/A,VLOOKUP(A279,Database!$A:$AS,MATCH($C$1,Database!$A$1:$AS$1,0),FALSE))</f>
        <v/>
      </c>
      <c r="D279" s="76">
        <f>IF(VLOOKUP(A279,Database!$A:$AS,MATCH($D$1,Database!$A$1:$AS$1,0),FALSE)=0,#N/A,VLOOKUP(A279,Database!$A:$AS,MATCH($D$1,Database!$A$1:$AS$1,0),FALSE))</f>
        <v/>
      </c>
      <c r="E279" s="76">
        <f>IF(VLOOKUP(A279,Database!$A:$AS,MATCH($E$1,Database!$A$1:$AS$1,0),FALSE)=0,#N/A,VLOOKUP(A279,Database!$A:$AS,MATCH($E$1,Database!$A$1:$AS$1,0),FALSE))</f>
        <v/>
      </c>
      <c r="F279" s="76">
        <f>IF(VLOOKUP(A279,Database!$A:$AS,MATCH($F$1,Database!$A$1:$AS$1,0),FALSE)=0,#N/A,VLOOKUP(A279,Database!$A:$AS,MATCH($F$1,Database!$A$1:$AS$1,0),FALSE))</f>
        <v/>
      </c>
      <c r="G279" s="76">
        <f>IF(VLOOKUP(A279,Database!$A:$AS,MATCH($G$1,Database!$A$1:$AS$1,0),FALSE)=0,#N/A,VLOOKUP(A279,Database!$A:$AS,MATCH($G$1,Database!$A$1:$AS$1,0),FALSE))</f>
        <v/>
      </c>
      <c r="H279" s="76">
        <f>(((Table134567891011121314151617343[[#This Row],[ITA]]-VLOOKUP($U$1,A:B,2,))/VLOOKUP($U$1,A:B,2,))*100)+100</f>
        <v/>
      </c>
      <c r="I279" s="76">
        <f>(((Table134567891011121314151617343[[#This Row],[FRA]]-VLOOKUP($U$1,A:C,3,))/VLOOKUP($U$1,A:C,3,))*100)+100</f>
        <v/>
      </c>
      <c r="J279" s="76">
        <f>(((Table134567891011121314151617343[[#This Row],[DEU]]-VLOOKUP($U$1,A:D,4,))/VLOOKUP($U$1,A:D,4,))*100)+100</f>
        <v/>
      </c>
      <c r="K279" s="76">
        <f>(((Table134567891011121314151617343[[#This Row],[ESP]]-VLOOKUP($U$1,A:E,5,))/VLOOKUP($U$1,A:E,5,))*100)+100</f>
        <v/>
      </c>
      <c r="L279" s="76">
        <f>(((Table134567891011121314151617343[[#This Row],[EA19]]-VLOOKUP($U$1,A:F,6,))/VLOOKUP($U$1,A:F,6,))*100)+100</f>
        <v/>
      </c>
      <c r="M279" s="76">
        <f>(((Table134567891011121314151617343[[#This Row],[GBR]]-VLOOKUP($U$1,A:G,7,))/VLOOKUP($U$1,A:G,7,))*100)+100</f>
        <v/>
      </c>
      <c r="N279" s="76">
        <f>IF(VLOOKUP(A279,Database!$A:$AU,MATCH($N$1,Database!$A$1:$AU$1,0),FALSE)=0,#N/A,VLOOKUP(A279,Database!$A:$AU,MATCH($N$1,Database!$A$1:$AU$1,0),FALSE))</f>
        <v/>
      </c>
      <c r="O279" s="76">
        <f>(((Table134567891011121314151617343[[#This Row],[USA]]-VLOOKUP($U$1,A:N,14,))/VLOOKUP($U$1,A:N,14,))*100)+100</f>
        <v/>
      </c>
      <c r="P279" s="76">
        <f>IF(VLOOKUP(A279,Database!$A:$AS,MATCH($P$1,Database!$A$1:$AS$1,0),FALSE)=0,#N/A,VLOOKUP(A279,Database!$A:$AS,MATCH($P$1,Database!$A$1:$AS$1,0),FALSE))</f>
        <v/>
      </c>
      <c r="Q279" s="76">
        <f>(((Table134567891011121314151617343[[#This Row],[JPN]]-VLOOKUP($U$1,A:Q,16,))/VLOOKUP($U$1,A:Q,16,))*100)+100</f>
        <v/>
      </c>
    </row>
    <row r="280" customFormat="1" s="86">
      <c r="A280" s="21" t="n">
        <v>41334</v>
      </c>
      <c r="B280" s="76">
        <f>IF(VLOOKUP(A280,Database!$A:$AS,MATCH($B$1,Database!$A$1:$AS$1,0),FALSE)=0,#N/A,VLOOKUP(A280,Database!$A:$AS,MATCH($B$1,Database!$A$1:$AS$1,0),FALSE))</f>
        <v/>
      </c>
      <c r="C280" s="76">
        <f>IF(VLOOKUP(A280,Database!$A:$AS,MATCH($C$1,Database!$A$1:$AS$1,0),FALSE)=0,#N/A,VLOOKUP(A280,Database!$A:$AS,MATCH($C$1,Database!$A$1:$AS$1,0),FALSE))</f>
        <v/>
      </c>
      <c r="D280" s="76">
        <f>IF(VLOOKUP(A280,Database!$A:$AS,MATCH($D$1,Database!$A$1:$AS$1,0),FALSE)=0,#N/A,VLOOKUP(A280,Database!$A:$AS,MATCH($D$1,Database!$A$1:$AS$1,0),FALSE))</f>
        <v/>
      </c>
      <c r="E280" s="76">
        <f>IF(VLOOKUP(A280,Database!$A:$AS,MATCH($E$1,Database!$A$1:$AS$1,0),FALSE)=0,#N/A,VLOOKUP(A280,Database!$A:$AS,MATCH($E$1,Database!$A$1:$AS$1,0),FALSE))</f>
        <v/>
      </c>
      <c r="F280" s="76">
        <f>IF(VLOOKUP(A280,Database!$A:$AS,MATCH($F$1,Database!$A$1:$AS$1,0),FALSE)=0,#N/A,VLOOKUP(A280,Database!$A:$AS,MATCH($F$1,Database!$A$1:$AS$1,0),FALSE))</f>
        <v/>
      </c>
      <c r="G280" s="76">
        <f>IF(VLOOKUP(A280,Database!$A:$AS,MATCH($G$1,Database!$A$1:$AS$1,0),FALSE)=0,#N/A,VLOOKUP(A280,Database!$A:$AS,MATCH($G$1,Database!$A$1:$AS$1,0),FALSE))</f>
        <v/>
      </c>
      <c r="H280" s="76">
        <f>(((Table134567891011121314151617343[[#This Row],[ITA]]-VLOOKUP($U$1,A:B,2,))/VLOOKUP($U$1,A:B,2,))*100)+100</f>
        <v/>
      </c>
      <c r="I280" s="76">
        <f>(((Table134567891011121314151617343[[#This Row],[FRA]]-VLOOKUP($U$1,A:C,3,))/VLOOKUP($U$1,A:C,3,))*100)+100</f>
        <v/>
      </c>
      <c r="J280" s="76">
        <f>(((Table134567891011121314151617343[[#This Row],[DEU]]-VLOOKUP($U$1,A:D,4,))/VLOOKUP($U$1,A:D,4,))*100)+100</f>
        <v/>
      </c>
      <c r="K280" s="76">
        <f>(((Table134567891011121314151617343[[#This Row],[ESP]]-VLOOKUP($U$1,A:E,5,))/VLOOKUP($U$1,A:E,5,))*100)+100</f>
        <v/>
      </c>
      <c r="L280" s="76">
        <f>(((Table134567891011121314151617343[[#This Row],[EA19]]-VLOOKUP($U$1,A:F,6,))/VLOOKUP($U$1,A:F,6,))*100)+100</f>
        <v/>
      </c>
      <c r="M280" s="76">
        <f>(((Table134567891011121314151617343[[#This Row],[GBR]]-VLOOKUP($U$1,A:G,7,))/VLOOKUP($U$1,A:G,7,))*100)+100</f>
        <v/>
      </c>
      <c r="N280" s="76">
        <f>IF(VLOOKUP(A280,Database!$A:$AU,MATCH($N$1,Database!$A$1:$AU$1,0),FALSE)=0,#N/A,VLOOKUP(A280,Database!$A:$AU,MATCH($N$1,Database!$A$1:$AU$1,0),FALSE))</f>
        <v/>
      </c>
      <c r="O280" s="76">
        <f>(((Table134567891011121314151617343[[#This Row],[USA]]-VLOOKUP($U$1,A:N,14,))/VLOOKUP($U$1,A:N,14,))*100)+100</f>
        <v/>
      </c>
      <c r="P280" s="76">
        <f>IF(VLOOKUP(A280,Database!$A:$AS,MATCH($P$1,Database!$A$1:$AS$1,0),FALSE)=0,#N/A,VLOOKUP(A280,Database!$A:$AS,MATCH($P$1,Database!$A$1:$AS$1,0),FALSE))</f>
        <v/>
      </c>
      <c r="Q280" s="76">
        <f>(((Table134567891011121314151617343[[#This Row],[JPN]]-VLOOKUP($U$1,A:Q,16,))/VLOOKUP($U$1,A:Q,16,))*100)+100</f>
        <v/>
      </c>
    </row>
    <row r="281" customFormat="1" s="86">
      <c r="A281" s="21" t="n">
        <v>41365</v>
      </c>
      <c r="B281" s="76">
        <f>IF(VLOOKUP(A281,Database!$A:$AS,MATCH($B$1,Database!$A$1:$AS$1,0),FALSE)=0,#N/A,VLOOKUP(A281,Database!$A:$AS,MATCH($B$1,Database!$A$1:$AS$1,0),FALSE))</f>
        <v/>
      </c>
      <c r="C281" s="76">
        <f>IF(VLOOKUP(A281,Database!$A:$AS,MATCH($C$1,Database!$A$1:$AS$1,0),FALSE)=0,#N/A,VLOOKUP(A281,Database!$A:$AS,MATCH($C$1,Database!$A$1:$AS$1,0),FALSE))</f>
        <v/>
      </c>
      <c r="D281" s="76">
        <f>IF(VLOOKUP(A281,Database!$A:$AS,MATCH($D$1,Database!$A$1:$AS$1,0),FALSE)=0,#N/A,VLOOKUP(A281,Database!$A:$AS,MATCH($D$1,Database!$A$1:$AS$1,0),FALSE))</f>
        <v/>
      </c>
      <c r="E281" s="76">
        <f>IF(VLOOKUP(A281,Database!$A:$AS,MATCH($E$1,Database!$A$1:$AS$1,0),FALSE)=0,#N/A,VLOOKUP(A281,Database!$A:$AS,MATCH($E$1,Database!$A$1:$AS$1,0),FALSE))</f>
        <v/>
      </c>
      <c r="F281" s="76">
        <f>IF(VLOOKUP(A281,Database!$A:$AS,MATCH($F$1,Database!$A$1:$AS$1,0),FALSE)=0,#N/A,VLOOKUP(A281,Database!$A:$AS,MATCH($F$1,Database!$A$1:$AS$1,0),FALSE))</f>
        <v/>
      </c>
      <c r="G281" s="76">
        <f>IF(VLOOKUP(A281,Database!$A:$AS,MATCH($G$1,Database!$A$1:$AS$1,0),FALSE)=0,#N/A,VLOOKUP(A281,Database!$A:$AS,MATCH($G$1,Database!$A$1:$AS$1,0),FALSE))</f>
        <v/>
      </c>
      <c r="H281" s="76">
        <f>(((Table134567891011121314151617343[[#This Row],[ITA]]-VLOOKUP($U$1,A:B,2,))/VLOOKUP($U$1,A:B,2,))*100)+100</f>
        <v/>
      </c>
      <c r="I281" s="76">
        <f>(((Table134567891011121314151617343[[#This Row],[FRA]]-VLOOKUP($U$1,A:C,3,))/VLOOKUP($U$1,A:C,3,))*100)+100</f>
        <v/>
      </c>
      <c r="J281" s="76">
        <f>(((Table134567891011121314151617343[[#This Row],[DEU]]-VLOOKUP($U$1,A:D,4,))/VLOOKUP($U$1,A:D,4,))*100)+100</f>
        <v/>
      </c>
      <c r="K281" s="76">
        <f>(((Table134567891011121314151617343[[#This Row],[ESP]]-VLOOKUP($U$1,A:E,5,))/VLOOKUP($U$1,A:E,5,))*100)+100</f>
        <v/>
      </c>
      <c r="L281" s="76">
        <f>(((Table134567891011121314151617343[[#This Row],[EA19]]-VLOOKUP($U$1,A:F,6,))/VLOOKUP($U$1,A:F,6,))*100)+100</f>
        <v/>
      </c>
      <c r="M281" s="76">
        <f>(((Table134567891011121314151617343[[#This Row],[GBR]]-VLOOKUP($U$1,A:G,7,))/VLOOKUP($U$1,A:G,7,))*100)+100</f>
        <v/>
      </c>
      <c r="N281" s="76">
        <f>IF(VLOOKUP(A281,Database!$A:$AU,MATCH($N$1,Database!$A$1:$AU$1,0),FALSE)=0,#N/A,VLOOKUP(A281,Database!$A:$AU,MATCH($N$1,Database!$A$1:$AU$1,0),FALSE))</f>
        <v/>
      </c>
      <c r="O281" s="76">
        <f>(((Table134567891011121314151617343[[#This Row],[USA]]-VLOOKUP($U$1,A:N,14,))/VLOOKUP($U$1,A:N,14,))*100)+100</f>
        <v/>
      </c>
      <c r="P281" s="76">
        <f>IF(VLOOKUP(A281,Database!$A:$AS,MATCH($P$1,Database!$A$1:$AS$1,0),FALSE)=0,#N/A,VLOOKUP(A281,Database!$A:$AS,MATCH($P$1,Database!$A$1:$AS$1,0),FALSE))</f>
        <v/>
      </c>
      <c r="Q281" s="76">
        <f>(((Table134567891011121314151617343[[#This Row],[JPN]]-VLOOKUP($U$1,A:Q,16,))/VLOOKUP($U$1,A:Q,16,))*100)+100</f>
        <v/>
      </c>
    </row>
    <row r="282" customFormat="1" s="86">
      <c r="A282" s="21" t="n">
        <v>41395</v>
      </c>
      <c r="B282" s="76">
        <f>IF(VLOOKUP(A282,Database!$A:$AS,MATCH($B$1,Database!$A$1:$AS$1,0),FALSE)=0,#N/A,VLOOKUP(A282,Database!$A:$AS,MATCH($B$1,Database!$A$1:$AS$1,0),FALSE))</f>
        <v/>
      </c>
      <c r="C282" s="76">
        <f>IF(VLOOKUP(A282,Database!$A:$AS,MATCH($C$1,Database!$A$1:$AS$1,0),FALSE)=0,#N/A,VLOOKUP(A282,Database!$A:$AS,MATCH($C$1,Database!$A$1:$AS$1,0),FALSE))</f>
        <v/>
      </c>
      <c r="D282" s="76">
        <f>IF(VLOOKUP(A282,Database!$A:$AS,MATCH($D$1,Database!$A$1:$AS$1,0),FALSE)=0,#N/A,VLOOKUP(A282,Database!$A:$AS,MATCH($D$1,Database!$A$1:$AS$1,0),FALSE))</f>
        <v/>
      </c>
      <c r="E282" s="76">
        <f>IF(VLOOKUP(A282,Database!$A:$AS,MATCH($E$1,Database!$A$1:$AS$1,0),FALSE)=0,#N/A,VLOOKUP(A282,Database!$A:$AS,MATCH($E$1,Database!$A$1:$AS$1,0),FALSE))</f>
        <v/>
      </c>
      <c r="F282" s="76">
        <f>IF(VLOOKUP(A282,Database!$A:$AS,MATCH($F$1,Database!$A$1:$AS$1,0),FALSE)=0,#N/A,VLOOKUP(A282,Database!$A:$AS,MATCH($F$1,Database!$A$1:$AS$1,0),FALSE))</f>
        <v/>
      </c>
      <c r="G282" s="76">
        <f>IF(VLOOKUP(A282,Database!$A:$AS,MATCH($G$1,Database!$A$1:$AS$1,0),FALSE)=0,#N/A,VLOOKUP(A282,Database!$A:$AS,MATCH($G$1,Database!$A$1:$AS$1,0),FALSE))</f>
        <v/>
      </c>
      <c r="H282" s="76">
        <f>(((Table134567891011121314151617343[[#This Row],[ITA]]-VLOOKUP($U$1,A:B,2,))/VLOOKUP($U$1,A:B,2,))*100)+100</f>
        <v/>
      </c>
      <c r="I282" s="76">
        <f>(((Table134567891011121314151617343[[#This Row],[FRA]]-VLOOKUP($U$1,A:C,3,))/VLOOKUP($U$1,A:C,3,))*100)+100</f>
        <v/>
      </c>
      <c r="J282" s="76">
        <f>(((Table134567891011121314151617343[[#This Row],[DEU]]-VLOOKUP($U$1,A:D,4,))/VLOOKUP($U$1,A:D,4,))*100)+100</f>
        <v/>
      </c>
      <c r="K282" s="76">
        <f>(((Table134567891011121314151617343[[#This Row],[ESP]]-VLOOKUP($U$1,A:E,5,))/VLOOKUP($U$1,A:E,5,))*100)+100</f>
        <v/>
      </c>
      <c r="L282" s="76">
        <f>(((Table134567891011121314151617343[[#This Row],[EA19]]-VLOOKUP($U$1,A:F,6,))/VLOOKUP($U$1,A:F,6,))*100)+100</f>
        <v/>
      </c>
      <c r="M282" s="76">
        <f>(((Table134567891011121314151617343[[#This Row],[GBR]]-VLOOKUP($U$1,A:G,7,))/VLOOKUP($U$1,A:G,7,))*100)+100</f>
        <v/>
      </c>
      <c r="N282" s="76">
        <f>IF(VLOOKUP(A282,Database!$A:$AU,MATCH($N$1,Database!$A$1:$AU$1,0),FALSE)=0,#N/A,VLOOKUP(A282,Database!$A:$AU,MATCH($N$1,Database!$A$1:$AU$1,0),FALSE))</f>
        <v/>
      </c>
      <c r="O282" s="76">
        <f>(((Table134567891011121314151617343[[#This Row],[USA]]-VLOOKUP($U$1,A:N,14,))/VLOOKUP($U$1,A:N,14,))*100)+100</f>
        <v/>
      </c>
      <c r="P282" s="76">
        <f>IF(VLOOKUP(A282,Database!$A:$AS,MATCH($P$1,Database!$A$1:$AS$1,0),FALSE)=0,#N/A,VLOOKUP(A282,Database!$A:$AS,MATCH($P$1,Database!$A$1:$AS$1,0),FALSE))</f>
        <v/>
      </c>
      <c r="Q282" s="76">
        <f>(((Table134567891011121314151617343[[#This Row],[JPN]]-VLOOKUP($U$1,A:Q,16,))/VLOOKUP($U$1,A:Q,16,))*100)+100</f>
        <v/>
      </c>
    </row>
    <row r="283" customFormat="1" s="86">
      <c r="A283" s="21" t="n">
        <v>41426</v>
      </c>
      <c r="B283" s="76">
        <f>IF(VLOOKUP(A283,Database!$A:$AS,MATCH($B$1,Database!$A$1:$AS$1,0),FALSE)=0,#N/A,VLOOKUP(A283,Database!$A:$AS,MATCH($B$1,Database!$A$1:$AS$1,0),FALSE))</f>
        <v/>
      </c>
      <c r="C283" s="76">
        <f>IF(VLOOKUP(A283,Database!$A:$AS,MATCH($C$1,Database!$A$1:$AS$1,0),FALSE)=0,#N/A,VLOOKUP(A283,Database!$A:$AS,MATCH($C$1,Database!$A$1:$AS$1,0),FALSE))</f>
        <v/>
      </c>
      <c r="D283" s="76">
        <f>IF(VLOOKUP(A283,Database!$A:$AS,MATCH($D$1,Database!$A$1:$AS$1,0),FALSE)=0,#N/A,VLOOKUP(A283,Database!$A:$AS,MATCH($D$1,Database!$A$1:$AS$1,0),FALSE))</f>
        <v/>
      </c>
      <c r="E283" s="76">
        <f>IF(VLOOKUP(A283,Database!$A:$AS,MATCH($E$1,Database!$A$1:$AS$1,0),FALSE)=0,#N/A,VLOOKUP(A283,Database!$A:$AS,MATCH($E$1,Database!$A$1:$AS$1,0),FALSE))</f>
        <v/>
      </c>
      <c r="F283" s="76">
        <f>IF(VLOOKUP(A283,Database!$A:$AS,MATCH($F$1,Database!$A$1:$AS$1,0),FALSE)=0,#N/A,VLOOKUP(A283,Database!$A:$AS,MATCH($F$1,Database!$A$1:$AS$1,0),FALSE))</f>
        <v/>
      </c>
      <c r="G283" s="76">
        <f>IF(VLOOKUP(A283,Database!$A:$AS,MATCH($G$1,Database!$A$1:$AS$1,0),FALSE)=0,#N/A,VLOOKUP(A283,Database!$A:$AS,MATCH($G$1,Database!$A$1:$AS$1,0),FALSE))</f>
        <v/>
      </c>
      <c r="H283" s="76">
        <f>(((Table134567891011121314151617343[[#This Row],[ITA]]-VLOOKUP($U$1,A:B,2,))/VLOOKUP($U$1,A:B,2,))*100)+100</f>
        <v/>
      </c>
      <c r="I283" s="76">
        <f>(((Table134567891011121314151617343[[#This Row],[FRA]]-VLOOKUP($U$1,A:C,3,))/VLOOKUP($U$1,A:C,3,))*100)+100</f>
        <v/>
      </c>
      <c r="J283" s="76">
        <f>(((Table134567891011121314151617343[[#This Row],[DEU]]-VLOOKUP($U$1,A:D,4,))/VLOOKUP($U$1,A:D,4,))*100)+100</f>
        <v/>
      </c>
      <c r="K283" s="76">
        <f>(((Table134567891011121314151617343[[#This Row],[ESP]]-VLOOKUP($U$1,A:E,5,))/VLOOKUP($U$1,A:E,5,))*100)+100</f>
        <v/>
      </c>
      <c r="L283" s="76">
        <f>(((Table134567891011121314151617343[[#This Row],[EA19]]-VLOOKUP($U$1,A:F,6,))/VLOOKUP($U$1,A:F,6,))*100)+100</f>
        <v/>
      </c>
      <c r="M283" s="76">
        <f>(((Table134567891011121314151617343[[#This Row],[GBR]]-VLOOKUP($U$1,A:G,7,))/VLOOKUP($U$1,A:G,7,))*100)+100</f>
        <v/>
      </c>
      <c r="N283" s="76">
        <f>IF(VLOOKUP(A283,Database!$A:$AU,MATCH($N$1,Database!$A$1:$AU$1,0),FALSE)=0,#N/A,VLOOKUP(A283,Database!$A:$AU,MATCH($N$1,Database!$A$1:$AU$1,0),FALSE))</f>
        <v/>
      </c>
      <c r="O283" s="76">
        <f>(((Table134567891011121314151617343[[#This Row],[USA]]-VLOOKUP($U$1,A:N,14,))/VLOOKUP($U$1,A:N,14,))*100)+100</f>
        <v/>
      </c>
      <c r="P283" s="76">
        <f>IF(VLOOKUP(A283,Database!$A:$AS,MATCH($P$1,Database!$A$1:$AS$1,0),FALSE)=0,#N/A,VLOOKUP(A283,Database!$A:$AS,MATCH($P$1,Database!$A$1:$AS$1,0),FALSE))</f>
        <v/>
      </c>
      <c r="Q283" s="76">
        <f>(((Table134567891011121314151617343[[#This Row],[JPN]]-VLOOKUP($U$1,A:Q,16,))/VLOOKUP($U$1,A:Q,16,))*100)+100</f>
        <v/>
      </c>
    </row>
    <row r="284" customFormat="1" s="86">
      <c r="A284" s="21" t="n">
        <v>41456</v>
      </c>
      <c r="B284" s="76">
        <f>IF(VLOOKUP(A284,Database!$A:$AS,MATCH($B$1,Database!$A$1:$AS$1,0),FALSE)=0,#N/A,VLOOKUP(A284,Database!$A:$AS,MATCH($B$1,Database!$A$1:$AS$1,0),FALSE))</f>
        <v/>
      </c>
      <c r="C284" s="76">
        <f>IF(VLOOKUP(A284,Database!$A:$AS,MATCH($C$1,Database!$A$1:$AS$1,0),FALSE)=0,#N/A,VLOOKUP(A284,Database!$A:$AS,MATCH($C$1,Database!$A$1:$AS$1,0),FALSE))</f>
        <v/>
      </c>
      <c r="D284" s="76">
        <f>IF(VLOOKUP(A284,Database!$A:$AS,MATCH($D$1,Database!$A$1:$AS$1,0),FALSE)=0,#N/A,VLOOKUP(A284,Database!$A:$AS,MATCH($D$1,Database!$A$1:$AS$1,0),FALSE))</f>
        <v/>
      </c>
      <c r="E284" s="76">
        <f>IF(VLOOKUP(A284,Database!$A:$AS,MATCH($E$1,Database!$A$1:$AS$1,0),FALSE)=0,#N/A,VLOOKUP(A284,Database!$A:$AS,MATCH($E$1,Database!$A$1:$AS$1,0),FALSE))</f>
        <v/>
      </c>
      <c r="F284" s="76">
        <f>IF(VLOOKUP(A284,Database!$A:$AS,MATCH($F$1,Database!$A$1:$AS$1,0),FALSE)=0,#N/A,VLOOKUP(A284,Database!$A:$AS,MATCH($F$1,Database!$A$1:$AS$1,0),FALSE))</f>
        <v/>
      </c>
      <c r="G284" s="76">
        <f>IF(VLOOKUP(A284,Database!$A:$AS,MATCH($G$1,Database!$A$1:$AS$1,0),FALSE)=0,#N/A,VLOOKUP(A284,Database!$A:$AS,MATCH($G$1,Database!$A$1:$AS$1,0),FALSE))</f>
        <v/>
      </c>
      <c r="H284" s="76">
        <f>(((Table134567891011121314151617343[[#This Row],[ITA]]-VLOOKUP($U$1,A:B,2,))/VLOOKUP($U$1,A:B,2,))*100)+100</f>
        <v/>
      </c>
      <c r="I284" s="76">
        <f>(((Table134567891011121314151617343[[#This Row],[FRA]]-VLOOKUP($U$1,A:C,3,))/VLOOKUP($U$1,A:C,3,))*100)+100</f>
        <v/>
      </c>
      <c r="J284" s="76">
        <f>(((Table134567891011121314151617343[[#This Row],[DEU]]-VLOOKUP($U$1,A:D,4,))/VLOOKUP($U$1,A:D,4,))*100)+100</f>
        <v/>
      </c>
      <c r="K284" s="76">
        <f>(((Table134567891011121314151617343[[#This Row],[ESP]]-VLOOKUP($U$1,A:E,5,))/VLOOKUP($U$1,A:E,5,))*100)+100</f>
        <v/>
      </c>
      <c r="L284" s="76">
        <f>(((Table134567891011121314151617343[[#This Row],[EA19]]-VLOOKUP($U$1,A:F,6,))/VLOOKUP($U$1,A:F,6,))*100)+100</f>
        <v/>
      </c>
      <c r="M284" s="76">
        <f>(((Table134567891011121314151617343[[#This Row],[GBR]]-VLOOKUP($U$1,A:G,7,))/VLOOKUP($U$1,A:G,7,))*100)+100</f>
        <v/>
      </c>
      <c r="N284" s="76">
        <f>IF(VLOOKUP(A284,Database!$A:$AU,MATCH($N$1,Database!$A$1:$AU$1,0),FALSE)=0,#N/A,VLOOKUP(A284,Database!$A:$AU,MATCH($N$1,Database!$A$1:$AU$1,0),FALSE))</f>
        <v/>
      </c>
      <c r="O284" s="76">
        <f>(((Table134567891011121314151617343[[#This Row],[USA]]-VLOOKUP($U$1,A:N,14,))/VLOOKUP($U$1,A:N,14,))*100)+100</f>
        <v/>
      </c>
      <c r="P284" s="76">
        <f>IF(VLOOKUP(A284,Database!$A:$AS,MATCH($P$1,Database!$A$1:$AS$1,0),FALSE)=0,#N/A,VLOOKUP(A284,Database!$A:$AS,MATCH($P$1,Database!$A$1:$AS$1,0),FALSE))</f>
        <v/>
      </c>
      <c r="Q284" s="76">
        <f>(((Table134567891011121314151617343[[#This Row],[JPN]]-VLOOKUP($U$1,A:Q,16,))/VLOOKUP($U$1,A:Q,16,))*100)+100</f>
        <v/>
      </c>
    </row>
    <row r="285" customFormat="1" s="86">
      <c r="A285" s="21" t="n">
        <v>41487</v>
      </c>
      <c r="B285" s="76">
        <f>IF(VLOOKUP(A285,Database!$A:$AS,MATCH($B$1,Database!$A$1:$AS$1,0),FALSE)=0,#N/A,VLOOKUP(A285,Database!$A:$AS,MATCH($B$1,Database!$A$1:$AS$1,0),FALSE))</f>
        <v/>
      </c>
      <c r="C285" s="76">
        <f>IF(VLOOKUP(A285,Database!$A:$AS,MATCH($C$1,Database!$A$1:$AS$1,0),FALSE)=0,#N/A,VLOOKUP(A285,Database!$A:$AS,MATCH($C$1,Database!$A$1:$AS$1,0),FALSE))</f>
        <v/>
      </c>
      <c r="D285" s="76">
        <f>IF(VLOOKUP(A285,Database!$A:$AS,MATCH($D$1,Database!$A$1:$AS$1,0),FALSE)=0,#N/A,VLOOKUP(A285,Database!$A:$AS,MATCH($D$1,Database!$A$1:$AS$1,0),FALSE))</f>
        <v/>
      </c>
      <c r="E285" s="76">
        <f>IF(VLOOKUP(A285,Database!$A:$AS,MATCH($E$1,Database!$A$1:$AS$1,0),FALSE)=0,#N/A,VLOOKUP(A285,Database!$A:$AS,MATCH($E$1,Database!$A$1:$AS$1,0),FALSE))</f>
        <v/>
      </c>
      <c r="F285" s="76">
        <f>IF(VLOOKUP(A285,Database!$A:$AS,MATCH($F$1,Database!$A$1:$AS$1,0),FALSE)=0,#N/A,VLOOKUP(A285,Database!$A:$AS,MATCH($F$1,Database!$A$1:$AS$1,0),FALSE))</f>
        <v/>
      </c>
      <c r="G285" s="76">
        <f>IF(VLOOKUP(A285,Database!$A:$AS,MATCH($G$1,Database!$A$1:$AS$1,0),FALSE)=0,#N/A,VLOOKUP(A285,Database!$A:$AS,MATCH($G$1,Database!$A$1:$AS$1,0),FALSE))</f>
        <v/>
      </c>
      <c r="H285" s="76">
        <f>(((Table134567891011121314151617343[[#This Row],[ITA]]-VLOOKUP($U$1,A:B,2,))/VLOOKUP($U$1,A:B,2,))*100)+100</f>
        <v/>
      </c>
      <c r="I285" s="76">
        <f>(((Table134567891011121314151617343[[#This Row],[FRA]]-VLOOKUP($U$1,A:C,3,))/VLOOKUP($U$1,A:C,3,))*100)+100</f>
        <v/>
      </c>
      <c r="J285" s="76">
        <f>(((Table134567891011121314151617343[[#This Row],[DEU]]-VLOOKUP($U$1,A:D,4,))/VLOOKUP($U$1,A:D,4,))*100)+100</f>
        <v/>
      </c>
      <c r="K285" s="76">
        <f>(((Table134567891011121314151617343[[#This Row],[ESP]]-VLOOKUP($U$1,A:E,5,))/VLOOKUP($U$1,A:E,5,))*100)+100</f>
        <v/>
      </c>
      <c r="L285" s="76">
        <f>(((Table134567891011121314151617343[[#This Row],[EA19]]-VLOOKUP($U$1,A:F,6,))/VLOOKUP($U$1,A:F,6,))*100)+100</f>
        <v/>
      </c>
      <c r="M285" s="76">
        <f>(((Table134567891011121314151617343[[#This Row],[GBR]]-VLOOKUP($U$1,A:G,7,))/VLOOKUP($U$1,A:G,7,))*100)+100</f>
        <v/>
      </c>
      <c r="N285" s="76">
        <f>IF(VLOOKUP(A285,Database!$A:$AU,MATCH($N$1,Database!$A$1:$AU$1,0),FALSE)=0,#N/A,VLOOKUP(A285,Database!$A:$AU,MATCH($N$1,Database!$A$1:$AU$1,0),FALSE))</f>
        <v/>
      </c>
      <c r="O285" s="76">
        <f>(((Table134567891011121314151617343[[#This Row],[USA]]-VLOOKUP($U$1,A:N,14,))/VLOOKUP($U$1,A:N,14,))*100)+100</f>
        <v/>
      </c>
      <c r="P285" s="76">
        <f>IF(VLOOKUP(A285,Database!$A:$AS,MATCH($P$1,Database!$A$1:$AS$1,0),FALSE)=0,#N/A,VLOOKUP(A285,Database!$A:$AS,MATCH($P$1,Database!$A$1:$AS$1,0),FALSE))</f>
        <v/>
      </c>
      <c r="Q285" s="76">
        <f>(((Table134567891011121314151617343[[#This Row],[JPN]]-VLOOKUP($U$1,A:Q,16,))/VLOOKUP($U$1,A:Q,16,))*100)+100</f>
        <v/>
      </c>
    </row>
    <row r="286" customFormat="1" s="86">
      <c r="A286" s="21" t="n">
        <v>41518</v>
      </c>
      <c r="B286" s="76">
        <f>IF(VLOOKUP(A286,Database!$A:$AS,MATCH($B$1,Database!$A$1:$AS$1,0),FALSE)=0,#N/A,VLOOKUP(A286,Database!$A:$AS,MATCH($B$1,Database!$A$1:$AS$1,0),FALSE))</f>
        <v/>
      </c>
      <c r="C286" s="76">
        <f>IF(VLOOKUP(A286,Database!$A:$AS,MATCH($C$1,Database!$A$1:$AS$1,0),FALSE)=0,#N/A,VLOOKUP(A286,Database!$A:$AS,MATCH($C$1,Database!$A$1:$AS$1,0),FALSE))</f>
        <v/>
      </c>
      <c r="D286" s="76">
        <f>IF(VLOOKUP(A286,Database!$A:$AS,MATCH($D$1,Database!$A$1:$AS$1,0),FALSE)=0,#N/A,VLOOKUP(A286,Database!$A:$AS,MATCH($D$1,Database!$A$1:$AS$1,0),FALSE))</f>
        <v/>
      </c>
      <c r="E286" s="76">
        <f>IF(VLOOKUP(A286,Database!$A:$AS,MATCH($E$1,Database!$A$1:$AS$1,0),FALSE)=0,#N/A,VLOOKUP(A286,Database!$A:$AS,MATCH($E$1,Database!$A$1:$AS$1,0),FALSE))</f>
        <v/>
      </c>
      <c r="F286" s="76">
        <f>IF(VLOOKUP(A286,Database!$A:$AS,MATCH($F$1,Database!$A$1:$AS$1,0),FALSE)=0,#N/A,VLOOKUP(A286,Database!$A:$AS,MATCH($F$1,Database!$A$1:$AS$1,0),FALSE))</f>
        <v/>
      </c>
      <c r="G286" s="76">
        <f>IF(VLOOKUP(A286,Database!$A:$AS,MATCH($G$1,Database!$A$1:$AS$1,0),FALSE)=0,#N/A,VLOOKUP(A286,Database!$A:$AS,MATCH($G$1,Database!$A$1:$AS$1,0),FALSE))</f>
        <v/>
      </c>
      <c r="H286" s="76">
        <f>(((Table134567891011121314151617343[[#This Row],[ITA]]-VLOOKUP($U$1,A:B,2,))/VLOOKUP($U$1,A:B,2,))*100)+100</f>
        <v/>
      </c>
      <c r="I286" s="76">
        <f>(((Table134567891011121314151617343[[#This Row],[FRA]]-VLOOKUP($U$1,A:C,3,))/VLOOKUP($U$1,A:C,3,))*100)+100</f>
        <v/>
      </c>
      <c r="J286" s="76">
        <f>(((Table134567891011121314151617343[[#This Row],[DEU]]-VLOOKUP($U$1,A:D,4,))/VLOOKUP($U$1,A:D,4,))*100)+100</f>
        <v/>
      </c>
      <c r="K286" s="76">
        <f>(((Table134567891011121314151617343[[#This Row],[ESP]]-VLOOKUP($U$1,A:E,5,))/VLOOKUP($U$1,A:E,5,))*100)+100</f>
        <v/>
      </c>
      <c r="L286" s="76">
        <f>(((Table134567891011121314151617343[[#This Row],[EA19]]-VLOOKUP($U$1,A:F,6,))/VLOOKUP($U$1,A:F,6,))*100)+100</f>
        <v/>
      </c>
      <c r="M286" s="76">
        <f>(((Table134567891011121314151617343[[#This Row],[GBR]]-VLOOKUP($U$1,A:G,7,))/VLOOKUP($U$1,A:G,7,))*100)+100</f>
        <v/>
      </c>
      <c r="N286" s="76">
        <f>IF(VLOOKUP(A286,Database!$A:$AU,MATCH($N$1,Database!$A$1:$AU$1,0),FALSE)=0,#N/A,VLOOKUP(A286,Database!$A:$AU,MATCH($N$1,Database!$A$1:$AU$1,0),FALSE))</f>
        <v/>
      </c>
      <c r="O286" s="76">
        <f>(((Table134567891011121314151617343[[#This Row],[USA]]-VLOOKUP($U$1,A:N,14,))/VLOOKUP($U$1,A:N,14,))*100)+100</f>
        <v/>
      </c>
      <c r="P286" s="76">
        <f>IF(VLOOKUP(A286,Database!$A:$AS,MATCH($P$1,Database!$A$1:$AS$1,0),FALSE)=0,#N/A,VLOOKUP(A286,Database!$A:$AS,MATCH($P$1,Database!$A$1:$AS$1,0),FALSE))</f>
        <v/>
      </c>
      <c r="Q286" s="76">
        <f>(((Table134567891011121314151617343[[#This Row],[JPN]]-VLOOKUP($U$1,A:Q,16,))/VLOOKUP($U$1,A:Q,16,))*100)+100</f>
        <v/>
      </c>
    </row>
    <row r="287" customFormat="1" s="86">
      <c r="A287" s="21" t="n">
        <v>41548</v>
      </c>
      <c r="B287" s="76">
        <f>IF(VLOOKUP(A287,Database!$A:$AS,MATCH($B$1,Database!$A$1:$AS$1,0),FALSE)=0,#N/A,VLOOKUP(A287,Database!$A:$AS,MATCH($B$1,Database!$A$1:$AS$1,0),FALSE))</f>
        <v/>
      </c>
      <c r="C287" s="76">
        <f>IF(VLOOKUP(A287,Database!$A:$AS,MATCH($C$1,Database!$A$1:$AS$1,0),FALSE)=0,#N/A,VLOOKUP(A287,Database!$A:$AS,MATCH($C$1,Database!$A$1:$AS$1,0),FALSE))</f>
        <v/>
      </c>
      <c r="D287" s="76">
        <f>IF(VLOOKUP(A287,Database!$A:$AS,MATCH($D$1,Database!$A$1:$AS$1,0),FALSE)=0,#N/A,VLOOKUP(A287,Database!$A:$AS,MATCH($D$1,Database!$A$1:$AS$1,0),FALSE))</f>
        <v/>
      </c>
      <c r="E287" s="76">
        <f>IF(VLOOKUP(A287,Database!$A:$AS,MATCH($E$1,Database!$A$1:$AS$1,0),FALSE)=0,#N/A,VLOOKUP(A287,Database!$A:$AS,MATCH($E$1,Database!$A$1:$AS$1,0),FALSE))</f>
        <v/>
      </c>
      <c r="F287" s="76">
        <f>IF(VLOOKUP(A287,Database!$A:$AS,MATCH($F$1,Database!$A$1:$AS$1,0),FALSE)=0,#N/A,VLOOKUP(A287,Database!$A:$AS,MATCH($F$1,Database!$A$1:$AS$1,0),FALSE))</f>
        <v/>
      </c>
      <c r="G287" s="76">
        <f>IF(VLOOKUP(A287,Database!$A:$AS,MATCH($G$1,Database!$A$1:$AS$1,0),FALSE)=0,#N/A,VLOOKUP(A287,Database!$A:$AS,MATCH($G$1,Database!$A$1:$AS$1,0),FALSE))</f>
        <v/>
      </c>
      <c r="H287" s="76">
        <f>(((Table134567891011121314151617343[[#This Row],[ITA]]-VLOOKUP($U$1,A:B,2,))/VLOOKUP($U$1,A:B,2,))*100)+100</f>
        <v/>
      </c>
      <c r="I287" s="76">
        <f>(((Table134567891011121314151617343[[#This Row],[FRA]]-VLOOKUP($U$1,A:C,3,))/VLOOKUP($U$1,A:C,3,))*100)+100</f>
        <v/>
      </c>
      <c r="J287" s="76">
        <f>(((Table134567891011121314151617343[[#This Row],[DEU]]-VLOOKUP($U$1,A:D,4,))/VLOOKUP($U$1,A:D,4,))*100)+100</f>
        <v/>
      </c>
      <c r="K287" s="76">
        <f>(((Table134567891011121314151617343[[#This Row],[ESP]]-VLOOKUP($U$1,A:E,5,))/VLOOKUP($U$1,A:E,5,))*100)+100</f>
        <v/>
      </c>
      <c r="L287" s="76">
        <f>(((Table134567891011121314151617343[[#This Row],[EA19]]-VLOOKUP($U$1,A:F,6,))/VLOOKUP($U$1,A:F,6,))*100)+100</f>
        <v/>
      </c>
      <c r="M287" s="76">
        <f>(((Table134567891011121314151617343[[#This Row],[GBR]]-VLOOKUP($U$1,A:G,7,))/VLOOKUP($U$1,A:G,7,))*100)+100</f>
        <v/>
      </c>
      <c r="N287" s="76">
        <f>IF(VLOOKUP(A287,Database!$A:$AU,MATCH($N$1,Database!$A$1:$AU$1,0),FALSE)=0,#N/A,VLOOKUP(A287,Database!$A:$AU,MATCH($N$1,Database!$A$1:$AU$1,0),FALSE))</f>
        <v/>
      </c>
      <c r="O287" s="76">
        <f>(((Table134567891011121314151617343[[#This Row],[USA]]-VLOOKUP($U$1,A:N,14,))/VLOOKUP($U$1,A:N,14,))*100)+100</f>
        <v/>
      </c>
      <c r="P287" s="76">
        <f>IF(VLOOKUP(A287,Database!$A:$AS,MATCH($P$1,Database!$A$1:$AS$1,0),FALSE)=0,#N/A,VLOOKUP(A287,Database!$A:$AS,MATCH($P$1,Database!$A$1:$AS$1,0),FALSE))</f>
        <v/>
      </c>
      <c r="Q287" s="76">
        <f>(((Table134567891011121314151617343[[#This Row],[JPN]]-VLOOKUP($U$1,A:Q,16,))/VLOOKUP($U$1,A:Q,16,))*100)+100</f>
        <v/>
      </c>
    </row>
    <row r="288" customFormat="1" s="86">
      <c r="A288" s="21" t="n">
        <v>41579</v>
      </c>
      <c r="B288" s="76">
        <f>IF(VLOOKUP(A288,Database!$A:$AS,MATCH($B$1,Database!$A$1:$AS$1,0),FALSE)=0,#N/A,VLOOKUP(A288,Database!$A:$AS,MATCH($B$1,Database!$A$1:$AS$1,0),FALSE))</f>
        <v/>
      </c>
      <c r="C288" s="76">
        <f>IF(VLOOKUP(A288,Database!$A:$AS,MATCH($C$1,Database!$A$1:$AS$1,0),FALSE)=0,#N/A,VLOOKUP(A288,Database!$A:$AS,MATCH($C$1,Database!$A$1:$AS$1,0),FALSE))</f>
        <v/>
      </c>
      <c r="D288" s="76">
        <f>IF(VLOOKUP(A288,Database!$A:$AS,MATCH($D$1,Database!$A$1:$AS$1,0),FALSE)=0,#N/A,VLOOKUP(A288,Database!$A:$AS,MATCH($D$1,Database!$A$1:$AS$1,0),FALSE))</f>
        <v/>
      </c>
      <c r="E288" s="76">
        <f>IF(VLOOKUP(A288,Database!$A:$AS,MATCH($E$1,Database!$A$1:$AS$1,0),FALSE)=0,#N/A,VLOOKUP(A288,Database!$A:$AS,MATCH($E$1,Database!$A$1:$AS$1,0),FALSE))</f>
        <v/>
      </c>
      <c r="F288" s="76">
        <f>IF(VLOOKUP(A288,Database!$A:$AS,MATCH($F$1,Database!$A$1:$AS$1,0),FALSE)=0,#N/A,VLOOKUP(A288,Database!$A:$AS,MATCH($F$1,Database!$A$1:$AS$1,0),FALSE))</f>
        <v/>
      </c>
      <c r="G288" s="76">
        <f>IF(VLOOKUP(A288,Database!$A:$AS,MATCH($G$1,Database!$A$1:$AS$1,0),FALSE)=0,#N/A,VLOOKUP(A288,Database!$A:$AS,MATCH($G$1,Database!$A$1:$AS$1,0),FALSE))</f>
        <v/>
      </c>
      <c r="H288" s="76">
        <f>(((Table134567891011121314151617343[[#This Row],[ITA]]-VLOOKUP($U$1,A:B,2,))/VLOOKUP($U$1,A:B,2,))*100)+100</f>
        <v/>
      </c>
      <c r="I288" s="76">
        <f>(((Table134567891011121314151617343[[#This Row],[FRA]]-VLOOKUP($U$1,A:C,3,))/VLOOKUP($U$1,A:C,3,))*100)+100</f>
        <v/>
      </c>
      <c r="J288" s="76">
        <f>(((Table134567891011121314151617343[[#This Row],[DEU]]-VLOOKUP($U$1,A:D,4,))/VLOOKUP($U$1,A:D,4,))*100)+100</f>
        <v/>
      </c>
      <c r="K288" s="76">
        <f>(((Table134567891011121314151617343[[#This Row],[ESP]]-VLOOKUP($U$1,A:E,5,))/VLOOKUP($U$1,A:E,5,))*100)+100</f>
        <v/>
      </c>
      <c r="L288" s="76">
        <f>(((Table134567891011121314151617343[[#This Row],[EA19]]-VLOOKUP($U$1,A:F,6,))/VLOOKUP($U$1,A:F,6,))*100)+100</f>
        <v/>
      </c>
      <c r="M288" s="76">
        <f>(((Table134567891011121314151617343[[#This Row],[GBR]]-VLOOKUP($U$1,A:G,7,))/VLOOKUP($U$1,A:G,7,))*100)+100</f>
        <v/>
      </c>
      <c r="N288" s="76">
        <f>IF(VLOOKUP(A288,Database!$A:$AU,MATCH($N$1,Database!$A$1:$AU$1,0),FALSE)=0,#N/A,VLOOKUP(A288,Database!$A:$AU,MATCH($N$1,Database!$A$1:$AU$1,0),FALSE))</f>
        <v/>
      </c>
      <c r="O288" s="76">
        <f>(((Table134567891011121314151617343[[#This Row],[USA]]-VLOOKUP($U$1,A:N,14,))/VLOOKUP($U$1,A:N,14,))*100)+100</f>
        <v/>
      </c>
      <c r="P288" s="76">
        <f>IF(VLOOKUP(A288,Database!$A:$AS,MATCH($P$1,Database!$A$1:$AS$1,0),FALSE)=0,#N/A,VLOOKUP(A288,Database!$A:$AS,MATCH($P$1,Database!$A$1:$AS$1,0),FALSE))</f>
        <v/>
      </c>
      <c r="Q288" s="76">
        <f>(((Table134567891011121314151617343[[#This Row],[JPN]]-VLOOKUP($U$1,A:Q,16,))/VLOOKUP($U$1,A:Q,16,))*100)+100</f>
        <v/>
      </c>
    </row>
    <row r="289" customFormat="1" s="86">
      <c r="A289" s="21" t="n">
        <v>41609</v>
      </c>
      <c r="B289" s="76">
        <f>IF(VLOOKUP(A289,Database!$A:$AS,MATCH($B$1,Database!$A$1:$AS$1,0),FALSE)=0,#N/A,VLOOKUP(A289,Database!$A:$AS,MATCH($B$1,Database!$A$1:$AS$1,0),FALSE))</f>
        <v/>
      </c>
      <c r="C289" s="76">
        <f>IF(VLOOKUP(A289,Database!$A:$AS,MATCH($C$1,Database!$A$1:$AS$1,0),FALSE)=0,#N/A,VLOOKUP(A289,Database!$A:$AS,MATCH($C$1,Database!$A$1:$AS$1,0),FALSE))</f>
        <v/>
      </c>
      <c r="D289" s="76">
        <f>IF(VLOOKUP(A289,Database!$A:$AS,MATCH($D$1,Database!$A$1:$AS$1,0),FALSE)=0,#N/A,VLOOKUP(A289,Database!$A:$AS,MATCH($D$1,Database!$A$1:$AS$1,0),FALSE))</f>
        <v/>
      </c>
      <c r="E289" s="76">
        <f>IF(VLOOKUP(A289,Database!$A:$AS,MATCH($E$1,Database!$A$1:$AS$1,0),FALSE)=0,#N/A,VLOOKUP(A289,Database!$A:$AS,MATCH($E$1,Database!$A$1:$AS$1,0),FALSE))</f>
        <v/>
      </c>
      <c r="F289" s="76">
        <f>IF(VLOOKUP(A289,Database!$A:$AS,MATCH($F$1,Database!$A$1:$AS$1,0),FALSE)=0,#N/A,VLOOKUP(A289,Database!$A:$AS,MATCH($F$1,Database!$A$1:$AS$1,0),FALSE))</f>
        <v/>
      </c>
      <c r="G289" s="76">
        <f>IF(VLOOKUP(A289,Database!$A:$AS,MATCH($G$1,Database!$A$1:$AS$1,0),FALSE)=0,#N/A,VLOOKUP(A289,Database!$A:$AS,MATCH($G$1,Database!$A$1:$AS$1,0),FALSE))</f>
        <v/>
      </c>
      <c r="H289" s="76">
        <f>(((Table134567891011121314151617343[[#This Row],[ITA]]-VLOOKUP($U$1,A:B,2,))/VLOOKUP($U$1,A:B,2,))*100)+100</f>
        <v/>
      </c>
      <c r="I289" s="76">
        <f>(((Table134567891011121314151617343[[#This Row],[FRA]]-VLOOKUP($U$1,A:C,3,))/VLOOKUP($U$1,A:C,3,))*100)+100</f>
        <v/>
      </c>
      <c r="J289" s="76">
        <f>(((Table134567891011121314151617343[[#This Row],[DEU]]-VLOOKUP($U$1,A:D,4,))/VLOOKUP($U$1,A:D,4,))*100)+100</f>
        <v/>
      </c>
      <c r="K289" s="76">
        <f>(((Table134567891011121314151617343[[#This Row],[ESP]]-VLOOKUP($U$1,A:E,5,))/VLOOKUP($U$1,A:E,5,))*100)+100</f>
        <v/>
      </c>
      <c r="L289" s="76">
        <f>(((Table134567891011121314151617343[[#This Row],[EA19]]-VLOOKUP($U$1,A:F,6,))/VLOOKUP($U$1,A:F,6,))*100)+100</f>
        <v/>
      </c>
      <c r="M289" s="76">
        <f>(((Table134567891011121314151617343[[#This Row],[GBR]]-VLOOKUP($U$1,A:G,7,))/VLOOKUP($U$1,A:G,7,))*100)+100</f>
        <v/>
      </c>
      <c r="N289" s="76">
        <f>IF(VLOOKUP(A289,Database!$A:$AU,MATCH($N$1,Database!$A$1:$AU$1,0),FALSE)=0,#N/A,VLOOKUP(A289,Database!$A:$AU,MATCH($N$1,Database!$A$1:$AU$1,0),FALSE))</f>
        <v/>
      </c>
      <c r="O289" s="76">
        <f>(((Table134567891011121314151617343[[#This Row],[USA]]-VLOOKUP($U$1,A:N,14,))/VLOOKUP($U$1,A:N,14,))*100)+100</f>
        <v/>
      </c>
      <c r="P289" s="76">
        <f>IF(VLOOKUP(A289,Database!$A:$AS,MATCH($P$1,Database!$A$1:$AS$1,0),FALSE)=0,#N/A,VLOOKUP(A289,Database!$A:$AS,MATCH($P$1,Database!$A$1:$AS$1,0),FALSE))</f>
        <v/>
      </c>
      <c r="Q289" s="76">
        <f>(((Table134567891011121314151617343[[#This Row],[JPN]]-VLOOKUP($U$1,A:Q,16,))/VLOOKUP($U$1,A:Q,16,))*100)+100</f>
        <v/>
      </c>
    </row>
    <row r="290" customFormat="1" s="86">
      <c r="A290" s="21" t="n">
        <v>41640</v>
      </c>
      <c r="B290" s="76">
        <f>IF(VLOOKUP(A290,Database!$A:$AS,MATCH($B$1,Database!$A$1:$AS$1,0),FALSE)=0,#N/A,VLOOKUP(A290,Database!$A:$AS,MATCH($B$1,Database!$A$1:$AS$1,0),FALSE))</f>
        <v/>
      </c>
      <c r="C290" s="76">
        <f>IF(VLOOKUP(A290,Database!$A:$AS,MATCH($C$1,Database!$A$1:$AS$1,0),FALSE)=0,#N/A,VLOOKUP(A290,Database!$A:$AS,MATCH($C$1,Database!$A$1:$AS$1,0),FALSE))</f>
        <v/>
      </c>
      <c r="D290" s="76">
        <f>IF(VLOOKUP(A290,Database!$A:$AS,MATCH($D$1,Database!$A$1:$AS$1,0),FALSE)=0,#N/A,VLOOKUP(A290,Database!$A:$AS,MATCH($D$1,Database!$A$1:$AS$1,0),FALSE))</f>
        <v/>
      </c>
      <c r="E290" s="76">
        <f>IF(VLOOKUP(A290,Database!$A:$AS,MATCH($E$1,Database!$A$1:$AS$1,0),FALSE)=0,#N/A,VLOOKUP(A290,Database!$A:$AS,MATCH($E$1,Database!$A$1:$AS$1,0),FALSE))</f>
        <v/>
      </c>
      <c r="F290" s="76">
        <f>IF(VLOOKUP(A290,Database!$A:$AS,MATCH($F$1,Database!$A$1:$AS$1,0),FALSE)=0,#N/A,VLOOKUP(A290,Database!$A:$AS,MATCH($F$1,Database!$A$1:$AS$1,0),FALSE))</f>
        <v/>
      </c>
      <c r="G290" s="76">
        <f>IF(VLOOKUP(A290,Database!$A:$AS,MATCH($G$1,Database!$A$1:$AS$1,0),FALSE)=0,#N/A,VLOOKUP(A290,Database!$A:$AS,MATCH($G$1,Database!$A$1:$AS$1,0),FALSE))</f>
        <v/>
      </c>
      <c r="H290" s="76">
        <f>(((Table134567891011121314151617343[[#This Row],[ITA]]-VLOOKUP($U$1,A:B,2,))/VLOOKUP($U$1,A:B,2,))*100)+100</f>
        <v/>
      </c>
      <c r="I290" s="76">
        <f>(((Table134567891011121314151617343[[#This Row],[FRA]]-VLOOKUP($U$1,A:C,3,))/VLOOKUP($U$1,A:C,3,))*100)+100</f>
        <v/>
      </c>
      <c r="J290" s="76">
        <f>(((Table134567891011121314151617343[[#This Row],[DEU]]-VLOOKUP($U$1,A:D,4,))/VLOOKUP($U$1,A:D,4,))*100)+100</f>
        <v/>
      </c>
      <c r="K290" s="76">
        <f>(((Table134567891011121314151617343[[#This Row],[ESP]]-VLOOKUP($U$1,A:E,5,))/VLOOKUP($U$1,A:E,5,))*100)+100</f>
        <v/>
      </c>
      <c r="L290" s="76">
        <f>(((Table134567891011121314151617343[[#This Row],[EA19]]-VLOOKUP($U$1,A:F,6,))/VLOOKUP($U$1,A:F,6,))*100)+100</f>
        <v/>
      </c>
      <c r="M290" s="76">
        <f>(((Table134567891011121314151617343[[#This Row],[GBR]]-VLOOKUP($U$1,A:G,7,))/VLOOKUP($U$1,A:G,7,))*100)+100</f>
        <v/>
      </c>
      <c r="N290" s="76">
        <f>IF(VLOOKUP(A290,Database!$A:$AU,MATCH($N$1,Database!$A$1:$AU$1,0),FALSE)=0,#N/A,VLOOKUP(A290,Database!$A:$AU,MATCH($N$1,Database!$A$1:$AU$1,0),FALSE))</f>
        <v/>
      </c>
      <c r="O290" s="76">
        <f>(((Table134567891011121314151617343[[#This Row],[USA]]-VLOOKUP($U$1,A:N,14,))/VLOOKUP($U$1,A:N,14,))*100)+100</f>
        <v/>
      </c>
      <c r="P290" s="76">
        <f>IF(VLOOKUP(A290,Database!$A:$AS,MATCH($P$1,Database!$A$1:$AS$1,0),FALSE)=0,#N/A,VLOOKUP(A290,Database!$A:$AS,MATCH($P$1,Database!$A$1:$AS$1,0),FALSE))</f>
        <v/>
      </c>
      <c r="Q290" s="76">
        <f>(((Table134567891011121314151617343[[#This Row],[JPN]]-VLOOKUP($U$1,A:Q,16,))/VLOOKUP($U$1,A:Q,16,))*100)+100</f>
        <v/>
      </c>
    </row>
    <row r="291" customFormat="1" s="86">
      <c r="A291" s="21" t="n">
        <v>41671</v>
      </c>
      <c r="B291" s="76">
        <f>IF(VLOOKUP(A291,Database!$A:$AS,MATCH($B$1,Database!$A$1:$AS$1,0),FALSE)=0,#N/A,VLOOKUP(A291,Database!$A:$AS,MATCH($B$1,Database!$A$1:$AS$1,0),FALSE))</f>
        <v/>
      </c>
      <c r="C291" s="76">
        <f>IF(VLOOKUP(A291,Database!$A:$AS,MATCH($C$1,Database!$A$1:$AS$1,0),FALSE)=0,#N/A,VLOOKUP(A291,Database!$A:$AS,MATCH($C$1,Database!$A$1:$AS$1,0),FALSE))</f>
        <v/>
      </c>
      <c r="D291" s="76">
        <f>IF(VLOOKUP(A291,Database!$A:$AS,MATCH($D$1,Database!$A$1:$AS$1,0),FALSE)=0,#N/A,VLOOKUP(A291,Database!$A:$AS,MATCH($D$1,Database!$A$1:$AS$1,0),FALSE))</f>
        <v/>
      </c>
      <c r="E291" s="76">
        <f>IF(VLOOKUP(A291,Database!$A:$AS,MATCH($E$1,Database!$A$1:$AS$1,0),FALSE)=0,#N/A,VLOOKUP(A291,Database!$A:$AS,MATCH($E$1,Database!$A$1:$AS$1,0),FALSE))</f>
        <v/>
      </c>
      <c r="F291" s="76">
        <f>IF(VLOOKUP(A291,Database!$A:$AS,MATCH($F$1,Database!$A$1:$AS$1,0),FALSE)=0,#N/A,VLOOKUP(A291,Database!$A:$AS,MATCH($F$1,Database!$A$1:$AS$1,0),FALSE))</f>
        <v/>
      </c>
      <c r="G291" s="76">
        <f>IF(VLOOKUP(A291,Database!$A:$AS,MATCH($G$1,Database!$A$1:$AS$1,0),FALSE)=0,#N/A,VLOOKUP(A291,Database!$A:$AS,MATCH($G$1,Database!$A$1:$AS$1,0),FALSE))</f>
        <v/>
      </c>
      <c r="H291" s="76">
        <f>(((Table134567891011121314151617343[[#This Row],[ITA]]-VLOOKUP($U$1,A:B,2,))/VLOOKUP($U$1,A:B,2,))*100)+100</f>
        <v/>
      </c>
      <c r="I291" s="76">
        <f>(((Table134567891011121314151617343[[#This Row],[FRA]]-VLOOKUP($U$1,A:C,3,))/VLOOKUP($U$1,A:C,3,))*100)+100</f>
        <v/>
      </c>
      <c r="J291" s="76">
        <f>(((Table134567891011121314151617343[[#This Row],[DEU]]-VLOOKUP($U$1,A:D,4,))/VLOOKUP($U$1,A:D,4,))*100)+100</f>
        <v/>
      </c>
      <c r="K291" s="76">
        <f>(((Table134567891011121314151617343[[#This Row],[ESP]]-VLOOKUP($U$1,A:E,5,))/VLOOKUP($U$1,A:E,5,))*100)+100</f>
        <v/>
      </c>
      <c r="L291" s="76">
        <f>(((Table134567891011121314151617343[[#This Row],[EA19]]-VLOOKUP($U$1,A:F,6,))/VLOOKUP($U$1,A:F,6,))*100)+100</f>
        <v/>
      </c>
      <c r="M291" s="76">
        <f>(((Table134567891011121314151617343[[#This Row],[GBR]]-VLOOKUP($U$1,A:G,7,))/VLOOKUP($U$1,A:G,7,))*100)+100</f>
        <v/>
      </c>
      <c r="N291" s="76">
        <f>IF(VLOOKUP(A291,Database!$A:$AU,MATCH($N$1,Database!$A$1:$AU$1,0),FALSE)=0,#N/A,VLOOKUP(A291,Database!$A:$AU,MATCH($N$1,Database!$A$1:$AU$1,0),FALSE))</f>
        <v/>
      </c>
      <c r="O291" s="76">
        <f>(((Table134567891011121314151617343[[#This Row],[USA]]-VLOOKUP($U$1,A:N,14,))/VLOOKUP($U$1,A:N,14,))*100)+100</f>
        <v/>
      </c>
      <c r="P291" s="76">
        <f>IF(VLOOKUP(A291,Database!$A:$AS,MATCH($P$1,Database!$A$1:$AS$1,0),FALSE)=0,#N/A,VLOOKUP(A291,Database!$A:$AS,MATCH($P$1,Database!$A$1:$AS$1,0),FALSE))</f>
        <v/>
      </c>
      <c r="Q291" s="76">
        <f>(((Table134567891011121314151617343[[#This Row],[JPN]]-VLOOKUP($U$1,A:Q,16,))/VLOOKUP($U$1,A:Q,16,))*100)+100</f>
        <v/>
      </c>
    </row>
    <row r="292" customFormat="1" s="86">
      <c r="A292" s="21" t="n">
        <v>41699</v>
      </c>
      <c r="B292" s="76">
        <f>IF(VLOOKUP(A292,Database!$A:$AS,MATCH($B$1,Database!$A$1:$AS$1,0),FALSE)=0,#N/A,VLOOKUP(A292,Database!$A:$AS,MATCH($B$1,Database!$A$1:$AS$1,0),FALSE))</f>
        <v/>
      </c>
      <c r="C292" s="76">
        <f>IF(VLOOKUP(A292,Database!$A:$AS,MATCH($C$1,Database!$A$1:$AS$1,0),FALSE)=0,#N/A,VLOOKUP(A292,Database!$A:$AS,MATCH($C$1,Database!$A$1:$AS$1,0),FALSE))</f>
        <v/>
      </c>
      <c r="D292" s="76">
        <f>IF(VLOOKUP(A292,Database!$A:$AS,MATCH($D$1,Database!$A$1:$AS$1,0),FALSE)=0,#N/A,VLOOKUP(A292,Database!$A:$AS,MATCH($D$1,Database!$A$1:$AS$1,0),FALSE))</f>
        <v/>
      </c>
      <c r="E292" s="76">
        <f>IF(VLOOKUP(A292,Database!$A:$AS,MATCH($E$1,Database!$A$1:$AS$1,0),FALSE)=0,#N/A,VLOOKUP(A292,Database!$A:$AS,MATCH($E$1,Database!$A$1:$AS$1,0),FALSE))</f>
        <v/>
      </c>
      <c r="F292" s="76">
        <f>IF(VLOOKUP(A292,Database!$A:$AS,MATCH($F$1,Database!$A$1:$AS$1,0),FALSE)=0,#N/A,VLOOKUP(A292,Database!$A:$AS,MATCH($F$1,Database!$A$1:$AS$1,0),FALSE))</f>
        <v/>
      </c>
      <c r="G292" s="76">
        <f>IF(VLOOKUP(A292,Database!$A:$AS,MATCH($G$1,Database!$A$1:$AS$1,0),FALSE)=0,#N/A,VLOOKUP(A292,Database!$A:$AS,MATCH($G$1,Database!$A$1:$AS$1,0),FALSE))</f>
        <v/>
      </c>
      <c r="H292" s="76">
        <f>(((Table134567891011121314151617343[[#This Row],[ITA]]-VLOOKUP($U$1,A:B,2,))/VLOOKUP($U$1,A:B,2,))*100)+100</f>
        <v/>
      </c>
      <c r="I292" s="76">
        <f>(((Table134567891011121314151617343[[#This Row],[FRA]]-VLOOKUP($U$1,A:C,3,))/VLOOKUP($U$1,A:C,3,))*100)+100</f>
        <v/>
      </c>
      <c r="J292" s="76">
        <f>(((Table134567891011121314151617343[[#This Row],[DEU]]-VLOOKUP($U$1,A:D,4,))/VLOOKUP($U$1,A:D,4,))*100)+100</f>
        <v/>
      </c>
      <c r="K292" s="76">
        <f>(((Table134567891011121314151617343[[#This Row],[ESP]]-VLOOKUP($U$1,A:E,5,))/VLOOKUP($U$1,A:E,5,))*100)+100</f>
        <v/>
      </c>
      <c r="L292" s="76">
        <f>(((Table134567891011121314151617343[[#This Row],[EA19]]-VLOOKUP($U$1,A:F,6,))/VLOOKUP($U$1,A:F,6,))*100)+100</f>
        <v/>
      </c>
      <c r="M292" s="76">
        <f>(((Table134567891011121314151617343[[#This Row],[GBR]]-VLOOKUP($U$1,A:G,7,))/VLOOKUP($U$1,A:G,7,))*100)+100</f>
        <v/>
      </c>
      <c r="N292" s="76">
        <f>IF(VLOOKUP(A292,Database!$A:$AU,MATCH($N$1,Database!$A$1:$AU$1,0),FALSE)=0,#N/A,VLOOKUP(A292,Database!$A:$AU,MATCH($N$1,Database!$A$1:$AU$1,0),FALSE))</f>
        <v/>
      </c>
      <c r="O292" s="76">
        <f>(((Table134567891011121314151617343[[#This Row],[USA]]-VLOOKUP($U$1,A:N,14,))/VLOOKUP($U$1,A:N,14,))*100)+100</f>
        <v/>
      </c>
      <c r="P292" s="76">
        <f>IF(VLOOKUP(A292,Database!$A:$AS,MATCH($P$1,Database!$A$1:$AS$1,0),FALSE)=0,#N/A,VLOOKUP(A292,Database!$A:$AS,MATCH($P$1,Database!$A$1:$AS$1,0),FALSE))</f>
        <v/>
      </c>
      <c r="Q292" s="76">
        <f>(((Table134567891011121314151617343[[#This Row],[JPN]]-VLOOKUP($U$1,A:Q,16,))/VLOOKUP($U$1,A:Q,16,))*100)+100</f>
        <v/>
      </c>
    </row>
    <row r="293" customFormat="1" s="86">
      <c r="A293" s="21" t="n">
        <v>41730</v>
      </c>
      <c r="B293" s="76">
        <f>IF(VLOOKUP(A293,Database!$A:$AS,MATCH($B$1,Database!$A$1:$AS$1,0),FALSE)=0,#N/A,VLOOKUP(A293,Database!$A:$AS,MATCH($B$1,Database!$A$1:$AS$1,0),FALSE))</f>
        <v/>
      </c>
      <c r="C293" s="76">
        <f>IF(VLOOKUP(A293,Database!$A:$AS,MATCH($C$1,Database!$A$1:$AS$1,0),FALSE)=0,#N/A,VLOOKUP(A293,Database!$A:$AS,MATCH($C$1,Database!$A$1:$AS$1,0),FALSE))</f>
        <v/>
      </c>
      <c r="D293" s="76">
        <f>IF(VLOOKUP(A293,Database!$A:$AS,MATCH($D$1,Database!$A$1:$AS$1,0),FALSE)=0,#N/A,VLOOKUP(A293,Database!$A:$AS,MATCH($D$1,Database!$A$1:$AS$1,0),FALSE))</f>
        <v/>
      </c>
      <c r="E293" s="76">
        <f>IF(VLOOKUP(A293,Database!$A:$AS,MATCH($E$1,Database!$A$1:$AS$1,0),FALSE)=0,#N/A,VLOOKUP(A293,Database!$A:$AS,MATCH($E$1,Database!$A$1:$AS$1,0),FALSE))</f>
        <v/>
      </c>
      <c r="F293" s="76">
        <f>IF(VLOOKUP(A293,Database!$A:$AS,MATCH($F$1,Database!$A$1:$AS$1,0),FALSE)=0,#N/A,VLOOKUP(A293,Database!$A:$AS,MATCH($F$1,Database!$A$1:$AS$1,0),FALSE))</f>
        <v/>
      </c>
      <c r="G293" s="76">
        <f>IF(VLOOKUP(A293,Database!$A:$AS,MATCH($G$1,Database!$A$1:$AS$1,0),FALSE)=0,#N/A,VLOOKUP(A293,Database!$A:$AS,MATCH($G$1,Database!$A$1:$AS$1,0),FALSE))</f>
        <v/>
      </c>
      <c r="H293" s="76">
        <f>(((Table134567891011121314151617343[[#This Row],[ITA]]-VLOOKUP($U$1,A:B,2,))/VLOOKUP($U$1,A:B,2,))*100)+100</f>
        <v/>
      </c>
      <c r="I293" s="76">
        <f>(((Table134567891011121314151617343[[#This Row],[FRA]]-VLOOKUP($U$1,A:C,3,))/VLOOKUP($U$1,A:C,3,))*100)+100</f>
        <v/>
      </c>
      <c r="J293" s="76">
        <f>(((Table134567891011121314151617343[[#This Row],[DEU]]-VLOOKUP($U$1,A:D,4,))/VLOOKUP($U$1,A:D,4,))*100)+100</f>
        <v/>
      </c>
      <c r="K293" s="76">
        <f>(((Table134567891011121314151617343[[#This Row],[ESP]]-VLOOKUP($U$1,A:E,5,))/VLOOKUP($U$1,A:E,5,))*100)+100</f>
        <v/>
      </c>
      <c r="L293" s="76">
        <f>(((Table134567891011121314151617343[[#This Row],[EA19]]-VLOOKUP($U$1,A:F,6,))/VLOOKUP($U$1,A:F,6,))*100)+100</f>
        <v/>
      </c>
      <c r="M293" s="76">
        <f>(((Table134567891011121314151617343[[#This Row],[GBR]]-VLOOKUP($U$1,A:G,7,))/VLOOKUP($U$1,A:G,7,))*100)+100</f>
        <v/>
      </c>
      <c r="N293" s="76">
        <f>IF(VLOOKUP(A293,Database!$A:$AU,MATCH($N$1,Database!$A$1:$AU$1,0),FALSE)=0,#N/A,VLOOKUP(A293,Database!$A:$AU,MATCH($N$1,Database!$A$1:$AU$1,0),FALSE))</f>
        <v/>
      </c>
      <c r="O293" s="76">
        <f>(((Table134567891011121314151617343[[#This Row],[USA]]-VLOOKUP($U$1,A:N,14,))/VLOOKUP($U$1,A:N,14,))*100)+100</f>
        <v/>
      </c>
      <c r="P293" s="76">
        <f>IF(VLOOKUP(A293,Database!$A:$AS,MATCH($P$1,Database!$A$1:$AS$1,0),FALSE)=0,#N/A,VLOOKUP(A293,Database!$A:$AS,MATCH($P$1,Database!$A$1:$AS$1,0),FALSE))</f>
        <v/>
      </c>
      <c r="Q293" s="76">
        <f>(((Table134567891011121314151617343[[#This Row],[JPN]]-VLOOKUP($U$1,A:Q,16,))/VLOOKUP($U$1,A:Q,16,))*100)+100</f>
        <v/>
      </c>
    </row>
    <row r="294" customFormat="1" s="86">
      <c r="A294" s="21" t="n">
        <v>41760</v>
      </c>
      <c r="B294" s="76">
        <f>IF(VLOOKUP(A294,Database!$A:$AS,MATCH($B$1,Database!$A$1:$AS$1,0),FALSE)=0,#N/A,VLOOKUP(A294,Database!$A:$AS,MATCH($B$1,Database!$A$1:$AS$1,0),FALSE))</f>
        <v/>
      </c>
      <c r="C294" s="76">
        <f>IF(VLOOKUP(A294,Database!$A:$AS,MATCH($C$1,Database!$A$1:$AS$1,0),FALSE)=0,#N/A,VLOOKUP(A294,Database!$A:$AS,MATCH($C$1,Database!$A$1:$AS$1,0),FALSE))</f>
        <v/>
      </c>
      <c r="D294" s="76">
        <f>IF(VLOOKUP(A294,Database!$A:$AS,MATCH($D$1,Database!$A$1:$AS$1,0),FALSE)=0,#N/A,VLOOKUP(A294,Database!$A:$AS,MATCH($D$1,Database!$A$1:$AS$1,0),FALSE))</f>
        <v/>
      </c>
      <c r="E294" s="76">
        <f>IF(VLOOKUP(A294,Database!$A:$AS,MATCH($E$1,Database!$A$1:$AS$1,0),FALSE)=0,#N/A,VLOOKUP(A294,Database!$A:$AS,MATCH($E$1,Database!$A$1:$AS$1,0),FALSE))</f>
        <v/>
      </c>
      <c r="F294" s="76">
        <f>IF(VLOOKUP(A294,Database!$A:$AS,MATCH($F$1,Database!$A$1:$AS$1,0),FALSE)=0,#N/A,VLOOKUP(A294,Database!$A:$AS,MATCH($F$1,Database!$A$1:$AS$1,0),FALSE))</f>
        <v/>
      </c>
      <c r="G294" s="76">
        <f>IF(VLOOKUP(A294,Database!$A:$AS,MATCH($G$1,Database!$A$1:$AS$1,0),FALSE)=0,#N/A,VLOOKUP(A294,Database!$A:$AS,MATCH($G$1,Database!$A$1:$AS$1,0),FALSE))</f>
        <v/>
      </c>
      <c r="H294" s="76">
        <f>(((Table134567891011121314151617343[[#This Row],[ITA]]-VLOOKUP($U$1,A:B,2,))/VLOOKUP($U$1,A:B,2,))*100)+100</f>
        <v/>
      </c>
      <c r="I294" s="76">
        <f>(((Table134567891011121314151617343[[#This Row],[FRA]]-VLOOKUP($U$1,A:C,3,))/VLOOKUP($U$1,A:C,3,))*100)+100</f>
        <v/>
      </c>
      <c r="J294" s="76">
        <f>(((Table134567891011121314151617343[[#This Row],[DEU]]-VLOOKUP($U$1,A:D,4,))/VLOOKUP($U$1,A:D,4,))*100)+100</f>
        <v/>
      </c>
      <c r="K294" s="76">
        <f>(((Table134567891011121314151617343[[#This Row],[ESP]]-VLOOKUP($U$1,A:E,5,))/VLOOKUP($U$1,A:E,5,))*100)+100</f>
        <v/>
      </c>
      <c r="L294" s="76">
        <f>(((Table134567891011121314151617343[[#This Row],[EA19]]-VLOOKUP($U$1,A:F,6,))/VLOOKUP($U$1,A:F,6,))*100)+100</f>
        <v/>
      </c>
      <c r="M294" s="76">
        <f>(((Table134567891011121314151617343[[#This Row],[GBR]]-VLOOKUP($U$1,A:G,7,))/VLOOKUP($U$1,A:G,7,))*100)+100</f>
        <v/>
      </c>
      <c r="N294" s="76">
        <f>IF(VLOOKUP(A294,Database!$A:$AU,MATCH($N$1,Database!$A$1:$AU$1,0),FALSE)=0,#N/A,VLOOKUP(A294,Database!$A:$AU,MATCH($N$1,Database!$A$1:$AU$1,0),FALSE))</f>
        <v/>
      </c>
      <c r="O294" s="76">
        <f>(((Table134567891011121314151617343[[#This Row],[USA]]-VLOOKUP($U$1,A:N,14,))/VLOOKUP($U$1,A:N,14,))*100)+100</f>
        <v/>
      </c>
      <c r="P294" s="76">
        <f>IF(VLOOKUP(A294,Database!$A:$AS,MATCH($P$1,Database!$A$1:$AS$1,0),FALSE)=0,#N/A,VLOOKUP(A294,Database!$A:$AS,MATCH($P$1,Database!$A$1:$AS$1,0),FALSE))</f>
        <v/>
      </c>
      <c r="Q294" s="76">
        <f>(((Table134567891011121314151617343[[#This Row],[JPN]]-VLOOKUP($U$1,A:Q,16,))/VLOOKUP($U$1,A:Q,16,))*100)+100</f>
        <v/>
      </c>
    </row>
    <row r="295" customFormat="1" s="86">
      <c r="A295" s="21" t="n">
        <v>41791</v>
      </c>
      <c r="B295" s="76">
        <f>IF(VLOOKUP(A295,Database!$A:$AS,MATCH($B$1,Database!$A$1:$AS$1,0),FALSE)=0,#N/A,VLOOKUP(A295,Database!$A:$AS,MATCH($B$1,Database!$A$1:$AS$1,0),FALSE))</f>
        <v/>
      </c>
      <c r="C295" s="76">
        <f>IF(VLOOKUP(A295,Database!$A:$AS,MATCH($C$1,Database!$A$1:$AS$1,0),FALSE)=0,#N/A,VLOOKUP(A295,Database!$A:$AS,MATCH($C$1,Database!$A$1:$AS$1,0),FALSE))</f>
        <v/>
      </c>
      <c r="D295" s="76">
        <f>IF(VLOOKUP(A295,Database!$A:$AS,MATCH($D$1,Database!$A$1:$AS$1,0),FALSE)=0,#N/A,VLOOKUP(A295,Database!$A:$AS,MATCH($D$1,Database!$A$1:$AS$1,0),FALSE))</f>
        <v/>
      </c>
      <c r="E295" s="76">
        <f>IF(VLOOKUP(A295,Database!$A:$AS,MATCH($E$1,Database!$A$1:$AS$1,0),FALSE)=0,#N/A,VLOOKUP(A295,Database!$A:$AS,MATCH($E$1,Database!$A$1:$AS$1,0),FALSE))</f>
        <v/>
      </c>
      <c r="F295" s="76">
        <f>IF(VLOOKUP(A295,Database!$A:$AS,MATCH($F$1,Database!$A$1:$AS$1,0),FALSE)=0,#N/A,VLOOKUP(A295,Database!$A:$AS,MATCH($F$1,Database!$A$1:$AS$1,0),FALSE))</f>
        <v/>
      </c>
      <c r="G295" s="76">
        <f>IF(VLOOKUP(A295,Database!$A:$AS,MATCH($G$1,Database!$A$1:$AS$1,0),FALSE)=0,#N/A,VLOOKUP(A295,Database!$A:$AS,MATCH($G$1,Database!$A$1:$AS$1,0),FALSE))</f>
        <v/>
      </c>
      <c r="H295" s="76">
        <f>(((Table134567891011121314151617343[[#This Row],[ITA]]-VLOOKUP($U$1,A:B,2,))/VLOOKUP($U$1,A:B,2,))*100)+100</f>
        <v/>
      </c>
      <c r="I295" s="76">
        <f>(((Table134567891011121314151617343[[#This Row],[FRA]]-VLOOKUP($U$1,A:C,3,))/VLOOKUP($U$1,A:C,3,))*100)+100</f>
        <v/>
      </c>
      <c r="J295" s="76">
        <f>(((Table134567891011121314151617343[[#This Row],[DEU]]-VLOOKUP($U$1,A:D,4,))/VLOOKUP($U$1,A:D,4,))*100)+100</f>
        <v/>
      </c>
      <c r="K295" s="76">
        <f>(((Table134567891011121314151617343[[#This Row],[ESP]]-VLOOKUP($U$1,A:E,5,))/VLOOKUP($U$1,A:E,5,))*100)+100</f>
        <v/>
      </c>
      <c r="L295" s="76">
        <f>(((Table134567891011121314151617343[[#This Row],[EA19]]-VLOOKUP($U$1,A:F,6,))/VLOOKUP($U$1,A:F,6,))*100)+100</f>
        <v/>
      </c>
      <c r="M295" s="76">
        <f>(((Table134567891011121314151617343[[#This Row],[GBR]]-VLOOKUP($U$1,A:G,7,))/VLOOKUP($U$1,A:G,7,))*100)+100</f>
        <v/>
      </c>
      <c r="N295" s="76">
        <f>IF(VLOOKUP(A295,Database!$A:$AU,MATCH($N$1,Database!$A$1:$AU$1,0),FALSE)=0,#N/A,VLOOKUP(A295,Database!$A:$AU,MATCH($N$1,Database!$A$1:$AU$1,0),FALSE))</f>
        <v/>
      </c>
      <c r="O295" s="76">
        <f>(((Table134567891011121314151617343[[#This Row],[USA]]-VLOOKUP($U$1,A:N,14,))/VLOOKUP($U$1,A:N,14,))*100)+100</f>
        <v/>
      </c>
      <c r="P295" s="76">
        <f>IF(VLOOKUP(A295,Database!$A:$AS,MATCH($P$1,Database!$A$1:$AS$1,0),FALSE)=0,#N/A,VLOOKUP(A295,Database!$A:$AS,MATCH($P$1,Database!$A$1:$AS$1,0),FALSE))</f>
        <v/>
      </c>
      <c r="Q295" s="76">
        <f>(((Table134567891011121314151617343[[#This Row],[JPN]]-VLOOKUP($U$1,A:Q,16,))/VLOOKUP($U$1,A:Q,16,))*100)+100</f>
        <v/>
      </c>
    </row>
    <row r="296" customFormat="1" s="86">
      <c r="A296" s="21" t="n">
        <v>41821</v>
      </c>
      <c r="B296" s="76">
        <f>IF(VLOOKUP(A296,Database!$A:$AS,MATCH($B$1,Database!$A$1:$AS$1,0),FALSE)=0,#N/A,VLOOKUP(A296,Database!$A:$AS,MATCH($B$1,Database!$A$1:$AS$1,0),FALSE))</f>
        <v/>
      </c>
      <c r="C296" s="76">
        <f>IF(VLOOKUP(A296,Database!$A:$AS,MATCH($C$1,Database!$A$1:$AS$1,0),FALSE)=0,#N/A,VLOOKUP(A296,Database!$A:$AS,MATCH($C$1,Database!$A$1:$AS$1,0),FALSE))</f>
        <v/>
      </c>
      <c r="D296" s="76">
        <f>IF(VLOOKUP(A296,Database!$A:$AS,MATCH($D$1,Database!$A$1:$AS$1,0),FALSE)=0,#N/A,VLOOKUP(A296,Database!$A:$AS,MATCH($D$1,Database!$A$1:$AS$1,0),FALSE))</f>
        <v/>
      </c>
      <c r="E296" s="76">
        <f>IF(VLOOKUP(A296,Database!$A:$AS,MATCH($E$1,Database!$A$1:$AS$1,0),FALSE)=0,#N/A,VLOOKUP(A296,Database!$A:$AS,MATCH($E$1,Database!$A$1:$AS$1,0),FALSE))</f>
        <v/>
      </c>
      <c r="F296" s="76">
        <f>IF(VLOOKUP(A296,Database!$A:$AS,MATCH($F$1,Database!$A$1:$AS$1,0),FALSE)=0,#N/A,VLOOKUP(A296,Database!$A:$AS,MATCH($F$1,Database!$A$1:$AS$1,0),FALSE))</f>
        <v/>
      </c>
      <c r="G296" s="76">
        <f>IF(VLOOKUP(A296,Database!$A:$AS,MATCH($G$1,Database!$A$1:$AS$1,0),FALSE)=0,#N/A,VLOOKUP(A296,Database!$A:$AS,MATCH($G$1,Database!$A$1:$AS$1,0),FALSE))</f>
        <v/>
      </c>
      <c r="H296" s="76">
        <f>(((Table134567891011121314151617343[[#This Row],[ITA]]-VLOOKUP($U$1,A:B,2,))/VLOOKUP($U$1,A:B,2,))*100)+100</f>
        <v/>
      </c>
      <c r="I296" s="76">
        <f>(((Table134567891011121314151617343[[#This Row],[FRA]]-VLOOKUP($U$1,A:C,3,))/VLOOKUP($U$1,A:C,3,))*100)+100</f>
        <v/>
      </c>
      <c r="J296" s="76">
        <f>(((Table134567891011121314151617343[[#This Row],[DEU]]-VLOOKUP($U$1,A:D,4,))/VLOOKUP($U$1,A:D,4,))*100)+100</f>
        <v/>
      </c>
      <c r="K296" s="76">
        <f>(((Table134567891011121314151617343[[#This Row],[ESP]]-VLOOKUP($U$1,A:E,5,))/VLOOKUP($U$1,A:E,5,))*100)+100</f>
        <v/>
      </c>
      <c r="L296" s="76">
        <f>(((Table134567891011121314151617343[[#This Row],[EA19]]-VLOOKUP($U$1,A:F,6,))/VLOOKUP($U$1,A:F,6,))*100)+100</f>
        <v/>
      </c>
      <c r="M296" s="76">
        <f>(((Table134567891011121314151617343[[#This Row],[GBR]]-VLOOKUP($U$1,A:G,7,))/VLOOKUP($U$1,A:G,7,))*100)+100</f>
        <v/>
      </c>
      <c r="N296" s="76">
        <f>IF(VLOOKUP(A296,Database!$A:$AU,MATCH($N$1,Database!$A$1:$AU$1,0),FALSE)=0,#N/A,VLOOKUP(A296,Database!$A:$AU,MATCH($N$1,Database!$A$1:$AU$1,0),FALSE))</f>
        <v/>
      </c>
      <c r="O296" s="76">
        <f>(((Table134567891011121314151617343[[#This Row],[USA]]-VLOOKUP($U$1,A:N,14,))/VLOOKUP($U$1,A:N,14,))*100)+100</f>
        <v/>
      </c>
      <c r="P296" s="76">
        <f>IF(VLOOKUP(A296,Database!$A:$AS,MATCH($P$1,Database!$A$1:$AS$1,0),FALSE)=0,#N/A,VLOOKUP(A296,Database!$A:$AS,MATCH($P$1,Database!$A$1:$AS$1,0),FALSE))</f>
        <v/>
      </c>
      <c r="Q296" s="76">
        <f>(((Table134567891011121314151617343[[#This Row],[JPN]]-VLOOKUP($U$1,A:Q,16,))/VLOOKUP($U$1,A:Q,16,))*100)+100</f>
        <v/>
      </c>
    </row>
    <row r="297" customFormat="1" s="86">
      <c r="A297" s="21" t="n">
        <v>41852</v>
      </c>
      <c r="B297" s="76">
        <f>IF(VLOOKUP(A297,Database!$A:$AS,MATCH($B$1,Database!$A$1:$AS$1,0),FALSE)=0,#N/A,VLOOKUP(A297,Database!$A:$AS,MATCH($B$1,Database!$A$1:$AS$1,0),FALSE))</f>
        <v/>
      </c>
      <c r="C297" s="76">
        <f>IF(VLOOKUP(A297,Database!$A:$AS,MATCH($C$1,Database!$A$1:$AS$1,0),FALSE)=0,#N/A,VLOOKUP(A297,Database!$A:$AS,MATCH($C$1,Database!$A$1:$AS$1,0),FALSE))</f>
        <v/>
      </c>
      <c r="D297" s="76">
        <f>IF(VLOOKUP(A297,Database!$A:$AS,MATCH($D$1,Database!$A$1:$AS$1,0),FALSE)=0,#N/A,VLOOKUP(A297,Database!$A:$AS,MATCH($D$1,Database!$A$1:$AS$1,0),FALSE))</f>
        <v/>
      </c>
      <c r="E297" s="76">
        <f>IF(VLOOKUP(A297,Database!$A:$AS,MATCH($E$1,Database!$A$1:$AS$1,0),FALSE)=0,#N/A,VLOOKUP(A297,Database!$A:$AS,MATCH($E$1,Database!$A$1:$AS$1,0),FALSE))</f>
        <v/>
      </c>
      <c r="F297" s="76">
        <f>IF(VLOOKUP(A297,Database!$A:$AS,MATCH($F$1,Database!$A$1:$AS$1,0),FALSE)=0,#N/A,VLOOKUP(A297,Database!$A:$AS,MATCH($F$1,Database!$A$1:$AS$1,0),FALSE))</f>
        <v/>
      </c>
      <c r="G297" s="76">
        <f>IF(VLOOKUP(A297,Database!$A:$AS,MATCH($G$1,Database!$A$1:$AS$1,0),FALSE)=0,#N/A,VLOOKUP(A297,Database!$A:$AS,MATCH($G$1,Database!$A$1:$AS$1,0),FALSE))</f>
        <v/>
      </c>
      <c r="H297" s="76">
        <f>(((Table134567891011121314151617343[[#This Row],[ITA]]-VLOOKUP($U$1,A:B,2,))/VLOOKUP($U$1,A:B,2,))*100)+100</f>
        <v/>
      </c>
      <c r="I297" s="76">
        <f>(((Table134567891011121314151617343[[#This Row],[FRA]]-VLOOKUP($U$1,A:C,3,))/VLOOKUP($U$1,A:C,3,))*100)+100</f>
        <v/>
      </c>
      <c r="J297" s="76">
        <f>(((Table134567891011121314151617343[[#This Row],[DEU]]-VLOOKUP($U$1,A:D,4,))/VLOOKUP($U$1,A:D,4,))*100)+100</f>
        <v/>
      </c>
      <c r="K297" s="76">
        <f>(((Table134567891011121314151617343[[#This Row],[ESP]]-VLOOKUP($U$1,A:E,5,))/VLOOKUP($U$1,A:E,5,))*100)+100</f>
        <v/>
      </c>
      <c r="L297" s="76">
        <f>(((Table134567891011121314151617343[[#This Row],[EA19]]-VLOOKUP($U$1,A:F,6,))/VLOOKUP($U$1,A:F,6,))*100)+100</f>
        <v/>
      </c>
      <c r="M297" s="76">
        <f>(((Table134567891011121314151617343[[#This Row],[GBR]]-VLOOKUP($U$1,A:G,7,))/VLOOKUP($U$1,A:G,7,))*100)+100</f>
        <v/>
      </c>
      <c r="N297" s="76">
        <f>IF(VLOOKUP(A297,Database!$A:$AU,MATCH($N$1,Database!$A$1:$AU$1,0),FALSE)=0,#N/A,VLOOKUP(A297,Database!$A:$AU,MATCH($N$1,Database!$A$1:$AU$1,0),FALSE))</f>
        <v/>
      </c>
      <c r="O297" s="76">
        <f>(((Table134567891011121314151617343[[#This Row],[USA]]-VLOOKUP($U$1,A:N,14,))/VLOOKUP($U$1,A:N,14,))*100)+100</f>
        <v/>
      </c>
      <c r="P297" s="76">
        <f>IF(VLOOKUP(A297,Database!$A:$AS,MATCH($P$1,Database!$A$1:$AS$1,0),FALSE)=0,#N/A,VLOOKUP(A297,Database!$A:$AS,MATCH($P$1,Database!$A$1:$AS$1,0),FALSE))</f>
        <v/>
      </c>
      <c r="Q297" s="76">
        <f>(((Table134567891011121314151617343[[#This Row],[JPN]]-VLOOKUP($U$1,A:Q,16,))/VLOOKUP($U$1,A:Q,16,))*100)+100</f>
        <v/>
      </c>
    </row>
    <row r="298" customFormat="1" s="86">
      <c r="A298" s="21" t="n">
        <v>41883</v>
      </c>
      <c r="B298" s="76">
        <f>IF(VLOOKUP(A298,Database!$A:$AS,MATCH($B$1,Database!$A$1:$AS$1,0),FALSE)=0,#N/A,VLOOKUP(A298,Database!$A:$AS,MATCH($B$1,Database!$A$1:$AS$1,0),FALSE))</f>
        <v/>
      </c>
      <c r="C298" s="76">
        <f>IF(VLOOKUP(A298,Database!$A:$AS,MATCH($C$1,Database!$A$1:$AS$1,0),FALSE)=0,#N/A,VLOOKUP(A298,Database!$A:$AS,MATCH($C$1,Database!$A$1:$AS$1,0),FALSE))</f>
        <v/>
      </c>
      <c r="D298" s="76">
        <f>IF(VLOOKUP(A298,Database!$A:$AS,MATCH($D$1,Database!$A$1:$AS$1,0),FALSE)=0,#N/A,VLOOKUP(A298,Database!$A:$AS,MATCH($D$1,Database!$A$1:$AS$1,0),FALSE))</f>
        <v/>
      </c>
      <c r="E298" s="76">
        <f>IF(VLOOKUP(A298,Database!$A:$AS,MATCH($E$1,Database!$A$1:$AS$1,0),FALSE)=0,#N/A,VLOOKUP(A298,Database!$A:$AS,MATCH($E$1,Database!$A$1:$AS$1,0),FALSE))</f>
        <v/>
      </c>
      <c r="F298" s="76">
        <f>IF(VLOOKUP(A298,Database!$A:$AS,MATCH($F$1,Database!$A$1:$AS$1,0),FALSE)=0,#N/A,VLOOKUP(A298,Database!$A:$AS,MATCH($F$1,Database!$A$1:$AS$1,0),FALSE))</f>
        <v/>
      </c>
      <c r="G298" s="76">
        <f>IF(VLOOKUP(A298,Database!$A:$AS,MATCH($G$1,Database!$A$1:$AS$1,0),FALSE)=0,#N/A,VLOOKUP(A298,Database!$A:$AS,MATCH($G$1,Database!$A$1:$AS$1,0),FALSE))</f>
        <v/>
      </c>
      <c r="H298" s="76">
        <f>(((Table134567891011121314151617343[[#This Row],[ITA]]-VLOOKUP($U$1,A:B,2,))/VLOOKUP($U$1,A:B,2,))*100)+100</f>
        <v/>
      </c>
      <c r="I298" s="76">
        <f>(((Table134567891011121314151617343[[#This Row],[FRA]]-VLOOKUP($U$1,A:C,3,))/VLOOKUP($U$1,A:C,3,))*100)+100</f>
        <v/>
      </c>
      <c r="J298" s="76">
        <f>(((Table134567891011121314151617343[[#This Row],[DEU]]-VLOOKUP($U$1,A:D,4,))/VLOOKUP($U$1,A:D,4,))*100)+100</f>
        <v/>
      </c>
      <c r="K298" s="76">
        <f>(((Table134567891011121314151617343[[#This Row],[ESP]]-VLOOKUP($U$1,A:E,5,))/VLOOKUP($U$1,A:E,5,))*100)+100</f>
        <v/>
      </c>
      <c r="L298" s="76">
        <f>(((Table134567891011121314151617343[[#This Row],[EA19]]-VLOOKUP($U$1,A:F,6,))/VLOOKUP($U$1,A:F,6,))*100)+100</f>
        <v/>
      </c>
      <c r="M298" s="76">
        <f>(((Table134567891011121314151617343[[#This Row],[GBR]]-VLOOKUP($U$1,A:G,7,))/VLOOKUP($U$1,A:G,7,))*100)+100</f>
        <v/>
      </c>
      <c r="N298" s="76">
        <f>IF(VLOOKUP(A298,Database!$A:$AU,MATCH($N$1,Database!$A$1:$AU$1,0),FALSE)=0,#N/A,VLOOKUP(A298,Database!$A:$AU,MATCH($N$1,Database!$A$1:$AU$1,0),FALSE))</f>
        <v/>
      </c>
      <c r="O298" s="76">
        <f>(((Table134567891011121314151617343[[#This Row],[USA]]-VLOOKUP($U$1,A:N,14,))/VLOOKUP($U$1,A:N,14,))*100)+100</f>
        <v/>
      </c>
      <c r="P298" s="76">
        <f>IF(VLOOKUP(A298,Database!$A:$AS,MATCH($P$1,Database!$A$1:$AS$1,0),FALSE)=0,#N/A,VLOOKUP(A298,Database!$A:$AS,MATCH($P$1,Database!$A$1:$AS$1,0),FALSE))</f>
        <v/>
      </c>
      <c r="Q298" s="76">
        <f>(((Table134567891011121314151617343[[#This Row],[JPN]]-VLOOKUP($U$1,A:Q,16,))/VLOOKUP($U$1,A:Q,16,))*100)+100</f>
        <v/>
      </c>
    </row>
    <row r="299" customFormat="1" s="86">
      <c r="A299" s="21" t="n">
        <v>41913</v>
      </c>
      <c r="B299" s="76">
        <f>IF(VLOOKUP(A299,Database!$A:$AS,MATCH($B$1,Database!$A$1:$AS$1,0),FALSE)=0,#N/A,VLOOKUP(A299,Database!$A:$AS,MATCH($B$1,Database!$A$1:$AS$1,0),FALSE))</f>
        <v/>
      </c>
      <c r="C299" s="76">
        <f>IF(VLOOKUP(A299,Database!$A:$AS,MATCH($C$1,Database!$A$1:$AS$1,0),FALSE)=0,#N/A,VLOOKUP(A299,Database!$A:$AS,MATCH($C$1,Database!$A$1:$AS$1,0),FALSE))</f>
        <v/>
      </c>
      <c r="D299" s="76">
        <f>IF(VLOOKUP(A299,Database!$A:$AS,MATCH($D$1,Database!$A$1:$AS$1,0),FALSE)=0,#N/A,VLOOKUP(A299,Database!$A:$AS,MATCH($D$1,Database!$A$1:$AS$1,0),FALSE))</f>
        <v/>
      </c>
      <c r="E299" s="76">
        <f>IF(VLOOKUP(A299,Database!$A:$AS,MATCH($E$1,Database!$A$1:$AS$1,0),FALSE)=0,#N/A,VLOOKUP(A299,Database!$A:$AS,MATCH($E$1,Database!$A$1:$AS$1,0),FALSE))</f>
        <v/>
      </c>
      <c r="F299" s="76">
        <f>IF(VLOOKUP(A299,Database!$A:$AS,MATCH($F$1,Database!$A$1:$AS$1,0),FALSE)=0,#N/A,VLOOKUP(A299,Database!$A:$AS,MATCH($F$1,Database!$A$1:$AS$1,0),FALSE))</f>
        <v/>
      </c>
      <c r="G299" s="76">
        <f>IF(VLOOKUP(A299,Database!$A:$AS,MATCH($G$1,Database!$A$1:$AS$1,0),FALSE)=0,#N/A,VLOOKUP(A299,Database!$A:$AS,MATCH($G$1,Database!$A$1:$AS$1,0),FALSE))</f>
        <v/>
      </c>
      <c r="H299" s="76">
        <f>(((Table134567891011121314151617343[[#This Row],[ITA]]-VLOOKUP($U$1,A:B,2,))/VLOOKUP($U$1,A:B,2,))*100)+100</f>
        <v/>
      </c>
      <c r="I299" s="76">
        <f>(((Table134567891011121314151617343[[#This Row],[FRA]]-VLOOKUP($U$1,A:C,3,))/VLOOKUP($U$1,A:C,3,))*100)+100</f>
        <v/>
      </c>
      <c r="J299" s="76">
        <f>(((Table134567891011121314151617343[[#This Row],[DEU]]-VLOOKUP($U$1,A:D,4,))/VLOOKUP($U$1,A:D,4,))*100)+100</f>
        <v/>
      </c>
      <c r="K299" s="76">
        <f>(((Table134567891011121314151617343[[#This Row],[ESP]]-VLOOKUP($U$1,A:E,5,))/VLOOKUP($U$1,A:E,5,))*100)+100</f>
        <v/>
      </c>
      <c r="L299" s="76">
        <f>(((Table134567891011121314151617343[[#This Row],[EA19]]-VLOOKUP($U$1,A:F,6,))/VLOOKUP($U$1,A:F,6,))*100)+100</f>
        <v/>
      </c>
      <c r="M299" s="76">
        <f>(((Table134567891011121314151617343[[#This Row],[GBR]]-VLOOKUP($U$1,A:G,7,))/VLOOKUP($U$1,A:G,7,))*100)+100</f>
        <v/>
      </c>
      <c r="N299" s="76">
        <f>IF(VLOOKUP(A299,Database!$A:$AU,MATCH($N$1,Database!$A$1:$AU$1,0),FALSE)=0,#N/A,VLOOKUP(A299,Database!$A:$AU,MATCH($N$1,Database!$A$1:$AU$1,0),FALSE))</f>
        <v/>
      </c>
      <c r="O299" s="76">
        <f>(((Table134567891011121314151617343[[#This Row],[USA]]-VLOOKUP($U$1,A:N,14,))/VLOOKUP($U$1,A:N,14,))*100)+100</f>
        <v/>
      </c>
      <c r="P299" s="76">
        <f>IF(VLOOKUP(A299,Database!$A:$AS,MATCH($P$1,Database!$A$1:$AS$1,0),FALSE)=0,#N/A,VLOOKUP(A299,Database!$A:$AS,MATCH($P$1,Database!$A$1:$AS$1,0),FALSE))</f>
        <v/>
      </c>
      <c r="Q299" s="76">
        <f>(((Table134567891011121314151617343[[#This Row],[JPN]]-VLOOKUP($U$1,A:Q,16,))/VLOOKUP($U$1,A:Q,16,))*100)+100</f>
        <v/>
      </c>
    </row>
    <row r="300" customFormat="1" s="86">
      <c r="A300" s="21" t="n">
        <v>41944</v>
      </c>
      <c r="B300" s="76">
        <f>IF(VLOOKUP(A300,Database!$A:$AS,MATCH($B$1,Database!$A$1:$AS$1,0),FALSE)=0,#N/A,VLOOKUP(A300,Database!$A:$AS,MATCH($B$1,Database!$A$1:$AS$1,0),FALSE))</f>
        <v/>
      </c>
      <c r="C300" s="76">
        <f>IF(VLOOKUP(A300,Database!$A:$AS,MATCH($C$1,Database!$A$1:$AS$1,0),FALSE)=0,#N/A,VLOOKUP(A300,Database!$A:$AS,MATCH($C$1,Database!$A$1:$AS$1,0),FALSE))</f>
        <v/>
      </c>
      <c r="D300" s="76">
        <f>IF(VLOOKUP(A300,Database!$A:$AS,MATCH($D$1,Database!$A$1:$AS$1,0),FALSE)=0,#N/A,VLOOKUP(A300,Database!$A:$AS,MATCH($D$1,Database!$A$1:$AS$1,0),FALSE))</f>
        <v/>
      </c>
      <c r="E300" s="76">
        <f>IF(VLOOKUP(A300,Database!$A:$AS,MATCH($E$1,Database!$A$1:$AS$1,0),FALSE)=0,#N/A,VLOOKUP(A300,Database!$A:$AS,MATCH($E$1,Database!$A$1:$AS$1,0),FALSE))</f>
        <v/>
      </c>
      <c r="F300" s="76">
        <f>IF(VLOOKUP(A300,Database!$A:$AS,MATCH($F$1,Database!$A$1:$AS$1,0),FALSE)=0,#N/A,VLOOKUP(A300,Database!$A:$AS,MATCH($F$1,Database!$A$1:$AS$1,0),FALSE))</f>
        <v/>
      </c>
      <c r="G300" s="76">
        <f>IF(VLOOKUP(A300,Database!$A:$AS,MATCH($G$1,Database!$A$1:$AS$1,0),FALSE)=0,#N/A,VLOOKUP(A300,Database!$A:$AS,MATCH($G$1,Database!$A$1:$AS$1,0),FALSE))</f>
        <v/>
      </c>
      <c r="H300" s="76">
        <f>(((Table134567891011121314151617343[[#This Row],[ITA]]-VLOOKUP($U$1,A:B,2,))/VLOOKUP($U$1,A:B,2,))*100)+100</f>
        <v/>
      </c>
      <c r="I300" s="76">
        <f>(((Table134567891011121314151617343[[#This Row],[FRA]]-VLOOKUP($U$1,A:C,3,))/VLOOKUP($U$1,A:C,3,))*100)+100</f>
        <v/>
      </c>
      <c r="J300" s="76">
        <f>(((Table134567891011121314151617343[[#This Row],[DEU]]-VLOOKUP($U$1,A:D,4,))/VLOOKUP($U$1,A:D,4,))*100)+100</f>
        <v/>
      </c>
      <c r="K300" s="76">
        <f>(((Table134567891011121314151617343[[#This Row],[ESP]]-VLOOKUP($U$1,A:E,5,))/VLOOKUP($U$1,A:E,5,))*100)+100</f>
        <v/>
      </c>
      <c r="L300" s="76">
        <f>(((Table134567891011121314151617343[[#This Row],[EA19]]-VLOOKUP($U$1,A:F,6,))/VLOOKUP($U$1,A:F,6,))*100)+100</f>
        <v/>
      </c>
      <c r="M300" s="76">
        <f>(((Table134567891011121314151617343[[#This Row],[GBR]]-VLOOKUP($U$1,A:G,7,))/VLOOKUP($U$1,A:G,7,))*100)+100</f>
        <v/>
      </c>
      <c r="N300" s="76">
        <f>IF(VLOOKUP(A300,Database!$A:$AU,MATCH($N$1,Database!$A$1:$AU$1,0),FALSE)=0,#N/A,VLOOKUP(A300,Database!$A:$AU,MATCH($N$1,Database!$A$1:$AU$1,0),FALSE))</f>
        <v/>
      </c>
      <c r="O300" s="76">
        <f>(((Table134567891011121314151617343[[#This Row],[USA]]-VLOOKUP($U$1,A:N,14,))/VLOOKUP($U$1,A:N,14,))*100)+100</f>
        <v/>
      </c>
      <c r="P300" s="76">
        <f>IF(VLOOKUP(A300,Database!$A:$AS,MATCH($P$1,Database!$A$1:$AS$1,0),FALSE)=0,#N/A,VLOOKUP(A300,Database!$A:$AS,MATCH($P$1,Database!$A$1:$AS$1,0),FALSE))</f>
        <v/>
      </c>
      <c r="Q300" s="76">
        <f>(((Table134567891011121314151617343[[#This Row],[JPN]]-VLOOKUP($U$1,A:Q,16,))/VLOOKUP($U$1,A:Q,16,))*100)+100</f>
        <v/>
      </c>
    </row>
    <row r="301" customFormat="1" s="86">
      <c r="A301" s="21" t="n">
        <v>41974</v>
      </c>
      <c r="B301" s="76">
        <f>IF(VLOOKUP(A301,Database!$A:$AS,MATCH($B$1,Database!$A$1:$AS$1,0),FALSE)=0,#N/A,VLOOKUP(A301,Database!$A:$AS,MATCH($B$1,Database!$A$1:$AS$1,0),FALSE))</f>
        <v/>
      </c>
      <c r="C301" s="76">
        <f>IF(VLOOKUP(A301,Database!$A:$AS,MATCH($C$1,Database!$A$1:$AS$1,0),FALSE)=0,#N/A,VLOOKUP(A301,Database!$A:$AS,MATCH($C$1,Database!$A$1:$AS$1,0),FALSE))</f>
        <v/>
      </c>
      <c r="D301" s="76">
        <f>IF(VLOOKUP(A301,Database!$A:$AS,MATCH($D$1,Database!$A$1:$AS$1,0),FALSE)=0,#N/A,VLOOKUP(A301,Database!$A:$AS,MATCH($D$1,Database!$A$1:$AS$1,0),FALSE))</f>
        <v/>
      </c>
      <c r="E301" s="76">
        <f>IF(VLOOKUP(A301,Database!$A:$AS,MATCH($E$1,Database!$A$1:$AS$1,0),FALSE)=0,#N/A,VLOOKUP(A301,Database!$A:$AS,MATCH($E$1,Database!$A$1:$AS$1,0),FALSE))</f>
        <v/>
      </c>
      <c r="F301" s="76">
        <f>IF(VLOOKUP(A301,Database!$A:$AS,MATCH($F$1,Database!$A$1:$AS$1,0),FALSE)=0,#N/A,VLOOKUP(A301,Database!$A:$AS,MATCH($F$1,Database!$A$1:$AS$1,0),FALSE))</f>
        <v/>
      </c>
      <c r="G301" s="76">
        <f>IF(VLOOKUP(A301,Database!$A:$AS,MATCH($G$1,Database!$A$1:$AS$1,0),FALSE)=0,#N/A,VLOOKUP(A301,Database!$A:$AS,MATCH($G$1,Database!$A$1:$AS$1,0),FALSE))</f>
        <v/>
      </c>
      <c r="H301" s="76">
        <f>(((Table134567891011121314151617343[[#This Row],[ITA]]-VLOOKUP($U$1,A:B,2,))/VLOOKUP($U$1,A:B,2,))*100)+100</f>
        <v/>
      </c>
      <c r="I301" s="76">
        <f>(((Table134567891011121314151617343[[#This Row],[FRA]]-VLOOKUP($U$1,A:C,3,))/VLOOKUP($U$1,A:C,3,))*100)+100</f>
        <v/>
      </c>
      <c r="J301" s="76">
        <f>(((Table134567891011121314151617343[[#This Row],[DEU]]-VLOOKUP($U$1,A:D,4,))/VLOOKUP($U$1,A:D,4,))*100)+100</f>
        <v/>
      </c>
      <c r="K301" s="76">
        <f>(((Table134567891011121314151617343[[#This Row],[ESP]]-VLOOKUP($U$1,A:E,5,))/VLOOKUP($U$1,A:E,5,))*100)+100</f>
        <v/>
      </c>
      <c r="L301" s="76">
        <f>(((Table134567891011121314151617343[[#This Row],[EA19]]-VLOOKUP($U$1,A:F,6,))/VLOOKUP($U$1,A:F,6,))*100)+100</f>
        <v/>
      </c>
      <c r="M301" s="76">
        <f>(((Table134567891011121314151617343[[#This Row],[GBR]]-VLOOKUP($U$1,A:G,7,))/VLOOKUP($U$1,A:G,7,))*100)+100</f>
        <v/>
      </c>
      <c r="N301" s="76">
        <f>IF(VLOOKUP(A301,Database!$A:$AU,MATCH($N$1,Database!$A$1:$AU$1,0),FALSE)=0,#N/A,VLOOKUP(A301,Database!$A:$AU,MATCH($N$1,Database!$A$1:$AU$1,0),FALSE))</f>
        <v/>
      </c>
      <c r="O301" s="76">
        <f>(((Table134567891011121314151617343[[#This Row],[USA]]-VLOOKUP($U$1,A:N,14,))/VLOOKUP($U$1,A:N,14,))*100)+100</f>
        <v/>
      </c>
      <c r="P301" s="76">
        <f>IF(VLOOKUP(A301,Database!$A:$AS,MATCH($P$1,Database!$A$1:$AS$1,0),FALSE)=0,#N/A,VLOOKUP(A301,Database!$A:$AS,MATCH($P$1,Database!$A$1:$AS$1,0),FALSE))</f>
        <v/>
      </c>
      <c r="Q301" s="76">
        <f>(((Table134567891011121314151617343[[#This Row],[JPN]]-VLOOKUP($U$1,A:Q,16,))/VLOOKUP($U$1,A:Q,16,))*100)+100</f>
        <v/>
      </c>
    </row>
    <row r="302" customFormat="1" s="86">
      <c r="A302" s="21" t="n">
        <v>42005</v>
      </c>
      <c r="B302" s="76">
        <f>IF(VLOOKUP(A302,Database!$A:$AS,MATCH($B$1,Database!$A$1:$AS$1,0),FALSE)=0,#N/A,VLOOKUP(A302,Database!$A:$AS,MATCH($B$1,Database!$A$1:$AS$1,0),FALSE))</f>
        <v/>
      </c>
      <c r="C302" s="76">
        <f>IF(VLOOKUP(A302,Database!$A:$AS,MATCH($C$1,Database!$A$1:$AS$1,0),FALSE)=0,#N/A,VLOOKUP(A302,Database!$A:$AS,MATCH($C$1,Database!$A$1:$AS$1,0),FALSE))</f>
        <v/>
      </c>
      <c r="D302" s="76">
        <f>IF(VLOOKUP(A302,Database!$A:$AS,MATCH($D$1,Database!$A$1:$AS$1,0),FALSE)=0,#N/A,VLOOKUP(A302,Database!$A:$AS,MATCH($D$1,Database!$A$1:$AS$1,0),FALSE))</f>
        <v/>
      </c>
      <c r="E302" s="76">
        <f>IF(VLOOKUP(A302,Database!$A:$AS,MATCH($E$1,Database!$A$1:$AS$1,0),FALSE)=0,#N/A,VLOOKUP(A302,Database!$A:$AS,MATCH($E$1,Database!$A$1:$AS$1,0),FALSE))</f>
        <v/>
      </c>
      <c r="F302" s="76">
        <f>IF(VLOOKUP(A302,Database!$A:$AS,MATCH($F$1,Database!$A$1:$AS$1,0),FALSE)=0,#N/A,VLOOKUP(A302,Database!$A:$AS,MATCH($F$1,Database!$A$1:$AS$1,0),FALSE))</f>
        <v/>
      </c>
      <c r="G302" s="76">
        <f>IF(VLOOKUP(A302,Database!$A:$AS,MATCH($G$1,Database!$A$1:$AS$1,0),FALSE)=0,#N/A,VLOOKUP(A302,Database!$A:$AS,MATCH($G$1,Database!$A$1:$AS$1,0),FALSE))</f>
        <v/>
      </c>
      <c r="H302" s="76">
        <f>(((Table134567891011121314151617343[[#This Row],[ITA]]-VLOOKUP($U$1,A:B,2,))/VLOOKUP($U$1,A:B,2,))*100)+100</f>
        <v/>
      </c>
      <c r="I302" s="76">
        <f>(((Table134567891011121314151617343[[#This Row],[FRA]]-VLOOKUP($U$1,A:C,3,))/VLOOKUP($U$1,A:C,3,))*100)+100</f>
        <v/>
      </c>
      <c r="J302" s="76">
        <f>(((Table134567891011121314151617343[[#This Row],[DEU]]-VLOOKUP($U$1,A:D,4,))/VLOOKUP($U$1,A:D,4,))*100)+100</f>
        <v/>
      </c>
      <c r="K302" s="76">
        <f>(((Table134567891011121314151617343[[#This Row],[ESP]]-VLOOKUP($U$1,A:E,5,))/VLOOKUP($U$1,A:E,5,))*100)+100</f>
        <v/>
      </c>
      <c r="L302" s="76">
        <f>(((Table134567891011121314151617343[[#This Row],[EA19]]-VLOOKUP($U$1,A:F,6,))/VLOOKUP($U$1,A:F,6,))*100)+100</f>
        <v/>
      </c>
      <c r="M302" s="76">
        <f>(((Table134567891011121314151617343[[#This Row],[GBR]]-VLOOKUP($U$1,A:G,7,))/VLOOKUP($U$1,A:G,7,))*100)+100</f>
        <v/>
      </c>
      <c r="N302" s="76">
        <f>IF(VLOOKUP(A302,Database!$A:$AU,MATCH($N$1,Database!$A$1:$AU$1,0),FALSE)=0,#N/A,VLOOKUP(A302,Database!$A:$AU,MATCH($N$1,Database!$A$1:$AU$1,0),FALSE))</f>
        <v/>
      </c>
      <c r="O302" s="76">
        <f>(((Table134567891011121314151617343[[#This Row],[USA]]-VLOOKUP($U$1,A:N,14,))/VLOOKUP($U$1,A:N,14,))*100)+100</f>
        <v/>
      </c>
      <c r="P302" s="76">
        <f>IF(VLOOKUP(A302,Database!$A:$AS,MATCH($P$1,Database!$A$1:$AS$1,0),FALSE)=0,#N/A,VLOOKUP(A302,Database!$A:$AS,MATCH($P$1,Database!$A$1:$AS$1,0),FALSE))</f>
        <v/>
      </c>
      <c r="Q302" s="76">
        <f>(((Table134567891011121314151617343[[#This Row],[JPN]]-VLOOKUP($U$1,A:Q,16,))/VLOOKUP($U$1,A:Q,16,))*100)+100</f>
        <v/>
      </c>
    </row>
    <row r="303" customFormat="1" s="86">
      <c r="A303" s="21" t="n">
        <v>42036</v>
      </c>
      <c r="B303" s="76">
        <f>IF(VLOOKUP(A303,Database!$A:$AS,MATCH($B$1,Database!$A$1:$AS$1,0),FALSE)=0,#N/A,VLOOKUP(A303,Database!$A:$AS,MATCH($B$1,Database!$A$1:$AS$1,0),FALSE))</f>
        <v/>
      </c>
      <c r="C303" s="76">
        <f>IF(VLOOKUP(A303,Database!$A:$AS,MATCH($C$1,Database!$A$1:$AS$1,0),FALSE)=0,#N/A,VLOOKUP(A303,Database!$A:$AS,MATCH($C$1,Database!$A$1:$AS$1,0),FALSE))</f>
        <v/>
      </c>
      <c r="D303" s="76">
        <f>IF(VLOOKUP(A303,Database!$A:$AS,MATCH($D$1,Database!$A$1:$AS$1,0),FALSE)=0,#N/A,VLOOKUP(A303,Database!$A:$AS,MATCH($D$1,Database!$A$1:$AS$1,0),FALSE))</f>
        <v/>
      </c>
      <c r="E303" s="76">
        <f>IF(VLOOKUP(A303,Database!$A:$AS,MATCH($E$1,Database!$A$1:$AS$1,0),FALSE)=0,#N/A,VLOOKUP(A303,Database!$A:$AS,MATCH($E$1,Database!$A$1:$AS$1,0),FALSE))</f>
        <v/>
      </c>
      <c r="F303" s="76">
        <f>IF(VLOOKUP(A303,Database!$A:$AS,MATCH($F$1,Database!$A$1:$AS$1,0),FALSE)=0,#N/A,VLOOKUP(A303,Database!$A:$AS,MATCH($F$1,Database!$A$1:$AS$1,0),FALSE))</f>
        <v/>
      </c>
      <c r="G303" s="76">
        <f>IF(VLOOKUP(A303,Database!$A:$AS,MATCH($G$1,Database!$A$1:$AS$1,0),FALSE)=0,#N/A,VLOOKUP(A303,Database!$A:$AS,MATCH($G$1,Database!$A$1:$AS$1,0),FALSE))</f>
        <v/>
      </c>
      <c r="H303" s="76">
        <f>(((Table134567891011121314151617343[[#This Row],[ITA]]-VLOOKUP($U$1,A:B,2,))/VLOOKUP($U$1,A:B,2,))*100)+100</f>
        <v/>
      </c>
      <c r="I303" s="76">
        <f>(((Table134567891011121314151617343[[#This Row],[FRA]]-VLOOKUP($U$1,A:C,3,))/VLOOKUP($U$1,A:C,3,))*100)+100</f>
        <v/>
      </c>
      <c r="J303" s="76">
        <f>(((Table134567891011121314151617343[[#This Row],[DEU]]-VLOOKUP($U$1,A:D,4,))/VLOOKUP($U$1,A:D,4,))*100)+100</f>
        <v/>
      </c>
      <c r="K303" s="76">
        <f>(((Table134567891011121314151617343[[#This Row],[ESP]]-VLOOKUP($U$1,A:E,5,))/VLOOKUP($U$1,A:E,5,))*100)+100</f>
        <v/>
      </c>
      <c r="L303" s="76">
        <f>(((Table134567891011121314151617343[[#This Row],[EA19]]-VLOOKUP($U$1,A:F,6,))/VLOOKUP($U$1,A:F,6,))*100)+100</f>
        <v/>
      </c>
      <c r="M303" s="76">
        <f>(((Table134567891011121314151617343[[#This Row],[GBR]]-VLOOKUP($U$1,A:G,7,))/VLOOKUP($U$1,A:G,7,))*100)+100</f>
        <v/>
      </c>
      <c r="N303" s="76">
        <f>IF(VLOOKUP(A303,Database!$A:$AU,MATCH($N$1,Database!$A$1:$AU$1,0),FALSE)=0,#N/A,VLOOKUP(A303,Database!$A:$AU,MATCH($N$1,Database!$A$1:$AU$1,0),FALSE))</f>
        <v/>
      </c>
      <c r="O303" s="76">
        <f>(((Table134567891011121314151617343[[#This Row],[USA]]-VLOOKUP($U$1,A:N,14,))/VLOOKUP($U$1,A:N,14,))*100)+100</f>
        <v/>
      </c>
      <c r="P303" s="76">
        <f>IF(VLOOKUP(A303,Database!$A:$AS,MATCH($P$1,Database!$A$1:$AS$1,0),FALSE)=0,#N/A,VLOOKUP(A303,Database!$A:$AS,MATCH($P$1,Database!$A$1:$AS$1,0),FALSE))</f>
        <v/>
      </c>
      <c r="Q303" s="76">
        <f>(((Table134567891011121314151617343[[#This Row],[JPN]]-VLOOKUP($U$1,A:Q,16,))/VLOOKUP($U$1,A:Q,16,))*100)+100</f>
        <v/>
      </c>
    </row>
    <row r="304" customFormat="1" s="86">
      <c r="A304" s="21" t="n">
        <v>42064</v>
      </c>
      <c r="B304" s="76">
        <f>IF(VLOOKUP(A304,Database!$A:$AS,MATCH($B$1,Database!$A$1:$AS$1,0),FALSE)=0,#N/A,VLOOKUP(A304,Database!$A:$AS,MATCH($B$1,Database!$A$1:$AS$1,0),FALSE))</f>
        <v/>
      </c>
      <c r="C304" s="76">
        <f>IF(VLOOKUP(A304,Database!$A:$AS,MATCH($C$1,Database!$A$1:$AS$1,0),FALSE)=0,#N/A,VLOOKUP(A304,Database!$A:$AS,MATCH($C$1,Database!$A$1:$AS$1,0),FALSE))</f>
        <v/>
      </c>
      <c r="D304" s="76">
        <f>IF(VLOOKUP(A304,Database!$A:$AS,MATCH($D$1,Database!$A$1:$AS$1,0),FALSE)=0,#N/A,VLOOKUP(A304,Database!$A:$AS,MATCH($D$1,Database!$A$1:$AS$1,0),FALSE))</f>
        <v/>
      </c>
      <c r="E304" s="76">
        <f>IF(VLOOKUP(A304,Database!$A:$AS,MATCH($E$1,Database!$A$1:$AS$1,0),FALSE)=0,#N/A,VLOOKUP(A304,Database!$A:$AS,MATCH($E$1,Database!$A$1:$AS$1,0),FALSE))</f>
        <v/>
      </c>
      <c r="F304" s="76">
        <f>IF(VLOOKUP(A304,Database!$A:$AS,MATCH($F$1,Database!$A$1:$AS$1,0),FALSE)=0,#N/A,VLOOKUP(A304,Database!$A:$AS,MATCH($F$1,Database!$A$1:$AS$1,0),FALSE))</f>
        <v/>
      </c>
      <c r="G304" s="76">
        <f>IF(VLOOKUP(A304,Database!$A:$AS,MATCH($G$1,Database!$A$1:$AS$1,0),FALSE)=0,#N/A,VLOOKUP(A304,Database!$A:$AS,MATCH($G$1,Database!$A$1:$AS$1,0),FALSE))</f>
        <v/>
      </c>
      <c r="H304" s="76">
        <f>(((Table134567891011121314151617343[[#This Row],[ITA]]-VLOOKUP($U$1,A:B,2,))/VLOOKUP($U$1,A:B,2,))*100)+100</f>
        <v/>
      </c>
      <c r="I304" s="76">
        <f>(((Table134567891011121314151617343[[#This Row],[FRA]]-VLOOKUP($U$1,A:C,3,))/VLOOKUP($U$1,A:C,3,))*100)+100</f>
        <v/>
      </c>
      <c r="J304" s="76">
        <f>(((Table134567891011121314151617343[[#This Row],[DEU]]-VLOOKUP($U$1,A:D,4,))/VLOOKUP($U$1,A:D,4,))*100)+100</f>
        <v/>
      </c>
      <c r="K304" s="76">
        <f>(((Table134567891011121314151617343[[#This Row],[ESP]]-VLOOKUP($U$1,A:E,5,))/VLOOKUP($U$1,A:E,5,))*100)+100</f>
        <v/>
      </c>
      <c r="L304" s="76">
        <f>(((Table134567891011121314151617343[[#This Row],[EA19]]-VLOOKUP($U$1,A:F,6,))/VLOOKUP($U$1,A:F,6,))*100)+100</f>
        <v/>
      </c>
      <c r="M304" s="76">
        <f>(((Table134567891011121314151617343[[#This Row],[GBR]]-VLOOKUP($U$1,A:G,7,))/VLOOKUP($U$1,A:G,7,))*100)+100</f>
        <v/>
      </c>
      <c r="N304" s="76">
        <f>IF(VLOOKUP(A304,Database!$A:$AU,MATCH($N$1,Database!$A$1:$AU$1,0),FALSE)=0,#N/A,VLOOKUP(A304,Database!$A:$AU,MATCH($N$1,Database!$A$1:$AU$1,0),FALSE))</f>
        <v/>
      </c>
      <c r="O304" s="76">
        <f>(((Table134567891011121314151617343[[#This Row],[USA]]-VLOOKUP($U$1,A:N,14,))/VLOOKUP($U$1,A:N,14,))*100)+100</f>
        <v/>
      </c>
      <c r="P304" s="76">
        <f>IF(VLOOKUP(A304,Database!$A:$AS,MATCH($P$1,Database!$A$1:$AS$1,0),FALSE)=0,#N/A,VLOOKUP(A304,Database!$A:$AS,MATCH($P$1,Database!$A$1:$AS$1,0),FALSE))</f>
        <v/>
      </c>
      <c r="Q304" s="76">
        <f>(((Table134567891011121314151617343[[#This Row],[JPN]]-VLOOKUP($U$1,A:Q,16,))/VLOOKUP($U$1,A:Q,16,))*100)+100</f>
        <v/>
      </c>
    </row>
    <row r="305" customFormat="1" s="86">
      <c r="A305" s="21" t="n">
        <v>42095</v>
      </c>
      <c r="B305" s="76">
        <f>IF(VLOOKUP(A305,Database!$A:$AS,MATCH($B$1,Database!$A$1:$AS$1,0),FALSE)=0,#N/A,VLOOKUP(A305,Database!$A:$AS,MATCH($B$1,Database!$A$1:$AS$1,0),FALSE))</f>
        <v/>
      </c>
      <c r="C305" s="76">
        <f>IF(VLOOKUP(A305,Database!$A:$AS,MATCH($C$1,Database!$A$1:$AS$1,0),FALSE)=0,#N/A,VLOOKUP(A305,Database!$A:$AS,MATCH($C$1,Database!$A$1:$AS$1,0),FALSE))</f>
        <v/>
      </c>
      <c r="D305" s="76">
        <f>IF(VLOOKUP(A305,Database!$A:$AS,MATCH($D$1,Database!$A$1:$AS$1,0),FALSE)=0,#N/A,VLOOKUP(A305,Database!$A:$AS,MATCH($D$1,Database!$A$1:$AS$1,0),FALSE))</f>
        <v/>
      </c>
      <c r="E305" s="76">
        <f>IF(VLOOKUP(A305,Database!$A:$AS,MATCH($E$1,Database!$A$1:$AS$1,0),FALSE)=0,#N/A,VLOOKUP(A305,Database!$A:$AS,MATCH($E$1,Database!$A$1:$AS$1,0),FALSE))</f>
        <v/>
      </c>
      <c r="F305" s="76">
        <f>IF(VLOOKUP(A305,Database!$A:$AS,MATCH($F$1,Database!$A$1:$AS$1,0),FALSE)=0,#N/A,VLOOKUP(A305,Database!$A:$AS,MATCH($F$1,Database!$A$1:$AS$1,0),FALSE))</f>
        <v/>
      </c>
      <c r="G305" s="76">
        <f>IF(VLOOKUP(A305,Database!$A:$AS,MATCH($G$1,Database!$A$1:$AS$1,0),FALSE)=0,#N/A,VLOOKUP(A305,Database!$A:$AS,MATCH($G$1,Database!$A$1:$AS$1,0),FALSE))</f>
        <v/>
      </c>
      <c r="H305" s="76">
        <f>(((Table134567891011121314151617343[[#This Row],[ITA]]-VLOOKUP($U$1,A:B,2,))/VLOOKUP($U$1,A:B,2,))*100)+100</f>
        <v/>
      </c>
      <c r="I305" s="76">
        <f>(((Table134567891011121314151617343[[#This Row],[FRA]]-VLOOKUP($U$1,A:C,3,))/VLOOKUP($U$1,A:C,3,))*100)+100</f>
        <v/>
      </c>
      <c r="J305" s="76">
        <f>(((Table134567891011121314151617343[[#This Row],[DEU]]-VLOOKUP($U$1,A:D,4,))/VLOOKUP($U$1,A:D,4,))*100)+100</f>
        <v/>
      </c>
      <c r="K305" s="76">
        <f>(((Table134567891011121314151617343[[#This Row],[ESP]]-VLOOKUP($U$1,A:E,5,))/VLOOKUP($U$1,A:E,5,))*100)+100</f>
        <v/>
      </c>
      <c r="L305" s="76">
        <f>(((Table134567891011121314151617343[[#This Row],[EA19]]-VLOOKUP($U$1,A:F,6,))/VLOOKUP($U$1,A:F,6,))*100)+100</f>
        <v/>
      </c>
      <c r="M305" s="76">
        <f>(((Table134567891011121314151617343[[#This Row],[GBR]]-VLOOKUP($U$1,A:G,7,))/VLOOKUP($U$1,A:G,7,))*100)+100</f>
        <v/>
      </c>
      <c r="N305" s="76">
        <f>IF(VLOOKUP(A305,Database!$A:$AU,MATCH($N$1,Database!$A$1:$AU$1,0),FALSE)=0,#N/A,VLOOKUP(A305,Database!$A:$AU,MATCH($N$1,Database!$A$1:$AU$1,0),FALSE))</f>
        <v/>
      </c>
      <c r="O305" s="76">
        <f>(((Table134567891011121314151617343[[#This Row],[USA]]-VLOOKUP($U$1,A:N,14,))/VLOOKUP($U$1,A:N,14,))*100)+100</f>
        <v/>
      </c>
      <c r="P305" s="76">
        <f>IF(VLOOKUP(A305,Database!$A:$AS,MATCH($P$1,Database!$A$1:$AS$1,0),FALSE)=0,#N/A,VLOOKUP(A305,Database!$A:$AS,MATCH($P$1,Database!$A$1:$AS$1,0),FALSE))</f>
        <v/>
      </c>
      <c r="Q305" s="76">
        <f>(((Table134567891011121314151617343[[#This Row],[JPN]]-VLOOKUP($U$1,A:Q,16,))/VLOOKUP($U$1,A:Q,16,))*100)+100</f>
        <v/>
      </c>
    </row>
    <row r="306" customFormat="1" s="86">
      <c r="A306" s="21" t="n">
        <v>42125</v>
      </c>
      <c r="B306" s="76">
        <f>IF(VLOOKUP(A306,Database!$A:$AS,MATCH($B$1,Database!$A$1:$AS$1,0),FALSE)=0,#N/A,VLOOKUP(A306,Database!$A:$AS,MATCH($B$1,Database!$A$1:$AS$1,0),FALSE))</f>
        <v/>
      </c>
      <c r="C306" s="76">
        <f>IF(VLOOKUP(A306,Database!$A:$AS,MATCH($C$1,Database!$A$1:$AS$1,0),FALSE)=0,#N/A,VLOOKUP(A306,Database!$A:$AS,MATCH($C$1,Database!$A$1:$AS$1,0),FALSE))</f>
        <v/>
      </c>
      <c r="D306" s="76">
        <f>IF(VLOOKUP(A306,Database!$A:$AS,MATCH($D$1,Database!$A$1:$AS$1,0),FALSE)=0,#N/A,VLOOKUP(A306,Database!$A:$AS,MATCH($D$1,Database!$A$1:$AS$1,0),FALSE))</f>
        <v/>
      </c>
      <c r="E306" s="76">
        <f>IF(VLOOKUP(A306,Database!$A:$AS,MATCH($E$1,Database!$A$1:$AS$1,0),FALSE)=0,#N/A,VLOOKUP(A306,Database!$A:$AS,MATCH($E$1,Database!$A$1:$AS$1,0),FALSE))</f>
        <v/>
      </c>
      <c r="F306" s="76">
        <f>IF(VLOOKUP(A306,Database!$A:$AS,MATCH($F$1,Database!$A$1:$AS$1,0),FALSE)=0,#N/A,VLOOKUP(A306,Database!$A:$AS,MATCH($F$1,Database!$A$1:$AS$1,0),FALSE))</f>
        <v/>
      </c>
      <c r="G306" s="76">
        <f>IF(VLOOKUP(A306,Database!$A:$AS,MATCH($G$1,Database!$A$1:$AS$1,0),FALSE)=0,#N/A,VLOOKUP(A306,Database!$A:$AS,MATCH($G$1,Database!$A$1:$AS$1,0),FALSE))</f>
        <v/>
      </c>
      <c r="H306" s="76">
        <f>(((Table134567891011121314151617343[[#This Row],[ITA]]-VLOOKUP($U$1,A:B,2,))/VLOOKUP($U$1,A:B,2,))*100)+100</f>
        <v/>
      </c>
      <c r="I306" s="76">
        <f>(((Table134567891011121314151617343[[#This Row],[FRA]]-VLOOKUP($U$1,A:C,3,))/VLOOKUP($U$1,A:C,3,))*100)+100</f>
        <v/>
      </c>
      <c r="J306" s="76">
        <f>(((Table134567891011121314151617343[[#This Row],[DEU]]-VLOOKUP($U$1,A:D,4,))/VLOOKUP($U$1,A:D,4,))*100)+100</f>
        <v/>
      </c>
      <c r="K306" s="76">
        <f>(((Table134567891011121314151617343[[#This Row],[ESP]]-VLOOKUP($U$1,A:E,5,))/VLOOKUP($U$1,A:E,5,))*100)+100</f>
        <v/>
      </c>
      <c r="L306" s="76">
        <f>(((Table134567891011121314151617343[[#This Row],[EA19]]-VLOOKUP($U$1,A:F,6,))/VLOOKUP($U$1,A:F,6,))*100)+100</f>
        <v/>
      </c>
      <c r="M306" s="76">
        <f>(((Table134567891011121314151617343[[#This Row],[GBR]]-VLOOKUP($U$1,A:G,7,))/VLOOKUP($U$1,A:G,7,))*100)+100</f>
        <v/>
      </c>
      <c r="N306" s="76">
        <f>IF(VLOOKUP(A306,Database!$A:$AU,MATCH($N$1,Database!$A$1:$AU$1,0),FALSE)=0,#N/A,VLOOKUP(A306,Database!$A:$AU,MATCH($N$1,Database!$A$1:$AU$1,0),FALSE))</f>
        <v/>
      </c>
      <c r="O306" s="76">
        <f>(((Table134567891011121314151617343[[#This Row],[USA]]-VLOOKUP($U$1,A:N,14,))/VLOOKUP($U$1,A:N,14,))*100)+100</f>
        <v/>
      </c>
      <c r="P306" s="76">
        <f>IF(VLOOKUP(A306,Database!$A:$AS,MATCH($P$1,Database!$A$1:$AS$1,0),FALSE)=0,#N/A,VLOOKUP(A306,Database!$A:$AS,MATCH($P$1,Database!$A$1:$AS$1,0),FALSE))</f>
        <v/>
      </c>
      <c r="Q306" s="76">
        <f>(((Table134567891011121314151617343[[#This Row],[JPN]]-VLOOKUP($U$1,A:Q,16,))/VLOOKUP($U$1,A:Q,16,))*100)+100</f>
        <v/>
      </c>
    </row>
    <row r="307" customFormat="1" s="86">
      <c r="A307" s="21" t="n">
        <v>42156</v>
      </c>
      <c r="B307" s="76">
        <f>IF(VLOOKUP(A307,Database!$A:$AS,MATCH($B$1,Database!$A$1:$AS$1,0),FALSE)=0,#N/A,VLOOKUP(A307,Database!$A:$AS,MATCH($B$1,Database!$A$1:$AS$1,0),FALSE))</f>
        <v/>
      </c>
      <c r="C307" s="76">
        <f>IF(VLOOKUP(A307,Database!$A:$AS,MATCH($C$1,Database!$A$1:$AS$1,0),FALSE)=0,#N/A,VLOOKUP(A307,Database!$A:$AS,MATCH($C$1,Database!$A$1:$AS$1,0),FALSE))</f>
        <v/>
      </c>
      <c r="D307" s="76">
        <f>IF(VLOOKUP(A307,Database!$A:$AS,MATCH($D$1,Database!$A$1:$AS$1,0),FALSE)=0,#N/A,VLOOKUP(A307,Database!$A:$AS,MATCH($D$1,Database!$A$1:$AS$1,0),FALSE))</f>
        <v/>
      </c>
      <c r="E307" s="76">
        <f>IF(VLOOKUP(A307,Database!$A:$AS,MATCH($E$1,Database!$A$1:$AS$1,0),FALSE)=0,#N/A,VLOOKUP(A307,Database!$A:$AS,MATCH($E$1,Database!$A$1:$AS$1,0),FALSE))</f>
        <v/>
      </c>
      <c r="F307" s="76">
        <f>IF(VLOOKUP(A307,Database!$A:$AS,MATCH($F$1,Database!$A$1:$AS$1,0),FALSE)=0,#N/A,VLOOKUP(A307,Database!$A:$AS,MATCH($F$1,Database!$A$1:$AS$1,0),FALSE))</f>
        <v/>
      </c>
      <c r="G307" s="76">
        <f>IF(VLOOKUP(A307,Database!$A:$AS,MATCH($G$1,Database!$A$1:$AS$1,0),FALSE)=0,#N/A,VLOOKUP(A307,Database!$A:$AS,MATCH($G$1,Database!$A$1:$AS$1,0),FALSE))</f>
        <v/>
      </c>
      <c r="H307" s="76">
        <f>(((Table134567891011121314151617343[[#This Row],[ITA]]-VLOOKUP($U$1,A:B,2,))/VLOOKUP($U$1,A:B,2,))*100)+100</f>
        <v/>
      </c>
      <c r="I307" s="76">
        <f>(((Table134567891011121314151617343[[#This Row],[FRA]]-VLOOKUP($U$1,A:C,3,))/VLOOKUP($U$1,A:C,3,))*100)+100</f>
        <v/>
      </c>
      <c r="J307" s="76">
        <f>(((Table134567891011121314151617343[[#This Row],[DEU]]-VLOOKUP($U$1,A:D,4,))/VLOOKUP($U$1,A:D,4,))*100)+100</f>
        <v/>
      </c>
      <c r="K307" s="76">
        <f>(((Table134567891011121314151617343[[#This Row],[ESP]]-VLOOKUP($U$1,A:E,5,))/VLOOKUP($U$1,A:E,5,))*100)+100</f>
        <v/>
      </c>
      <c r="L307" s="76">
        <f>(((Table134567891011121314151617343[[#This Row],[EA19]]-VLOOKUP($U$1,A:F,6,))/VLOOKUP($U$1,A:F,6,))*100)+100</f>
        <v/>
      </c>
      <c r="M307" s="76">
        <f>(((Table134567891011121314151617343[[#This Row],[GBR]]-VLOOKUP($U$1,A:G,7,))/VLOOKUP($U$1,A:G,7,))*100)+100</f>
        <v/>
      </c>
      <c r="N307" s="76">
        <f>IF(VLOOKUP(A307,Database!$A:$AU,MATCH($N$1,Database!$A$1:$AU$1,0),FALSE)=0,#N/A,VLOOKUP(A307,Database!$A:$AU,MATCH($N$1,Database!$A$1:$AU$1,0),FALSE))</f>
        <v/>
      </c>
      <c r="O307" s="76">
        <f>(((Table134567891011121314151617343[[#This Row],[USA]]-VLOOKUP($U$1,A:N,14,))/VLOOKUP($U$1,A:N,14,))*100)+100</f>
        <v/>
      </c>
      <c r="P307" s="76">
        <f>IF(VLOOKUP(A307,Database!$A:$AS,MATCH($P$1,Database!$A$1:$AS$1,0),FALSE)=0,#N/A,VLOOKUP(A307,Database!$A:$AS,MATCH($P$1,Database!$A$1:$AS$1,0),FALSE))</f>
        <v/>
      </c>
      <c r="Q307" s="76">
        <f>(((Table134567891011121314151617343[[#This Row],[JPN]]-VLOOKUP($U$1,A:Q,16,))/VLOOKUP($U$1,A:Q,16,))*100)+100</f>
        <v/>
      </c>
    </row>
    <row r="308" customFormat="1" s="86">
      <c r="A308" s="21" t="n">
        <v>42186</v>
      </c>
      <c r="B308" s="76">
        <f>IF(VLOOKUP(A308,Database!$A:$AS,MATCH($B$1,Database!$A$1:$AS$1,0),FALSE)=0,#N/A,VLOOKUP(A308,Database!$A:$AS,MATCH($B$1,Database!$A$1:$AS$1,0),FALSE))</f>
        <v/>
      </c>
      <c r="C308" s="76">
        <f>IF(VLOOKUP(A308,Database!$A:$AS,MATCH($C$1,Database!$A$1:$AS$1,0),FALSE)=0,#N/A,VLOOKUP(A308,Database!$A:$AS,MATCH($C$1,Database!$A$1:$AS$1,0),FALSE))</f>
        <v/>
      </c>
      <c r="D308" s="76">
        <f>IF(VLOOKUP(A308,Database!$A:$AS,MATCH($D$1,Database!$A$1:$AS$1,0),FALSE)=0,#N/A,VLOOKUP(A308,Database!$A:$AS,MATCH($D$1,Database!$A$1:$AS$1,0),FALSE))</f>
        <v/>
      </c>
      <c r="E308" s="76">
        <f>IF(VLOOKUP(A308,Database!$A:$AS,MATCH($E$1,Database!$A$1:$AS$1,0),FALSE)=0,#N/A,VLOOKUP(A308,Database!$A:$AS,MATCH($E$1,Database!$A$1:$AS$1,0),FALSE))</f>
        <v/>
      </c>
      <c r="F308" s="76">
        <f>IF(VLOOKUP(A308,Database!$A:$AS,MATCH($F$1,Database!$A$1:$AS$1,0),FALSE)=0,#N/A,VLOOKUP(A308,Database!$A:$AS,MATCH($F$1,Database!$A$1:$AS$1,0),FALSE))</f>
        <v/>
      </c>
      <c r="G308" s="76">
        <f>IF(VLOOKUP(A308,Database!$A:$AS,MATCH($G$1,Database!$A$1:$AS$1,0),FALSE)=0,#N/A,VLOOKUP(A308,Database!$A:$AS,MATCH($G$1,Database!$A$1:$AS$1,0),FALSE))</f>
        <v/>
      </c>
      <c r="H308" s="76">
        <f>(((Table134567891011121314151617343[[#This Row],[ITA]]-VLOOKUP($U$1,A:B,2,))/VLOOKUP($U$1,A:B,2,))*100)+100</f>
        <v/>
      </c>
      <c r="I308" s="76">
        <f>(((Table134567891011121314151617343[[#This Row],[FRA]]-VLOOKUP($U$1,A:C,3,))/VLOOKUP($U$1,A:C,3,))*100)+100</f>
        <v/>
      </c>
      <c r="J308" s="76">
        <f>(((Table134567891011121314151617343[[#This Row],[DEU]]-VLOOKUP($U$1,A:D,4,))/VLOOKUP($U$1,A:D,4,))*100)+100</f>
        <v/>
      </c>
      <c r="K308" s="76">
        <f>(((Table134567891011121314151617343[[#This Row],[ESP]]-VLOOKUP($U$1,A:E,5,))/VLOOKUP($U$1,A:E,5,))*100)+100</f>
        <v/>
      </c>
      <c r="L308" s="76">
        <f>(((Table134567891011121314151617343[[#This Row],[EA19]]-VLOOKUP($U$1,A:F,6,))/VLOOKUP($U$1,A:F,6,))*100)+100</f>
        <v/>
      </c>
      <c r="M308" s="76">
        <f>(((Table134567891011121314151617343[[#This Row],[GBR]]-VLOOKUP($U$1,A:G,7,))/VLOOKUP($U$1,A:G,7,))*100)+100</f>
        <v/>
      </c>
      <c r="N308" s="76">
        <f>IF(VLOOKUP(A308,Database!$A:$AU,MATCH($N$1,Database!$A$1:$AU$1,0),FALSE)=0,#N/A,VLOOKUP(A308,Database!$A:$AU,MATCH($N$1,Database!$A$1:$AU$1,0),FALSE))</f>
        <v/>
      </c>
      <c r="O308" s="76">
        <f>(((Table134567891011121314151617343[[#This Row],[USA]]-VLOOKUP($U$1,A:N,14,))/VLOOKUP($U$1,A:N,14,))*100)+100</f>
        <v/>
      </c>
      <c r="P308" s="76">
        <f>IF(VLOOKUP(A308,Database!$A:$AS,MATCH($P$1,Database!$A$1:$AS$1,0),FALSE)=0,#N/A,VLOOKUP(A308,Database!$A:$AS,MATCH($P$1,Database!$A$1:$AS$1,0),FALSE))</f>
        <v/>
      </c>
      <c r="Q308" s="76">
        <f>(((Table134567891011121314151617343[[#This Row],[JPN]]-VLOOKUP($U$1,A:Q,16,))/VLOOKUP($U$1,A:Q,16,))*100)+100</f>
        <v/>
      </c>
    </row>
    <row r="309" customFormat="1" s="86">
      <c r="A309" s="21" t="n">
        <v>42217</v>
      </c>
      <c r="B309" s="76">
        <f>IF(VLOOKUP(A309,Database!$A:$AS,MATCH($B$1,Database!$A$1:$AS$1,0),FALSE)=0,#N/A,VLOOKUP(A309,Database!$A:$AS,MATCH($B$1,Database!$A$1:$AS$1,0),FALSE))</f>
        <v/>
      </c>
      <c r="C309" s="76">
        <f>IF(VLOOKUP(A309,Database!$A:$AS,MATCH($C$1,Database!$A$1:$AS$1,0),FALSE)=0,#N/A,VLOOKUP(A309,Database!$A:$AS,MATCH($C$1,Database!$A$1:$AS$1,0),FALSE))</f>
        <v/>
      </c>
      <c r="D309" s="76">
        <f>IF(VLOOKUP(A309,Database!$A:$AS,MATCH($D$1,Database!$A$1:$AS$1,0),FALSE)=0,#N/A,VLOOKUP(A309,Database!$A:$AS,MATCH($D$1,Database!$A$1:$AS$1,0),FALSE))</f>
        <v/>
      </c>
      <c r="E309" s="76">
        <f>IF(VLOOKUP(A309,Database!$A:$AS,MATCH($E$1,Database!$A$1:$AS$1,0),FALSE)=0,#N/A,VLOOKUP(A309,Database!$A:$AS,MATCH($E$1,Database!$A$1:$AS$1,0),FALSE))</f>
        <v/>
      </c>
      <c r="F309" s="76">
        <f>IF(VLOOKUP(A309,Database!$A:$AS,MATCH($F$1,Database!$A$1:$AS$1,0),FALSE)=0,#N/A,VLOOKUP(A309,Database!$A:$AS,MATCH($F$1,Database!$A$1:$AS$1,0),FALSE))</f>
        <v/>
      </c>
      <c r="G309" s="76">
        <f>IF(VLOOKUP(A309,Database!$A:$AS,MATCH($G$1,Database!$A$1:$AS$1,0),FALSE)=0,#N/A,VLOOKUP(A309,Database!$A:$AS,MATCH($G$1,Database!$A$1:$AS$1,0),FALSE))</f>
        <v/>
      </c>
      <c r="H309" s="76">
        <f>(((Table134567891011121314151617343[[#This Row],[ITA]]-VLOOKUP($U$1,A:B,2,))/VLOOKUP($U$1,A:B,2,))*100)+100</f>
        <v/>
      </c>
      <c r="I309" s="76">
        <f>(((Table134567891011121314151617343[[#This Row],[FRA]]-VLOOKUP($U$1,A:C,3,))/VLOOKUP($U$1,A:C,3,))*100)+100</f>
        <v/>
      </c>
      <c r="J309" s="76">
        <f>(((Table134567891011121314151617343[[#This Row],[DEU]]-VLOOKUP($U$1,A:D,4,))/VLOOKUP($U$1,A:D,4,))*100)+100</f>
        <v/>
      </c>
      <c r="K309" s="76">
        <f>(((Table134567891011121314151617343[[#This Row],[ESP]]-VLOOKUP($U$1,A:E,5,))/VLOOKUP($U$1,A:E,5,))*100)+100</f>
        <v/>
      </c>
      <c r="L309" s="76">
        <f>(((Table134567891011121314151617343[[#This Row],[EA19]]-VLOOKUP($U$1,A:F,6,))/VLOOKUP($U$1,A:F,6,))*100)+100</f>
        <v/>
      </c>
      <c r="M309" s="76">
        <f>(((Table134567891011121314151617343[[#This Row],[GBR]]-VLOOKUP($U$1,A:G,7,))/VLOOKUP($U$1,A:G,7,))*100)+100</f>
        <v/>
      </c>
      <c r="N309" s="76">
        <f>IF(VLOOKUP(A309,Database!$A:$AU,MATCH($N$1,Database!$A$1:$AU$1,0),FALSE)=0,#N/A,VLOOKUP(A309,Database!$A:$AU,MATCH($N$1,Database!$A$1:$AU$1,0),FALSE))</f>
        <v/>
      </c>
      <c r="O309" s="76">
        <f>(((Table134567891011121314151617343[[#This Row],[USA]]-VLOOKUP($U$1,A:N,14,))/VLOOKUP($U$1,A:N,14,))*100)+100</f>
        <v/>
      </c>
      <c r="P309" s="76">
        <f>IF(VLOOKUP(A309,Database!$A:$AS,MATCH($P$1,Database!$A$1:$AS$1,0),FALSE)=0,#N/A,VLOOKUP(A309,Database!$A:$AS,MATCH($P$1,Database!$A$1:$AS$1,0),FALSE))</f>
        <v/>
      </c>
      <c r="Q309" s="76">
        <f>(((Table134567891011121314151617343[[#This Row],[JPN]]-VLOOKUP($U$1,A:Q,16,))/VLOOKUP($U$1,A:Q,16,))*100)+100</f>
        <v/>
      </c>
    </row>
    <row r="310" customFormat="1" s="86">
      <c r="A310" s="21" t="n">
        <v>42248</v>
      </c>
      <c r="B310" s="76">
        <f>IF(VLOOKUP(A310,Database!$A:$AS,MATCH($B$1,Database!$A$1:$AS$1,0),FALSE)=0,#N/A,VLOOKUP(A310,Database!$A:$AS,MATCH($B$1,Database!$A$1:$AS$1,0),FALSE))</f>
        <v/>
      </c>
      <c r="C310" s="76">
        <f>IF(VLOOKUP(A310,Database!$A:$AS,MATCH($C$1,Database!$A$1:$AS$1,0),FALSE)=0,#N/A,VLOOKUP(A310,Database!$A:$AS,MATCH($C$1,Database!$A$1:$AS$1,0),FALSE))</f>
        <v/>
      </c>
      <c r="D310" s="76">
        <f>IF(VLOOKUP(A310,Database!$A:$AS,MATCH($D$1,Database!$A$1:$AS$1,0),FALSE)=0,#N/A,VLOOKUP(A310,Database!$A:$AS,MATCH($D$1,Database!$A$1:$AS$1,0),FALSE))</f>
        <v/>
      </c>
      <c r="E310" s="76">
        <f>IF(VLOOKUP(A310,Database!$A:$AS,MATCH($E$1,Database!$A$1:$AS$1,0),FALSE)=0,#N/A,VLOOKUP(A310,Database!$A:$AS,MATCH($E$1,Database!$A$1:$AS$1,0),FALSE))</f>
        <v/>
      </c>
      <c r="F310" s="76">
        <f>IF(VLOOKUP(A310,Database!$A:$AS,MATCH($F$1,Database!$A$1:$AS$1,0),FALSE)=0,#N/A,VLOOKUP(A310,Database!$A:$AS,MATCH($F$1,Database!$A$1:$AS$1,0),FALSE))</f>
        <v/>
      </c>
      <c r="G310" s="76">
        <f>IF(VLOOKUP(A310,Database!$A:$AS,MATCH($G$1,Database!$A$1:$AS$1,0),FALSE)=0,#N/A,VLOOKUP(A310,Database!$A:$AS,MATCH($G$1,Database!$A$1:$AS$1,0),FALSE))</f>
        <v/>
      </c>
      <c r="H310" s="76">
        <f>(((Table134567891011121314151617343[[#This Row],[ITA]]-VLOOKUP($U$1,A:B,2,))/VLOOKUP($U$1,A:B,2,))*100)+100</f>
        <v/>
      </c>
      <c r="I310" s="76">
        <f>(((Table134567891011121314151617343[[#This Row],[FRA]]-VLOOKUP($U$1,A:C,3,))/VLOOKUP($U$1,A:C,3,))*100)+100</f>
        <v/>
      </c>
      <c r="J310" s="76">
        <f>(((Table134567891011121314151617343[[#This Row],[DEU]]-VLOOKUP($U$1,A:D,4,))/VLOOKUP($U$1,A:D,4,))*100)+100</f>
        <v/>
      </c>
      <c r="K310" s="76">
        <f>(((Table134567891011121314151617343[[#This Row],[ESP]]-VLOOKUP($U$1,A:E,5,))/VLOOKUP($U$1,A:E,5,))*100)+100</f>
        <v/>
      </c>
      <c r="L310" s="76">
        <f>(((Table134567891011121314151617343[[#This Row],[EA19]]-VLOOKUP($U$1,A:F,6,))/VLOOKUP($U$1,A:F,6,))*100)+100</f>
        <v/>
      </c>
      <c r="M310" s="76">
        <f>(((Table134567891011121314151617343[[#This Row],[GBR]]-VLOOKUP($U$1,A:G,7,))/VLOOKUP($U$1,A:G,7,))*100)+100</f>
        <v/>
      </c>
      <c r="N310" s="76">
        <f>IF(VLOOKUP(A310,Database!$A:$AU,MATCH($N$1,Database!$A$1:$AU$1,0),FALSE)=0,#N/A,VLOOKUP(A310,Database!$A:$AU,MATCH($N$1,Database!$A$1:$AU$1,0),FALSE))</f>
        <v/>
      </c>
      <c r="O310" s="76">
        <f>(((Table134567891011121314151617343[[#This Row],[USA]]-VLOOKUP($U$1,A:N,14,))/VLOOKUP($U$1,A:N,14,))*100)+100</f>
        <v/>
      </c>
      <c r="P310" s="76">
        <f>IF(VLOOKUP(A310,Database!$A:$AS,MATCH($P$1,Database!$A$1:$AS$1,0),FALSE)=0,#N/A,VLOOKUP(A310,Database!$A:$AS,MATCH($P$1,Database!$A$1:$AS$1,0),FALSE))</f>
        <v/>
      </c>
      <c r="Q310" s="76">
        <f>(((Table134567891011121314151617343[[#This Row],[JPN]]-VLOOKUP($U$1,A:Q,16,))/VLOOKUP($U$1,A:Q,16,))*100)+100</f>
        <v/>
      </c>
    </row>
    <row r="311" customFormat="1" s="86">
      <c r="A311" s="21" t="n">
        <v>42278</v>
      </c>
      <c r="B311" s="76">
        <f>IF(VLOOKUP(A311,Database!$A:$AS,MATCH($B$1,Database!$A$1:$AS$1,0),FALSE)=0,#N/A,VLOOKUP(A311,Database!$A:$AS,MATCH($B$1,Database!$A$1:$AS$1,0),FALSE))</f>
        <v/>
      </c>
      <c r="C311" s="76">
        <f>IF(VLOOKUP(A311,Database!$A:$AS,MATCH($C$1,Database!$A$1:$AS$1,0),FALSE)=0,#N/A,VLOOKUP(A311,Database!$A:$AS,MATCH($C$1,Database!$A$1:$AS$1,0),FALSE))</f>
        <v/>
      </c>
      <c r="D311" s="76">
        <f>IF(VLOOKUP(A311,Database!$A:$AS,MATCH($D$1,Database!$A$1:$AS$1,0),FALSE)=0,#N/A,VLOOKUP(A311,Database!$A:$AS,MATCH($D$1,Database!$A$1:$AS$1,0),FALSE))</f>
        <v/>
      </c>
      <c r="E311" s="76">
        <f>IF(VLOOKUP(A311,Database!$A:$AS,MATCH($E$1,Database!$A$1:$AS$1,0),FALSE)=0,#N/A,VLOOKUP(A311,Database!$A:$AS,MATCH($E$1,Database!$A$1:$AS$1,0),FALSE))</f>
        <v/>
      </c>
      <c r="F311" s="76">
        <f>IF(VLOOKUP(A311,Database!$A:$AS,MATCH($F$1,Database!$A$1:$AS$1,0),FALSE)=0,#N/A,VLOOKUP(A311,Database!$A:$AS,MATCH($F$1,Database!$A$1:$AS$1,0),FALSE))</f>
        <v/>
      </c>
      <c r="G311" s="76">
        <f>IF(VLOOKUP(A311,Database!$A:$AS,MATCH($G$1,Database!$A$1:$AS$1,0),FALSE)=0,#N/A,VLOOKUP(A311,Database!$A:$AS,MATCH($G$1,Database!$A$1:$AS$1,0),FALSE))</f>
        <v/>
      </c>
      <c r="H311" s="76">
        <f>(((Table134567891011121314151617343[[#This Row],[ITA]]-VLOOKUP($U$1,A:B,2,))/VLOOKUP($U$1,A:B,2,))*100)+100</f>
        <v/>
      </c>
      <c r="I311" s="76">
        <f>(((Table134567891011121314151617343[[#This Row],[FRA]]-VLOOKUP($U$1,A:C,3,))/VLOOKUP($U$1,A:C,3,))*100)+100</f>
        <v/>
      </c>
      <c r="J311" s="76">
        <f>(((Table134567891011121314151617343[[#This Row],[DEU]]-VLOOKUP($U$1,A:D,4,))/VLOOKUP($U$1,A:D,4,))*100)+100</f>
        <v/>
      </c>
      <c r="K311" s="76">
        <f>(((Table134567891011121314151617343[[#This Row],[ESP]]-VLOOKUP($U$1,A:E,5,))/VLOOKUP($U$1,A:E,5,))*100)+100</f>
        <v/>
      </c>
      <c r="L311" s="76">
        <f>(((Table134567891011121314151617343[[#This Row],[EA19]]-VLOOKUP($U$1,A:F,6,))/VLOOKUP($U$1,A:F,6,))*100)+100</f>
        <v/>
      </c>
      <c r="M311" s="76">
        <f>(((Table134567891011121314151617343[[#This Row],[GBR]]-VLOOKUP($U$1,A:G,7,))/VLOOKUP($U$1,A:G,7,))*100)+100</f>
        <v/>
      </c>
      <c r="N311" s="76">
        <f>IF(VLOOKUP(A311,Database!$A:$AU,MATCH($N$1,Database!$A$1:$AU$1,0),FALSE)=0,#N/A,VLOOKUP(A311,Database!$A:$AU,MATCH($N$1,Database!$A$1:$AU$1,0),FALSE))</f>
        <v/>
      </c>
      <c r="O311" s="76">
        <f>(((Table134567891011121314151617343[[#This Row],[USA]]-VLOOKUP($U$1,A:N,14,))/VLOOKUP($U$1,A:N,14,))*100)+100</f>
        <v/>
      </c>
      <c r="P311" s="76">
        <f>IF(VLOOKUP(A311,Database!$A:$AS,MATCH($P$1,Database!$A$1:$AS$1,0),FALSE)=0,#N/A,VLOOKUP(A311,Database!$A:$AS,MATCH($P$1,Database!$A$1:$AS$1,0),FALSE))</f>
        <v/>
      </c>
      <c r="Q311" s="76">
        <f>(((Table134567891011121314151617343[[#This Row],[JPN]]-VLOOKUP($U$1,A:Q,16,))/VLOOKUP($U$1,A:Q,16,))*100)+100</f>
        <v/>
      </c>
    </row>
    <row r="312" customFormat="1" s="86">
      <c r="A312" s="21" t="n">
        <v>42309</v>
      </c>
      <c r="B312" s="76">
        <f>IF(VLOOKUP(A312,Database!$A:$AS,MATCH($B$1,Database!$A$1:$AS$1,0),FALSE)=0,#N/A,VLOOKUP(A312,Database!$A:$AS,MATCH($B$1,Database!$A$1:$AS$1,0),FALSE))</f>
        <v/>
      </c>
      <c r="C312" s="76">
        <f>IF(VLOOKUP(A312,Database!$A:$AS,MATCH($C$1,Database!$A$1:$AS$1,0),FALSE)=0,#N/A,VLOOKUP(A312,Database!$A:$AS,MATCH($C$1,Database!$A$1:$AS$1,0),FALSE))</f>
        <v/>
      </c>
      <c r="D312" s="76">
        <f>IF(VLOOKUP(A312,Database!$A:$AS,MATCH($D$1,Database!$A$1:$AS$1,0),FALSE)=0,#N/A,VLOOKUP(A312,Database!$A:$AS,MATCH($D$1,Database!$A$1:$AS$1,0),FALSE))</f>
        <v/>
      </c>
      <c r="E312" s="76">
        <f>IF(VLOOKUP(A312,Database!$A:$AS,MATCH($E$1,Database!$A$1:$AS$1,0),FALSE)=0,#N/A,VLOOKUP(A312,Database!$A:$AS,MATCH($E$1,Database!$A$1:$AS$1,0),FALSE))</f>
        <v/>
      </c>
      <c r="F312" s="76">
        <f>IF(VLOOKUP(A312,Database!$A:$AS,MATCH($F$1,Database!$A$1:$AS$1,0),FALSE)=0,#N/A,VLOOKUP(A312,Database!$A:$AS,MATCH($F$1,Database!$A$1:$AS$1,0),FALSE))</f>
        <v/>
      </c>
      <c r="G312" s="76">
        <f>IF(VLOOKUP(A312,Database!$A:$AS,MATCH($G$1,Database!$A$1:$AS$1,0),FALSE)=0,#N/A,VLOOKUP(A312,Database!$A:$AS,MATCH($G$1,Database!$A$1:$AS$1,0),FALSE))</f>
        <v/>
      </c>
      <c r="H312" s="76">
        <f>(((Table134567891011121314151617343[[#This Row],[ITA]]-VLOOKUP($U$1,A:B,2,))/VLOOKUP($U$1,A:B,2,))*100)+100</f>
        <v/>
      </c>
      <c r="I312" s="76">
        <f>(((Table134567891011121314151617343[[#This Row],[FRA]]-VLOOKUP($U$1,A:C,3,))/VLOOKUP($U$1,A:C,3,))*100)+100</f>
        <v/>
      </c>
      <c r="J312" s="76">
        <f>(((Table134567891011121314151617343[[#This Row],[DEU]]-VLOOKUP($U$1,A:D,4,))/VLOOKUP($U$1,A:D,4,))*100)+100</f>
        <v/>
      </c>
      <c r="K312" s="76">
        <f>(((Table134567891011121314151617343[[#This Row],[ESP]]-VLOOKUP($U$1,A:E,5,))/VLOOKUP($U$1,A:E,5,))*100)+100</f>
        <v/>
      </c>
      <c r="L312" s="76">
        <f>(((Table134567891011121314151617343[[#This Row],[EA19]]-VLOOKUP($U$1,A:F,6,))/VLOOKUP($U$1,A:F,6,))*100)+100</f>
        <v/>
      </c>
      <c r="M312" s="76">
        <f>(((Table134567891011121314151617343[[#This Row],[GBR]]-VLOOKUP($U$1,A:G,7,))/VLOOKUP($U$1,A:G,7,))*100)+100</f>
        <v/>
      </c>
      <c r="N312" s="76">
        <f>IF(VLOOKUP(A312,Database!$A:$AU,MATCH($N$1,Database!$A$1:$AU$1,0),FALSE)=0,#N/A,VLOOKUP(A312,Database!$A:$AU,MATCH($N$1,Database!$A$1:$AU$1,0),FALSE))</f>
        <v/>
      </c>
      <c r="O312" s="76">
        <f>(((Table134567891011121314151617343[[#This Row],[USA]]-VLOOKUP($U$1,A:N,14,))/VLOOKUP($U$1,A:N,14,))*100)+100</f>
        <v/>
      </c>
      <c r="P312" s="76">
        <f>IF(VLOOKUP(A312,Database!$A:$AS,MATCH($P$1,Database!$A$1:$AS$1,0),FALSE)=0,#N/A,VLOOKUP(A312,Database!$A:$AS,MATCH($P$1,Database!$A$1:$AS$1,0),FALSE))</f>
        <v/>
      </c>
      <c r="Q312" s="76">
        <f>(((Table134567891011121314151617343[[#This Row],[JPN]]-VLOOKUP($U$1,A:Q,16,))/VLOOKUP($U$1,A:Q,16,))*100)+100</f>
        <v/>
      </c>
    </row>
    <row r="313" customFormat="1" s="86">
      <c r="A313" s="21" t="n">
        <v>42339</v>
      </c>
      <c r="B313" s="76">
        <f>IF(VLOOKUP(A313,Database!$A:$AS,MATCH($B$1,Database!$A$1:$AS$1,0),FALSE)=0,#N/A,VLOOKUP(A313,Database!$A:$AS,MATCH($B$1,Database!$A$1:$AS$1,0),FALSE))</f>
        <v/>
      </c>
      <c r="C313" s="76">
        <f>IF(VLOOKUP(A313,Database!$A:$AS,MATCH($C$1,Database!$A$1:$AS$1,0),FALSE)=0,#N/A,VLOOKUP(A313,Database!$A:$AS,MATCH($C$1,Database!$A$1:$AS$1,0),FALSE))</f>
        <v/>
      </c>
      <c r="D313" s="76">
        <f>IF(VLOOKUP(A313,Database!$A:$AS,MATCH($D$1,Database!$A$1:$AS$1,0),FALSE)=0,#N/A,VLOOKUP(A313,Database!$A:$AS,MATCH($D$1,Database!$A$1:$AS$1,0),FALSE))</f>
        <v/>
      </c>
      <c r="E313" s="76">
        <f>IF(VLOOKUP(A313,Database!$A:$AS,MATCH($E$1,Database!$A$1:$AS$1,0),FALSE)=0,#N/A,VLOOKUP(A313,Database!$A:$AS,MATCH($E$1,Database!$A$1:$AS$1,0),FALSE))</f>
        <v/>
      </c>
      <c r="F313" s="76">
        <f>IF(VLOOKUP(A313,Database!$A:$AS,MATCH($F$1,Database!$A$1:$AS$1,0),FALSE)=0,#N/A,VLOOKUP(A313,Database!$A:$AS,MATCH($F$1,Database!$A$1:$AS$1,0),FALSE))</f>
        <v/>
      </c>
      <c r="G313" s="76">
        <f>IF(VLOOKUP(A313,Database!$A:$AS,MATCH($G$1,Database!$A$1:$AS$1,0),FALSE)=0,#N/A,VLOOKUP(A313,Database!$A:$AS,MATCH($G$1,Database!$A$1:$AS$1,0),FALSE))</f>
        <v/>
      </c>
      <c r="H313" s="76">
        <f>(((Table134567891011121314151617343[[#This Row],[ITA]]-VLOOKUP($U$1,A:B,2,))/VLOOKUP($U$1,A:B,2,))*100)+100</f>
        <v/>
      </c>
      <c r="I313" s="76">
        <f>(((Table134567891011121314151617343[[#This Row],[FRA]]-VLOOKUP($U$1,A:C,3,))/VLOOKUP($U$1,A:C,3,))*100)+100</f>
        <v/>
      </c>
      <c r="J313" s="76">
        <f>(((Table134567891011121314151617343[[#This Row],[DEU]]-VLOOKUP($U$1,A:D,4,))/VLOOKUP($U$1,A:D,4,))*100)+100</f>
        <v/>
      </c>
      <c r="K313" s="76">
        <f>(((Table134567891011121314151617343[[#This Row],[ESP]]-VLOOKUP($U$1,A:E,5,))/VLOOKUP($U$1,A:E,5,))*100)+100</f>
        <v/>
      </c>
      <c r="L313" s="76">
        <f>(((Table134567891011121314151617343[[#This Row],[EA19]]-VLOOKUP($U$1,A:F,6,))/VLOOKUP($U$1,A:F,6,))*100)+100</f>
        <v/>
      </c>
      <c r="M313" s="76">
        <f>(((Table134567891011121314151617343[[#This Row],[GBR]]-VLOOKUP($U$1,A:G,7,))/VLOOKUP($U$1,A:G,7,))*100)+100</f>
        <v/>
      </c>
      <c r="N313" s="76">
        <f>IF(VLOOKUP(A313,Database!$A:$AU,MATCH($N$1,Database!$A$1:$AU$1,0),FALSE)=0,#N/A,VLOOKUP(A313,Database!$A:$AU,MATCH($N$1,Database!$A$1:$AU$1,0),FALSE))</f>
        <v/>
      </c>
      <c r="O313" s="76">
        <f>(((Table134567891011121314151617343[[#This Row],[USA]]-VLOOKUP($U$1,A:N,14,))/VLOOKUP($U$1,A:N,14,))*100)+100</f>
        <v/>
      </c>
      <c r="P313" s="76">
        <f>IF(VLOOKUP(A313,Database!$A:$AS,MATCH($P$1,Database!$A$1:$AS$1,0),FALSE)=0,#N/A,VLOOKUP(A313,Database!$A:$AS,MATCH($P$1,Database!$A$1:$AS$1,0),FALSE))</f>
        <v/>
      </c>
      <c r="Q313" s="76">
        <f>(((Table134567891011121314151617343[[#This Row],[JPN]]-VLOOKUP($U$1,A:Q,16,))/VLOOKUP($U$1,A:Q,16,))*100)+100</f>
        <v/>
      </c>
    </row>
    <row r="314" customFormat="1" s="86">
      <c r="A314" s="21" t="n">
        <v>42370</v>
      </c>
      <c r="B314" s="76">
        <f>IF(VLOOKUP(A314,Database!$A:$AS,MATCH($B$1,Database!$A$1:$AS$1,0),FALSE)=0,#N/A,VLOOKUP(A314,Database!$A:$AS,MATCH($B$1,Database!$A$1:$AS$1,0),FALSE))</f>
        <v/>
      </c>
      <c r="C314" s="76">
        <f>IF(VLOOKUP(A314,Database!$A:$AS,MATCH($C$1,Database!$A$1:$AS$1,0),FALSE)=0,#N/A,VLOOKUP(A314,Database!$A:$AS,MATCH($C$1,Database!$A$1:$AS$1,0),FALSE))</f>
        <v/>
      </c>
      <c r="D314" s="76">
        <f>IF(VLOOKUP(A314,Database!$A:$AS,MATCH($D$1,Database!$A$1:$AS$1,0),FALSE)=0,#N/A,VLOOKUP(A314,Database!$A:$AS,MATCH($D$1,Database!$A$1:$AS$1,0),FALSE))</f>
        <v/>
      </c>
      <c r="E314" s="76">
        <f>IF(VLOOKUP(A314,Database!$A:$AS,MATCH($E$1,Database!$A$1:$AS$1,0),FALSE)=0,#N/A,VLOOKUP(A314,Database!$A:$AS,MATCH($E$1,Database!$A$1:$AS$1,0),FALSE))</f>
        <v/>
      </c>
      <c r="F314" s="76">
        <f>IF(VLOOKUP(A314,Database!$A:$AS,MATCH($F$1,Database!$A$1:$AS$1,0),FALSE)=0,#N/A,VLOOKUP(A314,Database!$A:$AS,MATCH($F$1,Database!$A$1:$AS$1,0),FALSE))</f>
        <v/>
      </c>
      <c r="G314" s="76">
        <f>IF(VLOOKUP(A314,Database!$A:$AS,MATCH($G$1,Database!$A$1:$AS$1,0),FALSE)=0,#N/A,VLOOKUP(A314,Database!$A:$AS,MATCH($G$1,Database!$A$1:$AS$1,0),FALSE))</f>
        <v/>
      </c>
      <c r="H314" s="76">
        <f>(((Table134567891011121314151617343[[#This Row],[ITA]]-VLOOKUP($U$1,A:B,2,))/VLOOKUP($U$1,A:B,2,))*100)+100</f>
        <v/>
      </c>
      <c r="I314" s="76">
        <f>(((Table134567891011121314151617343[[#This Row],[FRA]]-VLOOKUP($U$1,A:C,3,))/VLOOKUP($U$1,A:C,3,))*100)+100</f>
        <v/>
      </c>
      <c r="J314" s="76">
        <f>(((Table134567891011121314151617343[[#This Row],[DEU]]-VLOOKUP($U$1,A:D,4,))/VLOOKUP($U$1,A:D,4,))*100)+100</f>
        <v/>
      </c>
      <c r="K314" s="76">
        <f>(((Table134567891011121314151617343[[#This Row],[ESP]]-VLOOKUP($U$1,A:E,5,))/VLOOKUP($U$1,A:E,5,))*100)+100</f>
        <v/>
      </c>
      <c r="L314" s="76">
        <f>(((Table134567891011121314151617343[[#This Row],[EA19]]-VLOOKUP($U$1,A:F,6,))/VLOOKUP($U$1,A:F,6,))*100)+100</f>
        <v/>
      </c>
      <c r="M314" s="76">
        <f>(((Table134567891011121314151617343[[#This Row],[GBR]]-VLOOKUP($U$1,A:G,7,))/VLOOKUP($U$1,A:G,7,))*100)+100</f>
        <v/>
      </c>
      <c r="N314" s="76">
        <f>IF(VLOOKUP(A314,Database!$A:$AU,MATCH($N$1,Database!$A$1:$AU$1,0),FALSE)=0,#N/A,VLOOKUP(A314,Database!$A:$AU,MATCH($N$1,Database!$A$1:$AU$1,0),FALSE))</f>
        <v/>
      </c>
      <c r="O314" s="76">
        <f>(((Table134567891011121314151617343[[#This Row],[USA]]-VLOOKUP($U$1,A:N,14,))/VLOOKUP($U$1,A:N,14,))*100)+100</f>
        <v/>
      </c>
      <c r="P314" s="76">
        <f>IF(VLOOKUP(A314,Database!$A:$AS,MATCH($P$1,Database!$A$1:$AS$1,0),FALSE)=0,#N/A,VLOOKUP(A314,Database!$A:$AS,MATCH($P$1,Database!$A$1:$AS$1,0),FALSE))</f>
        <v/>
      </c>
      <c r="Q314" s="76">
        <f>(((Table134567891011121314151617343[[#This Row],[JPN]]-VLOOKUP($U$1,A:Q,16,))/VLOOKUP($U$1,A:Q,16,))*100)+100</f>
        <v/>
      </c>
    </row>
    <row r="315" customFormat="1" s="86">
      <c r="A315" s="21" t="n">
        <v>42401</v>
      </c>
      <c r="B315" s="76">
        <f>IF(VLOOKUP(A315,Database!$A:$AS,MATCH($B$1,Database!$A$1:$AS$1,0),FALSE)=0,#N/A,VLOOKUP(A315,Database!$A:$AS,MATCH($B$1,Database!$A$1:$AS$1,0),FALSE))</f>
        <v/>
      </c>
      <c r="C315" s="76">
        <f>IF(VLOOKUP(A315,Database!$A:$AS,MATCH($C$1,Database!$A$1:$AS$1,0),FALSE)=0,#N/A,VLOOKUP(A315,Database!$A:$AS,MATCH($C$1,Database!$A$1:$AS$1,0),FALSE))</f>
        <v/>
      </c>
      <c r="D315" s="76">
        <f>IF(VLOOKUP(A315,Database!$A:$AS,MATCH($D$1,Database!$A$1:$AS$1,0),FALSE)=0,#N/A,VLOOKUP(A315,Database!$A:$AS,MATCH($D$1,Database!$A$1:$AS$1,0),FALSE))</f>
        <v/>
      </c>
      <c r="E315" s="76">
        <f>IF(VLOOKUP(A315,Database!$A:$AS,MATCH($E$1,Database!$A$1:$AS$1,0),FALSE)=0,#N/A,VLOOKUP(A315,Database!$A:$AS,MATCH($E$1,Database!$A$1:$AS$1,0),FALSE))</f>
        <v/>
      </c>
      <c r="F315" s="76">
        <f>IF(VLOOKUP(A315,Database!$A:$AS,MATCH($F$1,Database!$A$1:$AS$1,0),FALSE)=0,#N/A,VLOOKUP(A315,Database!$A:$AS,MATCH($F$1,Database!$A$1:$AS$1,0),FALSE))</f>
        <v/>
      </c>
      <c r="G315" s="76">
        <f>IF(VLOOKUP(A315,Database!$A:$AS,MATCH($G$1,Database!$A$1:$AS$1,0),FALSE)=0,#N/A,VLOOKUP(A315,Database!$A:$AS,MATCH($G$1,Database!$A$1:$AS$1,0),FALSE))</f>
        <v/>
      </c>
      <c r="H315" s="76">
        <f>(((Table134567891011121314151617343[[#This Row],[ITA]]-VLOOKUP($U$1,A:B,2,))/VLOOKUP($U$1,A:B,2,))*100)+100</f>
        <v/>
      </c>
      <c r="I315" s="76">
        <f>(((Table134567891011121314151617343[[#This Row],[FRA]]-VLOOKUP($U$1,A:C,3,))/VLOOKUP($U$1,A:C,3,))*100)+100</f>
        <v/>
      </c>
      <c r="J315" s="76">
        <f>(((Table134567891011121314151617343[[#This Row],[DEU]]-VLOOKUP($U$1,A:D,4,))/VLOOKUP($U$1,A:D,4,))*100)+100</f>
        <v/>
      </c>
      <c r="K315" s="76">
        <f>(((Table134567891011121314151617343[[#This Row],[ESP]]-VLOOKUP($U$1,A:E,5,))/VLOOKUP($U$1,A:E,5,))*100)+100</f>
        <v/>
      </c>
      <c r="L315" s="76">
        <f>(((Table134567891011121314151617343[[#This Row],[EA19]]-VLOOKUP($U$1,A:F,6,))/VLOOKUP($U$1,A:F,6,))*100)+100</f>
        <v/>
      </c>
      <c r="M315" s="76">
        <f>(((Table134567891011121314151617343[[#This Row],[GBR]]-VLOOKUP($U$1,A:G,7,))/VLOOKUP($U$1,A:G,7,))*100)+100</f>
        <v/>
      </c>
      <c r="N315" s="76">
        <f>IF(VLOOKUP(A315,Database!$A:$AU,MATCH($N$1,Database!$A$1:$AU$1,0),FALSE)=0,#N/A,VLOOKUP(A315,Database!$A:$AU,MATCH($N$1,Database!$A$1:$AU$1,0),FALSE))</f>
        <v/>
      </c>
      <c r="O315" s="76">
        <f>(((Table134567891011121314151617343[[#This Row],[USA]]-VLOOKUP($U$1,A:N,14,))/VLOOKUP($U$1,A:N,14,))*100)+100</f>
        <v/>
      </c>
      <c r="P315" s="76">
        <f>IF(VLOOKUP(A315,Database!$A:$AS,MATCH($P$1,Database!$A$1:$AS$1,0),FALSE)=0,#N/A,VLOOKUP(A315,Database!$A:$AS,MATCH($P$1,Database!$A$1:$AS$1,0),FALSE))</f>
        <v/>
      </c>
      <c r="Q315" s="76">
        <f>(((Table134567891011121314151617343[[#This Row],[JPN]]-VLOOKUP($U$1,A:Q,16,))/VLOOKUP($U$1,A:Q,16,))*100)+100</f>
        <v/>
      </c>
    </row>
    <row r="316" customFormat="1" s="86">
      <c r="A316" s="21" t="n">
        <v>42430</v>
      </c>
      <c r="B316" s="76">
        <f>IF(VLOOKUP(A316,Database!$A:$AS,MATCH($B$1,Database!$A$1:$AS$1,0),FALSE)=0,#N/A,VLOOKUP(A316,Database!$A:$AS,MATCH($B$1,Database!$A$1:$AS$1,0),FALSE))</f>
        <v/>
      </c>
      <c r="C316" s="76">
        <f>IF(VLOOKUP(A316,Database!$A:$AS,MATCH($C$1,Database!$A$1:$AS$1,0),FALSE)=0,#N/A,VLOOKUP(A316,Database!$A:$AS,MATCH($C$1,Database!$A$1:$AS$1,0),FALSE))</f>
        <v/>
      </c>
      <c r="D316" s="76">
        <f>IF(VLOOKUP(A316,Database!$A:$AS,MATCH($D$1,Database!$A$1:$AS$1,0),FALSE)=0,#N/A,VLOOKUP(A316,Database!$A:$AS,MATCH($D$1,Database!$A$1:$AS$1,0),FALSE))</f>
        <v/>
      </c>
      <c r="E316" s="76">
        <f>IF(VLOOKUP(A316,Database!$A:$AS,MATCH($E$1,Database!$A$1:$AS$1,0),FALSE)=0,#N/A,VLOOKUP(A316,Database!$A:$AS,MATCH($E$1,Database!$A$1:$AS$1,0),FALSE))</f>
        <v/>
      </c>
      <c r="F316" s="76">
        <f>IF(VLOOKUP(A316,Database!$A:$AS,MATCH($F$1,Database!$A$1:$AS$1,0),FALSE)=0,#N/A,VLOOKUP(A316,Database!$A:$AS,MATCH($F$1,Database!$A$1:$AS$1,0),FALSE))</f>
        <v/>
      </c>
      <c r="G316" s="76">
        <f>IF(VLOOKUP(A316,Database!$A:$AS,MATCH($G$1,Database!$A$1:$AS$1,0),FALSE)=0,#N/A,VLOOKUP(A316,Database!$A:$AS,MATCH($G$1,Database!$A$1:$AS$1,0),FALSE))</f>
        <v/>
      </c>
      <c r="H316" s="76">
        <f>(((Table134567891011121314151617343[[#This Row],[ITA]]-VLOOKUP($U$1,A:B,2,))/VLOOKUP($U$1,A:B,2,))*100)+100</f>
        <v/>
      </c>
      <c r="I316" s="76">
        <f>(((Table134567891011121314151617343[[#This Row],[FRA]]-VLOOKUP($U$1,A:C,3,))/VLOOKUP($U$1,A:C,3,))*100)+100</f>
        <v/>
      </c>
      <c r="J316" s="76">
        <f>(((Table134567891011121314151617343[[#This Row],[DEU]]-VLOOKUP($U$1,A:D,4,))/VLOOKUP($U$1,A:D,4,))*100)+100</f>
        <v/>
      </c>
      <c r="K316" s="76">
        <f>(((Table134567891011121314151617343[[#This Row],[ESP]]-VLOOKUP($U$1,A:E,5,))/VLOOKUP($U$1,A:E,5,))*100)+100</f>
        <v/>
      </c>
      <c r="L316" s="76">
        <f>(((Table134567891011121314151617343[[#This Row],[EA19]]-VLOOKUP($U$1,A:F,6,))/VLOOKUP($U$1,A:F,6,))*100)+100</f>
        <v/>
      </c>
      <c r="M316" s="76">
        <f>(((Table134567891011121314151617343[[#This Row],[GBR]]-VLOOKUP($U$1,A:G,7,))/VLOOKUP($U$1,A:G,7,))*100)+100</f>
        <v/>
      </c>
      <c r="N316" s="76">
        <f>IF(VLOOKUP(A316,Database!$A:$AU,MATCH($N$1,Database!$A$1:$AU$1,0),FALSE)=0,#N/A,VLOOKUP(A316,Database!$A:$AU,MATCH($N$1,Database!$A$1:$AU$1,0),FALSE))</f>
        <v/>
      </c>
      <c r="O316" s="76">
        <f>(((Table134567891011121314151617343[[#This Row],[USA]]-VLOOKUP($U$1,A:N,14,))/VLOOKUP($U$1,A:N,14,))*100)+100</f>
        <v/>
      </c>
      <c r="P316" s="76">
        <f>IF(VLOOKUP(A316,Database!$A:$AS,MATCH($P$1,Database!$A$1:$AS$1,0),FALSE)=0,#N/A,VLOOKUP(A316,Database!$A:$AS,MATCH($P$1,Database!$A$1:$AS$1,0),FALSE))</f>
        <v/>
      </c>
      <c r="Q316" s="76">
        <f>(((Table134567891011121314151617343[[#This Row],[JPN]]-VLOOKUP($U$1,A:Q,16,))/VLOOKUP($U$1,A:Q,16,))*100)+100</f>
        <v/>
      </c>
    </row>
    <row r="317" customFormat="1" s="86">
      <c r="A317" s="21" t="n">
        <v>42461</v>
      </c>
      <c r="B317" s="76">
        <f>IF(VLOOKUP(A317,Database!$A:$AS,MATCH($B$1,Database!$A$1:$AS$1,0),FALSE)=0,#N/A,VLOOKUP(A317,Database!$A:$AS,MATCH($B$1,Database!$A$1:$AS$1,0),FALSE))</f>
        <v/>
      </c>
      <c r="C317" s="76">
        <f>IF(VLOOKUP(A317,Database!$A:$AS,MATCH($C$1,Database!$A$1:$AS$1,0),FALSE)=0,#N/A,VLOOKUP(A317,Database!$A:$AS,MATCH($C$1,Database!$A$1:$AS$1,0),FALSE))</f>
        <v/>
      </c>
      <c r="D317" s="76">
        <f>IF(VLOOKUP(A317,Database!$A:$AS,MATCH($D$1,Database!$A$1:$AS$1,0),FALSE)=0,#N/A,VLOOKUP(A317,Database!$A:$AS,MATCH($D$1,Database!$A$1:$AS$1,0),FALSE))</f>
        <v/>
      </c>
      <c r="E317" s="76">
        <f>IF(VLOOKUP(A317,Database!$A:$AS,MATCH($E$1,Database!$A$1:$AS$1,0),FALSE)=0,#N/A,VLOOKUP(A317,Database!$A:$AS,MATCH($E$1,Database!$A$1:$AS$1,0),FALSE))</f>
        <v/>
      </c>
      <c r="F317" s="76">
        <f>IF(VLOOKUP(A317,Database!$A:$AS,MATCH($F$1,Database!$A$1:$AS$1,0),FALSE)=0,#N/A,VLOOKUP(A317,Database!$A:$AS,MATCH($F$1,Database!$A$1:$AS$1,0),FALSE))</f>
        <v/>
      </c>
      <c r="G317" s="76">
        <f>IF(VLOOKUP(A317,Database!$A:$AS,MATCH($G$1,Database!$A$1:$AS$1,0),FALSE)=0,#N/A,VLOOKUP(A317,Database!$A:$AS,MATCH($G$1,Database!$A$1:$AS$1,0),FALSE))</f>
        <v/>
      </c>
      <c r="H317" s="76">
        <f>(((Table134567891011121314151617343[[#This Row],[ITA]]-VLOOKUP($U$1,A:B,2,))/VLOOKUP($U$1,A:B,2,))*100)+100</f>
        <v/>
      </c>
      <c r="I317" s="76">
        <f>(((Table134567891011121314151617343[[#This Row],[FRA]]-VLOOKUP($U$1,A:C,3,))/VLOOKUP($U$1,A:C,3,))*100)+100</f>
        <v/>
      </c>
      <c r="J317" s="76">
        <f>(((Table134567891011121314151617343[[#This Row],[DEU]]-VLOOKUP($U$1,A:D,4,))/VLOOKUP($U$1,A:D,4,))*100)+100</f>
        <v/>
      </c>
      <c r="K317" s="76">
        <f>(((Table134567891011121314151617343[[#This Row],[ESP]]-VLOOKUP($U$1,A:E,5,))/VLOOKUP($U$1,A:E,5,))*100)+100</f>
        <v/>
      </c>
      <c r="L317" s="76">
        <f>(((Table134567891011121314151617343[[#This Row],[EA19]]-VLOOKUP($U$1,A:F,6,))/VLOOKUP($U$1,A:F,6,))*100)+100</f>
        <v/>
      </c>
      <c r="M317" s="76">
        <f>(((Table134567891011121314151617343[[#This Row],[GBR]]-VLOOKUP($U$1,A:G,7,))/VLOOKUP($U$1,A:G,7,))*100)+100</f>
        <v/>
      </c>
      <c r="N317" s="76">
        <f>IF(VLOOKUP(A317,Database!$A:$AU,MATCH($N$1,Database!$A$1:$AU$1,0),FALSE)=0,#N/A,VLOOKUP(A317,Database!$A:$AU,MATCH($N$1,Database!$A$1:$AU$1,0),FALSE))</f>
        <v/>
      </c>
      <c r="O317" s="76">
        <f>(((Table134567891011121314151617343[[#This Row],[USA]]-VLOOKUP($U$1,A:N,14,))/VLOOKUP($U$1,A:N,14,))*100)+100</f>
        <v/>
      </c>
      <c r="P317" s="76">
        <f>IF(VLOOKUP(A317,Database!$A:$AS,MATCH($P$1,Database!$A$1:$AS$1,0),FALSE)=0,#N/A,VLOOKUP(A317,Database!$A:$AS,MATCH($P$1,Database!$A$1:$AS$1,0),FALSE))</f>
        <v/>
      </c>
      <c r="Q317" s="76">
        <f>(((Table134567891011121314151617343[[#This Row],[JPN]]-VLOOKUP($U$1,A:Q,16,))/VLOOKUP($U$1,A:Q,16,))*100)+100</f>
        <v/>
      </c>
    </row>
    <row r="318" customFormat="1" s="86">
      <c r="A318" s="21" t="n">
        <v>42491</v>
      </c>
      <c r="B318" s="76">
        <f>IF(VLOOKUP(A318,Database!$A:$AS,MATCH($B$1,Database!$A$1:$AS$1,0),FALSE)=0,#N/A,VLOOKUP(A318,Database!$A:$AS,MATCH($B$1,Database!$A$1:$AS$1,0),FALSE))</f>
        <v/>
      </c>
      <c r="C318" s="76">
        <f>IF(VLOOKUP(A318,Database!$A:$AS,MATCH($C$1,Database!$A$1:$AS$1,0),FALSE)=0,#N/A,VLOOKUP(A318,Database!$A:$AS,MATCH($C$1,Database!$A$1:$AS$1,0),FALSE))</f>
        <v/>
      </c>
      <c r="D318" s="76">
        <f>IF(VLOOKUP(A318,Database!$A:$AS,MATCH($D$1,Database!$A$1:$AS$1,0),FALSE)=0,#N/A,VLOOKUP(A318,Database!$A:$AS,MATCH($D$1,Database!$A$1:$AS$1,0),FALSE))</f>
        <v/>
      </c>
      <c r="E318" s="76">
        <f>IF(VLOOKUP(A318,Database!$A:$AS,MATCH($E$1,Database!$A$1:$AS$1,0),FALSE)=0,#N/A,VLOOKUP(A318,Database!$A:$AS,MATCH($E$1,Database!$A$1:$AS$1,0),FALSE))</f>
        <v/>
      </c>
      <c r="F318" s="76">
        <f>IF(VLOOKUP(A318,Database!$A:$AS,MATCH($F$1,Database!$A$1:$AS$1,0),FALSE)=0,#N/A,VLOOKUP(A318,Database!$A:$AS,MATCH($F$1,Database!$A$1:$AS$1,0),FALSE))</f>
        <v/>
      </c>
      <c r="G318" s="76">
        <f>IF(VLOOKUP(A318,Database!$A:$AS,MATCH($G$1,Database!$A$1:$AS$1,0),FALSE)=0,#N/A,VLOOKUP(A318,Database!$A:$AS,MATCH($G$1,Database!$A$1:$AS$1,0),FALSE))</f>
        <v/>
      </c>
      <c r="H318" s="76">
        <f>(((Table134567891011121314151617343[[#This Row],[ITA]]-VLOOKUP($U$1,A:B,2,))/VLOOKUP($U$1,A:B,2,))*100)+100</f>
        <v/>
      </c>
      <c r="I318" s="76">
        <f>(((Table134567891011121314151617343[[#This Row],[FRA]]-VLOOKUP($U$1,A:C,3,))/VLOOKUP($U$1,A:C,3,))*100)+100</f>
        <v/>
      </c>
      <c r="J318" s="76">
        <f>(((Table134567891011121314151617343[[#This Row],[DEU]]-VLOOKUP($U$1,A:D,4,))/VLOOKUP($U$1,A:D,4,))*100)+100</f>
        <v/>
      </c>
      <c r="K318" s="76">
        <f>(((Table134567891011121314151617343[[#This Row],[ESP]]-VLOOKUP($U$1,A:E,5,))/VLOOKUP($U$1,A:E,5,))*100)+100</f>
        <v/>
      </c>
      <c r="L318" s="76">
        <f>(((Table134567891011121314151617343[[#This Row],[EA19]]-VLOOKUP($U$1,A:F,6,))/VLOOKUP($U$1,A:F,6,))*100)+100</f>
        <v/>
      </c>
      <c r="M318" s="76">
        <f>(((Table134567891011121314151617343[[#This Row],[GBR]]-VLOOKUP($U$1,A:G,7,))/VLOOKUP($U$1,A:G,7,))*100)+100</f>
        <v/>
      </c>
      <c r="N318" s="76">
        <f>IF(VLOOKUP(A318,Database!$A:$AU,MATCH($N$1,Database!$A$1:$AU$1,0),FALSE)=0,#N/A,VLOOKUP(A318,Database!$A:$AU,MATCH($N$1,Database!$A$1:$AU$1,0),FALSE))</f>
        <v/>
      </c>
      <c r="O318" s="76">
        <f>(((Table134567891011121314151617343[[#This Row],[USA]]-VLOOKUP($U$1,A:N,14,))/VLOOKUP($U$1,A:N,14,))*100)+100</f>
        <v/>
      </c>
      <c r="P318" s="76">
        <f>IF(VLOOKUP(A318,Database!$A:$AS,MATCH($P$1,Database!$A$1:$AS$1,0),FALSE)=0,#N/A,VLOOKUP(A318,Database!$A:$AS,MATCH($P$1,Database!$A$1:$AS$1,0),FALSE))</f>
        <v/>
      </c>
      <c r="Q318" s="76">
        <f>(((Table134567891011121314151617343[[#This Row],[JPN]]-VLOOKUP($U$1,A:Q,16,))/VLOOKUP($U$1,A:Q,16,))*100)+100</f>
        <v/>
      </c>
    </row>
    <row r="319" customFormat="1" s="86">
      <c r="A319" s="21" t="n">
        <v>42522</v>
      </c>
      <c r="B319" s="76">
        <f>IF(VLOOKUP(A319,Database!$A:$AS,MATCH($B$1,Database!$A$1:$AS$1,0),FALSE)=0,#N/A,VLOOKUP(A319,Database!$A:$AS,MATCH($B$1,Database!$A$1:$AS$1,0),FALSE))</f>
        <v/>
      </c>
      <c r="C319" s="76">
        <f>IF(VLOOKUP(A319,Database!$A:$AS,MATCH($C$1,Database!$A$1:$AS$1,0),FALSE)=0,#N/A,VLOOKUP(A319,Database!$A:$AS,MATCH($C$1,Database!$A$1:$AS$1,0),FALSE))</f>
        <v/>
      </c>
      <c r="D319" s="76">
        <f>IF(VLOOKUP(A319,Database!$A:$AS,MATCH($D$1,Database!$A$1:$AS$1,0),FALSE)=0,#N/A,VLOOKUP(A319,Database!$A:$AS,MATCH($D$1,Database!$A$1:$AS$1,0),FALSE))</f>
        <v/>
      </c>
      <c r="E319" s="76">
        <f>IF(VLOOKUP(A319,Database!$A:$AS,MATCH($E$1,Database!$A$1:$AS$1,0),FALSE)=0,#N/A,VLOOKUP(A319,Database!$A:$AS,MATCH($E$1,Database!$A$1:$AS$1,0),FALSE))</f>
        <v/>
      </c>
      <c r="F319" s="76">
        <f>IF(VLOOKUP(A319,Database!$A:$AS,MATCH($F$1,Database!$A$1:$AS$1,0),FALSE)=0,#N/A,VLOOKUP(A319,Database!$A:$AS,MATCH($F$1,Database!$A$1:$AS$1,0),FALSE))</f>
        <v/>
      </c>
      <c r="G319" s="76">
        <f>IF(VLOOKUP(A319,Database!$A:$AS,MATCH($G$1,Database!$A$1:$AS$1,0),FALSE)=0,#N/A,VLOOKUP(A319,Database!$A:$AS,MATCH($G$1,Database!$A$1:$AS$1,0),FALSE))</f>
        <v/>
      </c>
      <c r="H319" s="76">
        <f>(((Table134567891011121314151617343[[#This Row],[ITA]]-VLOOKUP($U$1,A:B,2,))/VLOOKUP($U$1,A:B,2,))*100)+100</f>
        <v/>
      </c>
      <c r="I319" s="76">
        <f>(((Table134567891011121314151617343[[#This Row],[FRA]]-VLOOKUP($U$1,A:C,3,))/VLOOKUP($U$1,A:C,3,))*100)+100</f>
        <v/>
      </c>
      <c r="J319" s="76">
        <f>(((Table134567891011121314151617343[[#This Row],[DEU]]-VLOOKUP($U$1,A:D,4,))/VLOOKUP($U$1,A:D,4,))*100)+100</f>
        <v/>
      </c>
      <c r="K319" s="76">
        <f>(((Table134567891011121314151617343[[#This Row],[ESP]]-VLOOKUP($U$1,A:E,5,))/VLOOKUP($U$1,A:E,5,))*100)+100</f>
        <v/>
      </c>
      <c r="L319" s="76">
        <f>(((Table134567891011121314151617343[[#This Row],[EA19]]-VLOOKUP($U$1,A:F,6,))/VLOOKUP($U$1,A:F,6,))*100)+100</f>
        <v/>
      </c>
      <c r="M319" s="76">
        <f>(((Table134567891011121314151617343[[#This Row],[GBR]]-VLOOKUP($U$1,A:G,7,))/VLOOKUP($U$1,A:G,7,))*100)+100</f>
        <v/>
      </c>
      <c r="N319" s="76">
        <f>IF(VLOOKUP(A319,Database!$A:$AU,MATCH($N$1,Database!$A$1:$AU$1,0),FALSE)=0,#N/A,VLOOKUP(A319,Database!$A:$AU,MATCH($N$1,Database!$A$1:$AU$1,0),FALSE))</f>
        <v/>
      </c>
      <c r="O319" s="76">
        <f>(((Table134567891011121314151617343[[#This Row],[USA]]-VLOOKUP($U$1,A:N,14,))/VLOOKUP($U$1,A:N,14,))*100)+100</f>
        <v/>
      </c>
      <c r="P319" s="76">
        <f>IF(VLOOKUP(A319,Database!$A:$AS,MATCH($P$1,Database!$A$1:$AS$1,0),FALSE)=0,#N/A,VLOOKUP(A319,Database!$A:$AS,MATCH($P$1,Database!$A$1:$AS$1,0),FALSE))</f>
        <v/>
      </c>
      <c r="Q319" s="76">
        <f>(((Table134567891011121314151617343[[#This Row],[JPN]]-VLOOKUP($U$1,A:Q,16,))/VLOOKUP($U$1,A:Q,16,))*100)+100</f>
        <v/>
      </c>
    </row>
    <row r="320" customFormat="1" s="86">
      <c r="A320" s="21" t="n">
        <v>42552</v>
      </c>
      <c r="B320" s="76">
        <f>IF(VLOOKUP(A320,Database!$A:$AS,MATCH($B$1,Database!$A$1:$AS$1,0),FALSE)=0,#N/A,VLOOKUP(A320,Database!$A:$AS,MATCH($B$1,Database!$A$1:$AS$1,0),FALSE))</f>
        <v/>
      </c>
      <c r="C320" s="76">
        <f>IF(VLOOKUP(A320,Database!$A:$AS,MATCH($C$1,Database!$A$1:$AS$1,0),FALSE)=0,#N/A,VLOOKUP(A320,Database!$A:$AS,MATCH($C$1,Database!$A$1:$AS$1,0),FALSE))</f>
        <v/>
      </c>
      <c r="D320" s="76">
        <f>IF(VLOOKUP(A320,Database!$A:$AS,MATCH($D$1,Database!$A$1:$AS$1,0),FALSE)=0,#N/A,VLOOKUP(A320,Database!$A:$AS,MATCH($D$1,Database!$A$1:$AS$1,0),FALSE))</f>
        <v/>
      </c>
      <c r="E320" s="76">
        <f>IF(VLOOKUP(A320,Database!$A:$AS,MATCH($E$1,Database!$A$1:$AS$1,0),FALSE)=0,#N/A,VLOOKUP(A320,Database!$A:$AS,MATCH($E$1,Database!$A$1:$AS$1,0),FALSE))</f>
        <v/>
      </c>
      <c r="F320" s="76">
        <f>IF(VLOOKUP(A320,Database!$A:$AS,MATCH($F$1,Database!$A$1:$AS$1,0),FALSE)=0,#N/A,VLOOKUP(A320,Database!$A:$AS,MATCH($F$1,Database!$A$1:$AS$1,0),FALSE))</f>
        <v/>
      </c>
      <c r="G320" s="76">
        <f>IF(VLOOKUP(A320,Database!$A:$AS,MATCH($G$1,Database!$A$1:$AS$1,0),FALSE)=0,#N/A,VLOOKUP(A320,Database!$A:$AS,MATCH($G$1,Database!$A$1:$AS$1,0),FALSE))</f>
        <v/>
      </c>
      <c r="H320" s="76">
        <f>(((Table134567891011121314151617343[[#This Row],[ITA]]-VLOOKUP($U$1,A:B,2,))/VLOOKUP($U$1,A:B,2,))*100)+100</f>
        <v/>
      </c>
      <c r="I320" s="76">
        <f>(((Table134567891011121314151617343[[#This Row],[FRA]]-VLOOKUP($U$1,A:C,3,))/VLOOKUP($U$1,A:C,3,))*100)+100</f>
        <v/>
      </c>
      <c r="J320" s="76">
        <f>(((Table134567891011121314151617343[[#This Row],[DEU]]-VLOOKUP($U$1,A:D,4,))/VLOOKUP($U$1,A:D,4,))*100)+100</f>
        <v/>
      </c>
      <c r="K320" s="76">
        <f>(((Table134567891011121314151617343[[#This Row],[ESP]]-VLOOKUP($U$1,A:E,5,))/VLOOKUP($U$1,A:E,5,))*100)+100</f>
        <v/>
      </c>
      <c r="L320" s="76">
        <f>(((Table134567891011121314151617343[[#This Row],[EA19]]-VLOOKUP($U$1,A:F,6,))/VLOOKUP($U$1,A:F,6,))*100)+100</f>
        <v/>
      </c>
      <c r="M320" s="76">
        <f>(((Table134567891011121314151617343[[#This Row],[GBR]]-VLOOKUP($U$1,A:G,7,))/VLOOKUP($U$1,A:G,7,))*100)+100</f>
        <v/>
      </c>
      <c r="N320" s="76">
        <f>IF(VLOOKUP(A320,Database!$A:$AU,MATCH($N$1,Database!$A$1:$AU$1,0),FALSE)=0,#N/A,VLOOKUP(A320,Database!$A:$AU,MATCH($N$1,Database!$A$1:$AU$1,0),FALSE))</f>
        <v/>
      </c>
      <c r="O320" s="76">
        <f>(((Table134567891011121314151617343[[#This Row],[USA]]-VLOOKUP($U$1,A:N,14,))/VLOOKUP($U$1,A:N,14,))*100)+100</f>
        <v/>
      </c>
      <c r="P320" s="76">
        <f>IF(VLOOKUP(A320,Database!$A:$AS,MATCH($P$1,Database!$A$1:$AS$1,0),FALSE)=0,#N/A,VLOOKUP(A320,Database!$A:$AS,MATCH($P$1,Database!$A$1:$AS$1,0),FALSE))</f>
        <v/>
      </c>
      <c r="Q320" s="76">
        <f>(((Table134567891011121314151617343[[#This Row],[JPN]]-VLOOKUP($U$1,A:Q,16,))/VLOOKUP($U$1,A:Q,16,))*100)+100</f>
        <v/>
      </c>
    </row>
    <row r="321" customFormat="1" s="86">
      <c r="A321" s="21" t="n">
        <v>42583</v>
      </c>
      <c r="B321" s="76">
        <f>IF(VLOOKUP(A321,Database!$A:$AS,MATCH($B$1,Database!$A$1:$AS$1,0),FALSE)=0,#N/A,VLOOKUP(A321,Database!$A:$AS,MATCH($B$1,Database!$A$1:$AS$1,0),FALSE))</f>
        <v/>
      </c>
      <c r="C321" s="76">
        <f>IF(VLOOKUP(A321,Database!$A:$AS,MATCH($C$1,Database!$A$1:$AS$1,0),FALSE)=0,#N/A,VLOOKUP(A321,Database!$A:$AS,MATCH($C$1,Database!$A$1:$AS$1,0),FALSE))</f>
        <v/>
      </c>
      <c r="D321" s="76">
        <f>IF(VLOOKUP(A321,Database!$A:$AS,MATCH($D$1,Database!$A$1:$AS$1,0),FALSE)=0,#N/A,VLOOKUP(A321,Database!$A:$AS,MATCH($D$1,Database!$A$1:$AS$1,0),FALSE))</f>
        <v/>
      </c>
      <c r="E321" s="76">
        <f>IF(VLOOKUP(A321,Database!$A:$AS,MATCH($E$1,Database!$A$1:$AS$1,0),FALSE)=0,#N/A,VLOOKUP(A321,Database!$A:$AS,MATCH($E$1,Database!$A$1:$AS$1,0),FALSE))</f>
        <v/>
      </c>
      <c r="F321" s="76">
        <f>IF(VLOOKUP(A321,Database!$A:$AS,MATCH($F$1,Database!$A$1:$AS$1,0),FALSE)=0,#N/A,VLOOKUP(A321,Database!$A:$AS,MATCH($F$1,Database!$A$1:$AS$1,0),FALSE))</f>
        <v/>
      </c>
      <c r="G321" s="76">
        <f>IF(VLOOKUP(A321,Database!$A:$AS,MATCH($G$1,Database!$A$1:$AS$1,0),FALSE)=0,#N/A,VLOOKUP(A321,Database!$A:$AS,MATCH($G$1,Database!$A$1:$AS$1,0),FALSE))</f>
        <v/>
      </c>
      <c r="H321" s="76">
        <f>(((Table134567891011121314151617343[[#This Row],[ITA]]-VLOOKUP($U$1,A:B,2,))/VLOOKUP($U$1,A:B,2,))*100)+100</f>
        <v/>
      </c>
      <c r="I321" s="76">
        <f>(((Table134567891011121314151617343[[#This Row],[FRA]]-VLOOKUP($U$1,A:C,3,))/VLOOKUP($U$1,A:C,3,))*100)+100</f>
        <v/>
      </c>
      <c r="J321" s="76">
        <f>(((Table134567891011121314151617343[[#This Row],[DEU]]-VLOOKUP($U$1,A:D,4,))/VLOOKUP($U$1,A:D,4,))*100)+100</f>
        <v/>
      </c>
      <c r="K321" s="76">
        <f>(((Table134567891011121314151617343[[#This Row],[ESP]]-VLOOKUP($U$1,A:E,5,))/VLOOKUP($U$1,A:E,5,))*100)+100</f>
        <v/>
      </c>
      <c r="L321" s="76">
        <f>(((Table134567891011121314151617343[[#This Row],[EA19]]-VLOOKUP($U$1,A:F,6,))/VLOOKUP($U$1,A:F,6,))*100)+100</f>
        <v/>
      </c>
      <c r="M321" s="76">
        <f>(((Table134567891011121314151617343[[#This Row],[GBR]]-VLOOKUP($U$1,A:G,7,))/VLOOKUP($U$1,A:G,7,))*100)+100</f>
        <v/>
      </c>
      <c r="N321" s="76">
        <f>IF(VLOOKUP(A321,Database!$A:$AU,MATCH($N$1,Database!$A$1:$AU$1,0),FALSE)=0,#N/A,VLOOKUP(A321,Database!$A:$AU,MATCH($N$1,Database!$A$1:$AU$1,0),FALSE))</f>
        <v/>
      </c>
      <c r="O321" s="76">
        <f>(((Table134567891011121314151617343[[#This Row],[USA]]-VLOOKUP($U$1,A:N,14,))/VLOOKUP($U$1,A:N,14,))*100)+100</f>
        <v/>
      </c>
      <c r="P321" s="76">
        <f>IF(VLOOKUP(A321,Database!$A:$AS,MATCH($P$1,Database!$A$1:$AS$1,0),FALSE)=0,#N/A,VLOOKUP(A321,Database!$A:$AS,MATCH($P$1,Database!$A$1:$AS$1,0),FALSE))</f>
        <v/>
      </c>
      <c r="Q321" s="76">
        <f>(((Table134567891011121314151617343[[#This Row],[JPN]]-VLOOKUP($U$1,A:Q,16,))/VLOOKUP($U$1,A:Q,16,))*100)+100</f>
        <v/>
      </c>
    </row>
    <row r="322" customFormat="1" s="86">
      <c r="A322" s="21" t="n">
        <v>42614</v>
      </c>
      <c r="B322" s="76">
        <f>IF(VLOOKUP(A322,Database!$A:$AS,MATCH($B$1,Database!$A$1:$AS$1,0),FALSE)=0,#N/A,VLOOKUP(A322,Database!$A:$AS,MATCH($B$1,Database!$A$1:$AS$1,0),FALSE))</f>
        <v/>
      </c>
      <c r="C322" s="76">
        <f>IF(VLOOKUP(A322,Database!$A:$AS,MATCH($C$1,Database!$A$1:$AS$1,0),FALSE)=0,#N/A,VLOOKUP(A322,Database!$A:$AS,MATCH($C$1,Database!$A$1:$AS$1,0),FALSE))</f>
        <v/>
      </c>
      <c r="D322" s="76">
        <f>IF(VLOOKUP(A322,Database!$A:$AS,MATCH($D$1,Database!$A$1:$AS$1,0),FALSE)=0,#N/A,VLOOKUP(A322,Database!$A:$AS,MATCH($D$1,Database!$A$1:$AS$1,0),FALSE))</f>
        <v/>
      </c>
      <c r="E322" s="76">
        <f>IF(VLOOKUP(A322,Database!$A:$AS,MATCH($E$1,Database!$A$1:$AS$1,0),FALSE)=0,#N/A,VLOOKUP(A322,Database!$A:$AS,MATCH($E$1,Database!$A$1:$AS$1,0),FALSE))</f>
        <v/>
      </c>
      <c r="F322" s="76">
        <f>IF(VLOOKUP(A322,Database!$A:$AS,MATCH($F$1,Database!$A$1:$AS$1,0),FALSE)=0,#N/A,VLOOKUP(A322,Database!$A:$AS,MATCH($F$1,Database!$A$1:$AS$1,0),FALSE))</f>
        <v/>
      </c>
      <c r="G322" s="76">
        <f>IF(VLOOKUP(A322,Database!$A:$AS,MATCH($G$1,Database!$A$1:$AS$1,0),FALSE)=0,#N/A,VLOOKUP(A322,Database!$A:$AS,MATCH($G$1,Database!$A$1:$AS$1,0),FALSE))</f>
        <v/>
      </c>
      <c r="H322" s="76">
        <f>(((Table134567891011121314151617343[[#This Row],[ITA]]-VLOOKUP($U$1,A:B,2,))/VLOOKUP($U$1,A:B,2,))*100)+100</f>
        <v/>
      </c>
      <c r="I322" s="76">
        <f>(((Table134567891011121314151617343[[#This Row],[FRA]]-VLOOKUP($U$1,A:C,3,))/VLOOKUP($U$1,A:C,3,))*100)+100</f>
        <v/>
      </c>
      <c r="J322" s="76">
        <f>(((Table134567891011121314151617343[[#This Row],[DEU]]-VLOOKUP($U$1,A:D,4,))/VLOOKUP($U$1,A:D,4,))*100)+100</f>
        <v/>
      </c>
      <c r="K322" s="76">
        <f>(((Table134567891011121314151617343[[#This Row],[ESP]]-VLOOKUP($U$1,A:E,5,))/VLOOKUP($U$1,A:E,5,))*100)+100</f>
        <v/>
      </c>
      <c r="L322" s="76">
        <f>(((Table134567891011121314151617343[[#This Row],[EA19]]-VLOOKUP($U$1,A:F,6,))/VLOOKUP($U$1,A:F,6,))*100)+100</f>
        <v/>
      </c>
      <c r="M322" s="76">
        <f>(((Table134567891011121314151617343[[#This Row],[GBR]]-VLOOKUP($U$1,A:G,7,))/VLOOKUP($U$1,A:G,7,))*100)+100</f>
        <v/>
      </c>
      <c r="N322" s="76">
        <f>IF(VLOOKUP(A322,Database!$A:$AU,MATCH($N$1,Database!$A$1:$AU$1,0),FALSE)=0,#N/A,VLOOKUP(A322,Database!$A:$AU,MATCH($N$1,Database!$A$1:$AU$1,0),FALSE))</f>
        <v/>
      </c>
      <c r="O322" s="76">
        <f>(((Table134567891011121314151617343[[#This Row],[USA]]-VLOOKUP($U$1,A:N,14,))/VLOOKUP($U$1,A:N,14,))*100)+100</f>
        <v/>
      </c>
      <c r="P322" s="76">
        <f>IF(VLOOKUP(A322,Database!$A:$AS,MATCH($P$1,Database!$A$1:$AS$1,0),FALSE)=0,#N/A,VLOOKUP(A322,Database!$A:$AS,MATCH($P$1,Database!$A$1:$AS$1,0),FALSE))</f>
        <v/>
      </c>
      <c r="Q322" s="76">
        <f>(((Table134567891011121314151617343[[#This Row],[JPN]]-VLOOKUP($U$1,A:Q,16,))/VLOOKUP($U$1,A:Q,16,))*100)+100</f>
        <v/>
      </c>
    </row>
    <row r="323" customFormat="1" s="86">
      <c r="A323" s="21" t="n">
        <v>42644</v>
      </c>
      <c r="B323" s="76">
        <f>IF(VLOOKUP(A323,Database!$A:$AS,MATCH($B$1,Database!$A$1:$AS$1,0),FALSE)=0,#N/A,VLOOKUP(A323,Database!$A:$AS,MATCH($B$1,Database!$A$1:$AS$1,0),FALSE))</f>
        <v/>
      </c>
      <c r="C323" s="76">
        <f>IF(VLOOKUP(A323,Database!$A:$AS,MATCH($C$1,Database!$A$1:$AS$1,0),FALSE)=0,#N/A,VLOOKUP(A323,Database!$A:$AS,MATCH($C$1,Database!$A$1:$AS$1,0),FALSE))</f>
        <v/>
      </c>
      <c r="D323" s="76">
        <f>IF(VLOOKUP(A323,Database!$A:$AS,MATCH($D$1,Database!$A$1:$AS$1,0),FALSE)=0,#N/A,VLOOKUP(A323,Database!$A:$AS,MATCH($D$1,Database!$A$1:$AS$1,0),FALSE))</f>
        <v/>
      </c>
      <c r="E323" s="76">
        <f>IF(VLOOKUP(A323,Database!$A:$AS,MATCH($E$1,Database!$A$1:$AS$1,0),FALSE)=0,#N/A,VLOOKUP(A323,Database!$A:$AS,MATCH($E$1,Database!$A$1:$AS$1,0),FALSE))</f>
        <v/>
      </c>
      <c r="F323" s="76">
        <f>IF(VLOOKUP(A323,Database!$A:$AS,MATCH($F$1,Database!$A$1:$AS$1,0),FALSE)=0,#N/A,VLOOKUP(A323,Database!$A:$AS,MATCH($F$1,Database!$A$1:$AS$1,0),FALSE))</f>
        <v/>
      </c>
      <c r="G323" s="76">
        <f>IF(VLOOKUP(A323,Database!$A:$AS,MATCH($G$1,Database!$A$1:$AS$1,0),FALSE)=0,#N/A,VLOOKUP(A323,Database!$A:$AS,MATCH($G$1,Database!$A$1:$AS$1,0),FALSE))</f>
        <v/>
      </c>
      <c r="H323" s="76">
        <f>(((Table134567891011121314151617343[[#This Row],[ITA]]-VLOOKUP($U$1,A:B,2,))/VLOOKUP($U$1,A:B,2,))*100)+100</f>
        <v/>
      </c>
      <c r="I323" s="76">
        <f>(((Table134567891011121314151617343[[#This Row],[FRA]]-VLOOKUP($U$1,A:C,3,))/VLOOKUP($U$1,A:C,3,))*100)+100</f>
        <v/>
      </c>
      <c r="J323" s="76">
        <f>(((Table134567891011121314151617343[[#This Row],[DEU]]-VLOOKUP($U$1,A:D,4,))/VLOOKUP($U$1,A:D,4,))*100)+100</f>
        <v/>
      </c>
      <c r="K323" s="76">
        <f>(((Table134567891011121314151617343[[#This Row],[ESP]]-VLOOKUP($U$1,A:E,5,))/VLOOKUP($U$1,A:E,5,))*100)+100</f>
        <v/>
      </c>
      <c r="L323" s="76">
        <f>(((Table134567891011121314151617343[[#This Row],[EA19]]-VLOOKUP($U$1,A:F,6,))/VLOOKUP($U$1,A:F,6,))*100)+100</f>
        <v/>
      </c>
      <c r="M323" s="76">
        <f>(((Table134567891011121314151617343[[#This Row],[GBR]]-VLOOKUP($U$1,A:G,7,))/VLOOKUP($U$1,A:G,7,))*100)+100</f>
        <v/>
      </c>
      <c r="N323" s="76">
        <f>IF(VLOOKUP(A323,Database!$A:$AU,MATCH($N$1,Database!$A$1:$AU$1,0),FALSE)=0,#N/A,VLOOKUP(A323,Database!$A:$AU,MATCH($N$1,Database!$A$1:$AU$1,0),FALSE))</f>
        <v/>
      </c>
      <c r="O323" s="76">
        <f>(((Table134567891011121314151617343[[#This Row],[USA]]-VLOOKUP($U$1,A:N,14,))/VLOOKUP($U$1,A:N,14,))*100)+100</f>
        <v/>
      </c>
      <c r="P323" s="76">
        <f>IF(VLOOKUP(A323,Database!$A:$AS,MATCH($P$1,Database!$A$1:$AS$1,0),FALSE)=0,#N/A,VLOOKUP(A323,Database!$A:$AS,MATCH($P$1,Database!$A$1:$AS$1,0),FALSE))</f>
        <v/>
      </c>
      <c r="Q323" s="76">
        <f>(((Table134567891011121314151617343[[#This Row],[JPN]]-VLOOKUP($U$1,A:Q,16,))/VLOOKUP($U$1,A:Q,16,))*100)+100</f>
        <v/>
      </c>
    </row>
    <row r="324" customFormat="1" s="86">
      <c r="A324" s="21" t="n">
        <v>42675</v>
      </c>
      <c r="B324" s="76">
        <f>IF(VLOOKUP(A324,Database!$A:$AS,MATCH($B$1,Database!$A$1:$AS$1,0),FALSE)=0,#N/A,VLOOKUP(A324,Database!$A:$AS,MATCH($B$1,Database!$A$1:$AS$1,0),FALSE))</f>
        <v/>
      </c>
      <c r="C324" s="76">
        <f>IF(VLOOKUP(A324,Database!$A:$AS,MATCH($C$1,Database!$A$1:$AS$1,0),FALSE)=0,#N/A,VLOOKUP(A324,Database!$A:$AS,MATCH($C$1,Database!$A$1:$AS$1,0),FALSE))</f>
        <v/>
      </c>
      <c r="D324" s="76">
        <f>IF(VLOOKUP(A324,Database!$A:$AS,MATCH($D$1,Database!$A$1:$AS$1,0),FALSE)=0,#N/A,VLOOKUP(A324,Database!$A:$AS,MATCH($D$1,Database!$A$1:$AS$1,0),FALSE))</f>
        <v/>
      </c>
      <c r="E324" s="76">
        <f>IF(VLOOKUP(A324,Database!$A:$AS,MATCH($E$1,Database!$A$1:$AS$1,0),FALSE)=0,#N/A,VLOOKUP(A324,Database!$A:$AS,MATCH($E$1,Database!$A$1:$AS$1,0),FALSE))</f>
        <v/>
      </c>
      <c r="F324" s="76">
        <f>IF(VLOOKUP(A324,Database!$A:$AS,MATCH($F$1,Database!$A$1:$AS$1,0),FALSE)=0,#N/A,VLOOKUP(A324,Database!$A:$AS,MATCH($F$1,Database!$A$1:$AS$1,0),FALSE))</f>
        <v/>
      </c>
      <c r="G324" s="76">
        <f>IF(VLOOKUP(A324,Database!$A:$AS,MATCH($G$1,Database!$A$1:$AS$1,0),FALSE)=0,#N/A,VLOOKUP(A324,Database!$A:$AS,MATCH($G$1,Database!$A$1:$AS$1,0),FALSE))</f>
        <v/>
      </c>
      <c r="H324" s="76">
        <f>(((Table134567891011121314151617343[[#This Row],[ITA]]-VLOOKUP($U$1,A:B,2,))/VLOOKUP($U$1,A:B,2,))*100)+100</f>
        <v/>
      </c>
      <c r="I324" s="76">
        <f>(((Table134567891011121314151617343[[#This Row],[FRA]]-VLOOKUP($U$1,A:C,3,))/VLOOKUP($U$1,A:C,3,))*100)+100</f>
        <v/>
      </c>
      <c r="J324" s="76">
        <f>(((Table134567891011121314151617343[[#This Row],[DEU]]-VLOOKUP($U$1,A:D,4,))/VLOOKUP($U$1,A:D,4,))*100)+100</f>
        <v/>
      </c>
      <c r="K324" s="76">
        <f>(((Table134567891011121314151617343[[#This Row],[ESP]]-VLOOKUP($U$1,A:E,5,))/VLOOKUP($U$1,A:E,5,))*100)+100</f>
        <v/>
      </c>
      <c r="L324" s="76">
        <f>(((Table134567891011121314151617343[[#This Row],[EA19]]-VLOOKUP($U$1,A:F,6,))/VLOOKUP($U$1,A:F,6,))*100)+100</f>
        <v/>
      </c>
      <c r="M324" s="76">
        <f>(((Table134567891011121314151617343[[#This Row],[GBR]]-VLOOKUP($U$1,A:G,7,))/VLOOKUP($U$1,A:G,7,))*100)+100</f>
        <v/>
      </c>
      <c r="N324" s="76">
        <f>IF(VLOOKUP(A324,Database!$A:$AU,MATCH($N$1,Database!$A$1:$AU$1,0),FALSE)=0,#N/A,VLOOKUP(A324,Database!$A:$AU,MATCH($N$1,Database!$A$1:$AU$1,0),FALSE))</f>
        <v/>
      </c>
      <c r="O324" s="76">
        <f>(((Table134567891011121314151617343[[#This Row],[USA]]-VLOOKUP($U$1,A:N,14,))/VLOOKUP($U$1,A:N,14,))*100)+100</f>
        <v/>
      </c>
      <c r="P324" s="76">
        <f>IF(VLOOKUP(A324,Database!$A:$AS,MATCH($P$1,Database!$A$1:$AS$1,0),FALSE)=0,#N/A,VLOOKUP(A324,Database!$A:$AS,MATCH($P$1,Database!$A$1:$AS$1,0),FALSE))</f>
        <v/>
      </c>
      <c r="Q324" s="76">
        <f>(((Table134567891011121314151617343[[#This Row],[JPN]]-VLOOKUP($U$1,A:Q,16,))/VLOOKUP($U$1,A:Q,16,))*100)+100</f>
        <v/>
      </c>
    </row>
    <row r="325" customFormat="1" s="86">
      <c r="A325" s="21" t="n">
        <v>42705</v>
      </c>
      <c r="B325" s="76">
        <f>IF(VLOOKUP(A325,Database!$A:$AS,MATCH($B$1,Database!$A$1:$AS$1,0),FALSE)=0,#N/A,VLOOKUP(A325,Database!$A:$AS,MATCH($B$1,Database!$A$1:$AS$1,0),FALSE))</f>
        <v/>
      </c>
      <c r="C325" s="76">
        <f>IF(VLOOKUP(A325,Database!$A:$AS,MATCH($C$1,Database!$A$1:$AS$1,0),FALSE)=0,#N/A,VLOOKUP(A325,Database!$A:$AS,MATCH($C$1,Database!$A$1:$AS$1,0),FALSE))</f>
        <v/>
      </c>
      <c r="D325" s="76">
        <f>IF(VLOOKUP(A325,Database!$A:$AS,MATCH($D$1,Database!$A$1:$AS$1,0),FALSE)=0,#N/A,VLOOKUP(A325,Database!$A:$AS,MATCH($D$1,Database!$A$1:$AS$1,0),FALSE))</f>
        <v/>
      </c>
      <c r="E325" s="76">
        <f>IF(VLOOKUP(A325,Database!$A:$AS,MATCH($E$1,Database!$A$1:$AS$1,0),FALSE)=0,#N/A,VLOOKUP(A325,Database!$A:$AS,MATCH($E$1,Database!$A$1:$AS$1,0),FALSE))</f>
        <v/>
      </c>
      <c r="F325" s="76">
        <f>IF(VLOOKUP(A325,Database!$A:$AS,MATCH($F$1,Database!$A$1:$AS$1,0),FALSE)=0,#N/A,VLOOKUP(A325,Database!$A:$AS,MATCH($F$1,Database!$A$1:$AS$1,0),FALSE))</f>
        <v/>
      </c>
      <c r="G325" s="76">
        <f>IF(VLOOKUP(A325,Database!$A:$AS,MATCH($G$1,Database!$A$1:$AS$1,0),FALSE)=0,#N/A,VLOOKUP(A325,Database!$A:$AS,MATCH($G$1,Database!$A$1:$AS$1,0),FALSE))</f>
        <v/>
      </c>
      <c r="H325" s="76">
        <f>(((Table134567891011121314151617343[[#This Row],[ITA]]-VLOOKUP($U$1,A:B,2,))/VLOOKUP($U$1,A:B,2,))*100)+100</f>
        <v/>
      </c>
      <c r="I325" s="76">
        <f>(((Table134567891011121314151617343[[#This Row],[FRA]]-VLOOKUP($U$1,A:C,3,))/VLOOKUP($U$1,A:C,3,))*100)+100</f>
        <v/>
      </c>
      <c r="J325" s="76">
        <f>(((Table134567891011121314151617343[[#This Row],[DEU]]-VLOOKUP($U$1,A:D,4,))/VLOOKUP($U$1,A:D,4,))*100)+100</f>
        <v/>
      </c>
      <c r="K325" s="76">
        <f>(((Table134567891011121314151617343[[#This Row],[ESP]]-VLOOKUP($U$1,A:E,5,))/VLOOKUP($U$1,A:E,5,))*100)+100</f>
        <v/>
      </c>
      <c r="L325" s="76">
        <f>(((Table134567891011121314151617343[[#This Row],[EA19]]-VLOOKUP($U$1,A:F,6,))/VLOOKUP($U$1,A:F,6,))*100)+100</f>
        <v/>
      </c>
      <c r="M325" s="76">
        <f>(((Table134567891011121314151617343[[#This Row],[GBR]]-VLOOKUP($U$1,A:G,7,))/VLOOKUP($U$1,A:G,7,))*100)+100</f>
        <v/>
      </c>
      <c r="N325" s="76">
        <f>IF(VLOOKUP(A325,Database!$A:$AU,MATCH($N$1,Database!$A$1:$AU$1,0),FALSE)=0,#N/A,VLOOKUP(A325,Database!$A:$AU,MATCH($N$1,Database!$A$1:$AU$1,0),FALSE))</f>
        <v/>
      </c>
      <c r="O325" s="76">
        <f>(((Table134567891011121314151617343[[#This Row],[USA]]-VLOOKUP($U$1,A:N,14,))/VLOOKUP($U$1,A:N,14,))*100)+100</f>
        <v/>
      </c>
      <c r="P325" s="76">
        <f>IF(VLOOKUP(A325,Database!$A:$AS,MATCH($P$1,Database!$A$1:$AS$1,0),FALSE)=0,#N/A,VLOOKUP(A325,Database!$A:$AS,MATCH($P$1,Database!$A$1:$AS$1,0),FALSE))</f>
        <v/>
      </c>
      <c r="Q325" s="76">
        <f>(((Table134567891011121314151617343[[#This Row],[JPN]]-VLOOKUP($U$1,A:Q,16,))/VLOOKUP($U$1,A:Q,16,))*100)+100</f>
        <v/>
      </c>
    </row>
    <row r="326" customFormat="1" s="86">
      <c r="A326" s="21" t="n">
        <v>42736</v>
      </c>
      <c r="B326" s="76">
        <f>IF(VLOOKUP(A326,Database!$A:$AS,MATCH($B$1,Database!$A$1:$AS$1,0),FALSE)=0,#N/A,VLOOKUP(A326,Database!$A:$AS,MATCH($B$1,Database!$A$1:$AS$1,0),FALSE))</f>
        <v/>
      </c>
      <c r="C326" s="76">
        <f>IF(VLOOKUP(A326,Database!$A:$AS,MATCH($C$1,Database!$A$1:$AS$1,0),FALSE)=0,#N/A,VLOOKUP(A326,Database!$A:$AS,MATCH($C$1,Database!$A$1:$AS$1,0),FALSE))</f>
        <v/>
      </c>
      <c r="D326" s="76">
        <f>IF(VLOOKUP(A326,Database!$A:$AS,MATCH($D$1,Database!$A$1:$AS$1,0),FALSE)=0,#N/A,VLOOKUP(A326,Database!$A:$AS,MATCH($D$1,Database!$A$1:$AS$1,0),FALSE))</f>
        <v/>
      </c>
      <c r="E326" s="76">
        <f>IF(VLOOKUP(A326,Database!$A:$AS,MATCH($E$1,Database!$A$1:$AS$1,0),FALSE)=0,#N/A,VLOOKUP(A326,Database!$A:$AS,MATCH($E$1,Database!$A$1:$AS$1,0),FALSE))</f>
        <v/>
      </c>
      <c r="F326" s="76">
        <f>IF(VLOOKUP(A326,Database!$A:$AS,MATCH($F$1,Database!$A$1:$AS$1,0),FALSE)=0,#N/A,VLOOKUP(A326,Database!$A:$AS,MATCH($F$1,Database!$A$1:$AS$1,0),FALSE))</f>
        <v/>
      </c>
      <c r="G326" s="76">
        <f>IF(VLOOKUP(A326,Database!$A:$AS,MATCH($G$1,Database!$A$1:$AS$1,0),FALSE)=0,#N/A,VLOOKUP(A326,Database!$A:$AS,MATCH($G$1,Database!$A$1:$AS$1,0),FALSE))</f>
        <v/>
      </c>
      <c r="H326" s="76">
        <f>(((Table134567891011121314151617343[[#This Row],[ITA]]-VLOOKUP($U$1,A:B,2,))/VLOOKUP($U$1,A:B,2,))*100)+100</f>
        <v/>
      </c>
      <c r="I326" s="76">
        <f>(((Table134567891011121314151617343[[#This Row],[FRA]]-VLOOKUP($U$1,A:C,3,))/VLOOKUP($U$1,A:C,3,))*100)+100</f>
        <v/>
      </c>
      <c r="J326" s="76">
        <f>(((Table134567891011121314151617343[[#This Row],[DEU]]-VLOOKUP($U$1,A:D,4,))/VLOOKUP($U$1,A:D,4,))*100)+100</f>
        <v/>
      </c>
      <c r="K326" s="76">
        <f>(((Table134567891011121314151617343[[#This Row],[ESP]]-VLOOKUP($U$1,A:E,5,))/VLOOKUP($U$1,A:E,5,))*100)+100</f>
        <v/>
      </c>
      <c r="L326" s="76">
        <f>(((Table134567891011121314151617343[[#This Row],[EA19]]-VLOOKUP($U$1,A:F,6,))/VLOOKUP($U$1,A:F,6,))*100)+100</f>
        <v/>
      </c>
      <c r="M326" s="76">
        <f>(((Table134567891011121314151617343[[#This Row],[GBR]]-VLOOKUP($U$1,A:G,7,))/VLOOKUP($U$1,A:G,7,))*100)+100</f>
        <v/>
      </c>
      <c r="N326" s="76">
        <f>IF(VLOOKUP(A326,Database!$A:$AU,MATCH($N$1,Database!$A$1:$AU$1,0),FALSE)=0,#N/A,VLOOKUP(A326,Database!$A:$AU,MATCH($N$1,Database!$A$1:$AU$1,0),FALSE))</f>
        <v/>
      </c>
      <c r="O326" s="76">
        <f>(((Table134567891011121314151617343[[#This Row],[USA]]-VLOOKUP($U$1,A:N,14,))/VLOOKUP($U$1,A:N,14,))*100)+100</f>
        <v/>
      </c>
      <c r="P326" s="76">
        <f>IF(VLOOKUP(A326,Database!$A:$AS,MATCH($P$1,Database!$A$1:$AS$1,0),FALSE)=0,#N/A,VLOOKUP(A326,Database!$A:$AS,MATCH($P$1,Database!$A$1:$AS$1,0),FALSE))</f>
        <v/>
      </c>
      <c r="Q326" s="76">
        <f>(((Table134567891011121314151617343[[#This Row],[JPN]]-VLOOKUP($U$1,A:Q,16,))/VLOOKUP($U$1,A:Q,16,))*100)+100</f>
        <v/>
      </c>
    </row>
    <row r="327" customFormat="1" s="86">
      <c r="A327" s="21" t="n">
        <v>42767</v>
      </c>
      <c r="B327" s="76">
        <f>IF(VLOOKUP(A327,Database!$A:$AS,MATCH($B$1,Database!$A$1:$AS$1,0),FALSE)=0,#N/A,VLOOKUP(A327,Database!$A:$AS,MATCH($B$1,Database!$A$1:$AS$1,0),FALSE))</f>
        <v/>
      </c>
      <c r="C327" s="76">
        <f>IF(VLOOKUP(A327,Database!$A:$AS,MATCH($C$1,Database!$A$1:$AS$1,0),FALSE)=0,#N/A,VLOOKUP(A327,Database!$A:$AS,MATCH($C$1,Database!$A$1:$AS$1,0),FALSE))</f>
        <v/>
      </c>
      <c r="D327" s="76">
        <f>IF(VLOOKUP(A327,Database!$A:$AS,MATCH($D$1,Database!$A$1:$AS$1,0),FALSE)=0,#N/A,VLOOKUP(A327,Database!$A:$AS,MATCH($D$1,Database!$A$1:$AS$1,0),FALSE))</f>
        <v/>
      </c>
      <c r="E327" s="76">
        <f>IF(VLOOKUP(A327,Database!$A:$AS,MATCH($E$1,Database!$A$1:$AS$1,0),FALSE)=0,#N/A,VLOOKUP(A327,Database!$A:$AS,MATCH($E$1,Database!$A$1:$AS$1,0),FALSE))</f>
        <v/>
      </c>
      <c r="F327" s="76">
        <f>IF(VLOOKUP(A327,Database!$A:$AS,MATCH($F$1,Database!$A$1:$AS$1,0),FALSE)=0,#N/A,VLOOKUP(A327,Database!$A:$AS,MATCH($F$1,Database!$A$1:$AS$1,0),FALSE))</f>
        <v/>
      </c>
      <c r="G327" s="76">
        <f>IF(VLOOKUP(A327,Database!$A:$AS,MATCH($G$1,Database!$A$1:$AS$1,0),FALSE)=0,#N/A,VLOOKUP(A327,Database!$A:$AS,MATCH($G$1,Database!$A$1:$AS$1,0),FALSE))</f>
        <v/>
      </c>
      <c r="H327" s="76">
        <f>(((Table134567891011121314151617343[[#This Row],[ITA]]-VLOOKUP($U$1,A:B,2,))/VLOOKUP($U$1,A:B,2,))*100)+100</f>
        <v/>
      </c>
      <c r="I327" s="76">
        <f>(((Table134567891011121314151617343[[#This Row],[FRA]]-VLOOKUP($U$1,A:C,3,))/VLOOKUP($U$1,A:C,3,))*100)+100</f>
        <v/>
      </c>
      <c r="J327" s="76">
        <f>(((Table134567891011121314151617343[[#This Row],[DEU]]-VLOOKUP($U$1,A:D,4,))/VLOOKUP($U$1,A:D,4,))*100)+100</f>
        <v/>
      </c>
      <c r="K327" s="76">
        <f>(((Table134567891011121314151617343[[#This Row],[ESP]]-VLOOKUP($U$1,A:E,5,))/VLOOKUP($U$1,A:E,5,))*100)+100</f>
        <v/>
      </c>
      <c r="L327" s="76">
        <f>(((Table134567891011121314151617343[[#This Row],[EA19]]-VLOOKUP($U$1,A:F,6,))/VLOOKUP($U$1,A:F,6,))*100)+100</f>
        <v/>
      </c>
      <c r="M327" s="76">
        <f>(((Table134567891011121314151617343[[#This Row],[GBR]]-VLOOKUP($U$1,A:G,7,))/VLOOKUP($U$1,A:G,7,))*100)+100</f>
        <v/>
      </c>
      <c r="N327" s="76">
        <f>IF(VLOOKUP(A327,Database!$A:$AU,MATCH($N$1,Database!$A$1:$AU$1,0),FALSE)=0,#N/A,VLOOKUP(A327,Database!$A:$AU,MATCH($N$1,Database!$A$1:$AU$1,0),FALSE))</f>
        <v/>
      </c>
      <c r="O327" s="76">
        <f>(((Table134567891011121314151617343[[#This Row],[USA]]-VLOOKUP($U$1,A:N,14,))/VLOOKUP($U$1,A:N,14,))*100)+100</f>
        <v/>
      </c>
      <c r="P327" s="76">
        <f>IF(VLOOKUP(A327,Database!$A:$AS,MATCH($P$1,Database!$A$1:$AS$1,0),FALSE)=0,#N/A,VLOOKUP(A327,Database!$A:$AS,MATCH($P$1,Database!$A$1:$AS$1,0),FALSE))</f>
        <v/>
      </c>
      <c r="Q327" s="76">
        <f>(((Table134567891011121314151617343[[#This Row],[JPN]]-VLOOKUP($U$1,A:Q,16,))/VLOOKUP($U$1,A:Q,16,))*100)+100</f>
        <v/>
      </c>
    </row>
    <row r="328" customFormat="1" s="86">
      <c r="A328" s="21" t="n">
        <v>42795</v>
      </c>
      <c r="B328" s="76">
        <f>IF(VLOOKUP(A328,Database!$A:$AS,MATCH($B$1,Database!$A$1:$AS$1,0),FALSE)=0,#N/A,VLOOKUP(A328,Database!$A:$AS,MATCH($B$1,Database!$A$1:$AS$1,0),FALSE))</f>
        <v/>
      </c>
      <c r="C328" s="76">
        <f>IF(VLOOKUP(A328,Database!$A:$AS,MATCH($C$1,Database!$A$1:$AS$1,0),FALSE)=0,#N/A,VLOOKUP(A328,Database!$A:$AS,MATCH($C$1,Database!$A$1:$AS$1,0),FALSE))</f>
        <v/>
      </c>
      <c r="D328" s="76">
        <f>IF(VLOOKUP(A328,Database!$A:$AS,MATCH($D$1,Database!$A$1:$AS$1,0),FALSE)=0,#N/A,VLOOKUP(A328,Database!$A:$AS,MATCH($D$1,Database!$A$1:$AS$1,0),FALSE))</f>
        <v/>
      </c>
      <c r="E328" s="76">
        <f>IF(VLOOKUP(A328,Database!$A:$AS,MATCH($E$1,Database!$A$1:$AS$1,0),FALSE)=0,#N/A,VLOOKUP(A328,Database!$A:$AS,MATCH($E$1,Database!$A$1:$AS$1,0),FALSE))</f>
        <v/>
      </c>
      <c r="F328" s="76">
        <f>IF(VLOOKUP(A328,Database!$A:$AS,MATCH($F$1,Database!$A$1:$AS$1,0),FALSE)=0,#N/A,VLOOKUP(A328,Database!$A:$AS,MATCH($F$1,Database!$A$1:$AS$1,0),FALSE))</f>
        <v/>
      </c>
      <c r="G328" s="76">
        <f>IF(VLOOKUP(A328,Database!$A:$AS,MATCH($G$1,Database!$A$1:$AS$1,0),FALSE)=0,#N/A,VLOOKUP(A328,Database!$A:$AS,MATCH($G$1,Database!$A$1:$AS$1,0),FALSE))</f>
        <v/>
      </c>
      <c r="H328" s="76">
        <f>(((Table134567891011121314151617343[[#This Row],[ITA]]-VLOOKUP($U$1,A:B,2,))/VLOOKUP($U$1,A:B,2,))*100)+100</f>
        <v/>
      </c>
      <c r="I328" s="76">
        <f>(((Table134567891011121314151617343[[#This Row],[FRA]]-VLOOKUP($U$1,A:C,3,))/VLOOKUP($U$1,A:C,3,))*100)+100</f>
        <v/>
      </c>
      <c r="J328" s="76">
        <f>(((Table134567891011121314151617343[[#This Row],[DEU]]-VLOOKUP($U$1,A:D,4,))/VLOOKUP($U$1,A:D,4,))*100)+100</f>
        <v/>
      </c>
      <c r="K328" s="76">
        <f>(((Table134567891011121314151617343[[#This Row],[ESP]]-VLOOKUP($U$1,A:E,5,))/VLOOKUP($U$1,A:E,5,))*100)+100</f>
        <v/>
      </c>
      <c r="L328" s="76">
        <f>(((Table134567891011121314151617343[[#This Row],[EA19]]-VLOOKUP($U$1,A:F,6,))/VLOOKUP($U$1,A:F,6,))*100)+100</f>
        <v/>
      </c>
      <c r="M328" s="76">
        <f>(((Table134567891011121314151617343[[#This Row],[GBR]]-VLOOKUP($U$1,A:G,7,))/VLOOKUP($U$1,A:G,7,))*100)+100</f>
        <v/>
      </c>
      <c r="N328" s="76">
        <f>IF(VLOOKUP(A328,Database!$A:$AU,MATCH($N$1,Database!$A$1:$AU$1,0),FALSE)=0,#N/A,VLOOKUP(A328,Database!$A:$AU,MATCH($N$1,Database!$A$1:$AU$1,0),FALSE))</f>
        <v/>
      </c>
      <c r="O328" s="76">
        <f>(((Table134567891011121314151617343[[#This Row],[USA]]-VLOOKUP($U$1,A:N,14,))/VLOOKUP($U$1,A:N,14,))*100)+100</f>
        <v/>
      </c>
      <c r="P328" s="76">
        <f>IF(VLOOKUP(A328,Database!$A:$AS,MATCH($P$1,Database!$A$1:$AS$1,0),FALSE)=0,#N/A,VLOOKUP(A328,Database!$A:$AS,MATCH($P$1,Database!$A$1:$AS$1,0),FALSE))</f>
        <v/>
      </c>
      <c r="Q328" s="76">
        <f>(((Table134567891011121314151617343[[#This Row],[JPN]]-VLOOKUP($U$1,A:Q,16,))/VLOOKUP($U$1,A:Q,16,))*100)+100</f>
        <v/>
      </c>
    </row>
    <row r="329" customFormat="1" s="86">
      <c r="A329" s="21" t="n">
        <v>42826</v>
      </c>
      <c r="B329" s="76">
        <f>IF(VLOOKUP(A329,Database!$A:$AS,MATCH($B$1,Database!$A$1:$AS$1,0),FALSE)=0,#N/A,VLOOKUP(A329,Database!$A:$AS,MATCH($B$1,Database!$A$1:$AS$1,0),FALSE))</f>
        <v/>
      </c>
      <c r="C329" s="76">
        <f>IF(VLOOKUP(A329,Database!$A:$AS,MATCH($C$1,Database!$A$1:$AS$1,0),FALSE)=0,#N/A,VLOOKUP(A329,Database!$A:$AS,MATCH($C$1,Database!$A$1:$AS$1,0),FALSE))</f>
        <v/>
      </c>
      <c r="D329" s="76">
        <f>IF(VLOOKUP(A329,Database!$A:$AS,MATCH($D$1,Database!$A$1:$AS$1,0),FALSE)=0,#N/A,VLOOKUP(A329,Database!$A:$AS,MATCH($D$1,Database!$A$1:$AS$1,0),FALSE))</f>
        <v/>
      </c>
      <c r="E329" s="76">
        <f>IF(VLOOKUP(A329,Database!$A:$AS,MATCH($E$1,Database!$A$1:$AS$1,0),FALSE)=0,#N/A,VLOOKUP(A329,Database!$A:$AS,MATCH($E$1,Database!$A$1:$AS$1,0),FALSE))</f>
        <v/>
      </c>
      <c r="F329" s="76">
        <f>IF(VLOOKUP(A329,Database!$A:$AS,MATCH($F$1,Database!$A$1:$AS$1,0),FALSE)=0,#N/A,VLOOKUP(A329,Database!$A:$AS,MATCH($F$1,Database!$A$1:$AS$1,0),FALSE))</f>
        <v/>
      </c>
      <c r="G329" s="76">
        <f>IF(VLOOKUP(A329,Database!$A:$AS,MATCH($G$1,Database!$A$1:$AS$1,0),FALSE)=0,#N/A,VLOOKUP(A329,Database!$A:$AS,MATCH($G$1,Database!$A$1:$AS$1,0),FALSE))</f>
        <v/>
      </c>
      <c r="H329" s="76">
        <f>(((Table134567891011121314151617343[[#This Row],[ITA]]-VLOOKUP($U$1,A:B,2,))/VLOOKUP($U$1,A:B,2,))*100)+100</f>
        <v/>
      </c>
      <c r="I329" s="76">
        <f>(((Table134567891011121314151617343[[#This Row],[FRA]]-VLOOKUP($U$1,A:C,3,))/VLOOKUP($U$1,A:C,3,))*100)+100</f>
        <v/>
      </c>
      <c r="J329" s="76">
        <f>(((Table134567891011121314151617343[[#This Row],[DEU]]-VLOOKUP($U$1,A:D,4,))/VLOOKUP($U$1,A:D,4,))*100)+100</f>
        <v/>
      </c>
      <c r="K329" s="76">
        <f>(((Table134567891011121314151617343[[#This Row],[ESP]]-VLOOKUP($U$1,A:E,5,))/VLOOKUP($U$1,A:E,5,))*100)+100</f>
        <v/>
      </c>
      <c r="L329" s="76">
        <f>(((Table134567891011121314151617343[[#This Row],[EA19]]-VLOOKUP($U$1,A:F,6,))/VLOOKUP($U$1,A:F,6,))*100)+100</f>
        <v/>
      </c>
      <c r="M329" s="76">
        <f>(((Table134567891011121314151617343[[#This Row],[GBR]]-VLOOKUP($U$1,A:G,7,))/VLOOKUP($U$1,A:G,7,))*100)+100</f>
        <v/>
      </c>
      <c r="N329" s="76">
        <f>IF(VLOOKUP(A329,Database!$A:$AU,MATCH($N$1,Database!$A$1:$AU$1,0),FALSE)=0,#N/A,VLOOKUP(A329,Database!$A:$AU,MATCH($N$1,Database!$A$1:$AU$1,0),FALSE))</f>
        <v/>
      </c>
      <c r="O329" s="76">
        <f>(((Table134567891011121314151617343[[#This Row],[USA]]-VLOOKUP($U$1,A:N,14,))/VLOOKUP($U$1,A:N,14,))*100)+100</f>
        <v/>
      </c>
      <c r="P329" s="76">
        <f>IF(VLOOKUP(A329,Database!$A:$AS,MATCH($P$1,Database!$A$1:$AS$1,0),FALSE)=0,#N/A,VLOOKUP(A329,Database!$A:$AS,MATCH($P$1,Database!$A$1:$AS$1,0),FALSE))</f>
        <v/>
      </c>
      <c r="Q329" s="76">
        <f>(((Table134567891011121314151617343[[#This Row],[JPN]]-VLOOKUP($U$1,A:Q,16,))/VLOOKUP($U$1,A:Q,16,))*100)+100</f>
        <v/>
      </c>
    </row>
    <row r="330" customFormat="1" s="86">
      <c r="A330" s="21" t="n">
        <v>42856</v>
      </c>
      <c r="B330" s="76">
        <f>IF(VLOOKUP(A330,Database!$A:$AS,MATCH($B$1,Database!$A$1:$AS$1,0),FALSE)=0,#N/A,VLOOKUP(A330,Database!$A:$AS,MATCH($B$1,Database!$A$1:$AS$1,0),FALSE))</f>
        <v/>
      </c>
      <c r="C330" s="76">
        <f>IF(VLOOKUP(A330,Database!$A:$AS,MATCH($C$1,Database!$A$1:$AS$1,0),FALSE)=0,#N/A,VLOOKUP(A330,Database!$A:$AS,MATCH($C$1,Database!$A$1:$AS$1,0),FALSE))</f>
        <v/>
      </c>
      <c r="D330" s="76">
        <f>IF(VLOOKUP(A330,Database!$A:$AS,MATCH($D$1,Database!$A$1:$AS$1,0),FALSE)=0,#N/A,VLOOKUP(A330,Database!$A:$AS,MATCH($D$1,Database!$A$1:$AS$1,0),FALSE))</f>
        <v/>
      </c>
      <c r="E330" s="76">
        <f>IF(VLOOKUP(A330,Database!$A:$AS,MATCH($E$1,Database!$A$1:$AS$1,0),FALSE)=0,#N/A,VLOOKUP(A330,Database!$A:$AS,MATCH($E$1,Database!$A$1:$AS$1,0),FALSE))</f>
        <v/>
      </c>
      <c r="F330" s="76">
        <f>IF(VLOOKUP(A330,Database!$A:$AS,MATCH($F$1,Database!$A$1:$AS$1,0),FALSE)=0,#N/A,VLOOKUP(A330,Database!$A:$AS,MATCH($F$1,Database!$A$1:$AS$1,0),FALSE))</f>
        <v/>
      </c>
      <c r="G330" s="76">
        <f>IF(VLOOKUP(A330,Database!$A:$AS,MATCH($G$1,Database!$A$1:$AS$1,0),FALSE)=0,#N/A,VLOOKUP(A330,Database!$A:$AS,MATCH($G$1,Database!$A$1:$AS$1,0),FALSE))</f>
        <v/>
      </c>
      <c r="H330" s="76">
        <f>(((Table134567891011121314151617343[[#This Row],[ITA]]-VLOOKUP($U$1,A:B,2,))/VLOOKUP($U$1,A:B,2,))*100)+100</f>
        <v/>
      </c>
      <c r="I330" s="76">
        <f>(((Table134567891011121314151617343[[#This Row],[FRA]]-VLOOKUP($U$1,A:C,3,))/VLOOKUP($U$1,A:C,3,))*100)+100</f>
        <v/>
      </c>
      <c r="J330" s="76">
        <f>(((Table134567891011121314151617343[[#This Row],[DEU]]-VLOOKUP($U$1,A:D,4,))/VLOOKUP($U$1,A:D,4,))*100)+100</f>
        <v/>
      </c>
      <c r="K330" s="76">
        <f>(((Table134567891011121314151617343[[#This Row],[ESP]]-VLOOKUP($U$1,A:E,5,))/VLOOKUP($U$1,A:E,5,))*100)+100</f>
        <v/>
      </c>
      <c r="L330" s="76">
        <f>(((Table134567891011121314151617343[[#This Row],[EA19]]-VLOOKUP($U$1,A:F,6,))/VLOOKUP($U$1,A:F,6,))*100)+100</f>
        <v/>
      </c>
      <c r="M330" s="76">
        <f>(((Table134567891011121314151617343[[#This Row],[GBR]]-VLOOKUP($U$1,A:G,7,))/VLOOKUP($U$1,A:G,7,))*100)+100</f>
        <v/>
      </c>
      <c r="N330" s="76">
        <f>IF(VLOOKUP(A330,Database!$A:$AU,MATCH($N$1,Database!$A$1:$AU$1,0),FALSE)=0,#N/A,VLOOKUP(A330,Database!$A:$AU,MATCH($N$1,Database!$A$1:$AU$1,0),FALSE))</f>
        <v/>
      </c>
      <c r="O330" s="76">
        <f>(((Table134567891011121314151617343[[#This Row],[USA]]-VLOOKUP($U$1,A:N,14,))/VLOOKUP($U$1,A:N,14,))*100)+100</f>
        <v/>
      </c>
      <c r="P330" s="76">
        <f>IF(VLOOKUP(A330,Database!$A:$AS,MATCH($P$1,Database!$A$1:$AS$1,0),FALSE)=0,#N/A,VLOOKUP(A330,Database!$A:$AS,MATCH($P$1,Database!$A$1:$AS$1,0),FALSE))</f>
        <v/>
      </c>
      <c r="Q330" s="76">
        <f>(((Table134567891011121314151617343[[#This Row],[JPN]]-VLOOKUP($U$1,A:Q,16,))/VLOOKUP($U$1,A:Q,16,))*100)+100</f>
        <v/>
      </c>
    </row>
    <row r="331" customFormat="1" s="86">
      <c r="A331" s="21" t="n">
        <v>42887</v>
      </c>
      <c r="B331" s="76">
        <f>IF(VLOOKUP(A331,Database!$A:$AS,MATCH($B$1,Database!$A$1:$AS$1,0),FALSE)=0,#N/A,VLOOKUP(A331,Database!$A:$AS,MATCH($B$1,Database!$A$1:$AS$1,0),FALSE))</f>
        <v/>
      </c>
      <c r="C331" s="76">
        <f>IF(VLOOKUP(A331,Database!$A:$AS,MATCH($C$1,Database!$A$1:$AS$1,0),FALSE)=0,#N/A,VLOOKUP(A331,Database!$A:$AS,MATCH($C$1,Database!$A$1:$AS$1,0),FALSE))</f>
        <v/>
      </c>
      <c r="D331" s="76">
        <f>IF(VLOOKUP(A331,Database!$A:$AS,MATCH($D$1,Database!$A$1:$AS$1,0),FALSE)=0,#N/A,VLOOKUP(A331,Database!$A:$AS,MATCH($D$1,Database!$A$1:$AS$1,0),FALSE))</f>
        <v/>
      </c>
      <c r="E331" s="76">
        <f>IF(VLOOKUP(A331,Database!$A:$AS,MATCH($E$1,Database!$A$1:$AS$1,0),FALSE)=0,#N/A,VLOOKUP(A331,Database!$A:$AS,MATCH($E$1,Database!$A$1:$AS$1,0),FALSE))</f>
        <v/>
      </c>
      <c r="F331" s="76">
        <f>IF(VLOOKUP(A331,Database!$A:$AS,MATCH($F$1,Database!$A$1:$AS$1,0),FALSE)=0,#N/A,VLOOKUP(A331,Database!$A:$AS,MATCH($F$1,Database!$A$1:$AS$1,0),FALSE))</f>
        <v/>
      </c>
      <c r="G331" s="76">
        <f>IF(VLOOKUP(A331,Database!$A:$AS,MATCH($G$1,Database!$A$1:$AS$1,0),FALSE)=0,#N/A,VLOOKUP(A331,Database!$A:$AS,MATCH($G$1,Database!$A$1:$AS$1,0),FALSE))</f>
        <v/>
      </c>
      <c r="H331" s="76">
        <f>(((Table134567891011121314151617343[[#This Row],[ITA]]-VLOOKUP($U$1,A:B,2,))/VLOOKUP($U$1,A:B,2,))*100)+100</f>
        <v/>
      </c>
      <c r="I331" s="76">
        <f>(((Table134567891011121314151617343[[#This Row],[FRA]]-VLOOKUP($U$1,A:C,3,))/VLOOKUP($U$1,A:C,3,))*100)+100</f>
        <v/>
      </c>
      <c r="J331" s="76">
        <f>(((Table134567891011121314151617343[[#This Row],[DEU]]-VLOOKUP($U$1,A:D,4,))/VLOOKUP($U$1,A:D,4,))*100)+100</f>
        <v/>
      </c>
      <c r="K331" s="76">
        <f>(((Table134567891011121314151617343[[#This Row],[ESP]]-VLOOKUP($U$1,A:E,5,))/VLOOKUP($U$1,A:E,5,))*100)+100</f>
        <v/>
      </c>
      <c r="L331" s="76">
        <f>(((Table134567891011121314151617343[[#This Row],[EA19]]-VLOOKUP($U$1,A:F,6,))/VLOOKUP($U$1,A:F,6,))*100)+100</f>
        <v/>
      </c>
      <c r="M331" s="76">
        <f>(((Table134567891011121314151617343[[#This Row],[GBR]]-VLOOKUP($U$1,A:G,7,))/VLOOKUP($U$1,A:G,7,))*100)+100</f>
        <v/>
      </c>
      <c r="N331" s="76">
        <f>IF(VLOOKUP(A331,Database!$A:$AU,MATCH($N$1,Database!$A$1:$AU$1,0),FALSE)=0,#N/A,VLOOKUP(A331,Database!$A:$AU,MATCH($N$1,Database!$A$1:$AU$1,0),FALSE))</f>
        <v/>
      </c>
      <c r="O331" s="76">
        <f>(((Table134567891011121314151617343[[#This Row],[USA]]-VLOOKUP($U$1,A:N,14,))/VLOOKUP($U$1,A:N,14,))*100)+100</f>
        <v/>
      </c>
      <c r="P331" s="76">
        <f>IF(VLOOKUP(A331,Database!$A:$AS,MATCH($P$1,Database!$A$1:$AS$1,0),FALSE)=0,#N/A,VLOOKUP(A331,Database!$A:$AS,MATCH($P$1,Database!$A$1:$AS$1,0),FALSE))</f>
        <v/>
      </c>
      <c r="Q331" s="76">
        <f>(((Table134567891011121314151617343[[#This Row],[JPN]]-VLOOKUP($U$1,A:Q,16,))/VLOOKUP($U$1,A:Q,16,))*100)+100</f>
        <v/>
      </c>
    </row>
    <row r="332" customFormat="1" s="86">
      <c r="A332" s="21" t="n">
        <v>42917</v>
      </c>
      <c r="B332" s="76">
        <f>IF(VLOOKUP(A332,Database!$A:$AS,MATCH($B$1,Database!$A$1:$AS$1,0),FALSE)=0,#N/A,VLOOKUP(A332,Database!$A:$AS,MATCH($B$1,Database!$A$1:$AS$1,0),FALSE))</f>
        <v/>
      </c>
      <c r="C332" s="76">
        <f>IF(VLOOKUP(A332,Database!$A:$AS,MATCH($C$1,Database!$A$1:$AS$1,0),FALSE)=0,#N/A,VLOOKUP(A332,Database!$A:$AS,MATCH($C$1,Database!$A$1:$AS$1,0),FALSE))</f>
        <v/>
      </c>
      <c r="D332" s="76">
        <f>IF(VLOOKUP(A332,Database!$A:$AS,MATCH($D$1,Database!$A$1:$AS$1,0),FALSE)=0,#N/A,VLOOKUP(A332,Database!$A:$AS,MATCH($D$1,Database!$A$1:$AS$1,0),FALSE))</f>
        <v/>
      </c>
      <c r="E332" s="76">
        <f>IF(VLOOKUP(A332,Database!$A:$AS,MATCH($E$1,Database!$A$1:$AS$1,0),FALSE)=0,#N/A,VLOOKUP(A332,Database!$A:$AS,MATCH($E$1,Database!$A$1:$AS$1,0),FALSE))</f>
        <v/>
      </c>
      <c r="F332" s="76">
        <f>IF(VLOOKUP(A332,Database!$A:$AS,MATCH($F$1,Database!$A$1:$AS$1,0),FALSE)=0,#N/A,VLOOKUP(A332,Database!$A:$AS,MATCH($F$1,Database!$A$1:$AS$1,0),FALSE))</f>
        <v/>
      </c>
      <c r="G332" s="76">
        <f>IF(VLOOKUP(A332,Database!$A:$AS,MATCH($G$1,Database!$A$1:$AS$1,0),FALSE)=0,#N/A,VLOOKUP(A332,Database!$A:$AS,MATCH($G$1,Database!$A$1:$AS$1,0),FALSE))</f>
        <v/>
      </c>
      <c r="H332" s="76">
        <f>(((Table134567891011121314151617343[[#This Row],[ITA]]-VLOOKUP($U$1,A:B,2,))/VLOOKUP($U$1,A:B,2,))*100)+100</f>
        <v/>
      </c>
      <c r="I332" s="76">
        <f>(((Table134567891011121314151617343[[#This Row],[FRA]]-VLOOKUP($U$1,A:C,3,))/VLOOKUP($U$1,A:C,3,))*100)+100</f>
        <v/>
      </c>
      <c r="J332" s="76">
        <f>(((Table134567891011121314151617343[[#This Row],[DEU]]-VLOOKUP($U$1,A:D,4,))/VLOOKUP($U$1,A:D,4,))*100)+100</f>
        <v/>
      </c>
      <c r="K332" s="76">
        <f>(((Table134567891011121314151617343[[#This Row],[ESP]]-VLOOKUP($U$1,A:E,5,))/VLOOKUP($U$1,A:E,5,))*100)+100</f>
        <v/>
      </c>
      <c r="L332" s="76">
        <f>(((Table134567891011121314151617343[[#This Row],[EA19]]-VLOOKUP($U$1,A:F,6,))/VLOOKUP($U$1,A:F,6,))*100)+100</f>
        <v/>
      </c>
      <c r="M332" s="76">
        <f>(((Table134567891011121314151617343[[#This Row],[GBR]]-VLOOKUP($U$1,A:G,7,))/VLOOKUP($U$1,A:G,7,))*100)+100</f>
        <v/>
      </c>
      <c r="N332" s="76">
        <f>IF(VLOOKUP(A332,Database!$A:$AU,MATCH($N$1,Database!$A$1:$AU$1,0),FALSE)=0,#N/A,VLOOKUP(A332,Database!$A:$AU,MATCH($N$1,Database!$A$1:$AU$1,0),FALSE))</f>
        <v/>
      </c>
      <c r="O332" s="76">
        <f>(((Table134567891011121314151617343[[#This Row],[USA]]-VLOOKUP($U$1,A:N,14,))/VLOOKUP($U$1,A:N,14,))*100)+100</f>
        <v/>
      </c>
      <c r="P332" s="76">
        <f>IF(VLOOKUP(A332,Database!$A:$AS,MATCH($P$1,Database!$A$1:$AS$1,0),FALSE)=0,#N/A,VLOOKUP(A332,Database!$A:$AS,MATCH($P$1,Database!$A$1:$AS$1,0),FALSE))</f>
        <v/>
      </c>
      <c r="Q332" s="76">
        <f>(((Table134567891011121314151617343[[#This Row],[JPN]]-VLOOKUP($U$1,A:Q,16,))/VLOOKUP($U$1,A:Q,16,))*100)+100</f>
        <v/>
      </c>
    </row>
    <row r="333" customFormat="1" s="86">
      <c r="A333" s="21" t="n">
        <v>42948</v>
      </c>
      <c r="B333" s="76">
        <f>IF(VLOOKUP(A333,Database!$A:$AS,MATCH($B$1,Database!$A$1:$AS$1,0),FALSE)=0,#N/A,VLOOKUP(A333,Database!$A:$AS,MATCH($B$1,Database!$A$1:$AS$1,0),FALSE))</f>
        <v/>
      </c>
      <c r="C333" s="76">
        <f>IF(VLOOKUP(A333,Database!$A:$AS,MATCH($C$1,Database!$A$1:$AS$1,0),FALSE)=0,#N/A,VLOOKUP(A333,Database!$A:$AS,MATCH($C$1,Database!$A$1:$AS$1,0),FALSE))</f>
        <v/>
      </c>
      <c r="D333" s="76">
        <f>IF(VLOOKUP(A333,Database!$A:$AS,MATCH($D$1,Database!$A$1:$AS$1,0),FALSE)=0,#N/A,VLOOKUP(A333,Database!$A:$AS,MATCH($D$1,Database!$A$1:$AS$1,0),FALSE))</f>
        <v/>
      </c>
      <c r="E333" s="76">
        <f>IF(VLOOKUP(A333,Database!$A:$AS,MATCH($E$1,Database!$A$1:$AS$1,0),FALSE)=0,#N/A,VLOOKUP(A333,Database!$A:$AS,MATCH($E$1,Database!$A$1:$AS$1,0),FALSE))</f>
        <v/>
      </c>
      <c r="F333" s="76">
        <f>IF(VLOOKUP(A333,Database!$A:$AS,MATCH($F$1,Database!$A$1:$AS$1,0),FALSE)=0,#N/A,VLOOKUP(A333,Database!$A:$AS,MATCH($F$1,Database!$A$1:$AS$1,0),FALSE))</f>
        <v/>
      </c>
      <c r="G333" s="76">
        <f>IF(VLOOKUP(A333,Database!$A:$AS,MATCH($G$1,Database!$A$1:$AS$1,0),FALSE)=0,#N/A,VLOOKUP(A333,Database!$A:$AS,MATCH($G$1,Database!$A$1:$AS$1,0),FALSE))</f>
        <v/>
      </c>
      <c r="H333" s="76">
        <f>(((Table134567891011121314151617343[[#This Row],[ITA]]-VLOOKUP($U$1,A:B,2,))/VLOOKUP($U$1,A:B,2,))*100)+100</f>
        <v/>
      </c>
      <c r="I333" s="76">
        <f>(((Table134567891011121314151617343[[#This Row],[FRA]]-VLOOKUP($U$1,A:C,3,))/VLOOKUP($U$1,A:C,3,))*100)+100</f>
        <v/>
      </c>
      <c r="J333" s="76">
        <f>(((Table134567891011121314151617343[[#This Row],[DEU]]-VLOOKUP($U$1,A:D,4,))/VLOOKUP($U$1,A:D,4,))*100)+100</f>
        <v/>
      </c>
      <c r="K333" s="76">
        <f>(((Table134567891011121314151617343[[#This Row],[ESP]]-VLOOKUP($U$1,A:E,5,))/VLOOKUP($U$1,A:E,5,))*100)+100</f>
        <v/>
      </c>
      <c r="L333" s="76">
        <f>(((Table134567891011121314151617343[[#This Row],[EA19]]-VLOOKUP($U$1,A:F,6,))/VLOOKUP($U$1,A:F,6,))*100)+100</f>
        <v/>
      </c>
      <c r="M333" s="76">
        <f>(((Table134567891011121314151617343[[#This Row],[GBR]]-VLOOKUP($U$1,A:G,7,))/VLOOKUP($U$1,A:G,7,))*100)+100</f>
        <v/>
      </c>
      <c r="N333" s="76">
        <f>IF(VLOOKUP(A333,Database!$A:$AU,MATCH($N$1,Database!$A$1:$AU$1,0),FALSE)=0,#N/A,VLOOKUP(A333,Database!$A:$AU,MATCH($N$1,Database!$A$1:$AU$1,0),FALSE))</f>
        <v/>
      </c>
      <c r="O333" s="76">
        <f>(((Table134567891011121314151617343[[#This Row],[USA]]-VLOOKUP($U$1,A:N,14,))/VLOOKUP($U$1,A:N,14,))*100)+100</f>
        <v/>
      </c>
      <c r="P333" s="76">
        <f>IF(VLOOKUP(A333,Database!$A:$AS,MATCH($P$1,Database!$A$1:$AS$1,0),FALSE)=0,#N/A,VLOOKUP(A333,Database!$A:$AS,MATCH($P$1,Database!$A$1:$AS$1,0),FALSE))</f>
        <v/>
      </c>
      <c r="Q333" s="76">
        <f>(((Table134567891011121314151617343[[#This Row],[JPN]]-VLOOKUP($U$1,A:Q,16,))/VLOOKUP($U$1,A:Q,16,))*100)+100</f>
        <v/>
      </c>
    </row>
    <row r="334" customFormat="1" s="86">
      <c r="A334" s="21" t="n">
        <v>42979</v>
      </c>
      <c r="B334" s="76">
        <f>IF(VLOOKUP(A334,Database!$A:$AS,MATCH($B$1,Database!$A$1:$AS$1,0),FALSE)=0,#N/A,VLOOKUP(A334,Database!$A:$AS,MATCH($B$1,Database!$A$1:$AS$1,0),FALSE))</f>
        <v/>
      </c>
      <c r="C334" s="76">
        <f>IF(VLOOKUP(A334,Database!$A:$AS,MATCH($C$1,Database!$A$1:$AS$1,0),FALSE)=0,#N/A,VLOOKUP(A334,Database!$A:$AS,MATCH($C$1,Database!$A$1:$AS$1,0),FALSE))</f>
        <v/>
      </c>
      <c r="D334" s="76">
        <f>IF(VLOOKUP(A334,Database!$A:$AS,MATCH($D$1,Database!$A$1:$AS$1,0),FALSE)=0,#N/A,VLOOKUP(A334,Database!$A:$AS,MATCH($D$1,Database!$A$1:$AS$1,0),FALSE))</f>
        <v/>
      </c>
      <c r="E334" s="76">
        <f>IF(VLOOKUP(A334,Database!$A:$AS,MATCH($E$1,Database!$A$1:$AS$1,0),FALSE)=0,#N/A,VLOOKUP(A334,Database!$A:$AS,MATCH($E$1,Database!$A$1:$AS$1,0),FALSE))</f>
        <v/>
      </c>
      <c r="F334" s="76">
        <f>IF(VLOOKUP(A334,Database!$A:$AS,MATCH($F$1,Database!$A$1:$AS$1,0),FALSE)=0,#N/A,VLOOKUP(A334,Database!$A:$AS,MATCH($F$1,Database!$A$1:$AS$1,0),FALSE))</f>
        <v/>
      </c>
      <c r="G334" s="76">
        <f>IF(VLOOKUP(A334,Database!$A:$AS,MATCH($G$1,Database!$A$1:$AS$1,0),FALSE)=0,#N/A,VLOOKUP(A334,Database!$A:$AS,MATCH($G$1,Database!$A$1:$AS$1,0),FALSE))</f>
        <v/>
      </c>
      <c r="H334" s="76">
        <f>(((Table134567891011121314151617343[[#This Row],[ITA]]-VLOOKUP($U$1,A:B,2,))/VLOOKUP($U$1,A:B,2,))*100)+100</f>
        <v/>
      </c>
      <c r="I334" s="76">
        <f>(((Table134567891011121314151617343[[#This Row],[FRA]]-VLOOKUP($U$1,A:C,3,))/VLOOKUP($U$1,A:C,3,))*100)+100</f>
        <v/>
      </c>
      <c r="J334" s="76">
        <f>(((Table134567891011121314151617343[[#This Row],[DEU]]-VLOOKUP($U$1,A:D,4,))/VLOOKUP($U$1,A:D,4,))*100)+100</f>
        <v/>
      </c>
      <c r="K334" s="76">
        <f>(((Table134567891011121314151617343[[#This Row],[ESP]]-VLOOKUP($U$1,A:E,5,))/VLOOKUP($U$1,A:E,5,))*100)+100</f>
        <v/>
      </c>
      <c r="L334" s="76">
        <f>(((Table134567891011121314151617343[[#This Row],[EA19]]-VLOOKUP($U$1,A:F,6,))/VLOOKUP($U$1,A:F,6,))*100)+100</f>
        <v/>
      </c>
      <c r="M334" s="76">
        <f>(((Table134567891011121314151617343[[#This Row],[GBR]]-VLOOKUP($U$1,A:G,7,))/VLOOKUP($U$1,A:G,7,))*100)+100</f>
        <v/>
      </c>
      <c r="N334" s="76">
        <f>IF(VLOOKUP(A334,Database!$A:$AU,MATCH($N$1,Database!$A$1:$AU$1,0),FALSE)=0,#N/A,VLOOKUP(A334,Database!$A:$AU,MATCH($N$1,Database!$A$1:$AU$1,0),FALSE))</f>
        <v/>
      </c>
      <c r="O334" s="76">
        <f>(((Table134567891011121314151617343[[#This Row],[USA]]-VLOOKUP($U$1,A:N,14,))/VLOOKUP($U$1,A:N,14,))*100)+100</f>
        <v/>
      </c>
      <c r="P334" s="76">
        <f>IF(VLOOKUP(A334,Database!$A:$AS,MATCH($P$1,Database!$A$1:$AS$1,0),FALSE)=0,#N/A,VLOOKUP(A334,Database!$A:$AS,MATCH($P$1,Database!$A$1:$AS$1,0),FALSE))</f>
        <v/>
      </c>
      <c r="Q334" s="76">
        <f>(((Table134567891011121314151617343[[#This Row],[JPN]]-VLOOKUP($U$1,A:Q,16,))/VLOOKUP($U$1,A:Q,16,))*100)+100</f>
        <v/>
      </c>
    </row>
    <row r="335" customFormat="1" s="86">
      <c r="A335" s="21" t="n">
        <v>43009</v>
      </c>
      <c r="B335" s="76">
        <f>IF(VLOOKUP(A335,Database!$A:$AS,MATCH($B$1,Database!$A$1:$AS$1,0),FALSE)=0,#N/A,VLOOKUP(A335,Database!$A:$AS,MATCH($B$1,Database!$A$1:$AS$1,0),FALSE))</f>
        <v/>
      </c>
      <c r="C335" s="76">
        <f>IF(VLOOKUP(A335,Database!$A:$AS,MATCH($C$1,Database!$A$1:$AS$1,0),FALSE)=0,#N/A,VLOOKUP(A335,Database!$A:$AS,MATCH($C$1,Database!$A$1:$AS$1,0),FALSE))</f>
        <v/>
      </c>
      <c r="D335" s="76">
        <f>IF(VLOOKUP(A335,Database!$A:$AS,MATCH($D$1,Database!$A$1:$AS$1,0),FALSE)=0,#N/A,VLOOKUP(A335,Database!$A:$AS,MATCH($D$1,Database!$A$1:$AS$1,0),FALSE))</f>
        <v/>
      </c>
      <c r="E335" s="76">
        <f>IF(VLOOKUP(A335,Database!$A:$AS,MATCH($E$1,Database!$A$1:$AS$1,0),FALSE)=0,#N/A,VLOOKUP(A335,Database!$A:$AS,MATCH($E$1,Database!$A$1:$AS$1,0),FALSE))</f>
        <v/>
      </c>
      <c r="F335" s="76">
        <f>IF(VLOOKUP(A335,Database!$A:$AS,MATCH($F$1,Database!$A$1:$AS$1,0),FALSE)=0,#N/A,VLOOKUP(A335,Database!$A:$AS,MATCH($F$1,Database!$A$1:$AS$1,0),FALSE))</f>
        <v/>
      </c>
      <c r="G335" s="76">
        <f>IF(VLOOKUP(A335,Database!$A:$AS,MATCH($G$1,Database!$A$1:$AS$1,0),FALSE)=0,#N/A,VLOOKUP(A335,Database!$A:$AS,MATCH($G$1,Database!$A$1:$AS$1,0),FALSE))</f>
        <v/>
      </c>
      <c r="H335" s="76">
        <f>(((Table134567891011121314151617343[[#This Row],[ITA]]-VLOOKUP($U$1,A:B,2,))/VLOOKUP($U$1,A:B,2,))*100)+100</f>
        <v/>
      </c>
      <c r="I335" s="76">
        <f>(((Table134567891011121314151617343[[#This Row],[FRA]]-VLOOKUP($U$1,A:C,3,))/VLOOKUP($U$1,A:C,3,))*100)+100</f>
        <v/>
      </c>
      <c r="J335" s="76">
        <f>(((Table134567891011121314151617343[[#This Row],[DEU]]-VLOOKUP($U$1,A:D,4,))/VLOOKUP($U$1,A:D,4,))*100)+100</f>
        <v/>
      </c>
      <c r="K335" s="76">
        <f>(((Table134567891011121314151617343[[#This Row],[ESP]]-VLOOKUP($U$1,A:E,5,))/VLOOKUP($U$1,A:E,5,))*100)+100</f>
        <v/>
      </c>
      <c r="L335" s="76">
        <f>(((Table134567891011121314151617343[[#This Row],[EA19]]-VLOOKUP($U$1,A:F,6,))/VLOOKUP($U$1,A:F,6,))*100)+100</f>
        <v/>
      </c>
      <c r="M335" s="76">
        <f>(((Table134567891011121314151617343[[#This Row],[GBR]]-VLOOKUP($U$1,A:G,7,))/VLOOKUP($U$1,A:G,7,))*100)+100</f>
        <v/>
      </c>
      <c r="N335" s="76">
        <f>IF(VLOOKUP(A335,Database!$A:$AU,MATCH($N$1,Database!$A$1:$AU$1,0),FALSE)=0,#N/A,VLOOKUP(A335,Database!$A:$AU,MATCH($N$1,Database!$A$1:$AU$1,0),FALSE))</f>
        <v/>
      </c>
      <c r="O335" s="76">
        <f>(((Table134567891011121314151617343[[#This Row],[USA]]-VLOOKUP($U$1,A:N,14,))/VLOOKUP($U$1,A:N,14,))*100)+100</f>
        <v/>
      </c>
      <c r="P335" s="76">
        <f>IF(VLOOKUP(A335,Database!$A:$AS,MATCH($P$1,Database!$A$1:$AS$1,0),FALSE)=0,#N/A,VLOOKUP(A335,Database!$A:$AS,MATCH($P$1,Database!$A$1:$AS$1,0),FALSE))</f>
        <v/>
      </c>
      <c r="Q335" s="76">
        <f>(((Table134567891011121314151617343[[#This Row],[JPN]]-VLOOKUP($U$1,A:Q,16,))/VLOOKUP($U$1,A:Q,16,))*100)+100</f>
        <v/>
      </c>
    </row>
    <row r="336" customFormat="1" s="86">
      <c r="A336" s="21" t="n">
        <v>43040</v>
      </c>
      <c r="B336" s="76">
        <f>IF(VLOOKUP(A336,Database!$A:$AS,MATCH($B$1,Database!$A$1:$AS$1,0),FALSE)=0,#N/A,VLOOKUP(A336,Database!$A:$AS,MATCH($B$1,Database!$A$1:$AS$1,0),FALSE))</f>
        <v/>
      </c>
      <c r="C336" s="76">
        <f>IF(VLOOKUP(A336,Database!$A:$AS,MATCH($C$1,Database!$A$1:$AS$1,0),FALSE)=0,#N/A,VLOOKUP(A336,Database!$A:$AS,MATCH($C$1,Database!$A$1:$AS$1,0),FALSE))</f>
        <v/>
      </c>
      <c r="D336" s="76">
        <f>IF(VLOOKUP(A336,Database!$A:$AS,MATCH($D$1,Database!$A$1:$AS$1,0),FALSE)=0,#N/A,VLOOKUP(A336,Database!$A:$AS,MATCH($D$1,Database!$A$1:$AS$1,0),FALSE))</f>
        <v/>
      </c>
      <c r="E336" s="76">
        <f>IF(VLOOKUP(A336,Database!$A:$AS,MATCH($E$1,Database!$A$1:$AS$1,0),FALSE)=0,#N/A,VLOOKUP(A336,Database!$A:$AS,MATCH($E$1,Database!$A$1:$AS$1,0),FALSE))</f>
        <v/>
      </c>
      <c r="F336" s="76">
        <f>IF(VLOOKUP(A336,Database!$A:$AS,MATCH($F$1,Database!$A$1:$AS$1,0),FALSE)=0,#N/A,VLOOKUP(A336,Database!$A:$AS,MATCH($F$1,Database!$A$1:$AS$1,0),FALSE))</f>
        <v/>
      </c>
      <c r="G336" s="76">
        <f>IF(VLOOKUP(A336,Database!$A:$AS,MATCH($G$1,Database!$A$1:$AS$1,0),FALSE)=0,#N/A,VLOOKUP(A336,Database!$A:$AS,MATCH($G$1,Database!$A$1:$AS$1,0),FALSE))</f>
        <v/>
      </c>
      <c r="H336" s="76">
        <f>(((Table134567891011121314151617343[[#This Row],[ITA]]-VLOOKUP($U$1,A:B,2,))/VLOOKUP($U$1,A:B,2,))*100)+100</f>
        <v/>
      </c>
      <c r="I336" s="76">
        <f>(((Table134567891011121314151617343[[#This Row],[FRA]]-VLOOKUP($U$1,A:C,3,))/VLOOKUP($U$1,A:C,3,))*100)+100</f>
        <v/>
      </c>
      <c r="J336" s="76">
        <f>(((Table134567891011121314151617343[[#This Row],[DEU]]-VLOOKUP($U$1,A:D,4,))/VLOOKUP($U$1,A:D,4,))*100)+100</f>
        <v/>
      </c>
      <c r="K336" s="76">
        <f>(((Table134567891011121314151617343[[#This Row],[ESP]]-VLOOKUP($U$1,A:E,5,))/VLOOKUP($U$1,A:E,5,))*100)+100</f>
        <v/>
      </c>
      <c r="L336" s="76">
        <f>(((Table134567891011121314151617343[[#This Row],[EA19]]-VLOOKUP($U$1,A:F,6,))/VLOOKUP($U$1,A:F,6,))*100)+100</f>
        <v/>
      </c>
      <c r="M336" s="76">
        <f>(((Table134567891011121314151617343[[#This Row],[GBR]]-VLOOKUP($U$1,A:G,7,))/VLOOKUP($U$1,A:G,7,))*100)+100</f>
        <v/>
      </c>
      <c r="N336" s="76">
        <f>IF(VLOOKUP(A336,Database!$A:$AU,MATCH($N$1,Database!$A$1:$AU$1,0),FALSE)=0,#N/A,VLOOKUP(A336,Database!$A:$AU,MATCH($N$1,Database!$A$1:$AU$1,0),FALSE))</f>
        <v/>
      </c>
      <c r="O336" s="76">
        <f>(((Table134567891011121314151617343[[#This Row],[USA]]-VLOOKUP($U$1,A:N,14,))/VLOOKUP($U$1,A:N,14,))*100)+100</f>
        <v/>
      </c>
      <c r="P336" s="76">
        <f>IF(VLOOKUP(A336,Database!$A:$AS,MATCH($P$1,Database!$A$1:$AS$1,0),FALSE)=0,#N/A,VLOOKUP(A336,Database!$A:$AS,MATCH($P$1,Database!$A$1:$AS$1,0),FALSE))</f>
        <v/>
      </c>
      <c r="Q336" s="76">
        <f>(((Table134567891011121314151617343[[#This Row],[JPN]]-VLOOKUP($U$1,A:Q,16,))/VLOOKUP($U$1,A:Q,16,))*100)+100</f>
        <v/>
      </c>
    </row>
    <row r="337" customFormat="1" s="86">
      <c r="A337" s="21" t="n">
        <v>43070</v>
      </c>
      <c r="B337" s="76">
        <f>IF(VLOOKUP(A337,Database!$A:$AS,MATCH($B$1,Database!$A$1:$AS$1,0),FALSE)=0,#N/A,VLOOKUP(A337,Database!$A:$AS,MATCH($B$1,Database!$A$1:$AS$1,0),FALSE))</f>
        <v/>
      </c>
      <c r="C337" s="76">
        <f>IF(VLOOKUP(A337,Database!$A:$AS,MATCH($C$1,Database!$A$1:$AS$1,0),FALSE)=0,#N/A,VLOOKUP(A337,Database!$A:$AS,MATCH($C$1,Database!$A$1:$AS$1,0),FALSE))</f>
        <v/>
      </c>
      <c r="D337" s="76">
        <f>IF(VLOOKUP(A337,Database!$A:$AS,MATCH($D$1,Database!$A$1:$AS$1,0),FALSE)=0,#N/A,VLOOKUP(A337,Database!$A:$AS,MATCH($D$1,Database!$A$1:$AS$1,0),FALSE))</f>
        <v/>
      </c>
      <c r="E337" s="76">
        <f>IF(VLOOKUP(A337,Database!$A:$AS,MATCH($E$1,Database!$A$1:$AS$1,0),FALSE)=0,#N/A,VLOOKUP(A337,Database!$A:$AS,MATCH($E$1,Database!$A$1:$AS$1,0),FALSE))</f>
        <v/>
      </c>
      <c r="F337" s="76">
        <f>IF(VLOOKUP(A337,Database!$A:$AS,MATCH($F$1,Database!$A$1:$AS$1,0),FALSE)=0,#N/A,VLOOKUP(A337,Database!$A:$AS,MATCH($F$1,Database!$A$1:$AS$1,0),FALSE))</f>
        <v/>
      </c>
      <c r="G337" s="76">
        <f>IF(VLOOKUP(A337,Database!$A:$AS,MATCH($G$1,Database!$A$1:$AS$1,0),FALSE)=0,#N/A,VLOOKUP(A337,Database!$A:$AS,MATCH($G$1,Database!$A$1:$AS$1,0),FALSE))</f>
        <v/>
      </c>
      <c r="H337" s="76">
        <f>(((Table134567891011121314151617343[[#This Row],[ITA]]-VLOOKUP($U$1,A:B,2,))/VLOOKUP($U$1,A:B,2,))*100)+100</f>
        <v/>
      </c>
      <c r="I337" s="76">
        <f>(((Table134567891011121314151617343[[#This Row],[FRA]]-VLOOKUP($U$1,A:C,3,))/VLOOKUP($U$1,A:C,3,))*100)+100</f>
        <v/>
      </c>
      <c r="J337" s="76">
        <f>(((Table134567891011121314151617343[[#This Row],[DEU]]-VLOOKUP($U$1,A:D,4,))/VLOOKUP($U$1,A:D,4,))*100)+100</f>
        <v/>
      </c>
      <c r="K337" s="76">
        <f>(((Table134567891011121314151617343[[#This Row],[ESP]]-VLOOKUP($U$1,A:E,5,))/VLOOKUP($U$1,A:E,5,))*100)+100</f>
        <v/>
      </c>
      <c r="L337" s="76">
        <f>(((Table134567891011121314151617343[[#This Row],[EA19]]-VLOOKUP($U$1,A:F,6,))/VLOOKUP($U$1,A:F,6,))*100)+100</f>
        <v/>
      </c>
      <c r="M337" s="76">
        <f>(((Table134567891011121314151617343[[#This Row],[GBR]]-VLOOKUP($U$1,A:G,7,))/VLOOKUP($U$1,A:G,7,))*100)+100</f>
        <v/>
      </c>
      <c r="N337" s="76">
        <f>IF(VLOOKUP(A337,Database!$A:$AU,MATCH($N$1,Database!$A$1:$AU$1,0),FALSE)=0,#N/A,VLOOKUP(A337,Database!$A:$AU,MATCH($N$1,Database!$A$1:$AU$1,0),FALSE))</f>
        <v/>
      </c>
      <c r="O337" s="76">
        <f>(((Table134567891011121314151617343[[#This Row],[USA]]-VLOOKUP($U$1,A:N,14,))/VLOOKUP($U$1,A:N,14,))*100)+100</f>
        <v/>
      </c>
      <c r="P337" s="76">
        <f>IF(VLOOKUP(A337,Database!$A:$AS,MATCH($P$1,Database!$A$1:$AS$1,0),FALSE)=0,#N/A,VLOOKUP(A337,Database!$A:$AS,MATCH($P$1,Database!$A$1:$AS$1,0),FALSE))</f>
        <v/>
      </c>
      <c r="Q337" s="76">
        <f>(((Table134567891011121314151617343[[#This Row],[JPN]]-VLOOKUP($U$1,A:Q,16,))/VLOOKUP($U$1,A:Q,16,))*100)+100</f>
        <v/>
      </c>
    </row>
    <row r="338" customFormat="1" s="86">
      <c r="A338" s="21" t="n">
        <v>43101</v>
      </c>
      <c r="B338" s="76">
        <f>IF(VLOOKUP(A338,Database!$A:$AS,MATCH($B$1,Database!$A$1:$AS$1,0),FALSE)=0,#N/A,VLOOKUP(A338,Database!$A:$AS,MATCH($B$1,Database!$A$1:$AS$1,0),FALSE))</f>
        <v/>
      </c>
      <c r="C338" s="76">
        <f>IF(VLOOKUP(A338,Database!$A:$AS,MATCH($C$1,Database!$A$1:$AS$1,0),FALSE)=0,#N/A,VLOOKUP(A338,Database!$A:$AS,MATCH($C$1,Database!$A$1:$AS$1,0),FALSE))</f>
        <v/>
      </c>
      <c r="D338" s="76">
        <f>IF(VLOOKUP(A338,Database!$A:$AS,MATCH($D$1,Database!$A$1:$AS$1,0),FALSE)=0,#N/A,VLOOKUP(A338,Database!$A:$AS,MATCH($D$1,Database!$A$1:$AS$1,0),FALSE))</f>
        <v/>
      </c>
      <c r="E338" s="76">
        <f>IF(VLOOKUP(A338,Database!$A:$AS,MATCH($E$1,Database!$A$1:$AS$1,0),FALSE)=0,#N/A,VLOOKUP(A338,Database!$A:$AS,MATCH($E$1,Database!$A$1:$AS$1,0),FALSE))</f>
        <v/>
      </c>
      <c r="F338" s="76">
        <f>IF(VLOOKUP(A338,Database!$A:$AS,MATCH($F$1,Database!$A$1:$AS$1,0),FALSE)=0,#N/A,VLOOKUP(A338,Database!$A:$AS,MATCH($F$1,Database!$A$1:$AS$1,0),FALSE))</f>
        <v/>
      </c>
      <c r="G338" s="76">
        <f>IF(VLOOKUP(A338,Database!$A:$AS,MATCH($G$1,Database!$A$1:$AS$1,0),FALSE)=0,#N/A,VLOOKUP(A338,Database!$A:$AS,MATCH($G$1,Database!$A$1:$AS$1,0),FALSE))</f>
        <v/>
      </c>
      <c r="H338" s="76">
        <f>(((Table134567891011121314151617343[[#This Row],[ITA]]-VLOOKUP($U$1,A:B,2,))/VLOOKUP($U$1,A:B,2,))*100)+100</f>
        <v/>
      </c>
      <c r="I338" s="76">
        <f>(((Table134567891011121314151617343[[#This Row],[FRA]]-VLOOKUP($U$1,A:C,3,))/VLOOKUP($U$1,A:C,3,))*100)+100</f>
        <v/>
      </c>
      <c r="J338" s="76">
        <f>(((Table134567891011121314151617343[[#This Row],[DEU]]-VLOOKUP($U$1,A:D,4,))/VLOOKUP($U$1,A:D,4,))*100)+100</f>
        <v/>
      </c>
      <c r="K338" s="76">
        <f>(((Table134567891011121314151617343[[#This Row],[ESP]]-VLOOKUP($U$1,A:E,5,))/VLOOKUP($U$1,A:E,5,))*100)+100</f>
        <v/>
      </c>
      <c r="L338" s="76">
        <f>(((Table134567891011121314151617343[[#This Row],[EA19]]-VLOOKUP($U$1,A:F,6,))/VLOOKUP($U$1,A:F,6,))*100)+100</f>
        <v/>
      </c>
      <c r="M338" s="76">
        <f>(((Table134567891011121314151617343[[#This Row],[GBR]]-VLOOKUP($U$1,A:G,7,))/VLOOKUP($U$1,A:G,7,))*100)+100</f>
        <v/>
      </c>
      <c r="N338" s="76">
        <f>IF(VLOOKUP(A338,Database!$A:$AU,MATCH($N$1,Database!$A$1:$AU$1,0),FALSE)=0,#N/A,VLOOKUP(A338,Database!$A:$AU,MATCH($N$1,Database!$A$1:$AU$1,0),FALSE))</f>
        <v/>
      </c>
      <c r="O338" s="76">
        <f>(((Table134567891011121314151617343[[#This Row],[USA]]-VLOOKUP($U$1,A:N,14,))/VLOOKUP($U$1,A:N,14,))*100)+100</f>
        <v/>
      </c>
      <c r="P338" s="76">
        <f>IF(VLOOKUP(A338,Database!$A:$AS,MATCH($P$1,Database!$A$1:$AS$1,0),FALSE)=0,#N/A,VLOOKUP(A338,Database!$A:$AS,MATCH($P$1,Database!$A$1:$AS$1,0),FALSE))</f>
        <v/>
      </c>
      <c r="Q338" s="76">
        <f>(((Table134567891011121314151617343[[#This Row],[JPN]]-VLOOKUP($U$1,A:Q,16,))/VLOOKUP($U$1,A:Q,16,))*100)+100</f>
        <v/>
      </c>
    </row>
    <row r="339" customFormat="1" s="86">
      <c r="A339" s="21" t="n">
        <v>43132</v>
      </c>
      <c r="B339" s="76">
        <f>IF(VLOOKUP(A339,Database!$A:$AS,MATCH($B$1,Database!$A$1:$AS$1,0),FALSE)=0,#N/A,VLOOKUP(A339,Database!$A:$AS,MATCH($B$1,Database!$A$1:$AS$1,0),FALSE))</f>
        <v/>
      </c>
      <c r="C339" s="76">
        <f>IF(VLOOKUP(A339,Database!$A:$AS,MATCH($C$1,Database!$A$1:$AS$1,0),FALSE)=0,#N/A,VLOOKUP(A339,Database!$A:$AS,MATCH($C$1,Database!$A$1:$AS$1,0),FALSE))</f>
        <v/>
      </c>
      <c r="D339" s="76">
        <f>IF(VLOOKUP(A339,Database!$A:$AS,MATCH($D$1,Database!$A$1:$AS$1,0),FALSE)=0,#N/A,VLOOKUP(A339,Database!$A:$AS,MATCH($D$1,Database!$A$1:$AS$1,0),FALSE))</f>
        <v/>
      </c>
      <c r="E339" s="76">
        <f>IF(VLOOKUP(A339,Database!$A:$AS,MATCH($E$1,Database!$A$1:$AS$1,0),FALSE)=0,#N/A,VLOOKUP(A339,Database!$A:$AS,MATCH($E$1,Database!$A$1:$AS$1,0),FALSE))</f>
        <v/>
      </c>
      <c r="F339" s="76">
        <f>IF(VLOOKUP(A339,Database!$A:$AS,MATCH($F$1,Database!$A$1:$AS$1,0),FALSE)=0,#N/A,VLOOKUP(A339,Database!$A:$AS,MATCH($F$1,Database!$A$1:$AS$1,0),FALSE))</f>
        <v/>
      </c>
      <c r="G339" s="76">
        <f>IF(VLOOKUP(A339,Database!$A:$AS,MATCH($G$1,Database!$A$1:$AS$1,0),FALSE)=0,#N/A,VLOOKUP(A339,Database!$A:$AS,MATCH($G$1,Database!$A$1:$AS$1,0),FALSE))</f>
        <v/>
      </c>
      <c r="H339" s="76">
        <f>(((Table134567891011121314151617343[[#This Row],[ITA]]-VLOOKUP($U$1,A:B,2,))/VLOOKUP($U$1,A:B,2,))*100)+100</f>
        <v/>
      </c>
      <c r="I339" s="76">
        <f>(((Table134567891011121314151617343[[#This Row],[FRA]]-VLOOKUP($U$1,A:C,3,))/VLOOKUP($U$1,A:C,3,))*100)+100</f>
        <v/>
      </c>
      <c r="J339" s="76">
        <f>(((Table134567891011121314151617343[[#This Row],[DEU]]-VLOOKUP($U$1,A:D,4,))/VLOOKUP($U$1,A:D,4,))*100)+100</f>
        <v/>
      </c>
      <c r="K339" s="76">
        <f>(((Table134567891011121314151617343[[#This Row],[ESP]]-VLOOKUP($U$1,A:E,5,))/VLOOKUP($U$1,A:E,5,))*100)+100</f>
        <v/>
      </c>
      <c r="L339" s="76">
        <f>(((Table134567891011121314151617343[[#This Row],[EA19]]-VLOOKUP($U$1,A:F,6,))/VLOOKUP($U$1,A:F,6,))*100)+100</f>
        <v/>
      </c>
      <c r="M339" s="76">
        <f>(((Table134567891011121314151617343[[#This Row],[GBR]]-VLOOKUP($U$1,A:G,7,))/VLOOKUP($U$1,A:G,7,))*100)+100</f>
        <v/>
      </c>
      <c r="N339" s="76">
        <f>IF(VLOOKUP(A339,Database!$A:$AU,MATCH($N$1,Database!$A$1:$AU$1,0),FALSE)=0,#N/A,VLOOKUP(A339,Database!$A:$AU,MATCH($N$1,Database!$A$1:$AU$1,0),FALSE))</f>
        <v/>
      </c>
      <c r="O339" s="76">
        <f>(((Table134567891011121314151617343[[#This Row],[USA]]-VLOOKUP($U$1,A:N,14,))/VLOOKUP($U$1,A:N,14,))*100)+100</f>
        <v/>
      </c>
      <c r="P339" s="76">
        <f>IF(VLOOKUP(A339,Database!$A:$AS,MATCH($P$1,Database!$A$1:$AS$1,0),FALSE)=0,#N/A,VLOOKUP(A339,Database!$A:$AS,MATCH($P$1,Database!$A$1:$AS$1,0),FALSE))</f>
        <v/>
      </c>
      <c r="Q339" s="76">
        <f>(((Table134567891011121314151617343[[#This Row],[JPN]]-VLOOKUP($U$1,A:Q,16,))/VLOOKUP($U$1,A:Q,16,))*100)+100</f>
        <v/>
      </c>
    </row>
    <row r="340" customFormat="1" s="86">
      <c r="A340" s="21" t="n">
        <v>43160</v>
      </c>
      <c r="B340" s="76">
        <f>IF(VLOOKUP(A340,Database!$A:$AS,MATCH($B$1,Database!$A$1:$AS$1,0),FALSE)=0,#N/A,VLOOKUP(A340,Database!$A:$AS,MATCH($B$1,Database!$A$1:$AS$1,0),FALSE))</f>
        <v/>
      </c>
      <c r="C340" s="76">
        <f>IF(VLOOKUP(A340,Database!$A:$AS,MATCH($C$1,Database!$A$1:$AS$1,0),FALSE)=0,#N/A,VLOOKUP(A340,Database!$A:$AS,MATCH($C$1,Database!$A$1:$AS$1,0),FALSE))</f>
        <v/>
      </c>
      <c r="D340" s="76">
        <f>IF(VLOOKUP(A340,Database!$A:$AS,MATCH($D$1,Database!$A$1:$AS$1,0),FALSE)=0,#N/A,VLOOKUP(A340,Database!$A:$AS,MATCH($D$1,Database!$A$1:$AS$1,0),FALSE))</f>
        <v/>
      </c>
      <c r="E340" s="76">
        <f>IF(VLOOKUP(A340,Database!$A:$AS,MATCH($E$1,Database!$A$1:$AS$1,0),FALSE)=0,#N/A,VLOOKUP(A340,Database!$A:$AS,MATCH($E$1,Database!$A$1:$AS$1,0),FALSE))</f>
        <v/>
      </c>
      <c r="F340" s="76">
        <f>IF(VLOOKUP(A340,Database!$A:$AS,MATCH($F$1,Database!$A$1:$AS$1,0),FALSE)=0,#N/A,VLOOKUP(A340,Database!$A:$AS,MATCH($F$1,Database!$A$1:$AS$1,0),FALSE))</f>
        <v/>
      </c>
      <c r="G340" s="76">
        <f>IF(VLOOKUP(A340,Database!$A:$AS,MATCH($G$1,Database!$A$1:$AS$1,0),FALSE)=0,#N/A,VLOOKUP(A340,Database!$A:$AS,MATCH($G$1,Database!$A$1:$AS$1,0),FALSE))</f>
        <v/>
      </c>
      <c r="H340" s="76">
        <f>(((Table134567891011121314151617343[[#This Row],[ITA]]-VLOOKUP($U$1,A:B,2,))/VLOOKUP($U$1,A:B,2,))*100)+100</f>
        <v/>
      </c>
      <c r="I340" s="76">
        <f>(((Table134567891011121314151617343[[#This Row],[FRA]]-VLOOKUP($U$1,A:C,3,))/VLOOKUP($U$1,A:C,3,))*100)+100</f>
        <v/>
      </c>
      <c r="J340" s="76">
        <f>(((Table134567891011121314151617343[[#This Row],[DEU]]-VLOOKUP($U$1,A:D,4,))/VLOOKUP($U$1,A:D,4,))*100)+100</f>
        <v/>
      </c>
      <c r="K340" s="76">
        <f>(((Table134567891011121314151617343[[#This Row],[ESP]]-VLOOKUP($U$1,A:E,5,))/VLOOKUP($U$1,A:E,5,))*100)+100</f>
        <v/>
      </c>
      <c r="L340" s="76">
        <f>(((Table134567891011121314151617343[[#This Row],[EA19]]-VLOOKUP($U$1,A:F,6,))/VLOOKUP($U$1,A:F,6,))*100)+100</f>
        <v/>
      </c>
      <c r="M340" s="76">
        <f>(((Table134567891011121314151617343[[#This Row],[GBR]]-VLOOKUP($U$1,A:G,7,))/VLOOKUP($U$1,A:G,7,))*100)+100</f>
        <v/>
      </c>
      <c r="N340" s="76">
        <f>IF(VLOOKUP(A340,Database!$A:$AU,MATCH($N$1,Database!$A$1:$AU$1,0),FALSE)=0,#N/A,VLOOKUP(A340,Database!$A:$AU,MATCH($N$1,Database!$A$1:$AU$1,0),FALSE))</f>
        <v/>
      </c>
      <c r="O340" s="76">
        <f>(((Table134567891011121314151617343[[#This Row],[USA]]-VLOOKUP($U$1,A:N,14,))/VLOOKUP($U$1,A:N,14,))*100)+100</f>
        <v/>
      </c>
      <c r="P340" s="76">
        <f>IF(VLOOKUP(A340,Database!$A:$AS,MATCH($P$1,Database!$A$1:$AS$1,0),FALSE)=0,#N/A,VLOOKUP(A340,Database!$A:$AS,MATCH($P$1,Database!$A$1:$AS$1,0),FALSE))</f>
        <v/>
      </c>
      <c r="Q340" s="76">
        <f>(((Table134567891011121314151617343[[#This Row],[JPN]]-VLOOKUP($U$1,A:Q,16,))/VLOOKUP($U$1,A:Q,16,))*100)+100</f>
        <v/>
      </c>
    </row>
    <row r="341" customFormat="1" s="86">
      <c r="A341" s="21" t="n">
        <v>43191</v>
      </c>
      <c r="B341" s="76">
        <f>IF(VLOOKUP(A341,Database!$A:$AS,MATCH($B$1,Database!$A$1:$AS$1,0),FALSE)=0,#N/A,VLOOKUP(A341,Database!$A:$AS,MATCH($B$1,Database!$A$1:$AS$1,0),FALSE))</f>
        <v/>
      </c>
      <c r="C341" s="76">
        <f>IF(VLOOKUP(A341,Database!$A:$AS,MATCH($C$1,Database!$A$1:$AS$1,0),FALSE)=0,#N/A,VLOOKUP(A341,Database!$A:$AS,MATCH($C$1,Database!$A$1:$AS$1,0),FALSE))</f>
        <v/>
      </c>
      <c r="D341" s="76">
        <f>IF(VLOOKUP(A341,Database!$A:$AS,MATCH($D$1,Database!$A$1:$AS$1,0),FALSE)=0,#N/A,VLOOKUP(A341,Database!$A:$AS,MATCH($D$1,Database!$A$1:$AS$1,0),FALSE))</f>
        <v/>
      </c>
      <c r="E341" s="76">
        <f>IF(VLOOKUP(A341,Database!$A:$AS,MATCH($E$1,Database!$A$1:$AS$1,0),FALSE)=0,#N/A,VLOOKUP(A341,Database!$A:$AS,MATCH($E$1,Database!$A$1:$AS$1,0),FALSE))</f>
        <v/>
      </c>
      <c r="F341" s="76">
        <f>IF(VLOOKUP(A341,Database!$A:$AS,MATCH($F$1,Database!$A$1:$AS$1,0),FALSE)=0,#N/A,VLOOKUP(A341,Database!$A:$AS,MATCH($F$1,Database!$A$1:$AS$1,0),FALSE))</f>
        <v/>
      </c>
      <c r="G341" s="76">
        <f>IF(VLOOKUP(A341,Database!$A:$AS,MATCH($G$1,Database!$A$1:$AS$1,0),FALSE)=0,#N/A,VLOOKUP(A341,Database!$A:$AS,MATCH($G$1,Database!$A$1:$AS$1,0),FALSE))</f>
        <v/>
      </c>
      <c r="H341" s="76">
        <f>(((Table134567891011121314151617343[[#This Row],[ITA]]-VLOOKUP($U$1,A:B,2,))/VLOOKUP($U$1,A:B,2,))*100)+100</f>
        <v/>
      </c>
      <c r="I341" s="76">
        <f>(((Table134567891011121314151617343[[#This Row],[FRA]]-VLOOKUP($U$1,A:C,3,))/VLOOKUP($U$1,A:C,3,))*100)+100</f>
        <v/>
      </c>
      <c r="J341" s="76">
        <f>(((Table134567891011121314151617343[[#This Row],[DEU]]-VLOOKUP($U$1,A:D,4,))/VLOOKUP($U$1,A:D,4,))*100)+100</f>
        <v/>
      </c>
      <c r="K341" s="76">
        <f>(((Table134567891011121314151617343[[#This Row],[ESP]]-VLOOKUP($U$1,A:E,5,))/VLOOKUP($U$1,A:E,5,))*100)+100</f>
        <v/>
      </c>
      <c r="L341" s="76">
        <f>(((Table134567891011121314151617343[[#This Row],[EA19]]-VLOOKUP($U$1,A:F,6,))/VLOOKUP($U$1,A:F,6,))*100)+100</f>
        <v/>
      </c>
      <c r="M341" s="76">
        <f>(((Table134567891011121314151617343[[#This Row],[GBR]]-VLOOKUP($U$1,A:G,7,))/VLOOKUP($U$1,A:G,7,))*100)+100</f>
        <v/>
      </c>
      <c r="N341" s="76">
        <f>IF(VLOOKUP(A341,Database!$A:$AU,MATCH($N$1,Database!$A$1:$AU$1,0),FALSE)=0,#N/A,VLOOKUP(A341,Database!$A:$AU,MATCH($N$1,Database!$A$1:$AU$1,0),FALSE))</f>
        <v/>
      </c>
      <c r="O341" s="76">
        <f>(((Table134567891011121314151617343[[#This Row],[USA]]-VLOOKUP($U$1,A:N,14,))/VLOOKUP($U$1,A:N,14,))*100)+100</f>
        <v/>
      </c>
      <c r="P341" s="76">
        <f>IF(VLOOKUP(A341,Database!$A:$AS,MATCH($P$1,Database!$A$1:$AS$1,0),FALSE)=0,#N/A,VLOOKUP(A341,Database!$A:$AS,MATCH($P$1,Database!$A$1:$AS$1,0),FALSE))</f>
        <v/>
      </c>
      <c r="Q341" s="76">
        <f>(((Table134567891011121314151617343[[#This Row],[JPN]]-VLOOKUP($U$1,A:Q,16,))/VLOOKUP($U$1,A:Q,16,))*100)+100</f>
        <v/>
      </c>
    </row>
    <row r="342" customFormat="1" s="86">
      <c r="A342" s="21" t="n">
        <v>43221</v>
      </c>
      <c r="B342" s="76">
        <f>IF(VLOOKUP(A342,Database!$A:$AS,MATCH($B$1,Database!$A$1:$AS$1,0),FALSE)=0,#N/A,VLOOKUP(A342,Database!$A:$AS,MATCH($B$1,Database!$A$1:$AS$1,0),FALSE))</f>
        <v/>
      </c>
      <c r="C342" s="76">
        <f>IF(VLOOKUP(A342,Database!$A:$AS,MATCH($C$1,Database!$A$1:$AS$1,0),FALSE)=0,#N/A,VLOOKUP(A342,Database!$A:$AS,MATCH($C$1,Database!$A$1:$AS$1,0),FALSE))</f>
        <v/>
      </c>
      <c r="D342" s="76">
        <f>IF(VLOOKUP(A342,Database!$A:$AS,MATCH($D$1,Database!$A$1:$AS$1,0),FALSE)=0,#N/A,VLOOKUP(A342,Database!$A:$AS,MATCH($D$1,Database!$A$1:$AS$1,0),FALSE))</f>
        <v/>
      </c>
      <c r="E342" s="76">
        <f>IF(VLOOKUP(A342,Database!$A:$AS,MATCH($E$1,Database!$A$1:$AS$1,0),FALSE)=0,#N/A,VLOOKUP(A342,Database!$A:$AS,MATCH($E$1,Database!$A$1:$AS$1,0),FALSE))</f>
        <v/>
      </c>
      <c r="F342" s="76">
        <f>IF(VLOOKUP(A342,Database!$A:$AS,MATCH($F$1,Database!$A$1:$AS$1,0),FALSE)=0,#N/A,VLOOKUP(A342,Database!$A:$AS,MATCH($F$1,Database!$A$1:$AS$1,0),FALSE))</f>
        <v/>
      </c>
      <c r="G342" s="76">
        <f>IF(VLOOKUP(A342,Database!$A:$AS,MATCH($G$1,Database!$A$1:$AS$1,0),FALSE)=0,#N/A,VLOOKUP(A342,Database!$A:$AS,MATCH($G$1,Database!$A$1:$AS$1,0),FALSE))</f>
        <v/>
      </c>
      <c r="H342" s="76">
        <f>(((Table134567891011121314151617343[[#This Row],[ITA]]-VLOOKUP($U$1,A:B,2,))/VLOOKUP($U$1,A:B,2,))*100)+100</f>
        <v/>
      </c>
      <c r="I342" s="76">
        <f>(((Table134567891011121314151617343[[#This Row],[FRA]]-VLOOKUP($U$1,A:C,3,))/VLOOKUP($U$1,A:C,3,))*100)+100</f>
        <v/>
      </c>
      <c r="J342" s="76">
        <f>(((Table134567891011121314151617343[[#This Row],[DEU]]-VLOOKUP($U$1,A:D,4,))/VLOOKUP($U$1,A:D,4,))*100)+100</f>
        <v/>
      </c>
      <c r="K342" s="76">
        <f>(((Table134567891011121314151617343[[#This Row],[ESP]]-VLOOKUP($U$1,A:E,5,))/VLOOKUP($U$1,A:E,5,))*100)+100</f>
        <v/>
      </c>
      <c r="L342" s="76">
        <f>(((Table134567891011121314151617343[[#This Row],[EA19]]-VLOOKUP($U$1,A:F,6,))/VLOOKUP($U$1,A:F,6,))*100)+100</f>
        <v/>
      </c>
      <c r="M342" s="76">
        <f>(((Table134567891011121314151617343[[#This Row],[GBR]]-VLOOKUP($U$1,A:G,7,))/VLOOKUP($U$1,A:G,7,))*100)+100</f>
        <v/>
      </c>
      <c r="N342" s="76">
        <f>IF(VLOOKUP(A342,Database!$A:$AU,MATCH($N$1,Database!$A$1:$AU$1,0),FALSE)=0,#N/A,VLOOKUP(A342,Database!$A:$AU,MATCH($N$1,Database!$A$1:$AU$1,0),FALSE))</f>
        <v/>
      </c>
      <c r="O342" s="76">
        <f>(((Table134567891011121314151617343[[#This Row],[USA]]-VLOOKUP($U$1,A:N,14,))/VLOOKUP($U$1,A:N,14,))*100)+100</f>
        <v/>
      </c>
      <c r="P342" s="76">
        <f>IF(VLOOKUP(A342,Database!$A:$AS,MATCH($P$1,Database!$A$1:$AS$1,0),FALSE)=0,#N/A,VLOOKUP(A342,Database!$A:$AS,MATCH($P$1,Database!$A$1:$AS$1,0),FALSE))</f>
        <v/>
      </c>
      <c r="Q342" s="76">
        <f>(((Table134567891011121314151617343[[#This Row],[JPN]]-VLOOKUP($U$1,A:Q,16,))/VLOOKUP($U$1,A:Q,16,))*100)+100</f>
        <v/>
      </c>
    </row>
    <row r="343" customFormat="1" s="86">
      <c r="A343" s="21" t="n">
        <v>43252</v>
      </c>
      <c r="B343" s="76">
        <f>IF(VLOOKUP(A343,Database!$A:$AS,MATCH($B$1,Database!$A$1:$AS$1,0),FALSE)=0,#N/A,VLOOKUP(A343,Database!$A:$AS,MATCH($B$1,Database!$A$1:$AS$1,0),FALSE))</f>
        <v/>
      </c>
      <c r="C343" s="76">
        <f>IF(VLOOKUP(A343,Database!$A:$AS,MATCH($C$1,Database!$A$1:$AS$1,0),FALSE)=0,#N/A,VLOOKUP(A343,Database!$A:$AS,MATCH($C$1,Database!$A$1:$AS$1,0),FALSE))</f>
        <v/>
      </c>
      <c r="D343" s="76">
        <f>IF(VLOOKUP(A343,Database!$A:$AS,MATCH($D$1,Database!$A$1:$AS$1,0),FALSE)=0,#N/A,VLOOKUP(A343,Database!$A:$AS,MATCH($D$1,Database!$A$1:$AS$1,0),FALSE))</f>
        <v/>
      </c>
      <c r="E343" s="76">
        <f>IF(VLOOKUP(A343,Database!$A:$AS,MATCH($E$1,Database!$A$1:$AS$1,0),FALSE)=0,#N/A,VLOOKUP(A343,Database!$A:$AS,MATCH($E$1,Database!$A$1:$AS$1,0),FALSE))</f>
        <v/>
      </c>
      <c r="F343" s="76">
        <f>IF(VLOOKUP(A343,Database!$A:$AS,MATCH($F$1,Database!$A$1:$AS$1,0),FALSE)=0,#N/A,VLOOKUP(A343,Database!$A:$AS,MATCH($F$1,Database!$A$1:$AS$1,0),FALSE))</f>
        <v/>
      </c>
      <c r="G343" s="76">
        <f>IF(VLOOKUP(A343,Database!$A:$AS,MATCH($G$1,Database!$A$1:$AS$1,0),FALSE)=0,#N/A,VLOOKUP(A343,Database!$A:$AS,MATCH($G$1,Database!$A$1:$AS$1,0),FALSE))</f>
        <v/>
      </c>
      <c r="H343" s="76">
        <f>(((Table134567891011121314151617343[[#This Row],[ITA]]-VLOOKUP($U$1,A:B,2,))/VLOOKUP($U$1,A:B,2,))*100)+100</f>
        <v/>
      </c>
      <c r="I343" s="76">
        <f>(((Table134567891011121314151617343[[#This Row],[FRA]]-VLOOKUP($U$1,A:C,3,))/VLOOKUP($U$1,A:C,3,))*100)+100</f>
        <v/>
      </c>
      <c r="J343" s="76">
        <f>(((Table134567891011121314151617343[[#This Row],[DEU]]-VLOOKUP($U$1,A:D,4,))/VLOOKUP($U$1,A:D,4,))*100)+100</f>
        <v/>
      </c>
      <c r="K343" s="76">
        <f>(((Table134567891011121314151617343[[#This Row],[ESP]]-VLOOKUP($U$1,A:E,5,))/VLOOKUP($U$1,A:E,5,))*100)+100</f>
        <v/>
      </c>
      <c r="L343" s="76">
        <f>(((Table134567891011121314151617343[[#This Row],[EA19]]-VLOOKUP($U$1,A:F,6,))/VLOOKUP($U$1,A:F,6,))*100)+100</f>
        <v/>
      </c>
      <c r="M343" s="76">
        <f>(((Table134567891011121314151617343[[#This Row],[GBR]]-VLOOKUP($U$1,A:G,7,))/VLOOKUP($U$1,A:G,7,))*100)+100</f>
        <v/>
      </c>
      <c r="N343" s="76">
        <f>IF(VLOOKUP(A343,Database!$A:$AU,MATCH($N$1,Database!$A$1:$AU$1,0),FALSE)=0,#N/A,VLOOKUP(A343,Database!$A:$AU,MATCH($N$1,Database!$A$1:$AU$1,0),FALSE))</f>
        <v/>
      </c>
      <c r="O343" s="76">
        <f>(((Table134567891011121314151617343[[#This Row],[USA]]-VLOOKUP($U$1,A:N,14,))/VLOOKUP($U$1,A:N,14,))*100)+100</f>
        <v/>
      </c>
      <c r="P343" s="76">
        <f>IF(VLOOKUP(A343,Database!$A:$AS,MATCH($P$1,Database!$A$1:$AS$1,0),FALSE)=0,#N/A,VLOOKUP(A343,Database!$A:$AS,MATCH($P$1,Database!$A$1:$AS$1,0),FALSE))</f>
        <v/>
      </c>
      <c r="Q343" s="76">
        <f>(((Table134567891011121314151617343[[#This Row],[JPN]]-VLOOKUP($U$1,A:Q,16,))/VLOOKUP($U$1,A:Q,16,))*100)+100</f>
        <v/>
      </c>
    </row>
    <row r="344" customFormat="1" s="86">
      <c r="A344" s="21" t="n">
        <v>43282</v>
      </c>
      <c r="B344" s="76">
        <f>IF(VLOOKUP(A344,Database!$A:$AS,MATCH($B$1,Database!$A$1:$AS$1,0),FALSE)=0,#N/A,VLOOKUP(A344,Database!$A:$AS,MATCH($B$1,Database!$A$1:$AS$1,0),FALSE))</f>
        <v/>
      </c>
      <c r="C344" s="76">
        <f>IF(VLOOKUP(A344,Database!$A:$AS,MATCH($C$1,Database!$A$1:$AS$1,0),FALSE)=0,#N/A,VLOOKUP(A344,Database!$A:$AS,MATCH($C$1,Database!$A$1:$AS$1,0),FALSE))</f>
        <v/>
      </c>
      <c r="D344" s="76">
        <f>IF(VLOOKUP(A344,Database!$A:$AS,MATCH($D$1,Database!$A$1:$AS$1,0),FALSE)=0,#N/A,VLOOKUP(A344,Database!$A:$AS,MATCH($D$1,Database!$A$1:$AS$1,0),FALSE))</f>
        <v/>
      </c>
      <c r="E344" s="76">
        <f>IF(VLOOKUP(A344,Database!$A:$AS,MATCH($E$1,Database!$A$1:$AS$1,0),FALSE)=0,#N/A,VLOOKUP(A344,Database!$A:$AS,MATCH($E$1,Database!$A$1:$AS$1,0),FALSE))</f>
        <v/>
      </c>
      <c r="F344" s="76">
        <f>IF(VLOOKUP(A344,Database!$A:$AS,MATCH($F$1,Database!$A$1:$AS$1,0),FALSE)=0,#N/A,VLOOKUP(A344,Database!$A:$AS,MATCH($F$1,Database!$A$1:$AS$1,0),FALSE))</f>
        <v/>
      </c>
      <c r="G344" s="76">
        <f>IF(VLOOKUP(A344,Database!$A:$AS,MATCH($G$1,Database!$A$1:$AS$1,0),FALSE)=0,#N/A,VLOOKUP(A344,Database!$A:$AS,MATCH($G$1,Database!$A$1:$AS$1,0),FALSE))</f>
        <v/>
      </c>
      <c r="H344" s="76">
        <f>(((Table134567891011121314151617343[[#This Row],[ITA]]-VLOOKUP($U$1,A:B,2,))/VLOOKUP($U$1,A:B,2,))*100)+100</f>
        <v/>
      </c>
      <c r="I344" s="76">
        <f>(((Table134567891011121314151617343[[#This Row],[FRA]]-VLOOKUP($U$1,A:C,3,))/VLOOKUP($U$1,A:C,3,))*100)+100</f>
        <v/>
      </c>
      <c r="J344" s="76">
        <f>(((Table134567891011121314151617343[[#This Row],[DEU]]-VLOOKUP($U$1,A:D,4,))/VLOOKUP($U$1,A:D,4,))*100)+100</f>
        <v/>
      </c>
      <c r="K344" s="76">
        <f>(((Table134567891011121314151617343[[#This Row],[ESP]]-VLOOKUP($U$1,A:E,5,))/VLOOKUP($U$1,A:E,5,))*100)+100</f>
        <v/>
      </c>
      <c r="L344" s="76">
        <f>(((Table134567891011121314151617343[[#This Row],[EA19]]-VLOOKUP($U$1,A:F,6,))/VLOOKUP($U$1,A:F,6,))*100)+100</f>
        <v/>
      </c>
      <c r="M344" s="76">
        <f>(((Table134567891011121314151617343[[#This Row],[GBR]]-VLOOKUP($U$1,A:G,7,))/VLOOKUP($U$1,A:G,7,))*100)+100</f>
        <v/>
      </c>
      <c r="N344" s="76">
        <f>IF(VLOOKUP(A344,Database!$A:$AU,MATCH($N$1,Database!$A$1:$AU$1,0),FALSE)=0,#N/A,VLOOKUP(A344,Database!$A:$AU,MATCH($N$1,Database!$A$1:$AU$1,0),FALSE))</f>
        <v/>
      </c>
      <c r="O344" s="76">
        <f>(((Table134567891011121314151617343[[#This Row],[USA]]-VLOOKUP($U$1,A:N,14,))/VLOOKUP($U$1,A:N,14,))*100)+100</f>
        <v/>
      </c>
      <c r="P344" s="76">
        <f>IF(VLOOKUP(A344,Database!$A:$AS,MATCH($P$1,Database!$A$1:$AS$1,0),FALSE)=0,#N/A,VLOOKUP(A344,Database!$A:$AS,MATCH($P$1,Database!$A$1:$AS$1,0),FALSE))</f>
        <v/>
      </c>
      <c r="Q344" s="76">
        <f>(((Table134567891011121314151617343[[#This Row],[JPN]]-VLOOKUP($U$1,A:Q,16,))/VLOOKUP($U$1,A:Q,16,))*100)+100</f>
        <v/>
      </c>
    </row>
    <row r="345" customFormat="1" s="86">
      <c r="A345" s="21" t="n">
        <v>43313</v>
      </c>
      <c r="B345" s="76">
        <f>IF(VLOOKUP(A345,Database!$A:$AS,MATCH($B$1,Database!$A$1:$AS$1,0),FALSE)=0,#N/A,VLOOKUP(A345,Database!$A:$AS,MATCH($B$1,Database!$A$1:$AS$1,0),FALSE))</f>
        <v/>
      </c>
      <c r="C345" s="76">
        <f>IF(VLOOKUP(A345,Database!$A:$AS,MATCH($C$1,Database!$A$1:$AS$1,0),FALSE)=0,#N/A,VLOOKUP(A345,Database!$A:$AS,MATCH($C$1,Database!$A$1:$AS$1,0),FALSE))</f>
        <v/>
      </c>
      <c r="D345" s="76">
        <f>IF(VLOOKUP(A345,Database!$A:$AS,MATCH($D$1,Database!$A$1:$AS$1,0),FALSE)=0,#N/A,VLOOKUP(A345,Database!$A:$AS,MATCH($D$1,Database!$A$1:$AS$1,0),FALSE))</f>
        <v/>
      </c>
      <c r="E345" s="76">
        <f>IF(VLOOKUP(A345,Database!$A:$AS,MATCH($E$1,Database!$A$1:$AS$1,0),FALSE)=0,#N/A,VLOOKUP(A345,Database!$A:$AS,MATCH($E$1,Database!$A$1:$AS$1,0),FALSE))</f>
        <v/>
      </c>
      <c r="F345" s="76">
        <f>IF(VLOOKUP(A345,Database!$A:$AS,MATCH($F$1,Database!$A$1:$AS$1,0),FALSE)=0,#N/A,VLOOKUP(A345,Database!$A:$AS,MATCH($F$1,Database!$A$1:$AS$1,0),FALSE))</f>
        <v/>
      </c>
      <c r="G345" s="76">
        <f>IF(VLOOKUP(A345,Database!$A:$AS,MATCH($G$1,Database!$A$1:$AS$1,0),FALSE)=0,#N/A,VLOOKUP(A345,Database!$A:$AS,MATCH($G$1,Database!$A$1:$AS$1,0),FALSE))</f>
        <v/>
      </c>
      <c r="H345" s="76">
        <f>(((Table134567891011121314151617343[[#This Row],[ITA]]-VLOOKUP($U$1,A:B,2,))/VLOOKUP($U$1,A:B,2,))*100)+100</f>
        <v/>
      </c>
      <c r="I345" s="76">
        <f>(((Table134567891011121314151617343[[#This Row],[FRA]]-VLOOKUP($U$1,A:C,3,))/VLOOKUP($U$1,A:C,3,))*100)+100</f>
        <v/>
      </c>
      <c r="J345" s="76">
        <f>(((Table134567891011121314151617343[[#This Row],[DEU]]-VLOOKUP($U$1,A:D,4,))/VLOOKUP($U$1,A:D,4,))*100)+100</f>
        <v/>
      </c>
      <c r="K345" s="76">
        <f>(((Table134567891011121314151617343[[#This Row],[ESP]]-VLOOKUP($U$1,A:E,5,))/VLOOKUP($U$1,A:E,5,))*100)+100</f>
        <v/>
      </c>
      <c r="L345" s="76">
        <f>(((Table134567891011121314151617343[[#This Row],[EA19]]-VLOOKUP($U$1,A:F,6,))/VLOOKUP($U$1,A:F,6,))*100)+100</f>
        <v/>
      </c>
      <c r="M345" s="76">
        <f>(((Table134567891011121314151617343[[#This Row],[GBR]]-VLOOKUP($U$1,A:G,7,))/VLOOKUP($U$1,A:G,7,))*100)+100</f>
        <v/>
      </c>
      <c r="N345" s="76">
        <f>IF(VLOOKUP(A345,Database!$A:$AU,MATCH($N$1,Database!$A$1:$AU$1,0),FALSE)=0,#N/A,VLOOKUP(A345,Database!$A:$AU,MATCH($N$1,Database!$A$1:$AU$1,0),FALSE))</f>
        <v/>
      </c>
      <c r="O345" s="76">
        <f>(((Table134567891011121314151617343[[#This Row],[USA]]-VLOOKUP($U$1,A:N,14,))/VLOOKUP($U$1,A:N,14,))*100)+100</f>
        <v/>
      </c>
      <c r="P345" s="76">
        <f>IF(VLOOKUP(A345,Database!$A:$AS,MATCH($P$1,Database!$A$1:$AS$1,0),FALSE)=0,#N/A,VLOOKUP(A345,Database!$A:$AS,MATCH($P$1,Database!$A$1:$AS$1,0),FALSE))</f>
        <v/>
      </c>
      <c r="Q345" s="76">
        <f>(((Table134567891011121314151617343[[#This Row],[JPN]]-VLOOKUP($U$1,A:Q,16,))/VLOOKUP($U$1,A:Q,16,))*100)+100</f>
        <v/>
      </c>
    </row>
    <row r="346" customFormat="1" s="86">
      <c r="A346" s="21" t="n">
        <v>43344</v>
      </c>
      <c r="B346" s="76">
        <f>IF(VLOOKUP(A346,Database!$A:$AS,MATCH($B$1,Database!$A$1:$AS$1,0),FALSE)=0,#N/A,VLOOKUP(A346,Database!$A:$AS,MATCH($B$1,Database!$A$1:$AS$1,0),FALSE))</f>
        <v/>
      </c>
      <c r="C346" s="76">
        <f>IF(VLOOKUP(A346,Database!$A:$AS,MATCH($C$1,Database!$A$1:$AS$1,0),FALSE)=0,#N/A,VLOOKUP(A346,Database!$A:$AS,MATCH($C$1,Database!$A$1:$AS$1,0),FALSE))</f>
        <v/>
      </c>
      <c r="D346" s="76">
        <f>IF(VLOOKUP(A346,Database!$A:$AS,MATCH($D$1,Database!$A$1:$AS$1,0),FALSE)=0,#N/A,VLOOKUP(A346,Database!$A:$AS,MATCH($D$1,Database!$A$1:$AS$1,0),FALSE))</f>
        <v/>
      </c>
      <c r="E346" s="76">
        <f>IF(VLOOKUP(A346,Database!$A:$AS,MATCH($E$1,Database!$A$1:$AS$1,0),FALSE)=0,#N/A,VLOOKUP(A346,Database!$A:$AS,MATCH($E$1,Database!$A$1:$AS$1,0),FALSE))</f>
        <v/>
      </c>
      <c r="F346" s="76">
        <f>IF(VLOOKUP(A346,Database!$A:$AS,MATCH($F$1,Database!$A$1:$AS$1,0),FALSE)=0,#N/A,VLOOKUP(A346,Database!$A:$AS,MATCH($F$1,Database!$A$1:$AS$1,0),FALSE))</f>
        <v/>
      </c>
      <c r="G346" s="76">
        <f>IF(VLOOKUP(A346,Database!$A:$AS,MATCH($G$1,Database!$A$1:$AS$1,0),FALSE)=0,#N/A,VLOOKUP(A346,Database!$A:$AS,MATCH($G$1,Database!$A$1:$AS$1,0),FALSE))</f>
        <v/>
      </c>
      <c r="H346" s="76">
        <f>(((Table134567891011121314151617343[[#This Row],[ITA]]-VLOOKUP($U$1,A:B,2,))/VLOOKUP($U$1,A:B,2,))*100)+100</f>
        <v/>
      </c>
      <c r="I346" s="76">
        <f>(((Table134567891011121314151617343[[#This Row],[FRA]]-VLOOKUP($U$1,A:C,3,))/VLOOKUP($U$1,A:C,3,))*100)+100</f>
        <v/>
      </c>
      <c r="J346" s="76">
        <f>(((Table134567891011121314151617343[[#This Row],[DEU]]-VLOOKUP($U$1,A:D,4,))/VLOOKUP($U$1,A:D,4,))*100)+100</f>
        <v/>
      </c>
      <c r="K346" s="76">
        <f>(((Table134567891011121314151617343[[#This Row],[ESP]]-VLOOKUP($U$1,A:E,5,))/VLOOKUP($U$1,A:E,5,))*100)+100</f>
        <v/>
      </c>
      <c r="L346" s="76">
        <f>(((Table134567891011121314151617343[[#This Row],[EA19]]-VLOOKUP($U$1,A:F,6,))/VLOOKUP($U$1,A:F,6,))*100)+100</f>
        <v/>
      </c>
      <c r="M346" s="76">
        <f>(((Table134567891011121314151617343[[#This Row],[GBR]]-VLOOKUP($U$1,A:G,7,))/VLOOKUP($U$1,A:G,7,))*100)+100</f>
        <v/>
      </c>
      <c r="N346" s="76">
        <f>IF(VLOOKUP(A346,Database!$A:$AU,MATCH($N$1,Database!$A$1:$AU$1,0),FALSE)=0,#N/A,VLOOKUP(A346,Database!$A:$AU,MATCH($N$1,Database!$A$1:$AU$1,0),FALSE))</f>
        <v/>
      </c>
      <c r="O346" s="76">
        <f>(((Table134567891011121314151617343[[#This Row],[USA]]-VLOOKUP($U$1,A:N,14,))/VLOOKUP($U$1,A:N,14,))*100)+100</f>
        <v/>
      </c>
      <c r="P346" s="76">
        <f>IF(VLOOKUP(A346,Database!$A:$AS,MATCH($P$1,Database!$A$1:$AS$1,0),FALSE)=0,#N/A,VLOOKUP(A346,Database!$A:$AS,MATCH($P$1,Database!$A$1:$AS$1,0),FALSE))</f>
        <v/>
      </c>
      <c r="Q346" s="76">
        <f>(((Table134567891011121314151617343[[#This Row],[JPN]]-VLOOKUP($U$1,A:Q,16,))/VLOOKUP($U$1,A:Q,16,))*100)+100</f>
        <v/>
      </c>
    </row>
    <row r="347" customFormat="1" s="86">
      <c r="A347" s="21" t="n">
        <v>43374</v>
      </c>
      <c r="B347" s="76">
        <f>IF(VLOOKUP(A347,Database!$A:$AS,MATCH($B$1,Database!$A$1:$AS$1,0),FALSE)=0,#N/A,VLOOKUP(A347,Database!$A:$AS,MATCH($B$1,Database!$A$1:$AS$1,0),FALSE))</f>
        <v/>
      </c>
      <c r="C347" s="76">
        <f>IF(VLOOKUP(A347,Database!$A:$AS,MATCH($C$1,Database!$A$1:$AS$1,0),FALSE)=0,#N/A,VLOOKUP(A347,Database!$A:$AS,MATCH($C$1,Database!$A$1:$AS$1,0),FALSE))</f>
        <v/>
      </c>
      <c r="D347" s="76">
        <f>IF(VLOOKUP(A347,Database!$A:$AS,MATCH($D$1,Database!$A$1:$AS$1,0),FALSE)=0,#N/A,VLOOKUP(A347,Database!$A:$AS,MATCH($D$1,Database!$A$1:$AS$1,0),FALSE))</f>
        <v/>
      </c>
      <c r="E347" s="76">
        <f>IF(VLOOKUP(A347,Database!$A:$AS,MATCH($E$1,Database!$A$1:$AS$1,0),FALSE)=0,#N/A,VLOOKUP(A347,Database!$A:$AS,MATCH($E$1,Database!$A$1:$AS$1,0),FALSE))</f>
        <v/>
      </c>
      <c r="F347" s="76">
        <f>IF(VLOOKUP(A347,Database!$A:$AS,MATCH($F$1,Database!$A$1:$AS$1,0),FALSE)=0,#N/A,VLOOKUP(A347,Database!$A:$AS,MATCH($F$1,Database!$A$1:$AS$1,0),FALSE))</f>
        <v/>
      </c>
      <c r="G347" s="76">
        <f>IF(VLOOKUP(A347,Database!$A:$AS,MATCH($G$1,Database!$A$1:$AS$1,0),FALSE)=0,#N/A,VLOOKUP(A347,Database!$A:$AS,MATCH($G$1,Database!$A$1:$AS$1,0),FALSE))</f>
        <v/>
      </c>
      <c r="H347" s="76">
        <f>(((Table134567891011121314151617343[[#This Row],[ITA]]-VLOOKUP($U$1,A:B,2,))/VLOOKUP($U$1,A:B,2,))*100)+100</f>
        <v/>
      </c>
      <c r="I347" s="76">
        <f>(((Table134567891011121314151617343[[#This Row],[FRA]]-VLOOKUP($U$1,A:C,3,))/VLOOKUP($U$1,A:C,3,))*100)+100</f>
        <v/>
      </c>
      <c r="J347" s="76">
        <f>(((Table134567891011121314151617343[[#This Row],[DEU]]-VLOOKUP($U$1,A:D,4,))/VLOOKUP($U$1,A:D,4,))*100)+100</f>
        <v/>
      </c>
      <c r="K347" s="76">
        <f>(((Table134567891011121314151617343[[#This Row],[ESP]]-VLOOKUP($U$1,A:E,5,))/VLOOKUP($U$1,A:E,5,))*100)+100</f>
        <v/>
      </c>
      <c r="L347" s="76">
        <f>(((Table134567891011121314151617343[[#This Row],[EA19]]-VLOOKUP($U$1,A:F,6,))/VLOOKUP($U$1,A:F,6,))*100)+100</f>
        <v/>
      </c>
      <c r="M347" s="76">
        <f>(((Table134567891011121314151617343[[#This Row],[GBR]]-VLOOKUP($U$1,A:G,7,))/VLOOKUP($U$1,A:G,7,))*100)+100</f>
        <v/>
      </c>
      <c r="N347" s="76">
        <f>IF(VLOOKUP(A347,Database!$A:$AU,MATCH($N$1,Database!$A$1:$AU$1,0),FALSE)=0,#N/A,VLOOKUP(A347,Database!$A:$AU,MATCH($N$1,Database!$A$1:$AU$1,0),FALSE))</f>
        <v/>
      </c>
      <c r="O347" s="76">
        <f>(((Table134567891011121314151617343[[#This Row],[USA]]-VLOOKUP($U$1,A:N,14,))/VLOOKUP($U$1,A:N,14,))*100)+100</f>
        <v/>
      </c>
      <c r="P347" s="76">
        <f>IF(VLOOKUP(A347,Database!$A:$AS,MATCH($P$1,Database!$A$1:$AS$1,0),FALSE)=0,#N/A,VLOOKUP(A347,Database!$A:$AS,MATCH($P$1,Database!$A$1:$AS$1,0),FALSE))</f>
        <v/>
      </c>
      <c r="Q347" s="76">
        <f>(((Table134567891011121314151617343[[#This Row],[JPN]]-VLOOKUP($U$1,A:Q,16,))/VLOOKUP($U$1,A:Q,16,))*100)+100</f>
        <v/>
      </c>
    </row>
    <row r="348" customFormat="1" s="86">
      <c r="A348" s="21" t="n">
        <v>43405</v>
      </c>
      <c r="B348" s="76">
        <f>IF(VLOOKUP(A348,Database!$A:$AS,MATCH($B$1,Database!$A$1:$AS$1,0),FALSE)=0,#N/A,VLOOKUP(A348,Database!$A:$AS,MATCH($B$1,Database!$A$1:$AS$1,0),FALSE))</f>
        <v/>
      </c>
      <c r="C348" s="76">
        <f>IF(VLOOKUP(A348,Database!$A:$AS,MATCH($C$1,Database!$A$1:$AS$1,0),FALSE)=0,#N/A,VLOOKUP(A348,Database!$A:$AS,MATCH($C$1,Database!$A$1:$AS$1,0),FALSE))</f>
        <v/>
      </c>
      <c r="D348" s="76">
        <f>IF(VLOOKUP(A348,Database!$A:$AS,MATCH($D$1,Database!$A$1:$AS$1,0),FALSE)=0,#N/A,VLOOKUP(A348,Database!$A:$AS,MATCH($D$1,Database!$A$1:$AS$1,0),FALSE))</f>
        <v/>
      </c>
      <c r="E348" s="76">
        <f>IF(VLOOKUP(A348,Database!$A:$AS,MATCH($E$1,Database!$A$1:$AS$1,0),FALSE)=0,#N/A,VLOOKUP(A348,Database!$A:$AS,MATCH($E$1,Database!$A$1:$AS$1,0),FALSE))</f>
        <v/>
      </c>
      <c r="F348" s="76">
        <f>IF(VLOOKUP(A348,Database!$A:$AS,MATCH($F$1,Database!$A$1:$AS$1,0),FALSE)=0,#N/A,VLOOKUP(A348,Database!$A:$AS,MATCH($F$1,Database!$A$1:$AS$1,0),FALSE))</f>
        <v/>
      </c>
      <c r="G348" s="76">
        <f>IF(VLOOKUP(A348,Database!$A:$AS,MATCH($G$1,Database!$A$1:$AS$1,0),FALSE)=0,#N/A,VLOOKUP(A348,Database!$A:$AS,MATCH($G$1,Database!$A$1:$AS$1,0),FALSE))</f>
        <v/>
      </c>
      <c r="H348" s="76">
        <f>(((Table134567891011121314151617343[[#This Row],[ITA]]-VLOOKUP($U$1,A:B,2,))/VLOOKUP($U$1,A:B,2,))*100)+100</f>
        <v/>
      </c>
      <c r="I348" s="76">
        <f>(((Table134567891011121314151617343[[#This Row],[FRA]]-VLOOKUP($U$1,A:C,3,))/VLOOKUP($U$1,A:C,3,))*100)+100</f>
        <v/>
      </c>
      <c r="J348" s="76">
        <f>(((Table134567891011121314151617343[[#This Row],[DEU]]-VLOOKUP($U$1,A:D,4,))/VLOOKUP($U$1,A:D,4,))*100)+100</f>
        <v/>
      </c>
      <c r="K348" s="76">
        <f>(((Table134567891011121314151617343[[#This Row],[ESP]]-VLOOKUP($U$1,A:E,5,))/VLOOKUP($U$1,A:E,5,))*100)+100</f>
        <v/>
      </c>
      <c r="L348" s="76">
        <f>(((Table134567891011121314151617343[[#This Row],[EA19]]-VLOOKUP($U$1,A:F,6,))/VLOOKUP($U$1,A:F,6,))*100)+100</f>
        <v/>
      </c>
      <c r="M348" s="76">
        <f>(((Table134567891011121314151617343[[#This Row],[GBR]]-VLOOKUP($U$1,A:G,7,))/VLOOKUP($U$1,A:G,7,))*100)+100</f>
        <v/>
      </c>
      <c r="N348" s="76">
        <f>IF(VLOOKUP(A348,Database!$A:$AU,MATCH($N$1,Database!$A$1:$AU$1,0),FALSE)=0,#N/A,VLOOKUP(A348,Database!$A:$AU,MATCH($N$1,Database!$A$1:$AU$1,0),FALSE))</f>
        <v/>
      </c>
      <c r="O348" s="76">
        <f>(((Table134567891011121314151617343[[#This Row],[USA]]-VLOOKUP($U$1,A:N,14,))/VLOOKUP($U$1,A:N,14,))*100)+100</f>
        <v/>
      </c>
      <c r="P348" s="76">
        <f>IF(VLOOKUP(A348,Database!$A:$AS,MATCH($P$1,Database!$A$1:$AS$1,0),FALSE)=0,#N/A,VLOOKUP(A348,Database!$A:$AS,MATCH($P$1,Database!$A$1:$AS$1,0),FALSE))</f>
        <v/>
      </c>
      <c r="Q348" s="76">
        <f>(((Table134567891011121314151617343[[#This Row],[JPN]]-VLOOKUP($U$1,A:Q,16,))/VLOOKUP($U$1,A:Q,16,))*100)+100</f>
        <v/>
      </c>
    </row>
    <row r="349" customFormat="1" s="86">
      <c r="A349" s="21" t="n">
        <v>43435</v>
      </c>
      <c r="B349" s="76">
        <f>IF(VLOOKUP(A349,Database!$A:$AS,MATCH($B$1,Database!$A$1:$AS$1,0),FALSE)=0,#N/A,VLOOKUP(A349,Database!$A:$AS,MATCH($B$1,Database!$A$1:$AS$1,0),FALSE))</f>
        <v/>
      </c>
      <c r="C349" s="76">
        <f>IF(VLOOKUP(A349,Database!$A:$AS,MATCH($C$1,Database!$A$1:$AS$1,0),FALSE)=0,#N/A,VLOOKUP(A349,Database!$A:$AS,MATCH($C$1,Database!$A$1:$AS$1,0),FALSE))</f>
        <v/>
      </c>
      <c r="D349" s="76">
        <f>IF(VLOOKUP(A349,Database!$A:$AS,MATCH($D$1,Database!$A$1:$AS$1,0),FALSE)=0,#N/A,VLOOKUP(A349,Database!$A:$AS,MATCH($D$1,Database!$A$1:$AS$1,0),FALSE))</f>
        <v/>
      </c>
      <c r="E349" s="76">
        <f>IF(VLOOKUP(A349,Database!$A:$AS,MATCH($E$1,Database!$A$1:$AS$1,0),FALSE)=0,#N/A,VLOOKUP(A349,Database!$A:$AS,MATCH($E$1,Database!$A$1:$AS$1,0),FALSE))</f>
        <v/>
      </c>
      <c r="F349" s="76">
        <f>IF(VLOOKUP(A349,Database!$A:$AS,MATCH($F$1,Database!$A$1:$AS$1,0),FALSE)=0,#N/A,VLOOKUP(A349,Database!$A:$AS,MATCH($F$1,Database!$A$1:$AS$1,0),FALSE))</f>
        <v/>
      </c>
      <c r="G349" s="76">
        <f>IF(VLOOKUP(A349,Database!$A:$AS,MATCH($G$1,Database!$A$1:$AS$1,0),FALSE)=0,#N/A,VLOOKUP(A349,Database!$A:$AS,MATCH($G$1,Database!$A$1:$AS$1,0),FALSE))</f>
        <v/>
      </c>
      <c r="H349" s="76">
        <f>(((Table134567891011121314151617343[[#This Row],[ITA]]-VLOOKUP($U$1,A:B,2,))/VLOOKUP($U$1,A:B,2,))*100)+100</f>
        <v/>
      </c>
      <c r="I349" s="76">
        <f>(((Table134567891011121314151617343[[#This Row],[FRA]]-VLOOKUP($U$1,A:C,3,))/VLOOKUP($U$1,A:C,3,))*100)+100</f>
        <v/>
      </c>
      <c r="J349" s="76">
        <f>(((Table134567891011121314151617343[[#This Row],[DEU]]-VLOOKUP($U$1,A:D,4,))/VLOOKUP($U$1,A:D,4,))*100)+100</f>
        <v/>
      </c>
      <c r="K349" s="76">
        <f>(((Table134567891011121314151617343[[#This Row],[ESP]]-VLOOKUP($U$1,A:E,5,))/VLOOKUP($U$1,A:E,5,))*100)+100</f>
        <v/>
      </c>
      <c r="L349" s="76">
        <f>(((Table134567891011121314151617343[[#This Row],[EA19]]-VLOOKUP($U$1,A:F,6,))/VLOOKUP($U$1,A:F,6,))*100)+100</f>
        <v/>
      </c>
      <c r="M349" s="76">
        <f>(((Table134567891011121314151617343[[#This Row],[GBR]]-VLOOKUP($U$1,A:G,7,))/VLOOKUP($U$1,A:G,7,))*100)+100</f>
        <v/>
      </c>
      <c r="N349" s="76">
        <f>IF(VLOOKUP(A349,Database!$A:$AU,MATCH($N$1,Database!$A$1:$AU$1,0),FALSE)=0,#N/A,VLOOKUP(A349,Database!$A:$AU,MATCH($N$1,Database!$A$1:$AU$1,0),FALSE))</f>
        <v/>
      </c>
      <c r="O349" s="76">
        <f>(((Table134567891011121314151617343[[#This Row],[USA]]-VLOOKUP($U$1,A:N,14,))/VLOOKUP($U$1,A:N,14,))*100)+100</f>
        <v/>
      </c>
      <c r="P349" s="76">
        <f>IF(VLOOKUP(A349,Database!$A:$AS,MATCH($P$1,Database!$A$1:$AS$1,0),FALSE)=0,#N/A,VLOOKUP(A349,Database!$A:$AS,MATCH($P$1,Database!$A$1:$AS$1,0),FALSE))</f>
        <v/>
      </c>
      <c r="Q349" s="76">
        <f>(((Table134567891011121314151617343[[#This Row],[JPN]]-VLOOKUP($U$1,A:Q,16,))/VLOOKUP($U$1,A:Q,16,))*100)+100</f>
        <v/>
      </c>
    </row>
    <row r="350" customFormat="1" s="86">
      <c r="A350" s="21" t="n">
        <v>43466</v>
      </c>
      <c r="B350" s="76">
        <f>IF(VLOOKUP(A350,Database!$A:$AS,MATCH($B$1,Database!$A$1:$AS$1,0),FALSE)=0,#N/A,VLOOKUP(A350,Database!$A:$AS,MATCH($B$1,Database!$A$1:$AS$1,0),FALSE))</f>
        <v/>
      </c>
      <c r="C350" s="76">
        <f>IF(VLOOKUP(A350,Database!$A:$AS,MATCH($C$1,Database!$A$1:$AS$1,0),FALSE)=0,#N/A,VLOOKUP(A350,Database!$A:$AS,MATCH($C$1,Database!$A$1:$AS$1,0),FALSE))</f>
        <v/>
      </c>
      <c r="D350" s="76">
        <f>IF(VLOOKUP(A350,Database!$A:$AS,MATCH($D$1,Database!$A$1:$AS$1,0),FALSE)=0,#N/A,VLOOKUP(A350,Database!$A:$AS,MATCH($D$1,Database!$A$1:$AS$1,0),FALSE))</f>
        <v/>
      </c>
      <c r="E350" s="76">
        <f>IF(VLOOKUP(A350,Database!$A:$AS,MATCH($E$1,Database!$A$1:$AS$1,0),FALSE)=0,#N/A,VLOOKUP(A350,Database!$A:$AS,MATCH($E$1,Database!$A$1:$AS$1,0),FALSE))</f>
        <v/>
      </c>
      <c r="F350" s="76">
        <f>IF(VLOOKUP(A350,Database!$A:$AS,MATCH($F$1,Database!$A$1:$AS$1,0),FALSE)=0,#N/A,VLOOKUP(A350,Database!$A:$AS,MATCH($F$1,Database!$A$1:$AS$1,0),FALSE))</f>
        <v/>
      </c>
      <c r="G350" s="76">
        <f>IF(VLOOKUP(A350,Database!$A:$AS,MATCH($G$1,Database!$A$1:$AS$1,0),FALSE)=0,#N/A,VLOOKUP(A350,Database!$A:$AS,MATCH($G$1,Database!$A$1:$AS$1,0),FALSE))</f>
        <v/>
      </c>
      <c r="H350" s="76">
        <f>(((Table134567891011121314151617343[[#This Row],[ITA]]-VLOOKUP($U$1,A:B,2,))/VLOOKUP($U$1,A:B,2,))*100)+100</f>
        <v/>
      </c>
      <c r="I350" s="76">
        <f>(((Table134567891011121314151617343[[#This Row],[FRA]]-VLOOKUP($U$1,A:C,3,))/VLOOKUP($U$1,A:C,3,))*100)+100</f>
        <v/>
      </c>
      <c r="J350" s="76">
        <f>(((Table134567891011121314151617343[[#This Row],[DEU]]-VLOOKUP($U$1,A:D,4,))/VLOOKUP($U$1,A:D,4,))*100)+100</f>
        <v/>
      </c>
      <c r="K350" s="76">
        <f>(((Table134567891011121314151617343[[#This Row],[ESP]]-VLOOKUP($U$1,A:E,5,))/VLOOKUP($U$1,A:E,5,))*100)+100</f>
        <v/>
      </c>
      <c r="L350" s="76">
        <f>(((Table134567891011121314151617343[[#This Row],[EA19]]-VLOOKUP($U$1,A:F,6,))/VLOOKUP($U$1,A:F,6,))*100)+100</f>
        <v/>
      </c>
      <c r="M350" s="76">
        <f>(((Table134567891011121314151617343[[#This Row],[GBR]]-VLOOKUP($U$1,A:G,7,))/VLOOKUP($U$1,A:G,7,))*100)+100</f>
        <v/>
      </c>
      <c r="N350" s="76">
        <f>IF(VLOOKUP(A350,Database!$A:$AU,MATCH($N$1,Database!$A$1:$AU$1,0),FALSE)=0,#N/A,VLOOKUP(A350,Database!$A:$AU,MATCH($N$1,Database!$A$1:$AU$1,0),FALSE))</f>
        <v/>
      </c>
      <c r="O350" s="76">
        <f>(((Table134567891011121314151617343[[#This Row],[USA]]-VLOOKUP($U$1,A:N,14,))/VLOOKUP($U$1,A:N,14,))*100)+100</f>
        <v/>
      </c>
      <c r="P350" s="76">
        <f>IF(VLOOKUP(A350,Database!$A:$AS,MATCH($P$1,Database!$A$1:$AS$1,0),FALSE)=0,#N/A,VLOOKUP(A350,Database!$A:$AS,MATCH($P$1,Database!$A$1:$AS$1,0),FALSE))</f>
        <v/>
      </c>
      <c r="Q350" s="76">
        <f>(((Table134567891011121314151617343[[#This Row],[JPN]]-VLOOKUP($U$1,A:Q,16,))/VLOOKUP($U$1,A:Q,16,))*100)+100</f>
        <v/>
      </c>
    </row>
    <row r="351" customFormat="1" s="86">
      <c r="A351" s="21" t="n">
        <v>43497</v>
      </c>
      <c r="B351" s="76">
        <f>IF(VLOOKUP(A351,Database!$A:$AS,MATCH($B$1,Database!$A$1:$AS$1,0),FALSE)=0,#N/A,VLOOKUP(A351,Database!$A:$AS,MATCH($B$1,Database!$A$1:$AS$1,0),FALSE))</f>
        <v/>
      </c>
      <c r="C351" s="76">
        <f>IF(VLOOKUP(A351,Database!$A:$AS,MATCH($C$1,Database!$A$1:$AS$1,0),FALSE)=0,#N/A,VLOOKUP(A351,Database!$A:$AS,MATCH($C$1,Database!$A$1:$AS$1,0),FALSE))</f>
        <v/>
      </c>
      <c r="D351" s="76">
        <f>IF(VLOOKUP(A351,Database!$A:$AS,MATCH($D$1,Database!$A$1:$AS$1,0),FALSE)=0,#N/A,VLOOKUP(A351,Database!$A:$AS,MATCH($D$1,Database!$A$1:$AS$1,0),FALSE))</f>
        <v/>
      </c>
      <c r="E351" s="76">
        <f>IF(VLOOKUP(A351,Database!$A:$AS,MATCH($E$1,Database!$A$1:$AS$1,0),FALSE)=0,#N/A,VLOOKUP(A351,Database!$A:$AS,MATCH($E$1,Database!$A$1:$AS$1,0),FALSE))</f>
        <v/>
      </c>
      <c r="F351" s="76">
        <f>IF(VLOOKUP(A351,Database!$A:$AS,MATCH($F$1,Database!$A$1:$AS$1,0),FALSE)=0,#N/A,VLOOKUP(A351,Database!$A:$AS,MATCH($F$1,Database!$A$1:$AS$1,0),FALSE))</f>
        <v/>
      </c>
      <c r="G351" s="76">
        <f>IF(VLOOKUP(A351,Database!$A:$AS,MATCH($G$1,Database!$A$1:$AS$1,0),FALSE)=0,#N/A,VLOOKUP(A351,Database!$A:$AS,MATCH($G$1,Database!$A$1:$AS$1,0),FALSE))</f>
        <v/>
      </c>
      <c r="H351" s="76">
        <f>(((Table134567891011121314151617343[[#This Row],[ITA]]-VLOOKUP($U$1,A:B,2,))/VLOOKUP($U$1,A:B,2,))*100)+100</f>
        <v/>
      </c>
      <c r="I351" s="76">
        <f>(((Table134567891011121314151617343[[#This Row],[FRA]]-VLOOKUP($U$1,A:C,3,))/VLOOKUP($U$1,A:C,3,))*100)+100</f>
        <v/>
      </c>
      <c r="J351" s="76">
        <f>(((Table134567891011121314151617343[[#This Row],[DEU]]-VLOOKUP($U$1,A:D,4,))/VLOOKUP($U$1,A:D,4,))*100)+100</f>
        <v/>
      </c>
      <c r="K351" s="76">
        <f>(((Table134567891011121314151617343[[#This Row],[ESP]]-VLOOKUP($U$1,A:E,5,))/VLOOKUP($U$1,A:E,5,))*100)+100</f>
        <v/>
      </c>
      <c r="L351" s="76">
        <f>(((Table134567891011121314151617343[[#This Row],[EA19]]-VLOOKUP($U$1,A:F,6,))/VLOOKUP($U$1,A:F,6,))*100)+100</f>
        <v/>
      </c>
      <c r="M351" s="76">
        <f>(((Table134567891011121314151617343[[#This Row],[GBR]]-VLOOKUP($U$1,A:G,7,))/VLOOKUP($U$1,A:G,7,))*100)+100</f>
        <v/>
      </c>
      <c r="N351" s="76">
        <f>IF(VLOOKUP(A351,Database!$A:$AU,MATCH($N$1,Database!$A$1:$AU$1,0),FALSE)=0,#N/A,VLOOKUP(A351,Database!$A:$AU,MATCH($N$1,Database!$A$1:$AU$1,0),FALSE))</f>
        <v/>
      </c>
      <c r="O351" s="76">
        <f>(((Table134567891011121314151617343[[#This Row],[USA]]-VLOOKUP($U$1,A:N,14,))/VLOOKUP($U$1,A:N,14,))*100)+100</f>
        <v/>
      </c>
      <c r="P351" s="76">
        <f>IF(VLOOKUP(A351,Database!$A:$AS,MATCH($P$1,Database!$A$1:$AS$1,0),FALSE)=0,#N/A,VLOOKUP(A351,Database!$A:$AS,MATCH($P$1,Database!$A$1:$AS$1,0),FALSE))</f>
        <v/>
      </c>
      <c r="Q351" s="76">
        <f>(((Table134567891011121314151617343[[#This Row],[JPN]]-VLOOKUP($U$1,A:Q,16,))/VLOOKUP($U$1,A:Q,16,))*100)+100</f>
        <v/>
      </c>
    </row>
    <row r="352" customFormat="1" s="86">
      <c r="A352" s="21" t="n">
        <v>43525</v>
      </c>
      <c r="B352" s="76">
        <f>IF(VLOOKUP(A352,Database!$A:$AS,MATCH($B$1,Database!$A$1:$AS$1,0),FALSE)=0,#N/A,VLOOKUP(A352,Database!$A:$AS,MATCH($B$1,Database!$A$1:$AS$1,0),FALSE))</f>
        <v/>
      </c>
      <c r="C352" s="76">
        <f>IF(VLOOKUP(A352,Database!$A:$AS,MATCH($C$1,Database!$A$1:$AS$1,0),FALSE)=0,#N/A,VLOOKUP(A352,Database!$A:$AS,MATCH($C$1,Database!$A$1:$AS$1,0),FALSE))</f>
        <v/>
      </c>
      <c r="D352" s="76">
        <f>IF(VLOOKUP(A352,Database!$A:$AS,MATCH($D$1,Database!$A$1:$AS$1,0),FALSE)=0,#N/A,VLOOKUP(A352,Database!$A:$AS,MATCH($D$1,Database!$A$1:$AS$1,0),FALSE))</f>
        <v/>
      </c>
      <c r="E352" s="76">
        <f>IF(VLOOKUP(A352,Database!$A:$AS,MATCH($E$1,Database!$A$1:$AS$1,0),FALSE)=0,#N/A,VLOOKUP(A352,Database!$A:$AS,MATCH($E$1,Database!$A$1:$AS$1,0),FALSE))</f>
        <v/>
      </c>
      <c r="F352" s="76">
        <f>IF(VLOOKUP(A352,Database!$A:$AS,MATCH($F$1,Database!$A$1:$AS$1,0),FALSE)=0,#N/A,VLOOKUP(A352,Database!$A:$AS,MATCH($F$1,Database!$A$1:$AS$1,0),FALSE))</f>
        <v/>
      </c>
      <c r="G352" s="76">
        <f>IF(VLOOKUP(A352,Database!$A:$AS,MATCH($G$1,Database!$A$1:$AS$1,0),FALSE)=0,#N/A,VLOOKUP(A352,Database!$A:$AS,MATCH($G$1,Database!$A$1:$AS$1,0),FALSE))</f>
        <v/>
      </c>
      <c r="H352" s="76">
        <f>(((Table134567891011121314151617343[[#This Row],[ITA]]-VLOOKUP($U$1,A:B,2,))/VLOOKUP($U$1,A:B,2,))*100)+100</f>
        <v/>
      </c>
      <c r="I352" s="76">
        <f>(((Table134567891011121314151617343[[#This Row],[FRA]]-VLOOKUP($U$1,A:C,3,))/VLOOKUP($U$1,A:C,3,))*100)+100</f>
        <v/>
      </c>
      <c r="J352" s="76">
        <f>(((Table134567891011121314151617343[[#This Row],[DEU]]-VLOOKUP($U$1,A:D,4,))/VLOOKUP($U$1,A:D,4,))*100)+100</f>
        <v/>
      </c>
      <c r="K352" s="76">
        <f>(((Table134567891011121314151617343[[#This Row],[ESP]]-VLOOKUP($U$1,A:E,5,))/VLOOKUP($U$1,A:E,5,))*100)+100</f>
        <v/>
      </c>
      <c r="L352" s="76">
        <f>(((Table134567891011121314151617343[[#This Row],[EA19]]-VLOOKUP($U$1,A:F,6,))/VLOOKUP($U$1,A:F,6,))*100)+100</f>
        <v/>
      </c>
      <c r="M352" s="76">
        <f>(((Table134567891011121314151617343[[#This Row],[GBR]]-VLOOKUP($U$1,A:G,7,))/VLOOKUP($U$1,A:G,7,))*100)+100</f>
        <v/>
      </c>
      <c r="N352" s="76">
        <f>IF(VLOOKUP(A352,Database!$A:$AU,MATCH($N$1,Database!$A$1:$AU$1,0),FALSE)=0,#N/A,VLOOKUP(A352,Database!$A:$AU,MATCH($N$1,Database!$A$1:$AU$1,0),FALSE))</f>
        <v/>
      </c>
      <c r="O352" s="76">
        <f>(((Table134567891011121314151617343[[#This Row],[USA]]-VLOOKUP($U$1,A:N,14,))/VLOOKUP($U$1,A:N,14,))*100)+100</f>
        <v/>
      </c>
      <c r="P352" s="76">
        <f>IF(VLOOKUP(A352,Database!$A:$AS,MATCH($P$1,Database!$A$1:$AS$1,0),FALSE)=0,#N/A,VLOOKUP(A352,Database!$A:$AS,MATCH($P$1,Database!$A$1:$AS$1,0),FALSE))</f>
        <v/>
      </c>
      <c r="Q352" s="76">
        <f>(((Table134567891011121314151617343[[#This Row],[JPN]]-VLOOKUP($U$1,A:Q,16,))/VLOOKUP($U$1,A:Q,16,))*100)+100</f>
        <v/>
      </c>
    </row>
    <row r="353" customFormat="1" s="86">
      <c r="A353" s="21" t="n">
        <v>43556</v>
      </c>
      <c r="B353" s="76">
        <f>IF(VLOOKUP(A353,Database!$A:$AS,MATCH($B$1,Database!$A$1:$AS$1,0),FALSE)=0,#N/A,VLOOKUP(A353,Database!$A:$AS,MATCH($B$1,Database!$A$1:$AS$1,0),FALSE))</f>
        <v/>
      </c>
      <c r="C353" s="76">
        <f>IF(VLOOKUP(A353,Database!$A:$AS,MATCH($C$1,Database!$A$1:$AS$1,0),FALSE)=0,#N/A,VLOOKUP(A353,Database!$A:$AS,MATCH($C$1,Database!$A$1:$AS$1,0),FALSE))</f>
        <v/>
      </c>
      <c r="D353" s="76">
        <f>IF(VLOOKUP(A353,Database!$A:$AS,MATCH($D$1,Database!$A$1:$AS$1,0),FALSE)=0,#N/A,VLOOKUP(A353,Database!$A:$AS,MATCH($D$1,Database!$A$1:$AS$1,0),FALSE))</f>
        <v/>
      </c>
      <c r="E353" s="76">
        <f>IF(VLOOKUP(A353,Database!$A:$AS,MATCH($E$1,Database!$A$1:$AS$1,0),FALSE)=0,#N/A,VLOOKUP(A353,Database!$A:$AS,MATCH($E$1,Database!$A$1:$AS$1,0),FALSE))</f>
        <v/>
      </c>
      <c r="F353" s="76">
        <f>IF(VLOOKUP(A353,Database!$A:$AS,MATCH($F$1,Database!$A$1:$AS$1,0),FALSE)=0,#N/A,VLOOKUP(A353,Database!$A:$AS,MATCH($F$1,Database!$A$1:$AS$1,0),FALSE))</f>
        <v/>
      </c>
      <c r="G353" s="76">
        <f>IF(VLOOKUP(A353,Database!$A:$AS,MATCH($G$1,Database!$A$1:$AS$1,0),FALSE)=0,#N/A,VLOOKUP(A353,Database!$A:$AS,MATCH($G$1,Database!$A$1:$AS$1,0),FALSE))</f>
        <v/>
      </c>
      <c r="H353" s="76">
        <f>(((Table134567891011121314151617343[[#This Row],[ITA]]-VLOOKUP($U$1,A:B,2,))/VLOOKUP($U$1,A:B,2,))*100)+100</f>
        <v/>
      </c>
      <c r="I353" s="76">
        <f>(((Table134567891011121314151617343[[#This Row],[FRA]]-VLOOKUP($U$1,A:C,3,))/VLOOKUP($U$1,A:C,3,))*100)+100</f>
        <v/>
      </c>
      <c r="J353" s="76">
        <f>(((Table134567891011121314151617343[[#This Row],[DEU]]-VLOOKUP($U$1,A:D,4,))/VLOOKUP($U$1,A:D,4,))*100)+100</f>
        <v/>
      </c>
      <c r="K353" s="76">
        <f>(((Table134567891011121314151617343[[#This Row],[ESP]]-VLOOKUP($U$1,A:E,5,))/VLOOKUP($U$1,A:E,5,))*100)+100</f>
        <v/>
      </c>
      <c r="L353" s="76">
        <f>(((Table134567891011121314151617343[[#This Row],[EA19]]-VLOOKUP($U$1,A:F,6,))/VLOOKUP($U$1,A:F,6,))*100)+100</f>
        <v/>
      </c>
      <c r="M353" s="76">
        <f>(((Table134567891011121314151617343[[#This Row],[GBR]]-VLOOKUP($U$1,A:G,7,))/VLOOKUP($U$1,A:G,7,))*100)+100</f>
        <v/>
      </c>
      <c r="N353" s="76">
        <f>IF(VLOOKUP(A353,Database!$A:$AU,MATCH($N$1,Database!$A$1:$AU$1,0),FALSE)=0,#N/A,VLOOKUP(A353,Database!$A:$AU,MATCH($N$1,Database!$A$1:$AU$1,0),FALSE))</f>
        <v/>
      </c>
      <c r="O353" s="76">
        <f>(((Table134567891011121314151617343[[#This Row],[USA]]-VLOOKUP($U$1,A:N,14,))/VLOOKUP($U$1,A:N,14,))*100)+100</f>
        <v/>
      </c>
      <c r="P353" s="76">
        <f>IF(VLOOKUP(A353,Database!$A:$AS,MATCH($P$1,Database!$A$1:$AS$1,0),FALSE)=0,#N/A,VLOOKUP(A353,Database!$A:$AS,MATCH($P$1,Database!$A$1:$AS$1,0),FALSE))</f>
        <v/>
      </c>
      <c r="Q353" s="76">
        <f>(((Table134567891011121314151617343[[#This Row],[JPN]]-VLOOKUP($U$1,A:Q,16,))/VLOOKUP($U$1,A:Q,16,))*100)+100</f>
        <v/>
      </c>
    </row>
    <row r="354" customFormat="1" s="86">
      <c r="A354" s="21" t="n">
        <v>43586</v>
      </c>
      <c r="B354" s="76">
        <f>IF(VLOOKUP(A354,Database!$A:$AS,MATCH($B$1,Database!$A$1:$AS$1,0),FALSE)=0,#N/A,VLOOKUP(A354,Database!$A:$AS,MATCH($B$1,Database!$A$1:$AS$1,0),FALSE))</f>
        <v/>
      </c>
      <c r="C354" s="76">
        <f>IF(VLOOKUP(A354,Database!$A:$AS,MATCH($C$1,Database!$A$1:$AS$1,0),FALSE)=0,#N/A,VLOOKUP(A354,Database!$A:$AS,MATCH($C$1,Database!$A$1:$AS$1,0),FALSE))</f>
        <v/>
      </c>
      <c r="D354" s="76">
        <f>IF(VLOOKUP(A354,Database!$A:$AS,MATCH($D$1,Database!$A$1:$AS$1,0),FALSE)=0,#N/A,VLOOKUP(A354,Database!$A:$AS,MATCH($D$1,Database!$A$1:$AS$1,0),FALSE))</f>
        <v/>
      </c>
      <c r="E354" s="76">
        <f>IF(VLOOKUP(A354,Database!$A:$AS,MATCH($E$1,Database!$A$1:$AS$1,0),FALSE)=0,#N/A,VLOOKUP(A354,Database!$A:$AS,MATCH($E$1,Database!$A$1:$AS$1,0),FALSE))</f>
        <v/>
      </c>
      <c r="F354" s="76">
        <f>IF(VLOOKUP(A354,Database!$A:$AS,MATCH($F$1,Database!$A$1:$AS$1,0),FALSE)=0,#N/A,VLOOKUP(A354,Database!$A:$AS,MATCH($F$1,Database!$A$1:$AS$1,0),FALSE))</f>
        <v/>
      </c>
      <c r="G354" s="76">
        <f>IF(VLOOKUP(A354,Database!$A:$AS,MATCH($G$1,Database!$A$1:$AS$1,0),FALSE)=0,#N/A,VLOOKUP(A354,Database!$A:$AS,MATCH($G$1,Database!$A$1:$AS$1,0),FALSE))</f>
        <v/>
      </c>
      <c r="H354" s="76">
        <f>(((Table134567891011121314151617343[[#This Row],[ITA]]-VLOOKUP($U$1,A:B,2,))/VLOOKUP($U$1,A:B,2,))*100)+100</f>
        <v/>
      </c>
      <c r="I354" s="76">
        <f>(((Table134567891011121314151617343[[#This Row],[FRA]]-VLOOKUP($U$1,A:C,3,))/VLOOKUP($U$1,A:C,3,))*100)+100</f>
        <v/>
      </c>
      <c r="J354" s="76">
        <f>(((Table134567891011121314151617343[[#This Row],[DEU]]-VLOOKUP($U$1,A:D,4,))/VLOOKUP($U$1,A:D,4,))*100)+100</f>
        <v/>
      </c>
      <c r="K354" s="76">
        <f>(((Table134567891011121314151617343[[#This Row],[ESP]]-VLOOKUP($U$1,A:E,5,))/VLOOKUP($U$1,A:E,5,))*100)+100</f>
        <v/>
      </c>
      <c r="L354" s="76">
        <f>(((Table134567891011121314151617343[[#This Row],[EA19]]-VLOOKUP($U$1,A:F,6,))/VLOOKUP($U$1,A:F,6,))*100)+100</f>
        <v/>
      </c>
      <c r="M354" s="76">
        <f>(((Table134567891011121314151617343[[#This Row],[GBR]]-VLOOKUP($U$1,A:G,7,))/VLOOKUP($U$1,A:G,7,))*100)+100</f>
        <v/>
      </c>
      <c r="N354" s="76">
        <f>IF(VLOOKUP(A354,Database!$A:$AU,MATCH($N$1,Database!$A$1:$AU$1,0),FALSE)=0,#N/A,VLOOKUP(A354,Database!$A:$AU,MATCH($N$1,Database!$A$1:$AU$1,0),FALSE))</f>
        <v/>
      </c>
      <c r="O354" s="76">
        <f>(((Table134567891011121314151617343[[#This Row],[USA]]-VLOOKUP($U$1,A:N,14,))/VLOOKUP($U$1,A:N,14,))*100)+100</f>
        <v/>
      </c>
      <c r="P354" s="76">
        <f>IF(VLOOKUP(A354,Database!$A:$AS,MATCH($P$1,Database!$A$1:$AS$1,0),FALSE)=0,#N/A,VLOOKUP(A354,Database!$A:$AS,MATCH($P$1,Database!$A$1:$AS$1,0),FALSE))</f>
        <v/>
      </c>
      <c r="Q354" s="76">
        <f>(((Table134567891011121314151617343[[#This Row],[JPN]]-VLOOKUP($U$1,A:Q,16,))/VLOOKUP($U$1,A:Q,16,))*100)+100</f>
        <v/>
      </c>
    </row>
    <row r="355" customFormat="1" s="86">
      <c r="A355" s="21" t="n">
        <v>43617</v>
      </c>
      <c r="B355" s="76">
        <f>IF(VLOOKUP(A355,Database!$A:$AS,MATCH($B$1,Database!$A$1:$AS$1,0),FALSE)=0,#N/A,VLOOKUP(A355,Database!$A:$AS,MATCH($B$1,Database!$A$1:$AS$1,0),FALSE))</f>
        <v/>
      </c>
      <c r="C355" s="76">
        <f>IF(VLOOKUP(A355,Database!$A:$AS,MATCH($C$1,Database!$A$1:$AS$1,0),FALSE)=0,#N/A,VLOOKUP(A355,Database!$A:$AS,MATCH($C$1,Database!$A$1:$AS$1,0),FALSE))</f>
        <v/>
      </c>
      <c r="D355" s="76">
        <f>IF(VLOOKUP(A355,Database!$A:$AS,MATCH($D$1,Database!$A$1:$AS$1,0),FALSE)=0,#N/A,VLOOKUP(A355,Database!$A:$AS,MATCH($D$1,Database!$A$1:$AS$1,0),FALSE))</f>
        <v/>
      </c>
      <c r="E355" s="76">
        <f>IF(VLOOKUP(A355,Database!$A:$AS,MATCH($E$1,Database!$A$1:$AS$1,0),FALSE)=0,#N/A,VLOOKUP(A355,Database!$A:$AS,MATCH($E$1,Database!$A$1:$AS$1,0),FALSE))</f>
        <v/>
      </c>
      <c r="F355" s="76">
        <f>IF(VLOOKUP(A355,Database!$A:$AS,MATCH($F$1,Database!$A$1:$AS$1,0),FALSE)=0,#N/A,VLOOKUP(A355,Database!$A:$AS,MATCH($F$1,Database!$A$1:$AS$1,0),FALSE))</f>
        <v/>
      </c>
      <c r="G355" s="76">
        <f>IF(VLOOKUP(A355,Database!$A:$AS,MATCH($G$1,Database!$A$1:$AS$1,0),FALSE)=0,#N/A,VLOOKUP(A355,Database!$A:$AS,MATCH($G$1,Database!$A$1:$AS$1,0),FALSE))</f>
        <v/>
      </c>
      <c r="H355" s="76">
        <f>(((Table134567891011121314151617343[[#This Row],[ITA]]-VLOOKUP($U$1,A:B,2,))/VLOOKUP($U$1,A:B,2,))*100)+100</f>
        <v/>
      </c>
      <c r="I355" s="76">
        <f>(((Table134567891011121314151617343[[#This Row],[FRA]]-VLOOKUP($U$1,A:C,3,))/VLOOKUP($U$1,A:C,3,))*100)+100</f>
        <v/>
      </c>
      <c r="J355" s="76">
        <f>(((Table134567891011121314151617343[[#This Row],[DEU]]-VLOOKUP($U$1,A:D,4,))/VLOOKUP($U$1,A:D,4,))*100)+100</f>
        <v/>
      </c>
      <c r="K355" s="76">
        <f>(((Table134567891011121314151617343[[#This Row],[ESP]]-VLOOKUP($U$1,A:E,5,))/VLOOKUP($U$1,A:E,5,))*100)+100</f>
        <v/>
      </c>
      <c r="L355" s="76">
        <f>(((Table134567891011121314151617343[[#This Row],[EA19]]-VLOOKUP($U$1,A:F,6,))/VLOOKUP($U$1,A:F,6,))*100)+100</f>
        <v/>
      </c>
      <c r="M355" s="76">
        <f>(((Table134567891011121314151617343[[#This Row],[GBR]]-VLOOKUP($U$1,A:G,7,))/VLOOKUP($U$1,A:G,7,))*100)+100</f>
        <v/>
      </c>
      <c r="N355" s="76">
        <f>IF(VLOOKUP(A355,Database!$A:$AU,MATCH($N$1,Database!$A$1:$AU$1,0),FALSE)=0,#N/A,VLOOKUP(A355,Database!$A:$AU,MATCH($N$1,Database!$A$1:$AU$1,0),FALSE))</f>
        <v/>
      </c>
      <c r="O355" s="76">
        <f>(((Table134567891011121314151617343[[#This Row],[USA]]-VLOOKUP($U$1,A:N,14,))/VLOOKUP($U$1,A:N,14,))*100)+100</f>
        <v/>
      </c>
      <c r="P355" s="76">
        <f>IF(VLOOKUP(A355,Database!$A:$AS,MATCH($P$1,Database!$A$1:$AS$1,0),FALSE)=0,#N/A,VLOOKUP(A355,Database!$A:$AS,MATCH($P$1,Database!$A$1:$AS$1,0),FALSE))</f>
        <v/>
      </c>
      <c r="Q355" s="76">
        <f>(((Table134567891011121314151617343[[#This Row],[JPN]]-VLOOKUP($U$1,A:Q,16,))/VLOOKUP($U$1,A:Q,16,))*100)+100</f>
        <v/>
      </c>
    </row>
    <row r="356" customFormat="1" s="86">
      <c r="A356" s="21" t="n">
        <v>43647</v>
      </c>
      <c r="B356" s="76">
        <f>IF(VLOOKUP(A356,Database!$A:$AS,MATCH($B$1,Database!$A$1:$AS$1,0),FALSE)=0,#N/A,VLOOKUP(A356,Database!$A:$AS,MATCH($B$1,Database!$A$1:$AS$1,0),FALSE))</f>
        <v/>
      </c>
      <c r="C356" s="76">
        <f>IF(VLOOKUP(A356,Database!$A:$AS,MATCH($C$1,Database!$A$1:$AS$1,0),FALSE)=0,#N/A,VLOOKUP(A356,Database!$A:$AS,MATCH($C$1,Database!$A$1:$AS$1,0),FALSE))</f>
        <v/>
      </c>
      <c r="D356" s="76">
        <f>IF(VLOOKUP(A356,Database!$A:$AS,MATCH($D$1,Database!$A$1:$AS$1,0),FALSE)=0,#N/A,VLOOKUP(A356,Database!$A:$AS,MATCH($D$1,Database!$A$1:$AS$1,0),FALSE))</f>
        <v/>
      </c>
      <c r="E356" s="76">
        <f>IF(VLOOKUP(A356,Database!$A:$AS,MATCH($E$1,Database!$A$1:$AS$1,0),FALSE)=0,#N/A,VLOOKUP(A356,Database!$A:$AS,MATCH($E$1,Database!$A$1:$AS$1,0),FALSE))</f>
        <v/>
      </c>
      <c r="F356" s="76">
        <f>IF(VLOOKUP(A356,Database!$A:$AS,MATCH($F$1,Database!$A$1:$AS$1,0),FALSE)=0,#N/A,VLOOKUP(A356,Database!$A:$AS,MATCH($F$1,Database!$A$1:$AS$1,0),FALSE))</f>
        <v/>
      </c>
      <c r="G356" s="76">
        <f>IF(VLOOKUP(A356,Database!$A:$AS,MATCH($G$1,Database!$A$1:$AS$1,0),FALSE)=0,#N/A,VLOOKUP(A356,Database!$A:$AS,MATCH($G$1,Database!$A$1:$AS$1,0),FALSE))</f>
        <v/>
      </c>
      <c r="H356" s="76">
        <f>(((Table134567891011121314151617343[[#This Row],[ITA]]-VLOOKUP($U$1,A:B,2,))/VLOOKUP($U$1,A:B,2,))*100)+100</f>
        <v/>
      </c>
      <c r="I356" s="76">
        <f>(((Table134567891011121314151617343[[#This Row],[FRA]]-VLOOKUP($U$1,A:C,3,))/VLOOKUP($U$1,A:C,3,))*100)+100</f>
        <v/>
      </c>
      <c r="J356" s="76">
        <f>(((Table134567891011121314151617343[[#This Row],[DEU]]-VLOOKUP($U$1,A:D,4,))/VLOOKUP($U$1,A:D,4,))*100)+100</f>
        <v/>
      </c>
      <c r="K356" s="76">
        <f>(((Table134567891011121314151617343[[#This Row],[ESP]]-VLOOKUP($U$1,A:E,5,))/VLOOKUP($U$1,A:E,5,))*100)+100</f>
        <v/>
      </c>
      <c r="L356" s="76">
        <f>(((Table134567891011121314151617343[[#This Row],[EA19]]-VLOOKUP($U$1,A:F,6,))/VLOOKUP($U$1,A:F,6,))*100)+100</f>
        <v/>
      </c>
      <c r="M356" s="76">
        <f>(((Table134567891011121314151617343[[#This Row],[GBR]]-VLOOKUP($U$1,A:G,7,))/VLOOKUP($U$1,A:G,7,))*100)+100</f>
        <v/>
      </c>
      <c r="N356" s="76">
        <f>IF(VLOOKUP(A356,Database!$A:$AU,MATCH($N$1,Database!$A$1:$AU$1,0),FALSE)=0,#N/A,VLOOKUP(A356,Database!$A:$AU,MATCH($N$1,Database!$A$1:$AU$1,0),FALSE))</f>
        <v/>
      </c>
      <c r="O356" s="76">
        <f>(((Table134567891011121314151617343[[#This Row],[USA]]-VLOOKUP($U$1,A:N,14,))/VLOOKUP($U$1,A:N,14,))*100)+100</f>
        <v/>
      </c>
      <c r="P356" s="76">
        <f>IF(VLOOKUP(A356,Database!$A:$AS,MATCH($P$1,Database!$A$1:$AS$1,0),FALSE)=0,#N/A,VLOOKUP(A356,Database!$A:$AS,MATCH($P$1,Database!$A$1:$AS$1,0),FALSE))</f>
        <v/>
      </c>
      <c r="Q356" s="76">
        <f>(((Table134567891011121314151617343[[#This Row],[JPN]]-VLOOKUP($U$1,A:Q,16,))/VLOOKUP($U$1,A:Q,16,))*100)+100</f>
        <v/>
      </c>
    </row>
    <row r="357" customFormat="1" s="86">
      <c r="A357" s="21" t="n">
        <v>43678</v>
      </c>
      <c r="B357" s="76">
        <f>IF(VLOOKUP(A357,Database!$A:$AS,MATCH($B$1,Database!$A$1:$AS$1,0),FALSE)=0,#N/A,VLOOKUP(A357,Database!$A:$AS,MATCH($B$1,Database!$A$1:$AS$1,0),FALSE))</f>
        <v/>
      </c>
      <c r="C357" s="76">
        <f>IF(VLOOKUP(A357,Database!$A:$AS,MATCH($C$1,Database!$A$1:$AS$1,0),FALSE)=0,#N/A,VLOOKUP(A357,Database!$A:$AS,MATCH($C$1,Database!$A$1:$AS$1,0),FALSE))</f>
        <v/>
      </c>
      <c r="D357" s="76">
        <f>IF(VLOOKUP(A357,Database!$A:$AS,MATCH($D$1,Database!$A$1:$AS$1,0),FALSE)=0,#N/A,VLOOKUP(A357,Database!$A:$AS,MATCH($D$1,Database!$A$1:$AS$1,0),FALSE))</f>
        <v/>
      </c>
      <c r="E357" s="76">
        <f>IF(VLOOKUP(A357,Database!$A:$AS,MATCH($E$1,Database!$A$1:$AS$1,0),FALSE)=0,#N/A,VLOOKUP(A357,Database!$A:$AS,MATCH($E$1,Database!$A$1:$AS$1,0),FALSE))</f>
        <v/>
      </c>
      <c r="F357" s="76">
        <f>IF(VLOOKUP(A357,Database!$A:$AS,MATCH($F$1,Database!$A$1:$AS$1,0),FALSE)=0,#N/A,VLOOKUP(A357,Database!$A:$AS,MATCH($F$1,Database!$A$1:$AS$1,0),FALSE))</f>
        <v/>
      </c>
      <c r="G357" s="76">
        <f>IF(VLOOKUP(A357,Database!$A:$AS,MATCH($G$1,Database!$A$1:$AS$1,0),FALSE)=0,#N/A,VLOOKUP(A357,Database!$A:$AS,MATCH($G$1,Database!$A$1:$AS$1,0),FALSE))</f>
        <v/>
      </c>
      <c r="H357" s="76">
        <f>(((Table134567891011121314151617343[[#This Row],[ITA]]-VLOOKUP($U$1,A:B,2,))/VLOOKUP($U$1,A:B,2,))*100)+100</f>
        <v/>
      </c>
      <c r="I357" s="76">
        <f>(((Table134567891011121314151617343[[#This Row],[FRA]]-VLOOKUP($U$1,A:C,3,))/VLOOKUP($U$1,A:C,3,))*100)+100</f>
        <v/>
      </c>
      <c r="J357" s="76">
        <f>(((Table134567891011121314151617343[[#This Row],[DEU]]-VLOOKUP($U$1,A:D,4,))/VLOOKUP($U$1,A:D,4,))*100)+100</f>
        <v/>
      </c>
      <c r="K357" s="76">
        <f>(((Table134567891011121314151617343[[#This Row],[ESP]]-VLOOKUP($U$1,A:E,5,))/VLOOKUP($U$1,A:E,5,))*100)+100</f>
        <v/>
      </c>
      <c r="L357" s="76">
        <f>(((Table134567891011121314151617343[[#This Row],[EA19]]-VLOOKUP($U$1,A:F,6,))/VLOOKUP($U$1,A:F,6,))*100)+100</f>
        <v/>
      </c>
      <c r="M357" s="76">
        <f>(((Table134567891011121314151617343[[#This Row],[GBR]]-VLOOKUP($U$1,A:G,7,))/VLOOKUP($U$1,A:G,7,))*100)+100</f>
        <v/>
      </c>
      <c r="N357" s="76">
        <f>IF(VLOOKUP(A357,Database!$A:$AU,MATCH($N$1,Database!$A$1:$AU$1,0),FALSE)=0,#N/A,VLOOKUP(A357,Database!$A:$AU,MATCH($N$1,Database!$A$1:$AU$1,0),FALSE))</f>
        <v/>
      </c>
      <c r="O357" s="76">
        <f>(((Table134567891011121314151617343[[#This Row],[USA]]-VLOOKUP($U$1,A:N,14,))/VLOOKUP($U$1,A:N,14,))*100)+100</f>
        <v/>
      </c>
      <c r="P357" s="76">
        <f>IF(VLOOKUP(A357,Database!$A:$AS,MATCH($P$1,Database!$A$1:$AS$1,0),FALSE)=0,#N/A,VLOOKUP(A357,Database!$A:$AS,MATCH($P$1,Database!$A$1:$AS$1,0),FALSE))</f>
        <v/>
      </c>
      <c r="Q357" s="76">
        <f>(((Table134567891011121314151617343[[#This Row],[JPN]]-VLOOKUP($U$1,A:Q,16,))/VLOOKUP($U$1,A:Q,16,))*100)+100</f>
        <v/>
      </c>
    </row>
    <row r="358" customFormat="1" s="86">
      <c r="A358" s="21" t="n">
        <v>43709</v>
      </c>
      <c r="B358" s="76">
        <f>IF(VLOOKUP(A358,Database!$A:$AS,MATCH($B$1,Database!$A$1:$AS$1,0),FALSE)=0,#N/A,VLOOKUP(A358,Database!$A:$AS,MATCH($B$1,Database!$A$1:$AS$1,0),FALSE))</f>
        <v/>
      </c>
      <c r="C358" s="76">
        <f>IF(VLOOKUP(A358,Database!$A:$AS,MATCH($C$1,Database!$A$1:$AS$1,0),FALSE)=0,#N/A,VLOOKUP(A358,Database!$A:$AS,MATCH($C$1,Database!$A$1:$AS$1,0),FALSE))</f>
        <v/>
      </c>
      <c r="D358" s="76">
        <f>IF(VLOOKUP(A358,Database!$A:$AS,MATCH($D$1,Database!$A$1:$AS$1,0),FALSE)=0,#N/A,VLOOKUP(A358,Database!$A:$AS,MATCH($D$1,Database!$A$1:$AS$1,0),FALSE))</f>
        <v/>
      </c>
      <c r="E358" s="76">
        <f>IF(VLOOKUP(A358,Database!$A:$AS,MATCH($E$1,Database!$A$1:$AS$1,0),FALSE)=0,#N/A,VLOOKUP(A358,Database!$A:$AS,MATCH($E$1,Database!$A$1:$AS$1,0),FALSE))</f>
        <v/>
      </c>
      <c r="F358" s="76">
        <f>IF(VLOOKUP(A358,Database!$A:$AS,MATCH($F$1,Database!$A$1:$AS$1,0),FALSE)=0,#N/A,VLOOKUP(A358,Database!$A:$AS,MATCH($F$1,Database!$A$1:$AS$1,0),FALSE))</f>
        <v/>
      </c>
      <c r="G358" s="76">
        <f>IF(VLOOKUP(A358,Database!$A:$AS,MATCH($G$1,Database!$A$1:$AS$1,0),FALSE)=0,#N/A,VLOOKUP(A358,Database!$A:$AS,MATCH($G$1,Database!$A$1:$AS$1,0),FALSE))</f>
        <v/>
      </c>
      <c r="H358" s="76">
        <f>(((Table134567891011121314151617343[[#This Row],[ITA]]-VLOOKUP($U$1,A:B,2,))/VLOOKUP($U$1,A:B,2,))*100)+100</f>
        <v/>
      </c>
      <c r="I358" s="76">
        <f>(((Table134567891011121314151617343[[#This Row],[FRA]]-VLOOKUP($U$1,A:C,3,))/VLOOKUP($U$1,A:C,3,))*100)+100</f>
        <v/>
      </c>
      <c r="J358" s="76">
        <f>(((Table134567891011121314151617343[[#This Row],[DEU]]-VLOOKUP($U$1,A:D,4,))/VLOOKUP($U$1,A:D,4,))*100)+100</f>
        <v/>
      </c>
      <c r="K358" s="76">
        <f>(((Table134567891011121314151617343[[#This Row],[ESP]]-VLOOKUP($U$1,A:E,5,))/VLOOKUP($U$1,A:E,5,))*100)+100</f>
        <v/>
      </c>
      <c r="L358" s="76">
        <f>(((Table134567891011121314151617343[[#This Row],[EA19]]-VLOOKUP($U$1,A:F,6,))/VLOOKUP($U$1,A:F,6,))*100)+100</f>
        <v/>
      </c>
      <c r="M358" s="76">
        <f>(((Table134567891011121314151617343[[#This Row],[GBR]]-VLOOKUP($U$1,A:G,7,))/VLOOKUP($U$1,A:G,7,))*100)+100</f>
        <v/>
      </c>
      <c r="N358" s="76">
        <f>IF(VLOOKUP(A358,Database!$A:$AU,MATCH($N$1,Database!$A$1:$AU$1,0),FALSE)=0,#N/A,VLOOKUP(A358,Database!$A:$AU,MATCH($N$1,Database!$A$1:$AU$1,0),FALSE))</f>
        <v/>
      </c>
      <c r="O358" s="76">
        <f>(((Table134567891011121314151617343[[#This Row],[USA]]-VLOOKUP($U$1,A:N,14,))/VLOOKUP($U$1,A:N,14,))*100)+100</f>
        <v/>
      </c>
      <c r="P358" s="76">
        <f>IF(VLOOKUP(A358,Database!$A:$AS,MATCH($P$1,Database!$A$1:$AS$1,0),FALSE)=0,#N/A,VLOOKUP(A358,Database!$A:$AS,MATCH($P$1,Database!$A$1:$AS$1,0),FALSE))</f>
        <v/>
      </c>
      <c r="Q358" s="76">
        <f>(((Table134567891011121314151617343[[#This Row],[JPN]]-VLOOKUP($U$1,A:Q,16,))/VLOOKUP($U$1,A:Q,16,))*100)+100</f>
        <v/>
      </c>
    </row>
    <row r="359" customFormat="1" s="86">
      <c r="A359" s="21" t="n">
        <v>43739</v>
      </c>
      <c r="B359" s="76">
        <f>IF(VLOOKUP(A359,Database!$A:$AS,MATCH($B$1,Database!$A$1:$AS$1,0),FALSE)=0,#N/A,VLOOKUP(A359,Database!$A:$AS,MATCH($B$1,Database!$A$1:$AS$1,0),FALSE))</f>
        <v/>
      </c>
      <c r="C359" s="76">
        <f>IF(VLOOKUP(A359,Database!$A:$AS,MATCH($C$1,Database!$A$1:$AS$1,0),FALSE)=0,#N/A,VLOOKUP(A359,Database!$A:$AS,MATCH($C$1,Database!$A$1:$AS$1,0),FALSE))</f>
        <v/>
      </c>
      <c r="D359" s="76">
        <f>IF(VLOOKUP(A359,Database!$A:$AS,MATCH($D$1,Database!$A$1:$AS$1,0),FALSE)=0,#N/A,VLOOKUP(A359,Database!$A:$AS,MATCH($D$1,Database!$A$1:$AS$1,0),FALSE))</f>
        <v/>
      </c>
      <c r="E359" s="76">
        <f>IF(VLOOKUP(A359,Database!$A:$AS,MATCH($E$1,Database!$A$1:$AS$1,0),FALSE)=0,#N/A,VLOOKUP(A359,Database!$A:$AS,MATCH($E$1,Database!$A$1:$AS$1,0),FALSE))</f>
        <v/>
      </c>
      <c r="F359" s="76">
        <f>IF(VLOOKUP(A359,Database!$A:$AS,MATCH($F$1,Database!$A$1:$AS$1,0),FALSE)=0,#N/A,VLOOKUP(A359,Database!$A:$AS,MATCH($F$1,Database!$A$1:$AS$1,0),FALSE))</f>
        <v/>
      </c>
      <c r="G359" s="76">
        <f>IF(VLOOKUP(A359,Database!$A:$AS,MATCH($G$1,Database!$A$1:$AS$1,0),FALSE)=0,#N/A,VLOOKUP(A359,Database!$A:$AS,MATCH($G$1,Database!$A$1:$AS$1,0),FALSE))</f>
        <v/>
      </c>
      <c r="H359" s="76">
        <f>(((Table134567891011121314151617343[[#This Row],[ITA]]-VLOOKUP($U$1,A:B,2,))/VLOOKUP($U$1,A:B,2,))*100)+100</f>
        <v/>
      </c>
      <c r="I359" s="76">
        <f>(((Table134567891011121314151617343[[#This Row],[FRA]]-VLOOKUP($U$1,A:C,3,))/VLOOKUP($U$1,A:C,3,))*100)+100</f>
        <v/>
      </c>
      <c r="J359" s="76">
        <f>(((Table134567891011121314151617343[[#This Row],[DEU]]-VLOOKUP($U$1,A:D,4,))/VLOOKUP($U$1,A:D,4,))*100)+100</f>
        <v/>
      </c>
      <c r="K359" s="76">
        <f>(((Table134567891011121314151617343[[#This Row],[ESP]]-VLOOKUP($U$1,A:E,5,))/VLOOKUP($U$1,A:E,5,))*100)+100</f>
        <v/>
      </c>
      <c r="L359" s="76">
        <f>(((Table134567891011121314151617343[[#This Row],[EA19]]-VLOOKUP($U$1,A:F,6,))/VLOOKUP($U$1,A:F,6,))*100)+100</f>
        <v/>
      </c>
      <c r="M359" s="76">
        <f>(((Table134567891011121314151617343[[#This Row],[GBR]]-VLOOKUP($U$1,A:G,7,))/VLOOKUP($U$1,A:G,7,))*100)+100</f>
        <v/>
      </c>
      <c r="N359" s="76">
        <f>IF(VLOOKUP(A359,Database!$A:$AU,MATCH($N$1,Database!$A$1:$AU$1,0),FALSE)=0,#N/A,VLOOKUP(A359,Database!$A:$AU,MATCH($N$1,Database!$A$1:$AU$1,0),FALSE))</f>
        <v/>
      </c>
      <c r="O359" s="76">
        <f>(((Table134567891011121314151617343[[#This Row],[USA]]-VLOOKUP($U$1,A:N,14,))/VLOOKUP($U$1,A:N,14,))*100)+100</f>
        <v/>
      </c>
      <c r="P359" s="76">
        <f>IF(VLOOKUP(A359,Database!$A:$AS,MATCH($P$1,Database!$A$1:$AS$1,0),FALSE)=0,#N/A,VLOOKUP(A359,Database!$A:$AS,MATCH($P$1,Database!$A$1:$AS$1,0),FALSE))</f>
        <v/>
      </c>
      <c r="Q359" s="76">
        <f>(((Table134567891011121314151617343[[#This Row],[JPN]]-VLOOKUP($U$1,A:Q,16,))/VLOOKUP($U$1,A:Q,16,))*100)+100</f>
        <v/>
      </c>
    </row>
    <row r="360" customFormat="1" s="86">
      <c r="A360" s="21" t="n">
        <v>43770</v>
      </c>
      <c r="B360" s="76">
        <f>IF(VLOOKUP(A360,Database!$A:$AS,MATCH($B$1,Database!$A$1:$AS$1,0),FALSE)=0,#N/A,VLOOKUP(A360,Database!$A:$AS,MATCH($B$1,Database!$A$1:$AS$1,0),FALSE))</f>
        <v/>
      </c>
      <c r="C360" s="76">
        <f>IF(VLOOKUP(A360,Database!$A:$AS,MATCH($C$1,Database!$A$1:$AS$1,0),FALSE)=0,#N/A,VLOOKUP(A360,Database!$A:$AS,MATCH($C$1,Database!$A$1:$AS$1,0),FALSE))</f>
        <v/>
      </c>
      <c r="D360" s="76">
        <f>IF(VLOOKUP(A360,Database!$A:$AS,MATCH($D$1,Database!$A$1:$AS$1,0),FALSE)=0,#N/A,VLOOKUP(A360,Database!$A:$AS,MATCH($D$1,Database!$A$1:$AS$1,0),FALSE))</f>
        <v/>
      </c>
      <c r="E360" s="76">
        <f>IF(VLOOKUP(A360,Database!$A:$AS,MATCH($E$1,Database!$A$1:$AS$1,0),FALSE)=0,#N/A,VLOOKUP(A360,Database!$A:$AS,MATCH($E$1,Database!$A$1:$AS$1,0),FALSE))</f>
        <v/>
      </c>
      <c r="F360" s="76">
        <f>IF(VLOOKUP(A360,Database!$A:$AS,MATCH($F$1,Database!$A$1:$AS$1,0),FALSE)=0,#N/A,VLOOKUP(A360,Database!$A:$AS,MATCH($F$1,Database!$A$1:$AS$1,0),FALSE))</f>
        <v/>
      </c>
      <c r="G360" s="76">
        <f>IF(VLOOKUP(A360,Database!$A:$AS,MATCH($G$1,Database!$A$1:$AS$1,0),FALSE)=0,#N/A,VLOOKUP(A360,Database!$A:$AS,MATCH($G$1,Database!$A$1:$AS$1,0),FALSE))</f>
        <v/>
      </c>
      <c r="H360" s="76">
        <f>(((Table134567891011121314151617343[[#This Row],[ITA]]-VLOOKUP($U$1,A:B,2,))/VLOOKUP($U$1,A:B,2,))*100)+100</f>
        <v/>
      </c>
      <c r="I360" s="76">
        <f>(((Table134567891011121314151617343[[#This Row],[FRA]]-VLOOKUP($U$1,A:C,3,))/VLOOKUP($U$1,A:C,3,))*100)+100</f>
        <v/>
      </c>
      <c r="J360" s="76">
        <f>(((Table134567891011121314151617343[[#This Row],[DEU]]-VLOOKUP($U$1,A:D,4,))/VLOOKUP($U$1,A:D,4,))*100)+100</f>
        <v/>
      </c>
      <c r="K360" s="76">
        <f>(((Table134567891011121314151617343[[#This Row],[ESP]]-VLOOKUP($U$1,A:E,5,))/VLOOKUP($U$1,A:E,5,))*100)+100</f>
        <v/>
      </c>
      <c r="L360" s="76">
        <f>(((Table134567891011121314151617343[[#This Row],[EA19]]-VLOOKUP($U$1,A:F,6,))/VLOOKUP($U$1,A:F,6,))*100)+100</f>
        <v/>
      </c>
      <c r="M360" s="76">
        <f>(((Table134567891011121314151617343[[#This Row],[GBR]]-VLOOKUP($U$1,A:G,7,))/VLOOKUP($U$1,A:G,7,))*100)+100</f>
        <v/>
      </c>
      <c r="N360" s="76">
        <f>IF(VLOOKUP(A360,Database!$A:$AU,MATCH($N$1,Database!$A$1:$AU$1,0),FALSE)=0,#N/A,VLOOKUP(A360,Database!$A:$AU,MATCH($N$1,Database!$A$1:$AU$1,0),FALSE))</f>
        <v/>
      </c>
      <c r="O360" s="76">
        <f>(((Table134567891011121314151617343[[#This Row],[USA]]-VLOOKUP($U$1,A:N,14,))/VLOOKUP($U$1,A:N,14,))*100)+100</f>
        <v/>
      </c>
      <c r="P360" s="76">
        <f>IF(VLOOKUP(A360,Database!$A:$AS,MATCH($P$1,Database!$A$1:$AS$1,0),FALSE)=0,#N/A,VLOOKUP(A360,Database!$A:$AS,MATCH($P$1,Database!$A$1:$AS$1,0),FALSE))</f>
        <v/>
      </c>
      <c r="Q360" s="76">
        <f>(((Table134567891011121314151617343[[#This Row],[JPN]]-VLOOKUP($U$1,A:Q,16,))/VLOOKUP($U$1,A:Q,16,))*100)+100</f>
        <v/>
      </c>
    </row>
    <row r="361" customFormat="1" s="86">
      <c r="A361" s="21" t="n">
        <v>43800</v>
      </c>
      <c r="B361" s="76">
        <f>IF(VLOOKUP(A361,Database!$A:$AS,MATCH($B$1,Database!$A$1:$AS$1,0),FALSE)=0,#N/A,VLOOKUP(A361,Database!$A:$AS,MATCH($B$1,Database!$A$1:$AS$1,0),FALSE))</f>
        <v/>
      </c>
      <c r="C361" s="76">
        <f>IF(VLOOKUP(A361,Database!$A:$AS,MATCH($C$1,Database!$A$1:$AS$1,0),FALSE)=0,#N/A,VLOOKUP(A361,Database!$A:$AS,MATCH($C$1,Database!$A$1:$AS$1,0),FALSE))</f>
        <v/>
      </c>
      <c r="D361" s="76">
        <f>IF(VLOOKUP(A361,Database!$A:$AS,MATCH($D$1,Database!$A$1:$AS$1,0),FALSE)=0,#N/A,VLOOKUP(A361,Database!$A:$AS,MATCH($D$1,Database!$A$1:$AS$1,0),FALSE))</f>
        <v/>
      </c>
      <c r="E361" s="76">
        <f>IF(VLOOKUP(A361,Database!$A:$AS,MATCH($E$1,Database!$A$1:$AS$1,0),FALSE)=0,#N/A,VLOOKUP(A361,Database!$A:$AS,MATCH($E$1,Database!$A$1:$AS$1,0),FALSE))</f>
        <v/>
      </c>
      <c r="F361" s="76">
        <f>IF(VLOOKUP(A361,Database!$A:$AS,MATCH($F$1,Database!$A$1:$AS$1,0),FALSE)=0,#N/A,VLOOKUP(A361,Database!$A:$AS,MATCH($F$1,Database!$A$1:$AS$1,0),FALSE))</f>
        <v/>
      </c>
      <c r="G361" s="76">
        <f>IF(VLOOKUP(A361,Database!$A:$AS,MATCH($G$1,Database!$A$1:$AS$1,0),FALSE)=0,#N/A,VLOOKUP(A361,Database!$A:$AS,MATCH($G$1,Database!$A$1:$AS$1,0),FALSE))</f>
        <v/>
      </c>
      <c r="H361" s="76">
        <f>(((Table134567891011121314151617343[[#This Row],[ITA]]-VLOOKUP($U$1,A:B,2,))/VLOOKUP($U$1,A:B,2,))*100)+100</f>
        <v/>
      </c>
      <c r="I361" s="76">
        <f>(((Table134567891011121314151617343[[#This Row],[FRA]]-VLOOKUP($U$1,A:C,3,))/VLOOKUP($U$1,A:C,3,))*100)+100</f>
        <v/>
      </c>
      <c r="J361" s="76">
        <f>(((Table134567891011121314151617343[[#This Row],[DEU]]-VLOOKUP($U$1,A:D,4,))/VLOOKUP($U$1,A:D,4,))*100)+100</f>
        <v/>
      </c>
      <c r="K361" s="76">
        <f>(((Table134567891011121314151617343[[#This Row],[ESP]]-VLOOKUP($U$1,A:E,5,))/VLOOKUP($U$1,A:E,5,))*100)+100</f>
        <v/>
      </c>
      <c r="L361" s="76">
        <f>(((Table134567891011121314151617343[[#This Row],[EA19]]-VLOOKUP($U$1,A:F,6,))/VLOOKUP($U$1,A:F,6,))*100)+100</f>
        <v/>
      </c>
      <c r="M361" s="76">
        <f>(((Table134567891011121314151617343[[#This Row],[GBR]]-VLOOKUP($U$1,A:G,7,))/VLOOKUP($U$1,A:G,7,))*100)+100</f>
        <v/>
      </c>
      <c r="N361" s="76">
        <f>IF(VLOOKUP(A361,Database!$A:$AU,MATCH($N$1,Database!$A$1:$AU$1,0),FALSE)=0,#N/A,VLOOKUP(A361,Database!$A:$AU,MATCH($N$1,Database!$A$1:$AU$1,0),FALSE))</f>
        <v/>
      </c>
      <c r="O361" s="76">
        <f>(((Table134567891011121314151617343[[#This Row],[USA]]-VLOOKUP($U$1,A:N,14,))/VLOOKUP($U$1,A:N,14,))*100)+100</f>
        <v/>
      </c>
      <c r="P361" s="76">
        <f>IF(VLOOKUP(A361,Database!$A:$AS,MATCH($P$1,Database!$A$1:$AS$1,0),FALSE)=0,#N/A,VLOOKUP(A361,Database!$A:$AS,MATCH($P$1,Database!$A$1:$AS$1,0),FALSE))</f>
        <v/>
      </c>
      <c r="Q361" s="76">
        <f>(((Table134567891011121314151617343[[#This Row],[JPN]]-VLOOKUP($U$1,A:Q,16,))/VLOOKUP($U$1,A:Q,16,))*100)+100</f>
        <v/>
      </c>
    </row>
    <row r="362" customFormat="1" s="86">
      <c r="A362" s="21" t="n">
        <v>43831</v>
      </c>
      <c r="B362" s="76">
        <f>IF(VLOOKUP(A362,Database!$A:$AS,MATCH($B$1,Database!$A$1:$AS$1,0),FALSE)=0,#N/A,VLOOKUP(A362,Database!$A:$AS,MATCH($B$1,Database!$A$1:$AS$1,0),FALSE))</f>
        <v/>
      </c>
      <c r="C362" s="76">
        <f>IF(VLOOKUP(A362,Database!$A:$AS,MATCH($C$1,Database!$A$1:$AS$1,0),FALSE)=0,#N/A,VLOOKUP(A362,Database!$A:$AS,MATCH($C$1,Database!$A$1:$AS$1,0),FALSE))</f>
        <v/>
      </c>
      <c r="D362" s="76">
        <f>IF(VLOOKUP(A362,Database!$A:$AS,MATCH($D$1,Database!$A$1:$AS$1,0),FALSE)=0,#N/A,VLOOKUP(A362,Database!$A:$AS,MATCH($D$1,Database!$A$1:$AS$1,0),FALSE))</f>
        <v/>
      </c>
      <c r="E362" s="76">
        <f>IF(VLOOKUP(A362,Database!$A:$AS,MATCH($E$1,Database!$A$1:$AS$1,0),FALSE)=0,#N/A,VLOOKUP(A362,Database!$A:$AS,MATCH($E$1,Database!$A$1:$AS$1,0),FALSE))</f>
        <v/>
      </c>
      <c r="F362" s="76">
        <f>IF(VLOOKUP(A362,Database!$A:$AS,MATCH($F$1,Database!$A$1:$AS$1,0),FALSE)=0,#N/A,VLOOKUP(A362,Database!$A:$AS,MATCH($F$1,Database!$A$1:$AS$1,0),FALSE))</f>
        <v/>
      </c>
      <c r="G362" s="76">
        <f>IF(VLOOKUP(A362,Database!$A:$AS,MATCH($G$1,Database!$A$1:$AS$1,0),FALSE)=0,#N/A,VLOOKUP(A362,Database!$A:$AS,MATCH($G$1,Database!$A$1:$AS$1,0),FALSE))</f>
        <v/>
      </c>
      <c r="H362" s="76">
        <f>(((Table134567891011121314151617343[[#This Row],[ITA]]-VLOOKUP($U$1,A:B,2,))/VLOOKUP($U$1,A:B,2,))*100)+100</f>
        <v/>
      </c>
      <c r="I362" s="76">
        <f>(((Table134567891011121314151617343[[#This Row],[FRA]]-VLOOKUP($U$1,A:C,3,))/VLOOKUP($U$1,A:C,3,))*100)+100</f>
        <v/>
      </c>
      <c r="J362" s="76">
        <f>(((Table134567891011121314151617343[[#This Row],[DEU]]-VLOOKUP($U$1,A:D,4,))/VLOOKUP($U$1,A:D,4,))*100)+100</f>
        <v/>
      </c>
      <c r="K362" s="76">
        <f>(((Table134567891011121314151617343[[#This Row],[ESP]]-VLOOKUP($U$1,A:E,5,))/VLOOKUP($U$1,A:E,5,))*100)+100</f>
        <v/>
      </c>
      <c r="L362" s="76">
        <f>(((Table134567891011121314151617343[[#This Row],[EA19]]-VLOOKUP($U$1,A:F,6,))/VLOOKUP($U$1,A:F,6,))*100)+100</f>
        <v/>
      </c>
      <c r="M362" s="76">
        <f>(((Table134567891011121314151617343[[#This Row],[GBR]]-VLOOKUP($U$1,A:G,7,))/VLOOKUP($U$1,A:G,7,))*100)+100</f>
        <v/>
      </c>
      <c r="N362" s="76">
        <f>IF(VLOOKUP(A362,Database!$A:$AU,MATCH($N$1,Database!$A$1:$AU$1,0),FALSE)=0,#N/A,VLOOKUP(A362,Database!$A:$AU,MATCH($N$1,Database!$A$1:$AU$1,0),FALSE))</f>
        <v/>
      </c>
      <c r="O362" s="76">
        <f>(((Table134567891011121314151617343[[#This Row],[USA]]-VLOOKUP($U$1,A:N,14,))/VLOOKUP($U$1,A:N,14,))*100)+100</f>
        <v/>
      </c>
      <c r="P362" s="76">
        <f>IF(VLOOKUP(A362,Database!$A:$AS,MATCH($P$1,Database!$A$1:$AS$1,0),FALSE)=0,#N/A,VLOOKUP(A362,Database!$A:$AS,MATCH($P$1,Database!$A$1:$AS$1,0),FALSE))</f>
        <v/>
      </c>
      <c r="Q362" s="76">
        <f>(((Table134567891011121314151617343[[#This Row],[JPN]]-VLOOKUP($U$1,A:Q,16,))/VLOOKUP($U$1,A:Q,16,))*100)+100</f>
        <v/>
      </c>
    </row>
    <row r="363" customFormat="1" s="86">
      <c r="A363" s="21" t="n">
        <v>43862</v>
      </c>
      <c r="B363" s="76">
        <f>IF(VLOOKUP(A363,Database!$A:$AS,MATCH($B$1,Database!$A$1:$AS$1,0),FALSE)=0,#N/A,VLOOKUP(A363,Database!$A:$AS,MATCH($B$1,Database!$A$1:$AS$1,0),FALSE))</f>
        <v/>
      </c>
      <c r="C363" s="76">
        <f>IF(VLOOKUP(A363,Database!$A:$AS,MATCH($C$1,Database!$A$1:$AS$1,0),FALSE)=0,#N/A,VLOOKUP(A363,Database!$A:$AS,MATCH($C$1,Database!$A$1:$AS$1,0),FALSE))</f>
        <v/>
      </c>
      <c r="D363" s="76">
        <f>IF(VLOOKUP(A363,Database!$A:$AS,MATCH($D$1,Database!$A$1:$AS$1,0),FALSE)=0,#N/A,VLOOKUP(A363,Database!$A:$AS,MATCH($D$1,Database!$A$1:$AS$1,0),FALSE))</f>
        <v/>
      </c>
      <c r="E363" s="76">
        <f>IF(VLOOKUP(A363,Database!$A:$AS,MATCH($E$1,Database!$A$1:$AS$1,0),FALSE)=0,#N/A,VLOOKUP(A363,Database!$A:$AS,MATCH($E$1,Database!$A$1:$AS$1,0),FALSE))</f>
        <v/>
      </c>
      <c r="F363" s="76">
        <f>IF(VLOOKUP(A363,Database!$A:$AS,MATCH($F$1,Database!$A$1:$AS$1,0),FALSE)=0,#N/A,VLOOKUP(A363,Database!$A:$AS,MATCH($F$1,Database!$A$1:$AS$1,0),FALSE))</f>
        <v/>
      </c>
      <c r="G363" s="76">
        <f>IF(VLOOKUP(A363,Database!$A:$AS,MATCH($G$1,Database!$A$1:$AS$1,0),FALSE)=0,#N/A,VLOOKUP(A363,Database!$A:$AS,MATCH($G$1,Database!$A$1:$AS$1,0),FALSE))</f>
        <v/>
      </c>
      <c r="H363" s="76">
        <f>(((Table134567891011121314151617343[[#This Row],[ITA]]-VLOOKUP($U$1,A:B,2,))/VLOOKUP($U$1,A:B,2,))*100)+100</f>
        <v/>
      </c>
      <c r="I363" s="76">
        <f>(((Table134567891011121314151617343[[#This Row],[FRA]]-VLOOKUP($U$1,A:C,3,))/VLOOKUP($U$1,A:C,3,))*100)+100</f>
        <v/>
      </c>
      <c r="J363" s="76">
        <f>(((Table134567891011121314151617343[[#This Row],[DEU]]-VLOOKUP($U$1,A:D,4,))/VLOOKUP($U$1,A:D,4,))*100)+100</f>
        <v/>
      </c>
      <c r="K363" s="76">
        <f>(((Table134567891011121314151617343[[#This Row],[ESP]]-VLOOKUP($U$1,A:E,5,))/VLOOKUP($U$1,A:E,5,))*100)+100</f>
        <v/>
      </c>
      <c r="L363" s="76">
        <f>(((Table134567891011121314151617343[[#This Row],[EA19]]-VLOOKUP($U$1,A:F,6,))/VLOOKUP($U$1,A:F,6,))*100)+100</f>
        <v/>
      </c>
      <c r="M363" s="76">
        <f>(((Table134567891011121314151617343[[#This Row],[GBR]]-VLOOKUP($U$1,A:G,7,))/VLOOKUP($U$1,A:G,7,))*100)+100</f>
        <v/>
      </c>
      <c r="N363" s="76">
        <f>IF(VLOOKUP(A363,Database!$A:$AU,MATCH($N$1,Database!$A$1:$AU$1,0),FALSE)=0,#N/A,VLOOKUP(A363,Database!$A:$AU,MATCH($N$1,Database!$A$1:$AU$1,0),FALSE))</f>
        <v/>
      </c>
      <c r="O363" s="76">
        <f>(((Table134567891011121314151617343[[#This Row],[USA]]-VLOOKUP($U$1,A:N,14,))/VLOOKUP($U$1,A:N,14,))*100)+100</f>
        <v/>
      </c>
      <c r="P363" s="76">
        <f>IF(VLOOKUP(A363,Database!$A:$AS,MATCH($P$1,Database!$A$1:$AS$1,0),FALSE)=0,#N/A,VLOOKUP(A363,Database!$A:$AS,MATCH($P$1,Database!$A$1:$AS$1,0),FALSE))</f>
        <v/>
      </c>
      <c r="Q363" s="76">
        <f>(((Table134567891011121314151617343[[#This Row],[JPN]]-VLOOKUP($U$1,A:Q,16,))/VLOOKUP($U$1,A:Q,16,))*100)+100</f>
        <v/>
      </c>
    </row>
    <row r="364" customFormat="1" s="86">
      <c r="A364" s="21" t="n">
        <v>43891</v>
      </c>
      <c r="B364" s="76">
        <f>IF(VLOOKUP(A364,Database!$A:$AS,MATCH($B$1,Database!$A$1:$AS$1,0),FALSE)=0,#N/A,VLOOKUP(A364,Database!$A:$AS,MATCH($B$1,Database!$A$1:$AS$1,0),FALSE))</f>
        <v/>
      </c>
      <c r="C364" s="76">
        <f>IF(VLOOKUP(A364,Database!$A:$AS,MATCH($C$1,Database!$A$1:$AS$1,0),FALSE)=0,#N/A,VLOOKUP(A364,Database!$A:$AS,MATCH($C$1,Database!$A$1:$AS$1,0),FALSE))</f>
        <v/>
      </c>
      <c r="D364" s="76">
        <f>IF(VLOOKUP(A364,Database!$A:$AS,MATCH($D$1,Database!$A$1:$AS$1,0),FALSE)=0,#N/A,VLOOKUP(A364,Database!$A:$AS,MATCH($D$1,Database!$A$1:$AS$1,0),FALSE))</f>
        <v/>
      </c>
      <c r="E364" s="76">
        <f>IF(VLOOKUP(A364,Database!$A:$AS,MATCH($E$1,Database!$A$1:$AS$1,0),FALSE)=0,#N/A,VLOOKUP(A364,Database!$A:$AS,MATCH($E$1,Database!$A$1:$AS$1,0),FALSE))</f>
        <v/>
      </c>
      <c r="F364" s="76">
        <f>IF(VLOOKUP(A364,Database!$A:$AS,MATCH($F$1,Database!$A$1:$AS$1,0),FALSE)=0,#N/A,VLOOKUP(A364,Database!$A:$AS,MATCH($F$1,Database!$A$1:$AS$1,0),FALSE))</f>
        <v/>
      </c>
      <c r="G364" s="76">
        <f>IF(VLOOKUP(A364,Database!$A:$AS,MATCH($G$1,Database!$A$1:$AS$1,0),FALSE)=0,#N/A,VLOOKUP(A364,Database!$A:$AS,MATCH($G$1,Database!$A$1:$AS$1,0),FALSE))</f>
        <v/>
      </c>
      <c r="H364" s="76">
        <f>(((Table134567891011121314151617343[[#This Row],[ITA]]-VLOOKUP($U$1,A:B,2,))/VLOOKUP($U$1,A:B,2,))*100)+100</f>
        <v/>
      </c>
      <c r="I364" s="76">
        <f>(((Table134567891011121314151617343[[#This Row],[FRA]]-VLOOKUP($U$1,A:C,3,))/VLOOKUP($U$1,A:C,3,))*100)+100</f>
        <v/>
      </c>
      <c r="J364" s="76">
        <f>(((Table134567891011121314151617343[[#This Row],[DEU]]-VLOOKUP($U$1,A:D,4,))/VLOOKUP($U$1,A:D,4,))*100)+100</f>
        <v/>
      </c>
      <c r="K364" s="76">
        <f>(((Table134567891011121314151617343[[#This Row],[ESP]]-VLOOKUP($U$1,A:E,5,))/VLOOKUP($U$1,A:E,5,))*100)+100</f>
        <v/>
      </c>
      <c r="L364" s="76">
        <f>(((Table134567891011121314151617343[[#This Row],[EA19]]-VLOOKUP($U$1,A:F,6,))/VLOOKUP($U$1,A:F,6,))*100)+100</f>
        <v/>
      </c>
      <c r="M364" s="76">
        <f>(((Table134567891011121314151617343[[#This Row],[GBR]]-VLOOKUP($U$1,A:G,7,))/VLOOKUP($U$1,A:G,7,))*100)+100</f>
        <v/>
      </c>
      <c r="N364" s="76">
        <f>IF(VLOOKUP(A364,Database!$A:$AU,MATCH($N$1,Database!$A$1:$AU$1,0),FALSE)=0,#N/A,VLOOKUP(A364,Database!$A:$AU,MATCH($N$1,Database!$A$1:$AU$1,0),FALSE))</f>
        <v/>
      </c>
      <c r="O364" s="76">
        <f>(((Table134567891011121314151617343[[#This Row],[USA]]-VLOOKUP($U$1,A:N,14,))/VLOOKUP($U$1,A:N,14,))*100)+100</f>
        <v/>
      </c>
      <c r="P364" s="76">
        <f>IF(VLOOKUP(A364,Database!$A:$AS,MATCH($P$1,Database!$A$1:$AS$1,0),FALSE)=0,#N/A,VLOOKUP(A364,Database!$A:$AS,MATCH($P$1,Database!$A$1:$AS$1,0),FALSE))</f>
        <v/>
      </c>
      <c r="Q364" s="76">
        <f>(((Table134567891011121314151617343[[#This Row],[JPN]]-VLOOKUP($U$1,A:Q,16,))/VLOOKUP($U$1,A:Q,16,))*100)+100</f>
        <v/>
      </c>
    </row>
    <row r="365" customFormat="1" s="86">
      <c r="A365" s="21" t="n">
        <v>43922</v>
      </c>
      <c r="B365" s="76">
        <f>IF(VLOOKUP(A365,Database!$A:$AS,MATCH($B$1,Database!$A$1:$AS$1,0),FALSE)=0,#N/A,VLOOKUP(A365,Database!$A:$AS,MATCH($B$1,Database!$A$1:$AS$1,0),FALSE))</f>
        <v/>
      </c>
      <c r="C365" s="76">
        <f>IF(VLOOKUP(A365,Database!$A:$AS,MATCH($C$1,Database!$A$1:$AS$1,0),FALSE)=0,#N/A,VLOOKUP(A365,Database!$A:$AS,MATCH($C$1,Database!$A$1:$AS$1,0),FALSE))</f>
        <v/>
      </c>
      <c r="D365" s="76">
        <f>IF(VLOOKUP(A365,Database!$A:$AS,MATCH($D$1,Database!$A$1:$AS$1,0),FALSE)=0,#N/A,VLOOKUP(A365,Database!$A:$AS,MATCH($D$1,Database!$A$1:$AS$1,0),FALSE))</f>
        <v/>
      </c>
      <c r="E365" s="76">
        <f>IF(VLOOKUP(A365,Database!$A:$AS,MATCH($E$1,Database!$A$1:$AS$1,0),FALSE)=0,#N/A,VLOOKUP(A365,Database!$A:$AS,MATCH($E$1,Database!$A$1:$AS$1,0),FALSE))</f>
        <v/>
      </c>
      <c r="F365" s="76">
        <f>IF(VLOOKUP(A365,Database!$A:$AS,MATCH($F$1,Database!$A$1:$AS$1,0),FALSE)=0,#N/A,VLOOKUP(A365,Database!$A:$AS,MATCH($F$1,Database!$A$1:$AS$1,0),FALSE))</f>
        <v/>
      </c>
      <c r="G365" s="76">
        <f>IF(VLOOKUP(A365,Database!$A:$AS,MATCH($G$1,Database!$A$1:$AS$1,0),FALSE)=0,#N/A,VLOOKUP(A365,Database!$A:$AS,MATCH($G$1,Database!$A$1:$AS$1,0),FALSE))</f>
        <v/>
      </c>
      <c r="H365" s="76">
        <f>(((Table134567891011121314151617343[[#This Row],[ITA]]-VLOOKUP($U$1,A:B,2,))/VLOOKUP($U$1,A:B,2,))*100)+100</f>
        <v/>
      </c>
      <c r="I365" s="76">
        <f>(((Table134567891011121314151617343[[#This Row],[FRA]]-VLOOKUP($U$1,A:C,3,))/VLOOKUP($U$1,A:C,3,))*100)+100</f>
        <v/>
      </c>
      <c r="J365" s="76">
        <f>(((Table134567891011121314151617343[[#This Row],[DEU]]-VLOOKUP($U$1,A:D,4,))/VLOOKUP($U$1,A:D,4,))*100)+100</f>
        <v/>
      </c>
      <c r="K365" s="76">
        <f>(((Table134567891011121314151617343[[#This Row],[ESP]]-VLOOKUP($U$1,A:E,5,))/VLOOKUP($U$1,A:E,5,))*100)+100</f>
        <v/>
      </c>
      <c r="L365" s="76">
        <f>(((Table134567891011121314151617343[[#This Row],[EA19]]-VLOOKUP($U$1,A:F,6,))/VLOOKUP($U$1,A:F,6,))*100)+100</f>
        <v/>
      </c>
      <c r="M365" s="76">
        <f>(((Table134567891011121314151617343[[#This Row],[GBR]]-VLOOKUP($U$1,A:G,7,))/VLOOKUP($U$1,A:G,7,))*100)+100</f>
        <v/>
      </c>
      <c r="N365" s="76">
        <f>IF(VLOOKUP(A365,Database!$A:$AU,MATCH($N$1,Database!$A$1:$AU$1,0),FALSE)=0,#N/A,VLOOKUP(A365,Database!$A:$AU,MATCH($N$1,Database!$A$1:$AU$1,0),FALSE))</f>
        <v/>
      </c>
      <c r="O365" s="76">
        <f>(((Table134567891011121314151617343[[#This Row],[USA]]-VLOOKUP($U$1,A:N,14,))/VLOOKUP($U$1,A:N,14,))*100)+100</f>
        <v/>
      </c>
      <c r="P365" s="76">
        <f>IF(VLOOKUP(A365,Database!$A:$AS,MATCH($P$1,Database!$A$1:$AS$1,0),FALSE)=0,#N/A,VLOOKUP(A365,Database!$A:$AS,MATCH($P$1,Database!$A$1:$AS$1,0),FALSE))</f>
        <v/>
      </c>
      <c r="Q365" s="76">
        <f>(((Table134567891011121314151617343[[#This Row],[JPN]]-VLOOKUP($U$1,A:Q,16,))/VLOOKUP($U$1,A:Q,16,))*100)+100</f>
        <v/>
      </c>
    </row>
    <row r="366" customFormat="1" s="86">
      <c r="A366" s="21" t="n">
        <v>43952</v>
      </c>
      <c r="B366" s="76">
        <f>IF(VLOOKUP(A366,Database!$A:$AS,MATCH($B$1,Database!$A$1:$AS$1,0),FALSE)=0,#N/A,VLOOKUP(A366,Database!$A:$AS,MATCH($B$1,Database!$A$1:$AS$1,0),FALSE))</f>
        <v/>
      </c>
      <c r="C366" s="76">
        <f>IF(VLOOKUP(A366,Database!$A:$AS,MATCH($C$1,Database!$A$1:$AS$1,0),FALSE)=0,#N/A,VLOOKUP(A366,Database!$A:$AS,MATCH($C$1,Database!$A$1:$AS$1,0),FALSE))</f>
        <v/>
      </c>
      <c r="D366" s="76">
        <f>IF(VLOOKUP(A366,Database!$A:$AS,MATCH($D$1,Database!$A$1:$AS$1,0),FALSE)=0,#N/A,VLOOKUP(A366,Database!$A:$AS,MATCH($D$1,Database!$A$1:$AS$1,0),FALSE))</f>
        <v/>
      </c>
      <c r="E366" s="76">
        <f>IF(VLOOKUP(A366,Database!$A:$AS,MATCH($E$1,Database!$A$1:$AS$1,0),FALSE)=0,#N/A,VLOOKUP(A366,Database!$A:$AS,MATCH($E$1,Database!$A$1:$AS$1,0),FALSE))</f>
        <v/>
      </c>
      <c r="F366" s="76">
        <f>IF(VLOOKUP(A366,Database!$A:$AS,MATCH($F$1,Database!$A$1:$AS$1,0),FALSE)=0,#N/A,VLOOKUP(A366,Database!$A:$AS,MATCH($F$1,Database!$A$1:$AS$1,0),FALSE))</f>
        <v/>
      </c>
      <c r="G366" s="76">
        <f>IF(VLOOKUP(A366,Database!$A:$AS,MATCH($G$1,Database!$A$1:$AS$1,0),FALSE)=0,#N/A,VLOOKUP(A366,Database!$A:$AS,MATCH($G$1,Database!$A$1:$AS$1,0),FALSE))</f>
        <v/>
      </c>
      <c r="H366" s="76">
        <f>(((Table134567891011121314151617343[[#This Row],[ITA]]-VLOOKUP($U$1,A:B,2,))/VLOOKUP($U$1,A:B,2,))*100)+100</f>
        <v/>
      </c>
      <c r="I366" s="76">
        <f>(((Table134567891011121314151617343[[#This Row],[FRA]]-VLOOKUP($U$1,A:C,3,))/VLOOKUP($U$1,A:C,3,))*100)+100</f>
        <v/>
      </c>
      <c r="J366" s="76">
        <f>(((Table134567891011121314151617343[[#This Row],[DEU]]-VLOOKUP($U$1,A:D,4,))/VLOOKUP($U$1,A:D,4,))*100)+100</f>
        <v/>
      </c>
      <c r="K366" s="76">
        <f>(((Table134567891011121314151617343[[#This Row],[ESP]]-VLOOKUP($U$1,A:E,5,))/VLOOKUP($U$1,A:E,5,))*100)+100</f>
        <v/>
      </c>
      <c r="L366" s="76">
        <f>(((Table134567891011121314151617343[[#This Row],[EA19]]-VLOOKUP($U$1,A:F,6,))/VLOOKUP($U$1,A:F,6,))*100)+100</f>
        <v/>
      </c>
      <c r="M366" s="76">
        <f>(((Table134567891011121314151617343[[#This Row],[GBR]]-VLOOKUP($U$1,A:G,7,))/VLOOKUP($U$1,A:G,7,))*100)+100</f>
        <v/>
      </c>
      <c r="N366" s="76">
        <f>IF(VLOOKUP(A366,Database!$A:$AU,MATCH($N$1,Database!$A$1:$AU$1,0),FALSE)=0,#N/A,VLOOKUP(A366,Database!$A:$AU,MATCH($N$1,Database!$A$1:$AU$1,0),FALSE))</f>
        <v/>
      </c>
      <c r="O366" s="76">
        <f>(((Table134567891011121314151617343[[#This Row],[USA]]-VLOOKUP($U$1,A:N,14,))/VLOOKUP($U$1,A:N,14,))*100)+100</f>
        <v/>
      </c>
      <c r="P366" s="76">
        <f>IF(VLOOKUP(A366,Database!$A:$AS,MATCH($P$1,Database!$A$1:$AS$1,0),FALSE)=0,#N/A,VLOOKUP(A366,Database!$A:$AS,MATCH($P$1,Database!$A$1:$AS$1,0),FALSE))</f>
        <v/>
      </c>
      <c r="Q366" s="76">
        <f>(((Table134567891011121314151617343[[#This Row],[JPN]]-VLOOKUP($U$1,A:Q,16,))/VLOOKUP($U$1,A:Q,16,))*100)+100</f>
        <v/>
      </c>
    </row>
    <row r="367" customFormat="1" s="86">
      <c r="A367" s="21" t="n">
        <v>43983</v>
      </c>
      <c r="B367" s="76">
        <f>IF(VLOOKUP(A367,Database!$A:$AS,MATCH($B$1,Database!$A$1:$AS$1,0),FALSE)=0,#N/A,VLOOKUP(A367,Database!$A:$AS,MATCH($B$1,Database!$A$1:$AS$1,0),FALSE))</f>
        <v/>
      </c>
      <c r="C367" s="76">
        <f>IF(VLOOKUP(A367,Database!$A:$AS,MATCH($C$1,Database!$A$1:$AS$1,0),FALSE)=0,#N/A,VLOOKUP(A367,Database!$A:$AS,MATCH($C$1,Database!$A$1:$AS$1,0),FALSE))</f>
        <v/>
      </c>
      <c r="D367" s="76">
        <f>IF(VLOOKUP(A367,Database!$A:$AS,MATCH($D$1,Database!$A$1:$AS$1,0),FALSE)=0,#N/A,VLOOKUP(A367,Database!$A:$AS,MATCH($D$1,Database!$A$1:$AS$1,0),FALSE))</f>
        <v/>
      </c>
      <c r="E367" s="76">
        <f>IF(VLOOKUP(A367,Database!$A:$AS,MATCH($E$1,Database!$A$1:$AS$1,0),FALSE)=0,#N/A,VLOOKUP(A367,Database!$A:$AS,MATCH($E$1,Database!$A$1:$AS$1,0),FALSE))</f>
        <v/>
      </c>
      <c r="F367" s="76">
        <f>IF(VLOOKUP(A367,Database!$A:$AS,MATCH($F$1,Database!$A$1:$AS$1,0),FALSE)=0,#N/A,VLOOKUP(A367,Database!$A:$AS,MATCH($F$1,Database!$A$1:$AS$1,0),FALSE))</f>
        <v/>
      </c>
      <c r="G367" s="76">
        <f>IF(VLOOKUP(A367,Database!$A:$AS,MATCH($G$1,Database!$A$1:$AS$1,0),FALSE)=0,#N/A,VLOOKUP(A367,Database!$A:$AS,MATCH($G$1,Database!$A$1:$AS$1,0),FALSE))</f>
        <v/>
      </c>
      <c r="H367" s="76">
        <f>(((Table134567891011121314151617343[[#This Row],[ITA]]-VLOOKUP($U$1,A:B,2,))/VLOOKUP($U$1,A:B,2,))*100)+100</f>
        <v/>
      </c>
      <c r="I367" s="76">
        <f>(((Table134567891011121314151617343[[#This Row],[FRA]]-VLOOKUP($U$1,A:C,3,))/VLOOKUP($U$1,A:C,3,))*100)+100</f>
        <v/>
      </c>
      <c r="J367" s="76">
        <f>(((Table134567891011121314151617343[[#This Row],[DEU]]-VLOOKUP($U$1,A:D,4,))/VLOOKUP($U$1,A:D,4,))*100)+100</f>
        <v/>
      </c>
      <c r="K367" s="76">
        <f>(((Table134567891011121314151617343[[#This Row],[ESP]]-VLOOKUP($U$1,A:E,5,))/VLOOKUP($U$1,A:E,5,))*100)+100</f>
        <v/>
      </c>
      <c r="L367" s="76">
        <f>(((Table134567891011121314151617343[[#This Row],[EA19]]-VLOOKUP($U$1,A:F,6,))/VLOOKUP($U$1,A:F,6,))*100)+100</f>
        <v/>
      </c>
      <c r="M367" s="76">
        <f>(((Table134567891011121314151617343[[#This Row],[GBR]]-VLOOKUP($U$1,A:G,7,))/VLOOKUP($U$1,A:G,7,))*100)+100</f>
        <v/>
      </c>
      <c r="N367" s="76">
        <f>IF(VLOOKUP(A367,Database!$A:$AU,MATCH($N$1,Database!$A$1:$AU$1,0),FALSE)=0,#N/A,VLOOKUP(A367,Database!$A:$AU,MATCH($N$1,Database!$A$1:$AU$1,0),FALSE))</f>
        <v/>
      </c>
      <c r="O367" s="76">
        <f>(((Table134567891011121314151617343[[#This Row],[USA]]-VLOOKUP($U$1,A:N,14,))/VLOOKUP($U$1,A:N,14,))*100)+100</f>
        <v/>
      </c>
      <c r="P367" s="76">
        <f>IF(VLOOKUP(A367,Database!$A:$AS,MATCH($P$1,Database!$A$1:$AS$1,0),FALSE)=0,#N/A,VLOOKUP(A367,Database!$A:$AS,MATCH($P$1,Database!$A$1:$AS$1,0),FALSE))</f>
        <v/>
      </c>
      <c r="Q367" s="76">
        <f>(((Table134567891011121314151617343[[#This Row],[JPN]]-VLOOKUP($U$1,A:Q,16,))/VLOOKUP($U$1,A:Q,16,))*100)+100</f>
        <v/>
      </c>
    </row>
    <row r="368" customFormat="1" s="86">
      <c r="A368" s="21" t="n">
        <v>44013</v>
      </c>
      <c r="B368" s="76">
        <f>IF(VLOOKUP(A368,Database!$A:$AS,MATCH($B$1,Database!$A$1:$AS$1,0),FALSE)=0,#N/A,VLOOKUP(A368,Database!$A:$AS,MATCH($B$1,Database!$A$1:$AS$1,0),FALSE))</f>
        <v/>
      </c>
      <c r="C368" s="76">
        <f>IF(VLOOKUP(A368,Database!$A:$AS,MATCH($C$1,Database!$A$1:$AS$1,0),FALSE)=0,#N/A,VLOOKUP(A368,Database!$A:$AS,MATCH($C$1,Database!$A$1:$AS$1,0),FALSE))</f>
        <v/>
      </c>
      <c r="D368" s="76">
        <f>IF(VLOOKUP(A368,Database!$A:$AS,MATCH($D$1,Database!$A$1:$AS$1,0),FALSE)=0,#N/A,VLOOKUP(A368,Database!$A:$AS,MATCH($D$1,Database!$A$1:$AS$1,0),FALSE))</f>
        <v/>
      </c>
      <c r="E368" s="76">
        <f>IF(VLOOKUP(A368,Database!$A:$AS,MATCH($E$1,Database!$A$1:$AS$1,0),FALSE)=0,#N/A,VLOOKUP(A368,Database!$A:$AS,MATCH($E$1,Database!$A$1:$AS$1,0),FALSE))</f>
        <v/>
      </c>
      <c r="F368" s="76">
        <f>IF(VLOOKUP(A368,Database!$A:$AS,MATCH($F$1,Database!$A$1:$AS$1,0),FALSE)=0,#N/A,VLOOKUP(A368,Database!$A:$AS,MATCH($F$1,Database!$A$1:$AS$1,0),FALSE))</f>
        <v/>
      </c>
      <c r="G368" s="76">
        <f>IF(VLOOKUP(A368,Database!$A:$AS,MATCH($G$1,Database!$A$1:$AS$1,0),FALSE)=0,#N/A,VLOOKUP(A368,Database!$A:$AS,MATCH($G$1,Database!$A$1:$AS$1,0),FALSE))</f>
        <v/>
      </c>
      <c r="H368" s="76">
        <f>(((Table134567891011121314151617343[[#This Row],[ITA]]-VLOOKUP($U$1,A:B,2,))/VLOOKUP($U$1,A:B,2,))*100)+100</f>
        <v/>
      </c>
      <c r="I368" s="76">
        <f>(((Table134567891011121314151617343[[#This Row],[FRA]]-VLOOKUP($U$1,A:C,3,))/VLOOKUP($U$1,A:C,3,))*100)+100</f>
        <v/>
      </c>
      <c r="J368" s="76">
        <f>(((Table134567891011121314151617343[[#This Row],[DEU]]-VLOOKUP($U$1,A:D,4,))/VLOOKUP($U$1,A:D,4,))*100)+100</f>
        <v/>
      </c>
      <c r="K368" s="76">
        <f>(((Table134567891011121314151617343[[#This Row],[ESP]]-VLOOKUP($U$1,A:E,5,))/VLOOKUP($U$1,A:E,5,))*100)+100</f>
        <v/>
      </c>
      <c r="L368" s="76">
        <f>(((Table134567891011121314151617343[[#This Row],[EA19]]-VLOOKUP($U$1,A:F,6,))/VLOOKUP($U$1,A:F,6,))*100)+100</f>
        <v/>
      </c>
      <c r="M368" s="76">
        <f>(((Table134567891011121314151617343[[#This Row],[GBR]]-VLOOKUP($U$1,A:G,7,))/VLOOKUP($U$1,A:G,7,))*100)+100</f>
        <v/>
      </c>
      <c r="N368" s="76">
        <f>IF(VLOOKUP(A368,Database!$A:$AU,MATCH($N$1,Database!$A$1:$AU$1,0),FALSE)=0,#N/A,VLOOKUP(A368,Database!$A:$AU,MATCH($N$1,Database!$A$1:$AU$1,0),FALSE))</f>
        <v/>
      </c>
      <c r="O368" s="76">
        <f>(((Table134567891011121314151617343[[#This Row],[USA]]-VLOOKUP($U$1,A:N,14,))/VLOOKUP($U$1,A:N,14,))*100)+100</f>
        <v/>
      </c>
      <c r="P368" s="76">
        <f>IF(VLOOKUP(A368,Database!$A:$AS,MATCH($P$1,Database!$A$1:$AS$1,0),FALSE)=0,#N/A,VLOOKUP(A368,Database!$A:$AS,MATCH($P$1,Database!$A$1:$AS$1,0),FALSE))</f>
        <v/>
      </c>
      <c r="Q368" s="76">
        <f>(((Table134567891011121314151617343[[#This Row],[JPN]]-VLOOKUP($U$1,A:Q,16,))/VLOOKUP($U$1,A:Q,16,))*100)+100</f>
        <v/>
      </c>
    </row>
    <row r="369" customFormat="1" s="86">
      <c r="A369" s="21" t="n">
        <v>44044</v>
      </c>
      <c r="B369" s="76">
        <f>IF(VLOOKUP(A369,Database!$A:$AS,MATCH($B$1,Database!$A$1:$AS$1,0),FALSE)=0,#N/A,VLOOKUP(A369,Database!$A:$AS,MATCH($B$1,Database!$A$1:$AS$1,0),FALSE))</f>
        <v/>
      </c>
      <c r="C369" s="76">
        <f>IF(VLOOKUP(A369,Database!$A:$AS,MATCH($C$1,Database!$A$1:$AS$1,0),FALSE)=0,#N/A,VLOOKUP(A369,Database!$A:$AS,MATCH($C$1,Database!$A$1:$AS$1,0),FALSE))</f>
        <v/>
      </c>
      <c r="D369" s="76">
        <f>IF(VLOOKUP(A369,Database!$A:$AS,MATCH($D$1,Database!$A$1:$AS$1,0),FALSE)=0,#N/A,VLOOKUP(A369,Database!$A:$AS,MATCH($D$1,Database!$A$1:$AS$1,0),FALSE))</f>
        <v/>
      </c>
      <c r="E369" s="76">
        <f>IF(VLOOKUP(A369,Database!$A:$AS,MATCH($E$1,Database!$A$1:$AS$1,0),FALSE)=0,#N/A,VLOOKUP(A369,Database!$A:$AS,MATCH($E$1,Database!$A$1:$AS$1,0),FALSE))</f>
        <v/>
      </c>
      <c r="F369" s="76">
        <f>IF(VLOOKUP(A369,Database!$A:$AS,MATCH($F$1,Database!$A$1:$AS$1,0),FALSE)=0,#N/A,VLOOKUP(A369,Database!$A:$AS,MATCH($F$1,Database!$A$1:$AS$1,0),FALSE))</f>
        <v/>
      </c>
      <c r="G369" s="76">
        <f>IF(VLOOKUP(A369,Database!$A:$AS,MATCH($G$1,Database!$A$1:$AS$1,0),FALSE)=0,#N/A,VLOOKUP(A369,Database!$A:$AS,MATCH($G$1,Database!$A$1:$AS$1,0),FALSE))</f>
        <v/>
      </c>
      <c r="H369" s="76">
        <f>(((Table134567891011121314151617343[[#This Row],[ITA]]-VLOOKUP($U$1,A:B,2,))/VLOOKUP($U$1,A:B,2,))*100)+100</f>
        <v/>
      </c>
      <c r="I369" s="76">
        <f>(((Table134567891011121314151617343[[#This Row],[FRA]]-VLOOKUP($U$1,A:C,3,))/VLOOKUP($U$1,A:C,3,))*100)+100</f>
        <v/>
      </c>
      <c r="J369" s="76">
        <f>(((Table134567891011121314151617343[[#This Row],[DEU]]-VLOOKUP($U$1,A:D,4,))/VLOOKUP($U$1,A:D,4,))*100)+100</f>
        <v/>
      </c>
      <c r="K369" s="76">
        <f>(((Table134567891011121314151617343[[#This Row],[ESP]]-VLOOKUP($U$1,A:E,5,))/VLOOKUP($U$1,A:E,5,))*100)+100</f>
        <v/>
      </c>
      <c r="L369" s="76">
        <f>(((Table134567891011121314151617343[[#This Row],[EA19]]-VLOOKUP($U$1,A:F,6,))/VLOOKUP($U$1,A:F,6,))*100)+100</f>
        <v/>
      </c>
      <c r="M369" s="76">
        <f>(((Table134567891011121314151617343[[#This Row],[GBR]]-VLOOKUP($U$1,A:G,7,))/VLOOKUP($U$1,A:G,7,))*100)+100</f>
        <v/>
      </c>
      <c r="N369" s="76">
        <f>IF(VLOOKUP(A369,Database!$A:$AU,MATCH($N$1,Database!$A$1:$AU$1,0),FALSE)=0,#N/A,VLOOKUP(A369,Database!$A:$AU,MATCH($N$1,Database!$A$1:$AU$1,0),FALSE))</f>
        <v/>
      </c>
      <c r="O369" s="76">
        <f>(((Table134567891011121314151617343[[#This Row],[USA]]-VLOOKUP($U$1,A:N,14,))/VLOOKUP($U$1,A:N,14,))*100)+100</f>
        <v/>
      </c>
      <c r="P369" s="76">
        <f>IF(VLOOKUP(A369,Database!$A:$AS,MATCH($P$1,Database!$A$1:$AS$1,0),FALSE)=0,#N/A,VLOOKUP(A369,Database!$A:$AS,MATCH($P$1,Database!$A$1:$AS$1,0),FALSE))</f>
        <v/>
      </c>
      <c r="Q369" s="76">
        <f>(((Table134567891011121314151617343[[#This Row],[JPN]]-VLOOKUP($U$1,A:Q,16,))/VLOOKUP($U$1,A:Q,16,))*100)+100</f>
        <v/>
      </c>
    </row>
    <row r="370" customFormat="1" s="86">
      <c r="A370" s="21" t="n">
        <v>44075</v>
      </c>
      <c r="B370" s="76">
        <f>IF(VLOOKUP(A370,Database!$A:$AS,MATCH($B$1,Database!$A$1:$AS$1,0),FALSE)=0,#N/A,VLOOKUP(A370,Database!$A:$AS,MATCH($B$1,Database!$A$1:$AS$1,0),FALSE))</f>
        <v/>
      </c>
      <c r="C370" s="76">
        <f>IF(VLOOKUP(A370,Database!$A:$AS,MATCH($C$1,Database!$A$1:$AS$1,0),FALSE)=0,#N/A,VLOOKUP(A370,Database!$A:$AS,MATCH($C$1,Database!$A$1:$AS$1,0),FALSE))</f>
        <v/>
      </c>
      <c r="D370" s="76">
        <f>IF(VLOOKUP(A370,Database!$A:$AS,MATCH($D$1,Database!$A$1:$AS$1,0),FALSE)=0,#N/A,VLOOKUP(A370,Database!$A:$AS,MATCH($D$1,Database!$A$1:$AS$1,0),FALSE))</f>
        <v/>
      </c>
      <c r="E370" s="76">
        <f>IF(VLOOKUP(A370,Database!$A:$AS,MATCH($E$1,Database!$A$1:$AS$1,0),FALSE)=0,#N/A,VLOOKUP(A370,Database!$A:$AS,MATCH($E$1,Database!$A$1:$AS$1,0),FALSE))</f>
        <v/>
      </c>
      <c r="F370" s="76">
        <f>IF(VLOOKUP(A370,Database!$A:$AS,MATCH($F$1,Database!$A$1:$AS$1,0),FALSE)=0,#N/A,VLOOKUP(A370,Database!$A:$AS,MATCH($F$1,Database!$A$1:$AS$1,0),FALSE))</f>
        <v/>
      </c>
      <c r="G370" s="76">
        <f>IF(VLOOKUP(A370,Database!$A:$AS,MATCH($G$1,Database!$A$1:$AS$1,0),FALSE)=0,#N/A,VLOOKUP(A370,Database!$A:$AS,MATCH($G$1,Database!$A$1:$AS$1,0),FALSE))</f>
        <v/>
      </c>
      <c r="H370" s="76">
        <f>(((Table134567891011121314151617343[[#This Row],[ITA]]-VLOOKUP($U$1,A:B,2,))/VLOOKUP($U$1,A:B,2,))*100)+100</f>
        <v/>
      </c>
      <c r="I370" s="76">
        <f>(((Table134567891011121314151617343[[#This Row],[FRA]]-VLOOKUP($U$1,A:C,3,))/VLOOKUP($U$1,A:C,3,))*100)+100</f>
        <v/>
      </c>
      <c r="J370" s="76">
        <f>(((Table134567891011121314151617343[[#This Row],[DEU]]-VLOOKUP($U$1,A:D,4,))/VLOOKUP($U$1,A:D,4,))*100)+100</f>
        <v/>
      </c>
      <c r="K370" s="76">
        <f>(((Table134567891011121314151617343[[#This Row],[ESP]]-VLOOKUP($U$1,A:E,5,))/VLOOKUP($U$1,A:E,5,))*100)+100</f>
        <v/>
      </c>
      <c r="L370" s="76">
        <f>(((Table134567891011121314151617343[[#This Row],[EA19]]-VLOOKUP($U$1,A:F,6,))/VLOOKUP($U$1,A:F,6,))*100)+100</f>
        <v/>
      </c>
      <c r="M370" s="76">
        <f>(((Table134567891011121314151617343[[#This Row],[GBR]]-VLOOKUP($U$1,A:G,7,))/VLOOKUP($U$1,A:G,7,))*100)+100</f>
        <v/>
      </c>
      <c r="N370" s="76">
        <f>IF(VLOOKUP(A370,Database!$A:$AU,MATCH($N$1,Database!$A$1:$AU$1,0),FALSE)=0,#N/A,VLOOKUP(A370,Database!$A:$AU,MATCH($N$1,Database!$A$1:$AU$1,0),FALSE))</f>
        <v/>
      </c>
      <c r="O370" s="76">
        <f>(((Table134567891011121314151617343[[#This Row],[USA]]-VLOOKUP($U$1,A:N,14,))/VLOOKUP($U$1,A:N,14,))*100)+100</f>
        <v/>
      </c>
      <c r="P370" s="76">
        <f>IF(VLOOKUP(A370,Database!$A:$AS,MATCH($P$1,Database!$A$1:$AS$1,0),FALSE)=0,#N/A,VLOOKUP(A370,Database!$A:$AS,MATCH($P$1,Database!$A$1:$AS$1,0),FALSE))</f>
        <v/>
      </c>
      <c r="Q370" s="76">
        <f>(((Table134567891011121314151617343[[#This Row],[JPN]]-VLOOKUP($U$1,A:Q,16,))/VLOOKUP($U$1,A:Q,16,))*100)+100</f>
        <v/>
      </c>
    </row>
    <row r="371" customFormat="1" s="86">
      <c r="A371" s="21" t="n">
        <v>44105</v>
      </c>
      <c r="B371" s="76">
        <f>IF(VLOOKUP(A371,Database!$A:$AS,MATCH($B$1,Database!$A$1:$AS$1,0),FALSE)=0,#N/A,VLOOKUP(A371,Database!$A:$AS,MATCH($B$1,Database!$A$1:$AS$1,0),FALSE))</f>
        <v/>
      </c>
      <c r="C371" s="76">
        <f>IF(VLOOKUP(A371,Database!$A:$AS,MATCH($C$1,Database!$A$1:$AS$1,0),FALSE)=0,#N/A,VLOOKUP(A371,Database!$A:$AS,MATCH($C$1,Database!$A$1:$AS$1,0),FALSE))</f>
        <v/>
      </c>
      <c r="D371" s="76">
        <f>IF(VLOOKUP(A371,Database!$A:$AS,MATCH($D$1,Database!$A$1:$AS$1,0),FALSE)=0,#N/A,VLOOKUP(A371,Database!$A:$AS,MATCH($D$1,Database!$A$1:$AS$1,0),FALSE))</f>
        <v/>
      </c>
      <c r="E371" s="76">
        <f>IF(VLOOKUP(A371,Database!$A:$AS,MATCH($E$1,Database!$A$1:$AS$1,0),FALSE)=0,#N/A,VLOOKUP(A371,Database!$A:$AS,MATCH($E$1,Database!$A$1:$AS$1,0),FALSE))</f>
        <v/>
      </c>
      <c r="F371" s="76">
        <f>IF(VLOOKUP(A371,Database!$A:$AS,MATCH($F$1,Database!$A$1:$AS$1,0),FALSE)=0,#N/A,VLOOKUP(A371,Database!$A:$AS,MATCH($F$1,Database!$A$1:$AS$1,0),FALSE))</f>
        <v/>
      </c>
      <c r="G371" s="76">
        <f>IF(VLOOKUP(A371,Database!$A:$AS,MATCH($G$1,Database!$A$1:$AS$1,0),FALSE)=0,#N/A,VLOOKUP(A371,Database!$A:$AS,MATCH($G$1,Database!$A$1:$AS$1,0),FALSE))</f>
        <v/>
      </c>
      <c r="H371" s="76">
        <f>(((Table134567891011121314151617343[[#This Row],[ITA]]-VLOOKUP($U$1,A:B,2,))/VLOOKUP($U$1,A:B,2,))*100)+100</f>
        <v/>
      </c>
      <c r="I371" s="76">
        <f>(((Table134567891011121314151617343[[#This Row],[FRA]]-VLOOKUP($U$1,A:C,3,))/VLOOKUP($U$1,A:C,3,))*100)+100</f>
        <v/>
      </c>
      <c r="J371" s="76">
        <f>(((Table134567891011121314151617343[[#This Row],[DEU]]-VLOOKUP($U$1,A:D,4,))/VLOOKUP($U$1,A:D,4,))*100)+100</f>
        <v/>
      </c>
      <c r="K371" s="76">
        <f>(((Table134567891011121314151617343[[#This Row],[ESP]]-VLOOKUP($U$1,A:E,5,))/VLOOKUP($U$1,A:E,5,))*100)+100</f>
        <v/>
      </c>
      <c r="L371" s="76">
        <f>(((Table134567891011121314151617343[[#This Row],[EA19]]-VLOOKUP($U$1,A:F,6,))/VLOOKUP($U$1,A:F,6,))*100)+100</f>
        <v/>
      </c>
      <c r="M371" s="76">
        <f>(((Table134567891011121314151617343[[#This Row],[GBR]]-VLOOKUP($U$1,A:G,7,))/VLOOKUP($U$1,A:G,7,))*100)+100</f>
        <v/>
      </c>
      <c r="N371" s="76">
        <f>IF(VLOOKUP(A371,Database!$A:$AU,MATCH($N$1,Database!$A$1:$AU$1,0),FALSE)=0,#N/A,VLOOKUP(A371,Database!$A:$AU,MATCH($N$1,Database!$A$1:$AU$1,0),FALSE))</f>
        <v/>
      </c>
      <c r="O371" s="76">
        <f>(((Table134567891011121314151617343[[#This Row],[USA]]-VLOOKUP($U$1,A:N,14,))/VLOOKUP($U$1,A:N,14,))*100)+100</f>
        <v/>
      </c>
      <c r="P371" s="76">
        <f>IF(VLOOKUP(A371,Database!$A:$AS,MATCH($P$1,Database!$A$1:$AS$1,0),FALSE)=0,#N/A,VLOOKUP(A371,Database!$A:$AS,MATCH($P$1,Database!$A$1:$AS$1,0),FALSE))</f>
        <v/>
      </c>
      <c r="Q371" s="76">
        <f>(((Table134567891011121314151617343[[#This Row],[JPN]]-VLOOKUP($U$1,A:Q,16,))/VLOOKUP($U$1,A:Q,16,))*100)+100</f>
        <v/>
      </c>
    </row>
    <row r="372" customFormat="1" s="86">
      <c r="A372" s="21" t="n">
        <v>44136</v>
      </c>
      <c r="B372" s="76">
        <f>IF(VLOOKUP(A372,Database!$A:$AS,MATCH($B$1,Database!$A$1:$AS$1,0),FALSE)=0,#N/A,VLOOKUP(A372,Database!$A:$AS,MATCH($B$1,Database!$A$1:$AS$1,0),FALSE))</f>
        <v/>
      </c>
      <c r="C372" s="76">
        <f>IF(VLOOKUP(A372,Database!$A:$AS,MATCH($C$1,Database!$A$1:$AS$1,0),FALSE)=0,#N/A,VLOOKUP(A372,Database!$A:$AS,MATCH($C$1,Database!$A$1:$AS$1,0),FALSE))</f>
        <v/>
      </c>
      <c r="D372" s="76">
        <f>IF(VLOOKUP(A372,Database!$A:$AS,MATCH($D$1,Database!$A$1:$AS$1,0),FALSE)=0,#N/A,VLOOKUP(A372,Database!$A:$AS,MATCH($D$1,Database!$A$1:$AS$1,0),FALSE))</f>
        <v/>
      </c>
      <c r="E372" s="76">
        <f>IF(VLOOKUP(A372,Database!$A:$AS,MATCH($E$1,Database!$A$1:$AS$1,0),FALSE)=0,#N/A,VLOOKUP(A372,Database!$A:$AS,MATCH($E$1,Database!$A$1:$AS$1,0),FALSE))</f>
        <v/>
      </c>
      <c r="F372" s="76">
        <f>IF(VLOOKUP(A372,Database!$A:$AS,MATCH($F$1,Database!$A$1:$AS$1,0),FALSE)=0,#N/A,VLOOKUP(A372,Database!$A:$AS,MATCH($F$1,Database!$A$1:$AS$1,0),FALSE))</f>
        <v/>
      </c>
      <c r="G372" s="76">
        <f>IF(VLOOKUP(A372,Database!$A:$AS,MATCH($G$1,Database!$A$1:$AS$1,0),FALSE)=0,#N/A,VLOOKUP(A372,Database!$A:$AS,MATCH($G$1,Database!$A$1:$AS$1,0),FALSE))</f>
        <v/>
      </c>
      <c r="H372" s="76">
        <f>(((Table134567891011121314151617343[[#This Row],[ITA]]-VLOOKUP($U$1,A:B,2,))/VLOOKUP($U$1,A:B,2,))*100)+100</f>
        <v/>
      </c>
      <c r="I372" s="76">
        <f>(((Table134567891011121314151617343[[#This Row],[FRA]]-VLOOKUP($U$1,A:C,3,))/VLOOKUP($U$1,A:C,3,))*100)+100</f>
        <v/>
      </c>
      <c r="J372" s="76">
        <f>(((Table134567891011121314151617343[[#This Row],[DEU]]-VLOOKUP($U$1,A:D,4,))/VLOOKUP($U$1,A:D,4,))*100)+100</f>
        <v/>
      </c>
      <c r="K372" s="76">
        <f>(((Table134567891011121314151617343[[#This Row],[ESP]]-VLOOKUP($U$1,A:E,5,))/VLOOKUP($U$1,A:E,5,))*100)+100</f>
        <v/>
      </c>
      <c r="L372" s="76">
        <f>(((Table134567891011121314151617343[[#This Row],[EA19]]-VLOOKUP($U$1,A:F,6,))/VLOOKUP($U$1,A:F,6,))*100)+100</f>
        <v/>
      </c>
      <c r="M372" s="76">
        <f>(((Table134567891011121314151617343[[#This Row],[GBR]]-VLOOKUP($U$1,A:G,7,))/VLOOKUP($U$1,A:G,7,))*100)+100</f>
        <v/>
      </c>
      <c r="N372" s="76">
        <f>IF(VLOOKUP(A372,Database!$A:$AU,MATCH($N$1,Database!$A$1:$AU$1,0),FALSE)=0,#N/A,VLOOKUP(A372,Database!$A:$AU,MATCH($N$1,Database!$A$1:$AU$1,0),FALSE))</f>
        <v/>
      </c>
      <c r="O372" s="76">
        <f>(((Table134567891011121314151617343[[#This Row],[USA]]-VLOOKUP($U$1,A:N,14,))/VLOOKUP($U$1,A:N,14,))*100)+100</f>
        <v/>
      </c>
      <c r="P372" s="76">
        <f>IF(VLOOKUP(A372,Database!$A:$AS,MATCH($P$1,Database!$A$1:$AS$1,0),FALSE)=0,#N/A,VLOOKUP(A372,Database!$A:$AS,MATCH($P$1,Database!$A$1:$AS$1,0),FALSE))</f>
        <v/>
      </c>
      <c r="Q372" s="76">
        <f>(((Table134567891011121314151617343[[#This Row],[JPN]]-VLOOKUP($U$1,A:Q,16,))/VLOOKUP($U$1,A:Q,16,))*100)+100</f>
        <v/>
      </c>
    </row>
    <row r="373" customFormat="1" s="86">
      <c r="A373" s="21" t="n">
        <v>44166</v>
      </c>
      <c r="B373" s="76">
        <f>IF(VLOOKUP(A373,Database!$A:$AS,MATCH($B$1,Database!$A$1:$AS$1,0),FALSE)=0,#N/A,VLOOKUP(A373,Database!$A:$AS,MATCH($B$1,Database!$A$1:$AS$1,0),FALSE))</f>
        <v/>
      </c>
      <c r="C373" s="76">
        <f>IF(VLOOKUP(A373,Database!$A:$AS,MATCH($C$1,Database!$A$1:$AS$1,0),FALSE)=0,#N/A,VLOOKUP(A373,Database!$A:$AS,MATCH($C$1,Database!$A$1:$AS$1,0),FALSE))</f>
        <v/>
      </c>
      <c r="D373" s="76">
        <f>IF(VLOOKUP(A373,Database!$A:$AS,MATCH($D$1,Database!$A$1:$AS$1,0),FALSE)=0,#N/A,VLOOKUP(A373,Database!$A:$AS,MATCH($D$1,Database!$A$1:$AS$1,0),FALSE))</f>
        <v/>
      </c>
      <c r="E373" s="76">
        <f>IF(VLOOKUP(A373,Database!$A:$AS,MATCH($E$1,Database!$A$1:$AS$1,0),FALSE)=0,#N/A,VLOOKUP(A373,Database!$A:$AS,MATCH($E$1,Database!$A$1:$AS$1,0),FALSE))</f>
        <v/>
      </c>
      <c r="F373" s="76">
        <f>IF(VLOOKUP(A373,Database!$A:$AS,MATCH($F$1,Database!$A$1:$AS$1,0),FALSE)=0,#N/A,VLOOKUP(A373,Database!$A:$AS,MATCH($F$1,Database!$A$1:$AS$1,0),FALSE))</f>
        <v/>
      </c>
      <c r="G373" s="76">
        <f>IF(VLOOKUP(A373,Database!$A:$AS,MATCH($G$1,Database!$A$1:$AS$1,0),FALSE)=0,#N/A,VLOOKUP(A373,Database!$A:$AS,MATCH($G$1,Database!$A$1:$AS$1,0),FALSE))</f>
        <v/>
      </c>
      <c r="H373" s="76">
        <f>(((Table134567891011121314151617343[[#This Row],[ITA]]-VLOOKUP($U$1,A:B,2,))/VLOOKUP($U$1,A:B,2,))*100)+100</f>
        <v/>
      </c>
      <c r="I373" s="76">
        <f>(((Table134567891011121314151617343[[#This Row],[FRA]]-VLOOKUP($U$1,A:C,3,))/VLOOKUP($U$1,A:C,3,))*100)+100</f>
        <v/>
      </c>
      <c r="J373" s="76">
        <f>(((Table134567891011121314151617343[[#This Row],[DEU]]-VLOOKUP($U$1,A:D,4,))/VLOOKUP($U$1,A:D,4,))*100)+100</f>
        <v/>
      </c>
      <c r="K373" s="76">
        <f>(((Table134567891011121314151617343[[#This Row],[ESP]]-VLOOKUP($U$1,A:E,5,))/VLOOKUP($U$1,A:E,5,))*100)+100</f>
        <v/>
      </c>
      <c r="L373" s="76">
        <f>(((Table134567891011121314151617343[[#This Row],[EA19]]-VLOOKUP($U$1,A:F,6,))/VLOOKUP($U$1,A:F,6,))*100)+100</f>
        <v/>
      </c>
      <c r="M373" s="76">
        <f>(((Table134567891011121314151617343[[#This Row],[GBR]]-VLOOKUP($U$1,A:G,7,))/VLOOKUP($U$1,A:G,7,))*100)+100</f>
        <v/>
      </c>
      <c r="N373" s="76">
        <f>IF(VLOOKUP(A373,Database!$A:$AU,MATCH($N$1,Database!$A$1:$AU$1,0),FALSE)=0,#N/A,VLOOKUP(A373,Database!$A:$AU,MATCH($N$1,Database!$A$1:$AU$1,0),FALSE))</f>
        <v/>
      </c>
      <c r="O373" s="76">
        <f>(((Table134567891011121314151617343[[#This Row],[USA]]-VLOOKUP($U$1,A:N,14,))/VLOOKUP($U$1,A:N,14,))*100)+100</f>
        <v/>
      </c>
      <c r="P373" s="76">
        <f>IF(VLOOKUP(A373,Database!$A:$AS,MATCH($P$1,Database!$A$1:$AS$1,0),FALSE)=0,#N/A,VLOOKUP(A373,Database!$A:$AS,MATCH($P$1,Database!$A$1:$AS$1,0),FALSE))</f>
        <v/>
      </c>
      <c r="Q373" s="76">
        <f>(((Table134567891011121314151617343[[#This Row],[JPN]]-VLOOKUP($U$1,A:Q,16,))/VLOOKUP($U$1,A:Q,16,))*100)+100</f>
        <v/>
      </c>
    </row>
    <row r="374" customFormat="1" s="86">
      <c r="A374" s="21" t="n">
        <v>44197</v>
      </c>
      <c r="B374" s="76">
        <f>IF(VLOOKUP(A374,Database!$A:$AS,MATCH($B$1,Database!$A$1:$AS$1,0),FALSE)=0,#N/A,VLOOKUP(A374,Database!$A:$AS,MATCH($B$1,Database!$A$1:$AS$1,0),FALSE))</f>
        <v/>
      </c>
      <c r="C374" s="76">
        <f>IF(VLOOKUP(A374,Database!$A:$AS,MATCH($C$1,Database!$A$1:$AS$1,0),FALSE)=0,#N/A,VLOOKUP(A374,Database!$A:$AS,MATCH($C$1,Database!$A$1:$AS$1,0),FALSE))</f>
        <v/>
      </c>
      <c r="D374" s="76">
        <f>IF(VLOOKUP(A374,Database!$A:$AS,MATCH($D$1,Database!$A$1:$AS$1,0),FALSE)=0,#N/A,VLOOKUP(A374,Database!$A:$AS,MATCH($D$1,Database!$A$1:$AS$1,0),FALSE))</f>
        <v/>
      </c>
      <c r="E374" s="76">
        <f>IF(VLOOKUP(A374,Database!$A:$AS,MATCH($E$1,Database!$A$1:$AS$1,0),FALSE)=0,#N/A,VLOOKUP(A374,Database!$A:$AS,MATCH($E$1,Database!$A$1:$AS$1,0),FALSE))</f>
        <v/>
      </c>
      <c r="F374" s="76">
        <f>IF(VLOOKUP(A374,Database!$A:$AS,MATCH($F$1,Database!$A$1:$AS$1,0),FALSE)=0,#N/A,VLOOKUP(A374,Database!$A:$AS,MATCH($F$1,Database!$A$1:$AS$1,0),FALSE))</f>
        <v/>
      </c>
      <c r="G374" s="76">
        <f>IF(VLOOKUP(A374,Database!$A:$AS,MATCH($G$1,Database!$A$1:$AS$1,0),FALSE)=0,#N/A,VLOOKUP(A374,Database!$A:$AS,MATCH($G$1,Database!$A$1:$AS$1,0),FALSE))</f>
        <v/>
      </c>
      <c r="H374" s="76">
        <f>(((Table134567891011121314151617343[[#This Row],[ITA]]-VLOOKUP($U$1,A:B,2,))/VLOOKUP($U$1,A:B,2,))*100)+100</f>
        <v/>
      </c>
      <c r="I374" s="76">
        <f>(((Table134567891011121314151617343[[#This Row],[FRA]]-VLOOKUP($U$1,A:C,3,))/VLOOKUP($U$1,A:C,3,))*100)+100</f>
        <v/>
      </c>
      <c r="J374" s="76">
        <f>(((Table134567891011121314151617343[[#This Row],[DEU]]-VLOOKUP($U$1,A:D,4,))/VLOOKUP($U$1,A:D,4,))*100)+100</f>
        <v/>
      </c>
      <c r="K374" s="76">
        <f>(((Table134567891011121314151617343[[#This Row],[ESP]]-VLOOKUP($U$1,A:E,5,))/VLOOKUP($U$1,A:E,5,))*100)+100</f>
        <v/>
      </c>
      <c r="L374" s="76">
        <f>(((Table134567891011121314151617343[[#This Row],[EA19]]-VLOOKUP($U$1,A:F,6,))/VLOOKUP($U$1,A:F,6,))*100)+100</f>
        <v/>
      </c>
      <c r="M374" s="76">
        <f>(((Table134567891011121314151617343[[#This Row],[GBR]]-VLOOKUP($U$1,A:G,7,))/VLOOKUP($U$1,A:G,7,))*100)+100</f>
        <v/>
      </c>
      <c r="N374" s="76">
        <f>IF(VLOOKUP(A374,Database!$A:$AU,MATCH($N$1,Database!$A$1:$AU$1,0),FALSE)=0,#N/A,VLOOKUP(A374,Database!$A:$AU,MATCH($N$1,Database!$A$1:$AU$1,0),FALSE))</f>
        <v/>
      </c>
      <c r="O374" s="76">
        <f>(((Table134567891011121314151617343[[#This Row],[USA]]-VLOOKUP($U$1,A:N,14,))/VLOOKUP($U$1,A:N,14,))*100)+100</f>
        <v/>
      </c>
      <c r="P374" s="76">
        <f>IF(VLOOKUP(A374,Database!$A:$AS,MATCH($P$1,Database!$A$1:$AS$1,0),FALSE)=0,#N/A,VLOOKUP(A374,Database!$A:$AS,MATCH($P$1,Database!$A$1:$AS$1,0),FALSE))</f>
        <v/>
      </c>
      <c r="Q374" s="76">
        <f>(((Table134567891011121314151617343[[#This Row],[JPN]]-VLOOKUP($U$1,A:Q,16,))/VLOOKUP($U$1,A:Q,16,))*100)+100</f>
        <v/>
      </c>
    </row>
    <row r="375" customFormat="1" s="86">
      <c r="A375" s="21" t="n">
        <v>44228</v>
      </c>
      <c r="B375" s="76">
        <f>IF(VLOOKUP(A375,Database!$A:$AS,MATCH($B$1,Database!$A$1:$AS$1,0),FALSE)=0,#N/A,VLOOKUP(A375,Database!$A:$AS,MATCH($B$1,Database!$A$1:$AS$1,0),FALSE))</f>
        <v/>
      </c>
      <c r="C375" s="76">
        <f>IF(VLOOKUP(A375,Database!$A:$AS,MATCH($C$1,Database!$A$1:$AS$1,0),FALSE)=0,#N/A,VLOOKUP(A375,Database!$A:$AS,MATCH($C$1,Database!$A$1:$AS$1,0),FALSE))</f>
        <v/>
      </c>
      <c r="D375" s="76">
        <f>IF(VLOOKUP(A375,Database!$A:$AS,MATCH($D$1,Database!$A$1:$AS$1,0),FALSE)=0,#N/A,VLOOKUP(A375,Database!$A:$AS,MATCH($D$1,Database!$A$1:$AS$1,0),FALSE))</f>
        <v/>
      </c>
      <c r="E375" s="76">
        <f>IF(VLOOKUP(A375,Database!$A:$AS,MATCH($E$1,Database!$A$1:$AS$1,0),FALSE)=0,#N/A,VLOOKUP(A375,Database!$A:$AS,MATCH($E$1,Database!$A$1:$AS$1,0),FALSE))</f>
        <v/>
      </c>
      <c r="F375" s="76">
        <f>IF(VLOOKUP(A375,Database!$A:$AS,MATCH($F$1,Database!$A$1:$AS$1,0),FALSE)=0,#N/A,VLOOKUP(A375,Database!$A:$AS,MATCH($F$1,Database!$A$1:$AS$1,0),FALSE))</f>
        <v/>
      </c>
      <c r="G375" s="76">
        <f>IF(VLOOKUP(A375,Database!$A:$AS,MATCH($G$1,Database!$A$1:$AS$1,0),FALSE)=0,#N/A,VLOOKUP(A375,Database!$A:$AS,MATCH($G$1,Database!$A$1:$AS$1,0),FALSE))</f>
        <v/>
      </c>
      <c r="H375" s="76">
        <f>(((Table134567891011121314151617343[[#This Row],[ITA]]-VLOOKUP($U$1,A:B,2,))/VLOOKUP($U$1,A:B,2,))*100)+100</f>
        <v/>
      </c>
      <c r="I375" s="76">
        <f>(((Table134567891011121314151617343[[#This Row],[FRA]]-VLOOKUP($U$1,A:C,3,))/VLOOKUP($U$1,A:C,3,))*100)+100</f>
        <v/>
      </c>
      <c r="J375" s="76">
        <f>(((Table134567891011121314151617343[[#This Row],[DEU]]-VLOOKUP($U$1,A:D,4,))/VLOOKUP($U$1,A:D,4,))*100)+100</f>
        <v/>
      </c>
      <c r="K375" s="76">
        <f>(((Table134567891011121314151617343[[#This Row],[ESP]]-VLOOKUP($U$1,A:E,5,))/VLOOKUP($U$1,A:E,5,))*100)+100</f>
        <v/>
      </c>
      <c r="L375" s="76">
        <f>(((Table134567891011121314151617343[[#This Row],[EA19]]-VLOOKUP($U$1,A:F,6,))/VLOOKUP($U$1,A:F,6,))*100)+100</f>
        <v/>
      </c>
      <c r="M375" s="76">
        <f>(((Table134567891011121314151617343[[#This Row],[GBR]]-VLOOKUP($U$1,A:G,7,))/VLOOKUP($U$1,A:G,7,))*100)+100</f>
        <v/>
      </c>
      <c r="N375" s="76">
        <f>IF(VLOOKUP(A375,Database!$A:$AU,MATCH($N$1,Database!$A$1:$AU$1,0),FALSE)=0,#N/A,VLOOKUP(A375,Database!$A:$AU,MATCH($N$1,Database!$A$1:$AU$1,0),FALSE))</f>
        <v/>
      </c>
      <c r="O375" s="76">
        <f>(((Table134567891011121314151617343[[#This Row],[USA]]-VLOOKUP($U$1,A:N,14,))/VLOOKUP($U$1,A:N,14,))*100)+100</f>
        <v/>
      </c>
      <c r="P375" s="76">
        <f>IF(VLOOKUP(A375,Database!$A:$AS,MATCH($P$1,Database!$A$1:$AS$1,0),FALSE)=0,#N/A,VLOOKUP(A375,Database!$A:$AS,MATCH($P$1,Database!$A$1:$AS$1,0),FALSE))</f>
        <v/>
      </c>
      <c r="Q375" s="76">
        <f>(((Table134567891011121314151617343[[#This Row],[JPN]]-VLOOKUP($U$1,A:Q,16,))/VLOOKUP($U$1,A:Q,16,))*100)+100</f>
        <v/>
      </c>
    </row>
    <row r="376" customFormat="1" s="86">
      <c r="A376" s="21" t="n">
        <v>44256</v>
      </c>
      <c r="B376" s="76">
        <f>IF(VLOOKUP(A376,Database!$A:$AS,MATCH($B$1,Database!$A$1:$AS$1,0),FALSE)=0,#N/A,VLOOKUP(A376,Database!$A:$AS,MATCH($B$1,Database!$A$1:$AS$1,0),FALSE))</f>
        <v/>
      </c>
      <c r="C376" s="76">
        <f>IF(VLOOKUP(A376,Database!$A:$AS,MATCH($C$1,Database!$A$1:$AS$1,0),FALSE)=0,#N/A,VLOOKUP(A376,Database!$A:$AS,MATCH($C$1,Database!$A$1:$AS$1,0),FALSE))</f>
        <v/>
      </c>
      <c r="D376" s="76">
        <f>IF(VLOOKUP(A376,Database!$A:$AS,MATCH($D$1,Database!$A$1:$AS$1,0),FALSE)=0,#N/A,VLOOKUP(A376,Database!$A:$AS,MATCH($D$1,Database!$A$1:$AS$1,0),FALSE))</f>
        <v/>
      </c>
      <c r="E376" s="76">
        <f>IF(VLOOKUP(A376,Database!$A:$AS,MATCH($E$1,Database!$A$1:$AS$1,0),FALSE)=0,#N/A,VLOOKUP(A376,Database!$A:$AS,MATCH($E$1,Database!$A$1:$AS$1,0),FALSE))</f>
        <v/>
      </c>
      <c r="F376" s="76">
        <f>IF(VLOOKUP(A376,Database!$A:$AS,MATCH($F$1,Database!$A$1:$AS$1,0),FALSE)=0,#N/A,VLOOKUP(A376,Database!$A:$AS,MATCH($F$1,Database!$A$1:$AS$1,0),FALSE))</f>
        <v/>
      </c>
      <c r="G376" s="76">
        <f>IF(VLOOKUP(A376,Database!$A:$AS,MATCH($G$1,Database!$A$1:$AS$1,0),FALSE)=0,#N/A,VLOOKUP(A376,Database!$A:$AS,MATCH($G$1,Database!$A$1:$AS$1,0),FALSE))</f>
        <v/>
      </c>
      <c r="H376" s="76">
        <f>(((Table134567891011121314151617343[[#This Row],[ITA]]-VLOOKUP($U$1,A:B,2,))/VLOOKUP($U$1,A:B,2,))*100)+100</f>
        <v/>
      </c>
      <c r="I376" s="76">
        <f>(((Table134567891011121314151617343[[#This Row],[FRA]]-VLOOKUP($U$1,A:C,3,))/VLOOKUP($U$1,A:C,3,))*100)+100</f>
        <v/>
      </c>
      <c r="J376" s="76">
        <f>(((Table134567891011121314151617343[[#This Row],[DEU]]-VLOOKUP($U$1,A:D,4,))/VLOOKUP($U$1,A:D,4,))*100)+100</f>
        <v/>
      </c>
      <c r="K376" s="76">
        <f>(((Table134567891011121314151617343[[#This Row],[ESP]]-VLOOKUP($U$1,A:E,5,))/VLOOKUP($U$1,A:E,5,))*100)+100</f>
        <v/>
      </c>
      <c r="L376" s="76">
        <f>(((Table134567891011121314151617343[[#This Row],[EA19]]-VLOOKUP($U$1,A:F,6,))/VLOOKUP($U$1,A:F,6,))*100)+100</f>
        <v/>
      </c>
      <c r="M376" s="76">
        <f>(((Table134567891011121314151617343[[#This Row],[GBR]]-VLOOKUP($U$1,A:G,7,))/VLOOKUP($U$1,A:G,7,))*100)+100</f>
        <v/>
      </c>
      <c r="N376" s="76">
        <f>IF(VLOOKUP(A376,Database!$A:$AU,MATCH($N$1,Database!$A$1:$AU$1,0),FALSE)=0,#N/A,VLOOKUP(A376,Database!$A:$AU,MATCH($N$1,Database!$A$1:$AU$1,0),FALSE))</f>
        <v/>
      </c>
      <c r="O376" s="76">
        <f>(((Table134567891011121314151617343[[#This Row],[USA]]-VLOOKUP($U$1,A:N,14,))/VLOOKUP($U$1,A:N,14,))*100)+100</f>
        <v/>
      </c>
      <c r="P376" s="76">
        <f>IF(VLOOKUP(A376,Database!$A:$AS,MATCH($P$1,Database!$A$1:$AS$1,0),FALSE)=0,#N/A,VLOOKUP(A376,Database!$A:$AS,MATCH($P$1,Database!$A$1:$AS$1,0),FALSE))</f>
        <v/>
      </c>
      <c r="Q376" s="76">
        <f>(((Table134567891011121314151617343[[#This Row],[JPN]]-VLOOKUP($U$1,A:Q,16,))/VLOOKUP($U$1,A:Q,16,))*100)+100</f>
        <v/>
      </c>
    </row>
    <row r="377" customFormat="1" s="86">
      <c r="A377" s="21" t="n">
        <v>44287</v>
      </c>
      <c r="B377" s="76">
        <f>IF(VLOOKUP(A377,Database!$A:$AS,MATCH($B$1,Database!$A$1:$AS$1,0),FALSE)=0,#N/A,VLOOKUP(A377,Database!$A:$AS,MATCH($B$1,Database!$A$1:$AS$1,0),FALSE))</f>
        <v/>
      </c>
      <c r="C377" s="76">
        <f>IF(VLOOKUP(A377,Database!$A:$AS,MATCH($C$1,Database!$A$1:$AS$1,0),FALSE)=0,#N/A,VLOOKUP(A377,Database!$A:$AS,MATCH($C$1,Database!$A$1:$AS$1,0),FALSE))</f>
        <v/>
      </c>
      <c r="D377" s="76">
        <f>IF(VLOOKUP(A377,Database!$A:$AS,MATCH($D$1,Database!$A$1:$AS$1,0),FALSE)=0,#N/A,VLOOKUP(A377,Database!$A:$AS,MATCH($D$1,Database!$A$1:$AS$1,0),FALSE))</f>
        <v/>
      </c>
      <c r="E377" s="76">
        <f>IF(VLOOKUP(A377,Database!$A:$AS,MATCH($E$1,Database!$A$1:$AS$1,0),FALSE)=0,#N/A,VLOOKUP(A377,Database!$A:$AS,MATCH($E$1,Database!$A$1:$AS$1,0),FALSE))</f>
        <v/>
      </c>
      <c r="F377" s="76">
        <f>IF(VLOOKUP(A377,Database!$A:$AS,MATCH($F$1,Database!$A$1:$AS$1,0),FALSE)=0,#N/A,VLOOKUP(A377,Database!$A:$AS,MATCH($F$1,Database!$A$1:$AS$1,0),FALSE))</f>
        <v/>
      </c>
      <c r="G377" s="76">
        <f>IF(VLOOKUP(A377,Database!$A:$AS,MATCH($G$1,Database!$A$1:$AS$1,0),FALSE)=0,#N/A,VLOOKUP(A377,Database!$A:$AS,MATCH($G$1,Database!$A$1:$AS$1,0),FALSE))</f>
        <v/>
      </c>
      <c r="H377" s="76">
        <f>(((Table134567891011121314151617343[[#This Row],[ITA]]-VLOOKUP($U$1,A:B,2,))/VLOOKUP($U$1,A:B,2,))*100)+100</f>
        <v/>
      </c>
      <c r="I377" s="76">
        <f>(((Table134567891011121314151617343[[#This Row],[FRA]]-VLOOKUP($U$1,A:C,3,))/VLOOKUP($U$1,A:C,3,))*100)+100</f>
        <v/>
      </c>
      <c r="J377" s="76">
        <f>(((Table134567891011121314151617343[[#This Row],[DEU]]-VLOOKUP($U$1,A:D,4,))/VLOOKUP($U$1,A:D,4,))*100)+100</f>
        <v/>
      </c>
      <c r="K377" s="76">
        <f>(((Table134567891011121314151617343[[#This Row],[ESP]]-VLOOKUP($U$1,A:E,5,))/VLOOKUP($U$1,A:E,5,))*100)+100</f>
        <v/>
      </c>
      <c r="L377" s="76">
        <f>(((Table134567891011121314151617343[[#This Row],[EA19]]-VLOOKUP($U$1,A:F,6,))/VLOOKUP($U$1,A:F,6,))*100)+100</f>
        <v/>
      </c>
      <c r="M377" s="76">
        <f>(((Table134567891011121314151617343[[#This Row],[GBR]]-VLOOKUP($U$1,A:G,7,))/VLOOKUP($U$1,A:G,7,))*100)+100</f>
        <v/>
      </c>
      <c r="N377" s="76">
        <f>IF(VLOOKUP(A377,Database!$A:$AU,MATCH($N$1,Database!$A$1:$AU$1,0),FALSE)=0,#N/A,VLOOKUP(A377,Database!$A:$AU,MATCH($N$1,Database!$A$1:$AU$1,0),FALSE))</f>
        <v/>
      </c>
      <c r="O377" s="76">
        <f>(((Table134567891011121314151617343[[#This Row],[USA]]-VLOOKUP($U$1,A:N,14,))/VLOOKUP($U$1,A:N,14,))*100)+100</f>
        <v/>
      </c>
      <c r="P377" s="76">
        <f>IF(VLOOKUP(A377,Database!$A:$AS,MATCH($P$1,Database!$A$1:$AS$1,0),FALSE)=0,#N/A,VLOOKUP(A377,Database!$A:$AS,MATCH($P$1,Database!$A$1:$AS$1,0),FALSE))</f>
        <v/>
      </c>
      <c r="Q377" s="76">
        <f>(((Table134567891011121314151617343[[#This Row],[JPN]]-VLOOKUP($U$1,A:Q,16,))/VLOOKUP($U$1,A:Q,16,))*100)+100</f>
        <v/>
      </c>
    </row>
    <row r="378" customFormat="1" s="86">
      <c r="A378" s="21" t="n">
        <v>44317</v>
      </c>
      <c r="B378" s="76">
        <f>IF(VLOOKUP(A378,Database!$A:$AS,MATCH($B$1,Database!$A$1:$AS$1,0),FALSE)=0,#N/A,VLOOKUP(A378,Database!$A:$AS,MATCH($B$1,Database!$A$1:$AS$1,0),FALSE))</f>
        <v/>
      </c>
      <c r="C378" s="76">
        <f>IF(VLOOKUP(A378,Database!$A:$AS,MATCH($C$1,Database!$A$1:$AS$1,0),FALSE)=0,#N/A,VLOOKUP(A378,Database!$A:$AS,MATCH($C$1,Database!$A$1:$AS$1,0),FALSE))</f>
        <v/>
      </c>
      <c r="D378" s="76">
        <f>IF(VLOOKUP(A378,Database!$A:$AS,MATCH($D$1,Database!$A$1:$AS$1,0),FALSE)=0,#N/A,VLOOKUP(A378,Database!$A:$AS,MATCH($D$1,Database!$A$1:$AS$1,0),FALSE))</f>
        <v/>
      </c>
      <c r="E378" s="76">
        <f>IF(VLOOKUP(A378,Database!$A:$AS,MATCH($E$1,Database!$A$1:$AS$1,0),FALSE)=0,#N/A,VLOOKUP(A378,Database!$A:$AS,MATCH($E$1,Database!$A$1:$AS$1,0),FALSE))</f>
        <v/>
      </c>
      <c r="F378" s="76">
        <f>IF(VLOOKUP(A378,Database!$A:$AS,MATCH($F$1,Database!$A$1:$AS$1,0),FALSE)=0,#N/A,VLOOKUP(A378,Database!$A:$AS,MATCH($F$1,Database!$A$1:$AS$1,0),FALSE))</f>
        <v/>
      </c>
      <c r="G378" s="76">
        <f>IF(VLOOKUP(A378,Database!$A:$AS,MATCH($G$1,Database!$A$1:$AS$1,0),FALSE)=0,#N/A,VLOOKUP(A378,Database!$A:$AS,MATCH($G$1,Database!$A$1:$AS$1,0),FALSE))</f>
        <v/>
      </c>
      <c r="H378" s="76">
        <f>(((Table134567891011121314151617343[[#This Row],[ITA]]-VLOOKUP($U$1,A:B,2,))/VLOOKUP($U$1,A:B,2,))*100)+100</f>
        <v/>
      </c>
      <c r="I378" s="76">
        <f>(((Table134567891011121314151617343[[#This Row],[FRA]]-VLOOKUP($U$1,A:C,3,))/VLOOKUP($U$1,A:C,3,))*100)+100</f>
        <v/>
      </c>
      <c r="J378" s="76">
        <f>(((Table134567891011121314151617343[[#This Row],[DEU]]-VLOOKUP($U$1,A:D,4,))/VLOOKUP($U$1,A:D,4,))*100)+100</f>
        <v/>
      </c>
      <c r="K378" s="76">
        <f>(((Table134567891011121314151617343[[#This Row],[ESP]]-VLOOKUP($U$1,A:E,5,))/VLOOKUP($U$1,A:E,5,))*100)+100</f>
        <v/>
      </c>
      <c r="L378" s="76">
        <f>(((Table134567891011121314151617343[[#This Row],[EA19]]-VLOOKUP($U$1,A:F,6,))/VLOOKUP($U$1,A:F,6,))*100)+100</f>
        <v/>
      </c>
      <c r="M378" s="76">
        <f>(((Table134567891011121314151617343[[#This Row],[GBR]]-VLOOKUP($U$1,A:G,7,))/VLOOKUP($U$1,A:G,7,))*100)+100</f>
        <v/>
      </c>
      <c r="N378" s="76">
        <f>IF(VLOOKUP(A378,Database!$A:$AU,MATCH($N$1,Database!$A$1:$AU$1,0),FALSE)=0,#N/A,VLOOKUP(A378,Database!$A:$AU,MATCH($N$1,Database!$A$1:$AU$1,0),FALSE))</f>
        <v/>
      </c>
      <c r="O378" s="76">
        <f>(((Table134567891011121314151617343[[#This Row],[USA]]-VLOOKUP($U$1,A:N,14,))/VLOOKUP($U$1,A:N,14,))*100)+100</f>
        <v/>
      </c>
      <c r="P378" s="76">
        <f>IF(VLOOKUP(A378,Database!$A:$AS,MATCH($P$1,Database!$A$1:$AS$1,0),FALSE)=0,#N/A,VLOOKUP(A378,Database!$A:$AS,MATCH($P$1,Database!$A$1:$AS$1,0),FALSE))</f>
        <v/>
      </c>
      <c r="Q378" s="76">
        <f>(((Table134567891011121314151617343[[#This Row],[JPN]]-VLOOKUP($U$1,A:Q,16,))/VLOOKUP($U$1,A:Q,16,))*100)+100</f>
        <v/>
      </c>
    </row>
    <row r="379" customFormat="1" s="86">
      <c r="A379" s="21" t="n">
        <v>44348</v>
      </c>
      <c r="B379" s="76">
        <f>IF(VLOOKUP(A379,Database!$A:$AS,MATCH($B$1,Database!$A$1:$AS$1,0),FALSE)=0,#N/A,VLOOKUP(A379,Database!$A:$AS,MATCH($B$1,Database!$A$1:$AS$1,0),FALSE))</f>
        <v/>
      </c>
      <c r="C379" s="76">
        <f>IF(VLOOKUP(A379,Database!$A:$AS,MATCH($C$1,Database!$A$1:$AS$1,0),FALSE)=0,#N/A,VLOOKUP(A379,Database!$A:$AS,MATCH($C$1,Database!$A$1:$AS$1,0),FALSE))</f>
        <v/>
      </c>
      <c r="D379" s="76">
        <f>IF(VLOOKUP(A379,Database!$A:$AS,MATCH($D$1,Database!$A$1:$AS$1,0),FALSE)=0,#N/A,VLOOKUP(A379,Database!$A:$AS,MATCH($D$1,Database!$A$1:$AS$1,0),FALSE))</f>
        <v/>
      </c>
      <c r="E379" s="76">
        <f>IF(VLOOKUP(A379,Database!$A:$AS,MATCH($E$1,Database!$A$1:$AS$1,0),FALSE)=0,#N/A,VLOOKUP(A379,Database!$A:$AS,MATCH($E$1,Database!$A$1:$AS$1,0),FALSE))</f>
        <v/>
      </c>
      <c r="F379" s="76">
        <f>IF(VLOOKUP(A379,Database!$A:$AS,MATCH($F$1,Database!$A$1:$AS$1,0),FALSE)=0,#N/A,VLOOKUP(A379,Database!$A:$AS,MATCH($F$1,Database!$A$1:$AS$1,0),FALSE))</f>
        <v/>
      </c>
      <c r="G379" s="76">
        <f>IF(VLOOKUP(A379,Database!$A:$AS,MATCH($G$1,Database!$A$1:$AS$1,0),FALSE)=0,#N/A,VLOOKUP(A379,Database!$A:$AS,MATCH($G$1,Database!$A$1:$AS$1,0),FALSE))</f>
        <v/>
      </c>
      <c r="H379" s="76">
        <f>(((Table134567891011121314151617343[[#This Row],[ITA]]-VLOOKUP($U$1,A:B,2,))/VLOOKUP($U$1,A:B,2,))*100)+100</f>
        <v/>
      </c>
      <c r="I379" s="76">
        <f>(((Table134567891011121314151617343[[#This Row],[FRA]]-VLOOKUP($U$1,A:C,3,))/VLOOKUP($U$1,A:C,3,))*100)+100</f>
        <v/>
      </c>
      <c r="J379" s="76">
        <f>(((Table134567891011121314151617343[[#This Row],[DEU]]-VLOOKUP($U$1,A:D,4,))/VLOOKUP($U$1,A:D,4,))*100)+100</f>
        <v/>
      </c>
      <c r="K379" s="76">
        <f>(((Table134567891011121314151617343[[#This Row],[ESP]]-VLOOKUP($U$1,A:E,5,))/VLOOKUP($U$1,A:E,5,))*100)+100</f>
        <v/>
      </c>
      <c r="L379" s="76">
        <f>(((Table134567891011121314151617343[[#This Row],[EA19]]-VLOOKUP($U$1,A:F,6,))/VLOOKUP($U$1,A:F,6,))*100)+100</f>
        <v/>
      </c>
      <c r="M379" s="76">
        <f>(((Table134567891011121314151617343[[#This Row],[GBR]]-VLOOKUP($U$1,A:G,7,))/VLOOKUP($U$1,A:G,7,))*100)+100</f>
        <v/>
      </c>
      <c r="N379" s="76">
        <f>IF(VLOOKUP(A379,Database!$A:$AU,MATCH($N$1,Database!$A$1:$AU$1,0),FALSE)=0,#N/A,VLOOKUP(A379,Database!$A:$AU,MATCH($N$1,Database!$A$1:$AU$1,0),FALSE))</f>
        <v/>
      </c>
      <c r="O379" s="76">
        <f>(((Table134567891011121314151617343[[#This Row],[USA]]-VLOOKUP($U$1,A:N,14,))/VLOOKUP($U$1,A:N,14,))*100)+100</f>
        <v/>
      </c>
      <c r="P379" s="76">
        <f>IF(VLOOKUP(A379,Database!$A:$AS,MATCH($P$1,Database!$A$1:$AS$1,0),FALSE)=0,#N/A,VLOOKUP(A379,Database!$A:$AS,MATCH($P$1,Database!$A$1:$AS$1,0),FALSE))</f>
        <v/>
      </c>
      <c r="Q379" s="76">
        <f>(((Table134567891011121314151617343[[#This Row],[JPN]]-VLOOKUP($U$1,A:Q,16,))/VLOOKUP($U$1,A:Q,16,))*100)+100</f>
        <v/>
      </c>
    </row>
    <row r="380" customFormat="1" s="86">
      <c r="A380" s="21" t="n">
        <v>44378</v>
      </c>
      <c r="B380" s="76">
        <f>IF(VLOOKUP(A380,Database!$A:$AS,MATCH($B$1,Database!$A$1:$AS$1,0),FALSE)=0,#N/A,VLOOKUP(A380,Database!$A:$AS,MATCH($B$1,Database!$A$1:$AS$1,0),FALSE))</f>
        <v/>
      </c>
      <c r="C380" s="76">
        <f>IF(VLOOKUP(A380,Database!$A:$AS,MATCH($C$1,Database!$A$1:$AS$1,0),FALSE)=0,#N/A,VLOOKUP(A380,Database!$A:$AS,MATCH($C$1,Database!$A$1:$AS$1,0),FALSE))</f>
        <v/>
      </c>
      <c r="D380" s="76">
        <f>IF(VLOOKUP(A380,Database!$A:$AS,MATCH($D$1,Database!$A$1:$AS$1,0),FALSE)=0,#N/A,VLOOKUP(A380,Database!$A:$AS,MATCH($D$1,Database!$A$1:$AS$1,0),FALSE))</f>
        <v/>
      </c>
      <c r="E380" s="76">
        <f>IF(VLOOKUP(A380,Database!$A:$AS,MATCH($E$1,Database!$A$1:$AS$1,0),FALSE)=0,#N/A,VLOOKUP(A380,Database!$A:$AS,MATCH($E$1,Database!$A$1:$AS$1,0),FALSE))</f>
        <v/>
      </c>
      <c r="F380" s="76">
        <f>IF(VLOOKUP(A380,Database!$A:$AS,MATCH($F$1,Database!$A$1:$AS$1,0),FALSE)=0,#N/A,VLOOKUP(A380,Database!$A:$AS,MATCH($F$1,Database!$A$1:$AS$1,0),FALSE))</f>
        <v/>
      </c>
      <c r="G380" s="76">
        <f>IF(VLOOKUP(A380,Database!$A:$AS,MATCH($G$1,Database!$A$1:$AS$1,0),FALSE)=0,#N/A,VLOOKUP(A380,Database!$A:$AS,MATCH($G$1,Database!$A$1:$AS$1,0),FALSE))</f>
        <v/>
      </c>
      <c r="H380" s="76">
        <f>(((Table134567891011121314151617343[[#This Row],[ITA]]-VLOOKUP($U$1,A:B,2,))/VLOOKUP($U$1,A:B,2,))*100)+100</f>
        <v/>
      </c>
      <c r="I380" s="76">
        <f>(((Table134567891011121314151617343[[#This Row],[FRA]]-VLOOKUP($U$1,A:C,3,))/VLOOKUP($U$1,A:C,3,))*100)+100</f>
        <v/>
      </c>
      <c r="J380" s="76">
        <f>(((Table134567891011121314151617343[[#This Row],[DEU]]-VLOOKUP($U$1,A:D,4,))/VLOOKUP($U$1,A:D,4,))*100)+100</f>
        <v/>
      </c>
      <c r="K380" s="76">
        <f>(((Table134567891011121314151617343[[#This Row],[ESP]]-VLOOKUP($U$1,A:E,5,))/VLOOKUP($U$1,A:E,5,))*100)+100</f>
        <v/>
      </c>
      <c r="L380" s="76">
        <f>(((Table134567891011121314151617343[[#This Row],[EA19]]-VLOOKUP($U$1,A:F,6,))/VLOOKUP($U$1,A:F,6,))*100)+100</f>
        <v/>
      </c>
      <c r="M380" s="76">
        <f>(((Table134567891011121314151617343[[#This Row],[GBR]]-VLOOKUP($U$1,A:G,7,))/VLOOKUP($U$1,A:G,7,))*100)+100</f>
        <v/>
      </c>
      <c r="N380" s="76">
        <f>IF(VLOOKUP(A380,Database!$A:$AU,MATCH($N$1,Database!$A$1:$AU$1,0),FALSE)=0,#N/A,VLOOKUP(A380,Database!$A:$AU,MATCH($N$1,Database!$A$1:$AU$1,0),FALSE))</f>
        <v/>
      </c>
      <c r="O380" s="76">
        <f>(((Table134567891011121314151617343[[#This Row],[USA]]-VLOOKUP($U$1,A:N,14,))/VLOOKUP($U$1,A:N,14,))*100)+100</f>
        <v/>
      </c>
      <c r="P380" s="76">
        <f>IF(VLOOKUP(A380,Database!$A:$AS,MATCH($P$1,Database!$A$1:$AS$1,0),FALSE)=0,#N/A,VLOOKUP(A380,Database!$A:$AS,MATCH($P$1,Database!$A$1:$AS$1,0),FALSE))</f>
        <v/>
      </c>
      <c r="Q380" s="76">
        <f>(((Table134567891011121314151617343[[#This Row],[JPN]]-VLOOKUP($U$1,A:Q,16,))/VLOOKUP($U$1,A:Q,16,))*100)+100</f>
        <v/>
      </c>
    </row>
    <row r="381" customFormat="1" s="86">
      <c r="A381" s="21" t="n">
        <v>44409</v>
      </c>
      <c r="B381" s="76">
        <f>IF(VLOOKUP(A381,Database!$A:$AS,MATCH($B$1,Database!$A$1:$AS$1,0),FALSE)=0,#N/A,VLOOKUP(A381,Database!$A:$AS,MATCH($B$1,Database!$A$1:$AS$1,0),FALSE))</f>
        <v/>
      </c>
      <c r="C381" s="76">
        <f>IF(VLOOKUP(A381,Database!$A:$AS,MATCH($C$1,Database!$A$1:$AS$1,0),FALSE)=0,#N/A,VLOOKUP(A381,Database!$A:$AS,MATCH($C$1,Database!$A$1:$AS$1,0),FALSE))</f>
        <v/>
      </c>
      <c r="D381" s="76">
        <f>IF(VLOOKUP(A381,Database!$A:$AS,MATCH($D$1,Database!$A$1:$AS$1,0),FALSE)=0,#N/A,VLOOKUP(A381,Database!$A:$AS,MATCH($D$1,Database!$A$1:$AS$1,0),FALSE))</f>
        <v/>
      </c>
      <c r="E381" s="76">
        <f>IF(VLOOKUP(A381,Database!$A:$AS,MATCH($E$1,Database!$A$1:$AS$1,0),FALSE)=0,#N/A,VLOOKUP(A381,Database!$A:$AS,MATCH($E$1,Database!$A$1:$AS$1,0),FALSE))</f>
        <v/>
      </c>
      <c r="F381" s="76">
        <f>IF(VLOOKUP(A381,Database!$A:$AS,MATCH($F$1,Database!$A$1:$AS$1,0),FALSE)=0,#N/A,VLOOKUP(A381,Database!$A:$AS,MATCH($F$1,Database!$A$1:$AS$1,0),FALSE))</f>
        <v/>
      </c>
      <c r="G381" s="76">
        <f>IF(VLOOKUP(A381,Database!$A:$AS,MATCH($G$1,Database!$A$1:$AS$1,0),FALSE)=0,#N/A,VLOOKUP(A381,Database!$A:$AS,MATCH($G$1,Database!$A$1:$AS$1,0),FALSE))</f>
        <v/>
      </c>
      <c r="H381" s="76">
        <f>(((Table134567891011121314151617343[[#This Row],[ITA]]-VLOOKUP($U$1,A:B,2,))/VLOOKUP($U$1,A:B,2,))*100)+100</f>
        <v/>
      </c>
      <c r="I381" s="76">
        <f>(((Table134567891011121314151617343[[#This Row],[FRA]]-VLOOKUP($U$1,A:C,3,))/VLOOKUP($U$1,A:C,3,))*100)+100</f>
        <v/>
      </c>
      <c r="J381" s="76">
        <f>(((Table134567891011121314151617343[[#This Row],[DEU]]-VLOOKUP($U$1,A:D,4,))/VLOOKUP($U$1,A:D,4,))*100)+100</f>
        <v/>
      </c>
      <c r="K381" s="76">
        <f>(((Table134567891011121314151617343[[#This Row],[ESP]]-VLOOKUP($U$1,A:E,5,))/VLOOKUP($U$1,A:E,5,))*100)+100</f>
        <v/>
      </c>
      <c r="L381" s="76">
        <f>(((Table134567891011121314151617343[[#This Row],[EA19]]-VLOOKUP($U$1,A:F,6,))/VLOOKUP($U$1,A:F,6,))*100)+100</f>
        <v/>
      </c>
      <c r="M381" s="76">
        <f>(((Table134567891011121314151617343[[#This Row],[GBR]]-VLOOKUP($U$1,A:G,7,))/VLOOKUP($U$1,A:G,7,))*100)+100</f>
        <v/>
      </c>
      <c r="N381" s="76">
        <f>IF(VLOOKUP(A381,Database!$A:$AU,MATCH($N$1,Database!$A$1:$AU$1,0),FALSE)=0,#N/A,VLOOKUP(A381,Database!$A:$AU,MATCH($N$1,Database!$A$1:$AU$1,0),FALSE))</f>
        <v/>
      </c>
      <c r="O381" s="76">
        <f>(((Table134567891011121314151617343[[#This Row],[USA]]-VLOOKUP($U$1,A:N,14,))/VLOOKUP($U$1,A:N,14,))*100)+100</f>
        <v/>
      </c>
      <c r="P381" s="76">
        <f>IF(VLOOKUP(A381,Database!$A:$AS,MATCH($P$1,Database!$A$1:$AS$1,0),FALSE)=0,#N/A,VLOOKUP(A381,Database!$A:$AS,MATCH($P$1,Database!$A$1:$AS$1,0),FALSE))</f>
        <v/>
      </c>
      <c r="Q381" s="76">
        <f>(((Table134567891011121314151617343[[#This Row],[JPN]]-VLOOKUP($U$1,A:Q,16,))/VLOOKUP($U$1,A:Q,16,))*100)+100</f>
        <v/>
      </c>
    </row>
    <row r="382" customFormat="1" s="86">
      <c r="A382" s="21" t="n">
        <v>44440</v>
      </c>
      <c r="B382" s="76">
        <f>IF(VLOOKUP(A382,Database!$A:$AS,MATCH($B$1,Database!$A$1:$AS$1,0),FALSE)=0,#N/A,VLOOKUP(A382,Database!$A:$AS,MATCH($B$1,Database!$A$1:$AS$1,0),FALSE))</f>
        <v/>
      </c>
      <c r="C382" s="76">
        <f>IF(VLOOKUP(A382,Database!$A:$AS,MATCH($C$1,Database!$A$1:$AS$1,0),FALSE)=0,#N/A,VLOOKUP(A382,Database!$A:$AS,MATCH($C$1,Database!$A$1:$AS$1,0),FALSE))</f>
        <v/>
      </c>
      <c r="D382" s="76">
        <f>IF(VLOOKUP(A382,Database!$A:$AS,MATCH($D$1,Database!$A$1:$AS$1,0),FALSE)=0,#N/A,VLOOKUP(A382,Database!$A:$AS,MATCH($D$1,Database!$A$1:$AS$1,0),FALSE))</f>
        <v/>
      </c>
      <c r="E382" s="76">
        <f>IF(VLOOKUP(A382,Database!$A:$AS,MATCH($E$1,Database!$A$1:$AS$1,0),FALSE)=0,#N/A,VLOOKUP(A382,Database!$A:$AS,MATCH($E$1,Database!$A$1:$AS$1,0),FALSE))</f>
        <v/>
      </c>
      <c r="F382" s="76">
        <f>IF(VLOOKUP(A382,Database!$A:$AS,MATCH($F$1,Database!$A$1:$AS$1,0),FALSE)=0,#N/A,VLOOKUP(A382,Database!$A:$AS,MATCH($F$1,Database!$A$1:$AS$1,0),FALSE))</f>
        <v/>
      </c>
      <c r="G382" s="76">
        <f>IF(VLOOKUP(A382,Database!$A:$AS,MATCH($G$1,Database!$A$1:$AS$1,0),FALSE)=0,#N/A,VLOOKUP(A382,Database!$A:$AS,MATCH($G$1,Database!$A$1:$AS$1,0),FALSE))</f>
        <v/>
      </c>
      <c r="H382" s="76">
        <f>(((Table134567891011121314151617343[[#This Row],[ITA]]-VLOOKUP($U$1,A:B,2,))/VLOOKUP($U$1,A:B,2,))*100)+100</f>
        <v/>
      </c>
      <c r="I382" s="76">
        <f>(((Table134567891011121314151617343[[#This Row],[FRA]]-VLOOKUP($U$1,A:C,3,))/VLOOKUP($U$1,A:C,3,))*100)+100</f>
        <v/>
      </c>
      <c r="J382" s="76">
        <f>(((Table134567891011121314151617343[[#This Row],[DEU]]-VLOOKUP($U$1,A:D,4,))/VLOOKUP($U$1,A:D,4,))*100)+100</f>
        <v/>
      </c>
      <c r="K382" s="76">
        <f>(((Table134567891011121314151617343[[#This Row],[ESP]]-VLOOKUP($U$1,A:E,5,))/VLOOKUP($U$1,A:E,5,))*100)+100</f>
        <v/>
      </c>
      <c r="L382" s="76">
        <f>(((Table134567891011121314151617343[[#This Row],[EA19]]-VLOOKUP($U$1,A:F,6,))/VLOOKUP($U$1,A:F,6,))*100)+100</f>
        <v/>
      </c>
      <c r="M382" s="76">
        <f>(((Table134567891011121314151617343[[#This Row],[GBR]]-VLOOKUP($U$1,A:G,7,))/VLOOKUP($U$1,A:G,7,))*100)+100</f>
        <v/>
      </c>
      <c r="N382" s="76">
        <f>IF(VLOOKUP(A382,Database!$A:$AU,MATCH($N$1,Database!$A$1:$AU$1,0),FALSE)=0,#N/A,VLOOKUP(A382,Database!$A:$AU,MATCH($N$1,Database!$A$1:$AU$1,0),FALSE))</f>
        <v/>
      </c>
      <c r="O382" s="76">
        <f>(((Table134567891011121314151617343[[#This Row],[USA]]-VLOOKUP($U$1,A:N,14,))/VLOOKUP($U$1,A:N,14,))*100)+100</f>
        <v/>
      </c>
      <c r="P382" s="76">
        <f>IF(VLOOKUP(A382,Database!$A:$AS,MATCH($P$1,Database!$A$1:$AS$1,0),FALSE)=0,#N/A,VLOOKUP(A382,Database!$A:$AS,MATCH($P$1,Database!$A$1:$AS$1,0),FALSE))</f>
        <v/>
      </c>
      <c r="Q382" s="76">
        <f>(((Table134567891011121314151617343[[#This Row],[JPN]]-VLOOKUP($U$1,A:Q,16,))/VLOOKUP($U$1,A:Q,16,))*100)+100</f>
        <v/>
      </c>
    </row>
    <row r="383" customFormat="1" s="86">
      <c r="A383" s="21" t="n">
        <v>44470</v>
      </c>
      <c r="B383" s="76">
        <f>IF(VLOOKUP(A383,Database!$A:$AS,MATCH($B$1,Database!$A$1:$AS$1,0),FALSE)=0,#N/A,VLOOKUP(A383,Database!$A:$AS,MATCH($B$1,Database!$A$1:$AS$1,0),FALSE))</f>
        <v/>
      </c>
      <c r="C383" s="76">
        <f>IF(VLOOKUP(A383,Database!$A:$AS,MATCH($C$1,Database!$A$1:$AS$1,0),FALSE)=0,#N/A,VLOOKUP(A383,Database!$A:$AS,MATCH($C$1,Database!$A$1:$AS$1,0),FALSE))</f>
        <v/>
      </c>
      <c r="D383" s="76">
        <f>IF(VLOOKUP(A383,Database!$A:$AS,MATCH($D$1,Database!$A$1:$AS$1,0),FALSE)=0,#N/A,VLOOKUP(A383,Database!$A:$AS,MATCH($D$1,Database!$A$1:$AS$1,0),FALSE))</f>
        <v/>
      </c>
      <c r="E383" s="76">
        <f>IF(VLOOKUP(A383,Database!$A:$AS,MATCH($E$1,Database!$A$1:$AS$1,0),FALSE)=0,#N/A,VLOOKUP(A383,Database!$A:$AS,MATCH($E$1,Database!$A$1:$AS$1,0),FALSE))</f>
        <v/>
      </c>
      <c r="F383" s="76">
        <f>IF(VLOOKUP(A383,Database!$A:$AS,MATCH($F$1,Database!$A$1:$AS$1,0),FALSE)=0,#N/A,VLOOKUP(A383,Database!$A:$AS,MATCH($F$1,Database!$A$1:$AS$1,0),FALSE))</f>
        <v/>
      </c>
      <c r="G383" s="76">
        <f>IF(VLOOKUP(A383,Database!$A:$AS,MATCH($G$1,Database!$A$1:$AS$1,0),FALSE)=0,#N/A,VLOOKUP(A383,Database!$A:$AS,MATCH($G$1,Database!$A$1:$AS$1,0),FALSE))</f>
        <v/>
      </c>
      <c r="H383" s="76">
        <f>(((Table134567891011121314151617343[[#This Row],[ITA]]-VLOOKUP($U$1,A:B,2,))/VLOOKUP($U$1,A:B,2,))*100)+100</f>
        <v/>
      </c>
      <c r="I383" s="76">
        <f>(((Table134567891011121314151617343[[#This Row],[FRA]]-VLOOKUP($U$1,A:C,3,))/VLOOKUP($U$1,A:C,3,))*100)+100</f>
        <v/>
      </c>
      <c r="J383" s="76">
        <f>(((Table134567891011121314151617343[[#This Row],[DEU]]-VLOOKUP($U$1,A:D,4,))/VLOOKUP($U$1,A:D,4,))*100)+100</f>
        <v/>
      </c>
      <c r="K383" s="76">
        <f>(((Table134567891011121314151617343[[#This Row],[ESP]]-VLOOKUP($U$1,A:E,5,))/VLOOKUP($U$1,A:E,5,))*100)+100</f>
        <v/>
      </c>
      <c r="L383" s="76">
        <f>(((Table134567891011121314151617343[[#This Row],[EA19]]-VLOOKUP($U$1,A:F,6,))/VLOOKUP($U$1,A:F,6,))*100)+100</f>
        <v/>
      </c>
      <c r="M383" s="76">
        <f>(((Table134567891011121314151617343[[#This Row],[GBR]]-VLOOKUP($U$1,A:G,7,))/VLOOKUP($U$1,A:G,7,))*100)+100</f>
        <v/>
      </c>
      <c r="N383" s="76">
        <f>IF(VLOOKUP(A383,Database!$A:$AU,MATCH($N$1,Database!$A$1:$AU$1,0),FALSE)=0,#N/A,VLOOKUP(A383,Database!$A:$AU,MATCH($N$1,Database!$A$1:$AU$1,0),FALSE))</f>
        <v/>
      </c>
      <c r="O383" s="76">
        <f>(((Table134567891011121314151617343[[#This Row],[USA]]-VLOOKUP($U$1,A:N,14,))/VLOOKUP($U$1,A:N,14,))*100)+100</f>
        <v/>
      </c>
      <c r="P383" s="76">
        <f>IF(VLOOKUP(A383,Database!$A:$AS,MATCH($P$1,Database!$A$1:$AS$1,0),FALSE)=0,#N/A,VLOOKUP(A383,Database!$A:$AS,MATCH($P$1,Database!$A$1:$AS$1,0),FALSE))</f>
        <v/>
      </c>
      <c r="Q383" s="76">
        <f>(((Table134567891011121314151617343[[#This Row],[JPN]]-VLOOKUP($U$1,A:Q,16,))/VLOOKUP($U$1,A:Q,16,))*100)+100</f>
        <v/>
      </c>
    </row>
    <row r="384" customFormat="1" s="86">
      <c r="A384" s="21" t="n">
        <v>44501</v>
      </c>
      <c r="B384" s="76">
        <f>IF(VLOOKUP(A384,Database!$A:$AS,MATCH($B$1,Database!$A$1:$AS$1,0),FALSE)=0,#N/A,VLOOKUP(A384,Database!$A:$AS,MATCH($B$1,Database!$A$1:$AS$1,0),FALSE))</f>
        <v/>
      </c>
      <c r="C384" s="76">
        <f>IF(VLOOKUP(A384,Database!$A:$AS,MATCH($C$1,Database!$A$1:$AS$1,0),FALSE)=0,#N/A,VLOOKUP(A384,Database!$A:$AS,MATCH($C$1,Database!$A$1:$AS$1,0),FALSE))</f>
        <v/>
      </c>
      <c r="D384" s="76">
        <f>IF(VLOOKUP(A384,Database!$A:$AS,MATCH($D$1,Database!$A$1:$AS$1,0),FALSE)=0,#N/A,VLOOKUP(A384,Database!$A:$AS,MATCH($D$1,Database!$A$1:$AS$1,0),FALSE))</f>
        <v/>
      </c>
      <c r="E384" s="76">
        <f>IF(VLOOKUP(A384,Database!$A:$AS,MATCH($E$1,Database!$A$1:$AS$1,0),FALSE)=0,#N/A,VLOOKUP(A384,Database!$A:$AS,MATCH($E$1,Database!$A$1:$AS$1,0),FALSE))</f>
        <v/>
      </c>
      <c r="F384" s="76">
        <f>IF(VLOOKUP(A384,Database!$A:$AS,MATCH($F$1,Database!$A$1:$AS$1,0),FALSE)=0,#N/A,VLOOKUP(A384,Database!$A:$AS,MATCH($F$1,Database!$A$1:$AS$1,0),FALSE))</f>
        <v/>
      </c>
      <c r="G384" s="76">
        <f>IF(VLOOKUP(A384,Database!$A:$AS,MATCH($G$1,Database!$A$1:$AS$1,0),FALSE)=0,#N/A,VLOOKUP(A384,Database!$A:$AS,MATCH($G$1,Database!$A$1:$AS$1,0),FALSE))</f>
        <v/>
      </c>
      <c r="H384" s="76">
        <f>(((Table134567891011121314151617343[[#This Row],[ITA]]-VLOOKUP($U$1,A:B,2,))/VLOOKUP($U$1,A:B,2,))*100)+100</f>
        <v/>
      </c>
      <c r="I384" s="76">
        <f>(((Table134567891011121314151617343[[#This Row],[FRA]]-VLOOKUP($U$1,A:C,3,))/VLOOKUP($U$1,A:C,3,))*100)+100</f>
        <v/>
      </c>
      <c r="J384" s="76">
        <f>(((Table134567891011121314151617343[[#This Row],[DEU]]-VLOOKUP($U$1,A:D,4,))/VLOOKUP($U$1,A:D,4,))*100)+100</f>
        <v/>
      </c>
      <c r="K384" s="76">
        <f>(((Table134567891011121314151617343[[#This Row],[ESP]]-VLOOKUP($U$1,A:E,5,))/VLOOKUP($U$1,A:E,5,))*100)+100</f>
        <v/>
      </c>
      <c r="L384" s="76">
        <f>(((Table134567891011121314151617343[[#This Row],[EA19]]-VLOOKUP($U$1,A:F,6,))/VLOOKUP($U$1,A:F,6,))*100)+100</f>
        <v/>
      </c>
      <c r="M384" s="76">
        <f>(((Table134567891011121314151617343[[#This Row],[GBR]]-VLOOKUP($U$1,A:G,7,))/VLOOKUP($U$1,A:G,7,))*100)+100</f>
        <v/>
      </c>
      <c r="N384" s="76">
        <f>IF(VLOOKUP(A384,Database!$A:$AU,MATCH($N$1,Database!$A$1:$AU$1,0),FALSE)=0,#N/A,VLOOKUP(A384,Database!$A:$AU,MATCH($N$1,Database!$A$1:$AU$1,0),FALSE))</f>
        <v/>
      </c>
      <c r="O384" s="76">
        <f>(((Table134567891011121314151617343[[#This Row],[USA]]-VLOOKUP($U$1,A:N,14,))/VLOOKUP($U$1,A:N,14,))*100)+100</f>
        <v/>
      </c>
      <c r="P384" s="76">
        <f>IF(VLOOKUP(A384,Database!$A:$AS,MATCH($P$1,Database!$A$1:$AS$1,0),FALSE)=0,#N/A,VLOOKUP(A384,Database!$A:$AS,MATCH($P$1,Database!$A$1:$AS$1,0),FALSE))</f>
        <v/>
      </c>
      <c r="Q384" s="76">
        <f>(((Table134567891011121314151617343[[#This Row],[JPN]]-VLOOKUP($U$1,A:Q,16,))/VLOOKUP($U$1,A:Q,16,))*100)+100</f>
        <v/>
      </c>
    </row>
    <row r="385" customFormat="1" s="86">
      <c r="A385" s="21" t="n">
        <v>44531</v>
      </c>
      <c r="B385" s="76">
        <f>IF(VLOOKUP(A385,Database!$A:$AS,MATCH($B$1,Database!$A$1:$AS$1,0),FALSE)=0,#N/A,VLOOKUP(A385,Database!$A:$AS,MATCH($B$1,Database!$A$1:$AS$1,0),FALSE))</f>
        <v/>
      </c>
      <c r="C385" s="76">
        <f>IF(VLOOKUP(A385,Database!$A:$AS,MATCH($C$1,Database!$A$1:$AS$1,0),FALSE)=0,#N/A,VLOOKUP(A385,Database!$A:$AS,MATCH($C$1,Database!$A$1:$AS$1,0),FALSE))</f>
        <v/>
      </c>
      <c r="D385" s="76">
        <f>IF(VLOOKUP(A385,Database!$A:$AS,MATCH($D$1,Database!$A$1:$AS$1,0),FALSE)=0,#N/A,VLOOKUP(A385,Database!$A:$AS,MATCH($D$1,Database!$A$1:$AS$1,0),FALSE))</f>
        <v/>
      </c>
      <c r="E385" s="76">
        <f>IF(VLOOKUP(A385,Database!$A:$AS,MATCH($E$1,Database!$A$1:$AS$1,0),FALSE)=0,#N/A,VLOOKUP(A385,Database!$A:$AS,MATCH($E$1,Database!$A$1:$AS$1,0),FALSE))</f>
        <v/>
      </c>
      <c r="F385" s="76">
        <f>IF(VLOOKUP(A385,Database!$A:$AS,MATCH($F$1,Database!$A$1:$AS$1,0),FALSE)=0,#N/A,VLOOKUP(A385,Database!$A:$AS,MATCH($F$1,Database!$A$1:$AS$1,0),FALSE))</f>
        <v/>
      </c>
      <c r="G385" s="76">
        <f>IF(VLOOKUP(A385,Database!$A:$AS,MATCH($G$1,Database!$A$1:$AS$1,0),FALSE)=0,#N/A,VLOOKUP(A385,Database!$A:$AS,MATCH($G$1,Database!$A$1:$AS$1,0),FALSE))</f>
        <v/>
      </c>
      <c r="H385" s="76">
        <f>(((Table134567891011121314151617343[[#This Row],[ITA]]-VLOOKUP($U$1,A:B,2,))/VLOOKUP($U$1,A:B,2,))*100)+100</f>
        <v/>
      </c>
      <c r="I385" s="76">
        <f>(((Table134567891011121314151617343[[#This Row],[FRA]]-VLOOKUP($U$1,A:C,3,))/VLOOKUP($U$1,A:C,3,))*100)+100</f>
        <v/>
      </c>
      <c r="J385" s="76">
        <f>(((Table134567891011121314151617343[[#This Row],[DEU]]-VLOOKUP($U$1,A:D,4,))/VLOOKUP($U$1,A:D,4,))*100)+100</f>
        <v/>
      </c>
      <c r="K385" s="76">
        <f>(((Table134567891011121314151617343[[#This Row],[ESP]]-VLOOKUP($U$1,A:E,5,))/VLOOKUP($U$1,A:E,5,))*100)+100</f>
        <v/>
      </c>
      <c r="L385" s="76">
        <f>(((Table134567891011121314151617343[[#This Row],[EA19]]-VLOOKUP($U$1,A:F,6,))/VLOOKUP($U$1,A:F,6,))*100)+100</f>
        <v/>
      </c>
      <c r="M385" s="76">
        <f>(((Table134567891011121314151617343[[#This Row],[GBR]]-VLOOKUP($U$1,A:G,7,))/VLOOKUP($U$1,A:G,7,))*100)+100</f>
        <v/>
      </c>
      <c r="N385" s="76">
        <f>IF(VLOOKUP(A385,Database!$A:$AU,MATCH($N$1,Database!$A$1:$AU$1,0),FALSE)=0,#N/A,VLOOKUP(A385,Database!$A:$AU,MATCH($N$1,Database!$A$1:$AU$1,0),FALSE))</f>
        <v/>
      </c>
      <c r="O385" s="76">
        <f>(((Table134567891011121314151617343[[#This Row],[USA]]-VLOOKUP($U$1,A:N,14,))/VLOOKUP($U$1,A:N,14,))*100)+100</f>
        <v/>
      </c>
      <c r="P385" s="76">
        <f>IF(VLOOKUP(A385,Database!$A:$AS,MATCH($P$1,Database!$A$1:$AS$1,0),FALSE)=0,#N/A,VLOOKUP(A385,Database!$A:$AS,MATCH($P$1,Database!$A$1:$AS$1,0),FALSE))</f>
        <v/>
      </c>
      <c r="Q385" s="76">
        <f>(((Table134567891011121314151617343[[#This Row],[JPN]]-VLOOKUP($U$1,A:Q,16,))/VLOOKUP($U$1,A:Q,16,))*100)+100</f>
        <v/>
      </c>
    </row>
    <row r="386" customFormat="1" s="86">
      <c r="A386" s="21" t="n">
        <v>44562</v>
      </c>
      <c r="B386" s="76">
        <f>IF(VLOOKUP(A386,Database!$A:$AS,MATCH($B$1,Database!$A$1:$AS$1,0),FALSE)=0,#N/A,VLOOKUP(A386,Database!$A:$AS,MATCH($B$1,Database!$A$1:$AS$1,0),FALSE))</f>
        <v/>
      </c>
      <c r="C386" s="76">
        <f>IF(VLOOKUP(A386,Database!$A:$AS,MATCH($C$1,Database!$A$1:$AS$1,0),FALSE)=0,#N/A,VLOOKUP(A386,Database!$A:$AS,MATCH($C$1,Database!$A$1:$AS$1,0),FALSE))</f>
        <v/>
      </c>
      <c r="D386" s="76">
        <f>IF(VLOOKUP(A386,Database!$A:$AS,MATCH($D$1,Database!$A$1:$AS$1,0),FALSE)=0,#N/A,VLOOKUP(A386,Database!$A:$AS,MATCH($D$1,Database!$A$1:$AS$1,0),FALSE))</f>
        <v/>
      </c>
      <c r="E386" s="76">
        <f>IF(VLOOKUP(A386,Database!$A:$AS,MATCH($E$1,Database!$A$1:$AS$1,0),FALSE)=0,#N/A,VLOOKUP(A386,Database!$A:$AS,MATCH($E$1,Database!$A$1:$AS$1,0),FALSE))</f>
        <v/>
      </c>
      <c r="F386" s="76">
        <f>IF(VLOOKUP(A386,Database!$A:$AS,MATCH($F$1,Database!$A$1:$AS$1,0),FALSE)=0,#N/A,VLOOKUP(A386,Database!$A:$AS,MATCH($F$1,Database!$A$1:$AS$1,0),FALSE))</f>
        <v/>
      </c>
      <c r="G386" s="76">
        <f>IF(VLOOKUP(A386,Database!$A:$AS,MATCH($G$1,Database!$A$1:$AS$1,0),FALSE)=0,#N/A,VLOOKUP(A386,Database!$A:$AS,MATCH($G$1,Database!$A$1:$AS$1,0),FALSE))</f>
        <v/>
      </c>
      <c r="H386" s="76">
        <f>(((Table134567891011121314151617343[[#This Row],[ITA]]-VLOOKUP($U$1,A:B,2,))/VLOOKUP($U$1,A:B,2,))*100)+100</f>
        <v/>
      </c>
      <c r="I386" s="76">
        <f>(((Table134567891011121314151617343[[#This Row],[FRA]]-VLOOKUP($U$1,A:C,3,))/VLOOKUP($U$1,A:C,3,))*100)+100</f>
        <v/>
      </c>
      <c r="J386" s="76">
        <f>(((Table134567891011121314151617343[[#This Row],[DEU]]-VLOOKUP($U$1,A:D,4,))/VLOOKUP($U$1,A:D,4,))*100)+100</f>
        <v/>
      </c>
      <c r="K386" s="76">
        <f>(((Table134567891011121314151617343[[#This Row],[ESP]]-VLOOKUP($U$1,A:E,5,))/VLOOKUP($U$1,A:E,5,))*100)+100</f>
        <v/>
      </c>
      <c r="L386" s="76">
        <f>(((Table134567891011121314151617343[[#This Row],[EA19]]-VLOOKUP($U$1,A:F,6,))/VLOOKUP($U$1,A:F,6,))*100)+100</f>
        <v/>
      </c>
      <c r="M386" s="76">
        <f>(((Table134567891011121314151617343[[#This Row],[GBR]]-VLOOKUP($U$1,A:G,7,))/VLOOKUP($U$1,A:G,7,))*100)+100</f>
        <v/>
      </c>
      <c r="N386" s="76">
        <f>IF(VLOOKUP(A386,Database!$A:$AU,MATCH($N$1,Database!$A$1:$AU$1,0),FALSE)=0,#N/A,VLOOKUP(A386,Database!$A:$AU,MATCH($N$1,Database!$A$1:$AU$1,0),FALSE))</f>
        <v/>
      </c>
      <c r="O386" s="76">
        <f>(((Table134567891011121314151617343[[#This Row],[USA]]-VLOOKUP($U$1,A:N,14,))/VLOOKUP($U$1,A:N,14,))*100)+100</f>
        <v/>
      </c>
      <c r="P386" s="76">
        <f>IF(VLOOKUP(A386,Database!$A:$AS,MATCH($P$1,Database!$A$1:$AS$1,0),FALSE)=0,#N/A,VLOOKUP(A386,Database!$A:$AS,MATCH($P$1,Database!$A$1:$AS$1,0),FALSE))</f>
        <v/>
      </c>
      <c r="Q386" s="76">
        <f>(((Table134567891011121314151617343[[#This Row],[JPN]]-VLOOKUP($U$1,A:Q,16,))/VLOOKUP($U$1,A:Q,16,))*100)+100</f>
        <v/>
      </c>
    </row>
    <row r="387" customFormat="1" s="86">
      <c r="A387" s="21" t="n">
        <v>44593</v>
      </c>
      <c r="B387" s="76">
        <f>IF(VLOOKUP(A387,Database!$A:$AS,MATCH($B$1,Database!$A$1:$AS$1,0),FALSE)=0,#N/A,VLOOKUP(A387,Database!$A:$AS,MATCH($B$1,Database!$A$1:$AS$1,0),FALSE))</f>
        <v/>
      </c>
      <c r="C387" s="76">
        <f>IF(VLOOKUP(A387,Database!$A:$AS,MATCH($C$1,Database!$A$1:$AS$1,0),FALSE)=0,#N/A,VLOOKUP(A387,Database!$A:$AS,MATCH($C$1,Database!$A$1:$AS$1,0),FALSE))</f>
        <v/>
      </c>
      <c r="D387" s="76">
        <f>IF(VLOOKUP(A387,Database!$A:$AS,MATCH($D$1,Database!$A$1:$AS$1,0),FALSE)=0,#N/A,VLOOKUP(A387,Database!$A:$AS,MATCH($D$1,Database!$A$1:$AS$1,0),FALSE))</f>
        <v/>
      </c>
      <c r="E387" s="76">
        <f>IF(VLOOKUP(A387,Database!$A:$AS,MATCH($E$1,Database!$A$1:$AS$1,0),FALSE)=0,#N/A,VLOOKUP(A387,Database!$A:$AS,MATCH($E$1,Database!$A$1:$AS$1,0),FALSE))</f>
        <v/>
      </c>
      <c r="F387" s="76">
        <f>IF(VLOOKUP(A387,Database!$A:$AS,MATCH($F$1,Database!$A$1:$AS$1,0),FALSE)=0,#N/A,VLOOKUP(A387,Database!$A:$AS,MATCH($F$1,Database!$A$1:$AS$1,0),FALSE))</f>
        <v/>
      </c>
      <c r="G387" s="76">
        <f>IF(VLOOKUP(A387,Database!$A:$AS,MATCH($G$1,Database!$A$1:$AS$1,0),FALSE)=0,#N/A,VLOOKUP(A387,Database!$A:$AS,MATCH($G$1,Database!$A$1:$AS$1,0),FALSE))</f>
        <v/>
      </c>
      <c r="H387" s="76">
        <f>(((Table134567891011121314151617343[[#This Row],[ITA]]-VLOOKUP($U$1,A:B,2,))/VLOOKUP($U$1,A:B,2,))*100)+100</f>
        <v/>
      </c>
      <c r="I387" s="76">
        <f>(((Table134567891011121314151617343[[#This Row],[FRA]]-VLOOKUP($U$1,A:C,3,))/VLOOKUP($U$1,A:C,3,))*100)+100</f>
        <v/>
      </c>
      <c r="J387" s="76">
        <f>(((Table134567891011121314151617343[[#This Row],[DEU]]-VLOOKUP($U$1,A:D,4,))/VLOOKUP($U$1,A:D,4,))*100)+100</f>
        <v/>
      </c>
      <c r="K387" s="76">
        <f>(((Table134567891011121314151617343[[#This Row],[ESP]]-VLOOKUP($U$1,A:E,5,))/VLOOKUP($U$1,A:E,5,))*100)+100</f>
        <v/>
      </c>
      <c r="L387" s="76">
        <f>(((Table134567891011121314151617343[[#This Row],[EA19]]-VLOOKUP($U$1,A:F,6,))/VLOOKUP($U$1,A:F,6,))*100)+100</f>
        <v/>
      </c>
      <c r="M387" s="76">
        <f>(((Table134567891011121314151617343[[#This Row],[GBR]]-VLOOKUP($U$1,A:G,7,))/VLOOKUP($U$1,A:G,7,))*100)+100</f>
        <v/>
      </c>
      <c r="N387" s="76">
        <f>IF(VLOOKUP(A387,Database!$A:$AU,MATCH($N$1,Database!$A$1:$AU$1,0),FALSE)=0,#N/A,VLOOKUP(A387,Database!$A:$AU,MATCH($N$1,Database!$A$1:$AU$1,0),FALSE))</f>
        <v/>
      </c>
      <c r="O387" s="76">
        <f>(((Table134567891011121314151617343[[#This Row],[USA]]-VLOOKUP($U$1,A:N,14,))/VLOOKUP($U$1,A:N,14,))*100)+100</f>
        <v/>
      </c>
      <c r="P387" s="76">
        <f>IF(VLOOKUP(A387,Database!$A:$AS,MATCH($P$1,Database!$A$1:$AS$1,0),FALSE)=0,#N/A,VLOOKUP(A387,Database!$A:$AS,MATCH($P$1,Database!$A$1:$AS$1,0),FALSE))</f>
        <v/>
      </c>
      <c r="Q387" s="76">
        <f>(((Table134567891011121314151617343[[#This Row],[JPN]]-VLOOKUP($U$1,A:Q,16,))/VLOOKUP($U$1,A:Q,16,))*100)+100</f>
        <v/>
      </c>
    </row>
    <row r="388" customFormat="1" s="86">
      <c r="A388" s="21" t="n">
        <v>44621</v>
      </c>
      <c r="B388" s="76">
        <f>IF(VLOOKUP(A388,Database!$A:$AS,MATCH($B$1,Database!$A$1:$AS$1,0),FALSE)=0,#N/A,VLOOKUP(A388,Database!$A:$AS,MATCH($B$1,Database!$A$1:$AS$1,0),FALSE))</f>
        <v/>
      </c>
      <c r="C388" s="76">
        <f>IF(VLOOKUP(A388,Database!$A:$AS,MATCH($C$1,Database!$A$1:$AS$1,0),FALSE)=0,#N/A,VLOOKUP(A388,Database!$A:$AS,MATCH($C$1,Database!$A$1:$AS$1,0),FALSE))</f>
        <v/>
      </c>
      <c r="D388" s="76">
        <f>IF(VLOOKUP(A388,Database!$A:$AS,MATCH($D$1,Database!$A$1:$AS$1,0),FALSE)=0,#N/A,VLOOKUP(A388,Database!$A:$AS,MATCH($D$1,Database!$A$1:$AS$1,0),FALSE))</f>
        <v/>
      </c>
      <c r="E388" s="76">
        <f>IF(VLOOKUP(A388,Database!$A:$AS,MATCH($E$1,Database!$A$1:$AS$1,0),FALSE)=0,#N/A,VLOOKUP(A388,Database!$A:$AS,MATCH($E$1,Database!$A$1:$AS$1,0),FALSE))</f>
        <v/>
      </c>
      <c r="F388" s="76">
        <f>IF(VLOOKUP(A388,Database!$A:$AS,MATCH($F$1,Database!$A$1:$AS$1,0),FALSE)=0,#N/A,VLOOKUP(A388,Database!$A:$AS,MATCH($F$1,Database!$A$1:$AS$1,0),FALSE))</f>
        <v/>
      </c>
      <c r="G388" s="76">
        <f>IF(VLOOKUP(A388,Database!$A:$AS,MATCH($G$1,Database!$A$1:$AS$1,0),FALSE)=0,#N/A,VLOOKUP(A388,Database!$A:$AS,MATCH($G$1,Database!$A$1:$AS$1,0),FALSE))</f>
        <v/>
      </c>
      <c r="H388" s="76">
        <f>(((Table134567891011121314151617343[[#This Row],[ITA]]-VLOOKUP($U$1,A:B,2,))/VLOOKUP($U$1,A:B,2,))*100)+100</f>
        <v/>
      </c>
      <c r="I388" s="76">
        <f>(((Table134567891011121314151617343[[#This Row],[FRA]]-VLOOKUP($U$1,A:C,3,))/VLOOKUP($U$1,A:C,3,))*100)+100</f>
        <v/>
      </c>
      <c r="J388" s="76">
        <f>(((Table134567891011121314151617343[[#This Row],[DEU]]-VLOOKUP($U$1,A:D,4,))/VLOOKUP($U$1,A:D,4,))*100)+100</f>
        <v/>
      </c>
      <c r="K388" s="76">
        <f>(((Table134567891011121314151617343[[#This Row],[ESP]]-VLOOKUP($U$1,A:E,5,))/VLOOKUP($U$1,A:E,5,))*100)+100</f>
        <v/>
      </c>
      <c r="L388" s="76">
        <f>(((Table134567891011121314151617343[[#This Row],[EA19]]-VLOOKUP($U$1,A:F,6,))/VLOOKUP($U$1,A:F,6,))*100)+100</f>
        <v/>
      </c>
      <c r="M388" s="76">
        <f>(((Table134567891011121314151617343[[#This Row],[GBR]]-VLOOKUP($U$1,A:G,7,))/VLOOKUP($U$1,A:G,7,))*100)+100</f>
        <v/>
      </c>
      <c r="N388" s="76">
        <f>IF(VLOOKUP(A388,Database!$A:$AU,MATCH($N$1,Database!$A$1:$AU$1,0),FALSE)=0,#N/A,VLOOKUP(A388,Database!$A:$AU,MATCH($N$1,Database!$A$1:$AU$1,0),FALSE))</f>
        <v/>
      </c>
      <c r="O388" s="76">
        <f>(((Table134567891011121314151617343[[#This Row],[USA]]-VLOOKUP($U$1,A:N,14,))/VLOOKUP($U$1,A:N,14,))*100)+100</f>
        <v/>
      </c>
      <c r="P388" s="76">
        <f>IF(VLOOKUP(A388,Database!$A:$AS,MATCH($P$1,Database!$A$1:$AS$1,0),FALSE)=0,#N/A,VLOOKUP(A388,Database!$A:$AS,MATCH($P$1,Database!$A$1:$AS$1,0),FALSE))</f>
        <v/>
      </c>
      <c r="Q388" s="76">
        <f>(((Table134567891011121314151617343[[#This Row],[JPN]]-VLOOKUP($U$1,A:Q,16,))/VLOOKUP($U$1,A:Q,16,))*100)+100</f>
        <v/>
      </c>
    </row>
    <row r="389" customFormat="1" s="86">
      <c r="A389" s="21" t="n">
        <v>44652</v>
      </c>
      <c r="B389" s="76">
        <f>IF(VLOOKUP(A389,Database!$A:$AS,MATCH($B$1,Database!$A$1:$AS$1,0),FALSE)=0,#N/A,VLOOKUP(A389,Database!$A:$AS,MATCH($B$1,Database!$A$1:$AS$1,0),FALSE))</f>
        <v/>
      </c>
      <c r="C389" s="76">
        <f>IF(VLOOKUP(A389,Database!$A:$AS,MATCH($C$1,Database!$A$1:$AS$1,0),FALSE)=0,#N/A,VLOOKUP(A389,Database!$A:$AS,MATCH($C$1,Database!$A$1:$AS$1,0),FALSE))</f>
        <v/>
      </c>
      <c r="D389" s="76">
        <f>IF(VLOOKUP(A389,Database!$A:$AS,MATCH($D$1,Database!$A$1:$AS$1,0),FALSE)=0,#N/A,VLOOKUP(A389,Database!$A:$AS,MATCH($D$1,Database!$A$1:$AS$1,0),FALSE))</f>
        <v/>
      </c>
      <c r="E389" s="76">
        <f>IF(VLOOKUP(A389,Database!$A:$AS,MATCH($E$1,Database!$A$1:$AS$1,0),FALSE)=0,#N/A,VLOOKUP(A389,Database!$A:$AS,MATCH($E$1,Database!$A$1:$AS$1,0),FALSE))</f>
        <v/>
      </c>
      <c r="F389" s="76">
        <f>IF(VLOOKUP(A389,Database!$A:$AS,MATCH($F$1,Database!$A$1:$AS$1,0),FALSE)=0,#N/A,VLOOKUP(A389,Database!$A:$AS,MATCH($F$1,Database!$A$1:$AS$1,0),FALSE))</f>
        <v/>
      </c>
      <c r="G389" s="76">
        <f>IF(VLOOKUP(A389,Database!$A:$AS,MATCH($G$1,Database!$A$1:$AS$1,0),FALSE)=0,#N/A,VLOOKUP(A389,Database!$A:$AS,MATCH($G$1,Database!$A$1:$AS$1,0),FALSE))</f>
        <v/>
      </c>
      <c r="H389" s="76">
        <f>(((Table134567891011121314151617343[[#This Row],[ITA]]-VLOOKUP($U$1,A:B,2,))/VLOOKUP($U$1,A:B,2,))*100)+100</f>
        <v/>
      </c>
      <c r="I389" s="76">
        <f>(((Table134567891011121314151617343[[#This Row],[FRA]]-VLOOKUP($U$1,A:C,3,))/VLOOKUP($U$1,A:C,3,))*100)+100</f>
        <v/>
      </c>
      <c r="J389" s="76">
        <f>(((Table134567891011121314151617343[[#This Row],[DEU]]-VLOOKUP($U$1,A:D,4,))/VLOOKUP($U$1,A:D,4,))*100)+100</f>
        <v/>
      </c>
      <c r="K389" s="76">
        <f>(((Table134567891011121314151617343[[#This Row],[ESP]]-VLOOKUP($U$1,A:E,5,))/VLOOKUP($U$1,A:E,5,))*100)+100</f>
        <v/>
      </c>
      <c r="L389" s="76">
        <f>(((Table134567891011121314151617343[[#This Row],[EA19]]-VLOOKUP($U$1,A:F,6,))/VLOOKUP($U$1,A:F,6,))*100)+100</f>
        <v/>
      </c>
      <c r="M389" s="76">
        <f>(((Table134567891011121314151617343[[#This Row],[GBR]]-VLOOKUP($U$1,A:G,7,))/VLOOKUP($U$1,A:G,7,))*100)+100</f>
        <v/>
      </c>
      <c r="N389" s="76">
        <f>IF(VLOOKUP(A389,Database!$A:$AU,MATCH($N$1,Database!$A$1:$AU$1,0),FALSE)=0,#N/A,VLOOKUP(A389,Database!$A:$AU,MATCH($N$1,Database!$A$1:$AU$1,0),FALSE))</f>
        <v/>
      </c>
      <c r="O389" s="76">
        <f>(((Table134567891011121314151617343[[#This Row],[USA]]-VLOOKUP($U$1,A:N,14,))/VLOOKUP($U$1,A:N,14,))*100)+100</f>
        <v/>
      </c>
      <c r="P389" s="76">
        <f>IF(VLOOKUP(A389,Database!$A:$AS,MATCH($P$1,Database!$A$1:$AS$1,0),FALSE)=0,#N/A,VLOOKUP(A389,Database!$A:$AS,MATCH($P$1,Database!$A$1:$AS$1,0),FALSE))</f>
        <v/>
      </c>
      <c r="Q389" s="76">
        <f>(((Table134567891011121314151617343[[#This Row],[JPN]]-VLOOKUP($U$1,A:Q,16,))/VLOOKUP($U$1,A:Q,16,))*100)+100</f>
        <v/>
      </c>
    </row>
    <row r="390" customFormat="1" s="86">
      <c r="A390" s="21" t="n">
        <v>44682</v>
      </c>
      <c r="B390" s="76">
        <f>IF(VLOOKUP(A390,Database!$A:$AS,MATCH($B$1,Database!$A$1:$AS$1,0),FALSE)=0,#N/A,VLOOKUP(A390,Database!$A:$AS,MATCH($B$1,Database!$A$1:$AS$1,0),FALSE))</f>
        <v/>
      </c>
      <c r="C390" s="76">
        <f>IF(VLOOKUP(A390,Database!$A:$AS,MATCH($C$1,Database!$A$1:$AS$1,0),FALSE)=0,#N/A,VLOOKUP(A390,Database!$A:$AS,MATCH($C$1,Database!$A$1:$AS$1,0),FALSE))</f>
        <v/>
      </c>
      <c r="D390" s="76">
        <f>IF(VLOOKUP(A390,Database!$A:$AS,MATCH($D$1,Database!$A$1:$AS$1,0),FALSE)=0,#N/A,VLOOKUP(A390,Database!$A:$AS,MATCH($D$1,Database!$A$1:$AS$1,0),FALSE))</f>
        <v/>
      </c>
      <c r="E390" s="76">
        <f>IF(VLOOKUP(A390,Database!$A:$AS,MATCH($E$1,Database!$A$1:$AS$1,0),FALSE)=0,#N/A,VLOOKUP(A390,Database!$A:$AS,MATCH($E$1,Database!$A$1:$AS$1,0),FALSE))</f>
        <v/>
      </c>
      <c r="F390" s="76">
        <f>IF(VLOOKUP(A390,Database!$A:$AS,MATCH($F$1,Database!$A$1:$AS$1,0),FALSE)=0,#N/A,VLOOKUP(A390,Database!$A:$AS,MATCH($F$1,Database!$A$1:$AS$1,0),FALSE))</f>
        <v/>
      </c>
      <c r="G390" s="76">
        <f>IF(VLOOKUP(A390,Database!$A:$AS,MATCH($G$1,Database!$A$1:$AS$1,0),FALSE)=0,#N/A,VLOOKUP(A390,Database!$A:$AS,MATCH($G$1,Database!$A$1:$AS$1,0),FALSE))</f>
        <v/>
      </c>
      <c r="H390" s="76">
        <f>(((Table134567891011121314151617343[[#This Row],[ITA]]-VLOOKUP($U$1,A:B,2,))/VLOOKUP($U$1,A:B,2,))*100)+100</f>
        <v/>
      </c>
      <c r="I390" s="76">
        <f>(((Table134567891011121314151617343[[#This Row],[FRA]]-VLOOKUP($U$1,A:C,3,))/VLOOKUP($U$1,A:C,3,))*100)+100</f>
        <v/>
      </c>
      <c r="J390" s="76">
        <f>(((Table134567891011121314151617343[[#This Row],[DEU]]-VLOOKUP($U$1,A:D,4,))/VLOOKUP($U$1,A:D,4,))*100)+100</f>
        <v/>
      </c>
      <c r="K390" s="76">
        <f>(((Table134567891011121314151617343[[#This Row],[ESP]]-VLOOKUP($U$1,A:E,5,))/VLOOKUP($U$1,A:E,5,))*100)+100</f>
        <v/>
      </c>
      <c r="L390" s="76">
        <f>(((Table134567891011121314151617343[[#This Row],[EA19]]-VLOOKUP($U$1,A:F,6,))/VLOOKUP($U$1,A:F,6,))*100)+100</f>
        <v/>
      </c>
      <c r="M390" s="76">
        <f>(((Table134567891011121314151617343[[#This Row],[GBR]]-VLOOKUP($U$1,A:G,7,))/VLOOKUP($U$1,A:G,7,))*100)+100</f>
        <v/>
      </c>
      <c r="N390" s="76">
        <f>IF(VLOOKUP(A390,Database!$A:$AU,MATCH($N$1,Database!$A$1:$AU$1,0),FALSE)=0,#N/A,VLOOKUP(A390,Database!$A:$AU,MATCH($N$1,Database!$A$1:$AU$1,0),FALSE))</f>
        <v/>
      </c>
      <c r="O390" s="76">
        <f>(((Table134567891011121314151617343[[#This Row],[USA]]-VLOOKUP($U$1,A:N,14,))/VLOOKUP($U$1,A:N,14,))*100)+100</f>
        <v/>
      </c>
      <c r="P390" s="76">
        <f>IF(VLOOKUP(A390,Database!$A:$AS,MATCH($P$1,Database!$A$1:$AS$1,0),FALSE)=0,#N/A,VLOOKUP(A390,Database!$A:$AS,MATCH($P$1,Database!$A$1:$AS$1,0),FALSE))</f>
        <v/>
      </c>
      <c r="Q390" s="76">
        <f>(((Table134567891011121314151617343[[#This Row],[JPN]]-VLOOKUP($U$1,A:Q,16,))/VLOOKUP($U$1,A:Q,16,))*100)+100</f>
        <v/>
      </c>
    </row>
    <row r="391" customFormat="1" s="86">
      <c r="A391" s="21" t="n">
        <v>44713</v>
      </c>
      <c r="B391" s="76">
        <f>IF(VLOOKUP(A391,Database!$A:$AS,MATCH($B$1,Database!$A$1:$AS$1,0),FALSE)=0,#N/A,VLOOKUP(A391,Database!$A:$AS,MATCH($B$1,Database!$A$1:$AS$1,0),FALSE))</f>
        <v/>
      </c>
      <c r="C391" s="76">
        <f>IF(VLOOKUP(A391,Database!$A:$AS,MATCH($C$1,Database!$A$1:$AS$1,0),FALSE)=0,#N/A,VLOOKUP(A391,Database!$A:$AS,MATCH($C$1,Database!$A$1:$AS$1,0),FALSE))</f>
        <v/>
      </c>
      <c r="D391" s="76">
        <f>IF(VLOOKUP(A391,Database!$A:$AS,MATCH($D$1,Database!$A$1:$AS$1,0),FALSE)=0,#N/A,VLOOKUP(A391,Database!$A:$AS,MATCH($D$1,Database!$A$1:$AS$1,0),FALSE))</f>
        <v/>
      </c>
      <c r="E391" s="76">
        <f>IF(VLOOKUP(A391,Database!$A:$AS,MATCH($E$1,Database!$A$1:$AS$1,0),FALSE)=0,#N/A,VLOOKUP(A391,Database!$A:$AS,MATCH($E$1,Database!$A$1:$AS$1,0),FALSE))</f>
        <v/>
      </c>
      <c r="F391" s="76">
        <f>IF(VLOOKUP(A391,Database!$A:$AS,MATCH($F$1,Database!$A$1:$AS$1,0),FALSE)=0,#N/A,VLOOKUP(A391,Database!$A:$AS,MATCH($F$1,Database!$A$1:$AS$1,0),FALSE))</f>
        <v/>
      </c>
      <c r="G391" s="76">
        <f>IF(VLOOKUP(A391,Database!$A:$AS,MATCH($G$1,Database!$A$1:$AS$1,0),FALSE)=0,#N/A,VLOOKUP(A391,Database!$A:$AS,MATCH($G$1,Database!$A$1:$AS$1,0),FALSE))</f>
        <v/>
      </c>
      <c r="H391" s="76">
        <f>(((Table134567891011121314151617343[[#This Row],[ITA]]-VLOOKUP($U$1,A:B,2,))/VLOOKUP($U$1,A:B,2,))*100)+100</f>
        <v/>
      </c>
      <c r="I391" s="76">
        <f>(((Table134567891011121314151617343[[#This Row],[FRA]]-VLOOKUP($U$1,A:C,3,))/VLOOKUP($U$1,A:C,3,))*100)+100</f>
        <v/>
      </c>
      <c r="J391" s="76">
        <f>(((Table134567891011121314151617343[[#This Row],[DEU]]-VLOOKUP($U$1,A:D,4,))/VLOOKUP($U$1,A:D,4,))*100)+100</f>
        <v/>
      </c>
      <c r="K391" s="76">
        <f>(((Table134567891011121314151617343[[#This Row],[ESP]]-VLOOKUP($U$1,A:E,5,))/VLOOKUP($U$1,A:E,5,))*100)+100</f>
        <v/>
      </c>
      <c r="L391" s="76">
        <f>(((Table134567891011121314151617343[[#This Row],[EA19]]-VLOOKUP($U$1,A:F,6,))/VLOOKUP($U$1,A:F,6,))*100)+100</f>
        <v/>
      </c>
      <c r="M391" s="76">
        <f>(((Table134567891011121314151617343[[#This Row],[GBR]]-VLOOKUP($U$1,A:G,7,))/VLOOKUP($U$1,A:G,7,))*100)+100</f>
        <v/>
      </c>
      <c r="N391" s="76">
        <f>IF(VLOOKUP(A391,Database!$A:$AU,MATCH($N$1,Database!$A$1:$AU$1,0),FALSE)=0,#N/A,VLOOKUP(A391,Database!$A:$AU,MATCH($N$1,Database!$A$1:$AU$1,0),FALSE))</f>
        <v/>
      </c>
      <c r="O391" s="76">
        <f>(((Table134567891011121314151617343[[#This Row],[USA]]-VLOOKUP($U$1,A:N,14,))/VLOOKUP($U$1,A:N,14,))*100)+100</f>
        <v/>
      </c>
      <c r="P391" s="76">
        <f>IF(VLOOKUP(A391,Database!$A:$AS,MATCH($P$1,Database!$A$1:$AS$1,0),FALSE)=0,#N/A,VLOOKUP(A391,Database!$A:$AS,MATCH($P$1,Database!$A$1:$AS$1,0),FALSE))</f>
        <v/>
      </c>
      <c r="Q391" s="76">
        <f>(((Table134567891011121314151617343[[#This Row],[JPN]]-VLOOKUP($U$1,A:Q,16,))/VLOOKUP($U$1,A:Q,16,))*100)+100</f>
        <v/>
      </c>
    </row>
    <row r="392" customFormat="1" s="86">
      <c r="A392" s="21" t="n">
        <v>44743</v>
      </c>
      <c r="B392" s="76">
        <f>IF(VLOOKUP(A392,Database!$A:$AS,MATCH($B$1,Database!$A$1:$AS$1,0),FALSE)=0,#N/A,VLOOKUP(A392,Database!$A:$AS,MATCH($B$1,Database!$A$1:$AS$1,0),FALSE))</f>
        <v/>
      </c>
      <c r="C392" s="76">
        <f>IF(VLOOKUP(A392,Database!$A:$AS,MATCH($C$1,Database!$A$1:$AS$1,0),FALSE)=0,#N/A,VLOOKUP(A392,Database!$A:$AS,MATCH($C$1,Database!$A$1:$AS$1,0),FALSE))</f>
        <v/>
      </c>
      <c r="D392" s="76">
        <f>IF(VLOOKUP(A392,Database!$A:$AS,MATCH($D$1,Database!$A$1:$AS$1,0),FALSE)=0,#N/A,VLOOKUP(A392,Database!$A:$AS,MATCH($D$1,Database!$A$1:$AS$1,0),FALSE))</f>
        <v/>
      </c>
      <c r="E392" s="76">
        <f>IF(VLOOKUP(A392,Database!$A:$AS,MATCH($E$1,Database!$A$1:$AS$1,0),FALSE)=0,#N/A,VLOOKUP(A392,Database!$A:$AS,MATCH($E$1,Database!$A$1:$AS$1,0),FALSE))</f>
        <v/>
      </c>
      <c r="F392" s="76">
        <f>IF(VLOOKUP(A392,Database!$A:$AS,MATCH($F$1,Database!$A$1:$AS$1,0),FALSE)=0,#N/A,VLOOKUP(A392,Database!$A:$AS,MATCH($F$1,Database!$A$1:$AS$1,0),FALSE))</f>
        <v/>
      </c>
      <c r="G392" s="76">
        <f>IF(VLOOKUP(A392,Database!$A:$AS,MATCH($G$1,Database!$A$1:$AS$1,0),FALSE)=0,#N/A,VLOOKUP(A392,Database!$A:$AS,MATCH($G$1,Database!$A$1:$AS$1,0),FALSE))</f>
        <v/>
      </c>
      <c r="H392" s="76">
        <f>(((Table134567891011121314151617343[[#This Row],[ITA]]-VLOOKUP($U$1,A:B,2,))/VLOOKUP($U$1,A:B,2,))*100)+100</f>
        <v/>
      </c>
      <c r="I392" s="76">
        <f>(((Table134567891011121314151617343[[#This Row],[FRA]]-VLOOKUP($U$1,A:C,3,))/VLOOKUP($U$1,A:C,3,))*100)+100</f>
        <v/>
      </c>
      <c r="J392" s="76">
        <f>(((Table134567891011121314151617343[[#This Row],[DEU]]-VLOOKUP($U$1,A:D,4,))/VLOOKUP($U$1,A:D,4,))*100)+100</f>
        <v/>
      </c>
      <c r="K392" s="76">
        <f>(((Table134567891011121314151617343[[#This Row],[ESP]]-VLOOKUP($U$1,A:E,5,))/VLOOKUP($U$1,A:E,5,))*100)+100</f>
        <v/>
      </c>
      <c r="L392" s="76">
        <f>(((Table134567891011121314151617343[[#This Row],[EA19]]-VLOOKUP($U$1,A:F,6,))/VLOOKUP($U$1,A:F,6,))*100)+100</f>
        <v/>
      </c>
      <c r="M392" s="76">
        <f>(((Table134567891011121314151617343[[#This Row],[GBR]]-VLOOKUP($U$1,A:G,7,))/VLOOKUP($U$1,A:G,7,))*100)+100</f>
        <v/>
      </c>
      <c r="N392" s="76">
        <f>IF(VLOOKUP(A392,Database!$A:$AU,MATCH($N$1,Database!$A$1:$AU$1,0),FALSE)=0,#N/A,VLOOKUP(A392,Database!$A:$AU,MATCH($N$1,Database!$A$1:$AU$1,0),FALSE))</f>
        <v/>
      </c>
      <c r="O392" s="76">
        <f>(((Table134567891011121314151617343[[#This Row],[USA]]-VLOOKUP($U$1,A:N,14,))/VLOOKUP($U$1,A:N,14,))*100)+100</f>
        <v/>
      </c>
      <c r="P392" s="76">
        <f>IF(VLOOKUP(A392,Database!$A:$AS,MATCH($P$1,Database!$A$1:$AS$1,0),FALSE)=0,#N/A,VLOOKUP(A392,Database!$A:$AS,MATCH($P$1,Database!$A$1:$AS$1,0),FALSE))</f>
        <v/>
      </c>
      <c r="Q392" s="76">
        <f>(((Table134567891011121314151617343[[#This Row],[JPN]]-VLOOKUP($U$1,A:Q,16,))/VLOOKUP($U$1,A:Q,16,))*100)+100</f>
        <v/>
      </c>
    </row>
    <row r="393" customFormat="1" s="86">
      <c r="A393" s="21" t="n">
        <v>44774</v>
      </c>
      <c r="B393" s="76">
        <f>IF(VLOOKUP(A393,Database!$A:$AS,MATCH($B$1,Database!$A$1:$AS$1,0),FALSE)=0,#N/A,VLOOKUP(A393,Database!$A:$AS,MATCH($B$1,Database!$A$1:$AS$1,0),FALSE))</f>
        <v/>
      </c>
      <c r="C393" s="76">
        <f>IF(VLOOKUP(A393,Database!$A:$AS,MATCH($C$1,Database!$A$1:$AS$1,0),FALSE)=0,#N/A,VLOOKUP(A393,Database!$A:$AS,MATCH($C$1,Database!$A$1:$AS$1,0),FALSE))</f>
        <v/>
      </c>
      <c r="D393" s="76">
        <f>IF(VLOOKUP(A393,Database!$A:$AS,MATCH($D$1,Database!$A$1:$AS$1,0),FALSE)=0,#N/A,VLOOKUP(A393,Database!$A:$AS,MATCH($D$1,Database!$A$1:$AS$1,0),FALSE))</f>
        <v/>
      </c>
      <c r="E393" s="76">
        <f>IF(VLOOKUP(A393,Database!$A:$AS,MATCH($E$1,Database!$A$1:$AS$1,0),FALSE)=0,#N/A,VLOOKUP(A393,Database!$A:$AS,MATCH($E$1,Database!$A$1:$AS$1,0),FALSE))</f>
        <v/>
      </c>
      <c r="F393" s="76">
        <f>IF(VLOOKUP(A393,Database!$A:$AS,MATCH($F$1,Database!$A$1:$AS$1,0),FALSE)=0,#N/A,VLOOKUP(A393,Database!$A:$AS,MATCH($F$1,Database!$A$1:$AS$1,0),FALSE))</f>
        <v/>
      </c>
      <c r="G393" s="76">
        <f>IF(VLOOKUP(A393,Database!$A:$AS,MATCH($G$1,Database!$A$1:$AS$1,0),FALSE)=0,#N/A,VLOOKUP(A393,Database!$A:$AS,MATCH($G$1,Database!$A$1:$AS$1,0),FALSE))</f>
        <v/>
      </c>
      <c r="H393" s="76">
        <f>(((Table134567891011121314151617343[[#This Row],[ITA]]-VLOOKUP($U$1,A:B,2,))/VLOOKUP($U$1,A:B,2,))*100)+100</f>
        <v/>
      </c>
      <c r="I393" s="76">
        <f>(((Table134567891011121314151617343[[#This Row],[FRA]]-VLOOKUP($U$1,A:C,3,))/VLOOKUP($U$1,A:C,3,))*100)+100</f>
        <v/>
      </c>
      <c r="J393" s="76">
        <f>(((Table134567891011121314151617343[[#This Row],[DEU]]-VLOOKUP($U$1,A:D,4,))/VLOOKUP($U$1,A:D,4,))*100)+100</f>
        <v/>
      </c>
      <c r="K393" s="76">
        <f>(((Table134567891011121314151617343[[#This Row],[ESP]]-VLOOKUP($U$1,A:E,5,))/VLOOKUP($U$1,A:E,5,))*100)+100</f>
        <v/>
      </c>
      <c r="L393" s="76">
        <f>(((Table134567891011121314151617343[[#This Row],[EA19]]-VLOOKUP($U$1,A:F,6,))/VLOOKUP($U$1,A:F,6,))*100)+100</f>
        <v/>
      </c>
      <c r="M393" s="76">
        <f>(((Table134567891011121314151617343[[#This Row],[GBR]]-VLOOKUP($U$1,A:G,7,))/VLOOKUP($U$1,A:G,7,))*100)+100</f>
        <v/>
      </c>
      <c r="N393" s="76">
        <f>IF(VLOOKUP(A393,Database!$A:$AU,MATCH($N$1,Database!$A$1:$AU$1,0),FALSE)=0,#N/A,VLOOKUP(A393,Database!$A:$AU,MATCH($N$1,Database!$A$1:$AU$1,0),FALSE))</f>
        <v/>
      </c>
      <c r="O393" s="76">
        <f>(((Table134567891011121314151617343[[#This Row],[USA]]-VLOOKUP($U$1,A:N,14,))/VLOOKUP($U$1,A:N,14,))*100)+100</f>
        <v/>
      </c>
      <c r="P393" s="76">
        <f>IF(VLOOKUP(A393,Database!$A:$AS,MATCH($P$1,Database!$A$1:$AS$1,0),FALSE)=0,#N/A,VLOOKUP(A393,Database!$A:$AS,MATCH($P$1,Database!$A$1:$AS$1,0),FALSE))</f>
        <v/>
      </c>
      <c r="Q393" s="76">
        <f>(((Table134567891011121314151617343[[#This Row],[JPN]]-VLOOKUP($U$1,A:Q,16,))/VLOOKUP($U$1,A:Q,16,))*100)+100</f>
        <v/>
      </c>
    </row>
    <row r="394" customFormat="1" s="86">
      <c r="A394" s="21" t="n">
        <v>44805</v>
      </c>
      <c r="B394" s="76">
        <f>IF(VLOOKUP(A394,Database!$A:$AS,MATCH($B$1,Database!$A$1:$AS$1,0),FALSE)=0,#N/A,VLOOKUP(A394,Database!$A:$AS,MATCH($B$1,Database!$A$1:$AS$1,0),FALSE))</f>
        <v/>
      </c>
      <c r="C394" s="76">
        <f>IF(VLOOKUP(A394,Database!$A:$AS,MATCH($C$1,Database!$A$1:$AS$1,0),FALSE)=0,#N/A,VLOOKUP(A394,Database!$A:$AS,MATCH($C$1,Database!$A$1:$AS$1,0),FALSE))</f>
        <v/>
      </c>
      <c r="D394" s="76">
        <f>IF(VLOOKUP(A394,Database!$A:$AS,MATCH($D$1,Database!$A$1:$AS$1,0),FALSE)=0,#N/A,VLOOKUP(A394,Database!$A:$AS,MATCH($D$1,Database!$A$1:$AS$1,0),FALSE))</f>
        <v/>
      </c>
      <c r="E394" s="76">
        <f>IF(VLOOKUP(A394,Database!$A:$AS,MATCH($E$1,Database!$A$1:$AS$1,0),FALSE)=0,#N/A,VLOOKUP(A394,Database!$A:$AS,MATCH($E$1,Database!$A$1:$AS$1,0),FALSE))</f>
        <v/>
      </c>
      <c r="F394" s="76">
        <f>IF(VLOOKUP(A394,Database!$A:$AS,MATCH($F$1,Database!$A$1:$AS$1,0),FALSE)=0,#N/A,VLOOKUP(A394,Database!$A:$AS,MATCH($F$1,Database!$A$1:$AS$1,0),FALSE))</f>
        <v/>
      </c>
      <c r="G394" s="76">
        <f>IF(VLOOKUP(A394,Database!$A:$AS,MATCH($G$1,Database!$A$1:$AS$1,0),FALSE)=0,#N/A,VLOOKUP(A394,Database!$A:$AS,MATCH($G$1,Database!$A$1:$AS$1,0),FALSE))</f>
        <v/>
      </c>
      <c r="H394" s="76">
        <f>(((Table134567891011121314151617343[[#This Row],[ITA]]-VLOOKUP($U$1,A:B,2,))/VLOOKUP($U$1,A:B,2,))*100)+100</f>
        <v/>
      </c>
      <c r="I394" s="76">
        <f>(((Table134567891011121314151617343[[#This Row],[FRA]]-VLOOKUP($U$1,A:C,3,))/VLOOKUP($U$1,A:C,3,))*100)+100</f>
        <v/>
      </c>
      <c r="J394" s="76">
        <f>(((Table134567891011121314151617343[[#This Row],[DEU]]-VLOOKUP($U$1,A:D,4,))/VLOOKUP($U$1,A:D,4,))*100)+100</f>
        <v/>
      </c>
      <c r="K394" s="76">
        <f>(((Table134567891011121314151617343[[#This Row],[ESP]]-VLOOKUP($U$1,A:E,5,))/VLOOKUP($U$1,A:E,5,))*100)+100</f>
        <v/>
      </c>
      <c r="L394" s="76">
        <f>(((Table134567891011121314151617343[[#This Row],[EA19]]-VLOOKUP($U$1,A:F,6,))/VLOOKUP($U$1,A:F,6,))*100)+100</f>
        <v/>
      </c>
      <c r="M394" s="76">
        <f>(((Table134567891011121314151617343[[#This Row],[GBR]]-VLOOKUP($U$1,A:G,7,))/VLOOKUP($U$1,A:G,7,))*100)+100</f>
        <v/>
      </c>
      <c r="N394" s="76">
        <f>IF(VLOOKUP(A394,Database!$A:$AU,MATCH($N$1,Database!$A$1:$AU$1,0),FALSE)=0,#N/A,VLOOKUP(A394,Database!$A:$AU,MATCH($N$1,Database!$A$1:$AU$1,0),FALSE))</f>
        <v/>
      </c>
      <c r="O394" s="76">
        <f>(((Table134567891011121314151617343[[#This Row],[USA]]-VLOOKUP($U$1,A:N,14,))/VLOOKUP($U$1,A:N,14,))*100)+100</f>
        <v/>
      </c>
      <c r="P394" s="76">
        <f>IF(VLOOKUP(A394,Database!$A:$AS,MATCH($P$1,Database!$A$1:$AS$1,0),FALSE)=0,#N/A,VLOOKUP(A394,Database!$A:$AS,MATCH($P$1,Database!$A$1:$AS$1,0),FALSE))</f>
        <v/>
      </c>
      <c r="Q394" s="76">
        <f>(((Table134567891011121314151617343[[#This Row],[JPN]]-VLOOKUP($U$1,A:Q,16,))/VLOOKUP($U$1,A:Q,16,))*100)+100</f>
        <v/>
      </c>
    </row>
    <row r="395" customFormat="1" s="86">
      <c r="A395" s="21" t="n">
        <v>44835</v>
      </c>
      <c r="B395" s="76">
        <f>IF(VLOOKUP(A395,Database!$A:$AS,MATCH($B$1,Database!$A$1:$AS$1,0),FALSE)=0,#N/A,VLOOKUP(A395,Database!$A:$AS,MATCH($B$1,Database!$A$1:$AS$1,0),FALSE))</f>
        <v/>
      </c>
      <c r="C395" s="76">
        <f>IF(VLOOKUP(A395,Database!$A:$AS,MATCH($C$1,Database!$A$1:$AS$1,0),FALSE)=0,#N/A,VLOOKUP(A395,Database!$A:$AS,MATCH($C$1,Database!$A$1:$AS$1,0),FALSE))</f>
        <v/>
      </c>
      <c r="D395" s="76">
        <f>IF(VLOOKUP(A395,Database!$A:$AS,MATCH($D$1,Database!$A$1:$AS$1,0),FALSE)=0,#N/A,VLOOKUP(A395,Database!$A:$AS,MATCH($D$1,Database!$A$1:$AS$1,0),FALSE))</f>
        <v/>
      </c>
      <c r="E395" s="76">
        <f>IF(VLOOKUP(A395,Database!$A:$AS,MATCH($E$1,Database!$A$1:$AS$1,0),FALSE)=0,#N/A,VLOOKUP(A395,Database!$A:$AS,MATCH($E$1,Database!$A$1:$AS$1,0),FALSE))</f>
        <v/>
      </c>
      <c r="F395" s="76">
        <f>IF(VLOOKUP(A395,Database!$A:$AS,MATCH($F$1,Database!$A$1:$AS$1,0),FALSE)=0,#N/A,VLOOKUP(A395,Database!$A:$AS,MATCH($F$1,Database!$A$1:$AS$1,0),FALSE))</f>
        <v/>
      </c>
      <c r="G395" s="76">
        <f>IF(VLOOKUP(A395,Database!$A:$AS,MATCH($G$1,Database!$A$1:$AS$1,0),FALSE)=0,#N/A,VLOOKUP(A395,Database!$A:$AS,MATCH($G$1,Database!$A$1:$AS$1,0),FALSE))</f>
        <v/>
      </c>
      <c r="H395" s="76">
        <f>(((Table134567891011121314151617343[[#This Row],[ITA]]-VLOOKUP($U$1,A:B,2,))/VLOOKUP($U$1,A:B,2,))*100)+100</f>
        <v/>
      </c>
      <c r="I395" s="76">
        <f>(((Table134567891011121314151617343[[#This Row],[FRA]]-VLOOKUP($U$1,A:C,3,))/VLOOKUP($U$1,A:C,3,))*100)+100</f>
        <v/>
      </c>
      <c r="J395" s="76">
        <f>(((Table134567891011121314151617343[[#This Row],[DEU]]-VLOOKUP($U$1,A:D,4,))/VLOOKUP($U$1,A:D,4,))*100)+100</f>
        <v/>
      </c>
      <c r="K395" s="76">
        <f>(((Table134567891011121314151617343[[#This Row],[ESP]]-VLOOKUP($U$1,A:E,5,))/VLOOKUP($U$1,A:E,5,))*100)+100</f>
        <v/>
      </c>
      <c r="L395" s="76">
        <f>(((Table134567891011121314151617343[[#This Row],[EA19]]-VLOOKUP($U$1,A:F,6,))/VLOOKUP($U$1,A:F,6,))*100)+100</f>
        <v/>
      </c>
      <c r="M395" s="76">
        <f>(((Table134567891011121314151617343[[#This Row],[GBR]]-VLOOKUP($U$1,A:G,7,))/VLOOKUP($U$1,A:G,7,))*100)+100</f>
        <v/>
      </c>
      <c r="N395" s="76">
        <f>IF(VLOOKUP(A395,Database!$A:$AU,MATCH($N$1,Database!$A$1:$AU$1,0),FALSE)=0,#N/A,VLOOKUP(A395,Database!$A:$AU,MATCH($N$1,Database!$A$1:$AU$1,0),FALSE))</f>
        <v/>
      </c>
      <c r="O395" s="76">
        <f>(((Table134567891011121314151617343[[#This Row],[USA]]-VLOOKUP($U$1,A:N,14,))/VLOOKUP($U$1,A:N,14,))*100)+100</f>
        <v/>
      </c>
      <c r="P395" s="76">
        <f>IF(VLOOKUP(A395,Database!$A:$AS,MATCH($P$1,Database!$A$1:$AS$1,0),FALSE)=0,#N/A,VLOOKUP(A395,Database!$A:$AS,MATCH($P$1,Database!$A$1:$AS$1,0),FALSE))</f>
        <v/>
      </c>
      <c r="Q395" s="76">
        <f>(((Table134567891011121314151617343[[#This Row],[JPN]]-VLOOKUP($U$1,A:Q,16,))/VLOOKUP($U$1,A:Q,16,))*100)+100</f>
        <v/>
      </c>
    </row>
    <row r="396" customFormat="1" s="86">
      <c r="A396" s="21" t="n">
        <v>44866</v>
      </c>
      <c r="B396" s="76">
        <f>IF(VLOOKUP(A396,Database!$A:$AS,MATCH($B$1,Database!$A$1:$AS$1,0),FALSE)=0,#N/A,VLOOKUP(A396,Database!$A:$AS,MATCH($B$1,Database!$A$1:$AS$1,0),FALSE))</f>
        <v/>
      </c>
      <c r="C396" s="76">
        <f>IF(VLOOKUP(A396,Database!$A:$AS,MATCH($C$1,Database!$A$1:$AS$1,0),FALSE)=0,#N/A,VLOOKUP(A396,Database!$A:$AS,MATCH($C$1,Database!$A$1:$AS$1,0),FALSE))</f>
        <v/>
      </c>
      <c r="D396" s="76">
        <f>IF(VLOOKUP(A396,Database!$A:$AS,MATCH($D$1,Database!$A$1:$AS$1,0),FALSE)=0,#N/A,VLOOKUP(A396,Database!$A:$AS,MATCH($D$1,Database!$A$1:$AS$1,0),FALSE))</f>
        <v/>
      </c>
      <c r="E396" s="76">
        <f>IF(VLOOKUP(A396,Database!$A:$AS,MATCH($E$1,Database!$A$1:$AS$1,0),FALSE)=0,#N/A,VLOOKUP(A396,Database!$A:$AS,MATCH($E$1,Database!$A$1:$AS$1,0),FALSE))</f>
        <v/>
      </c>
      <c r="F396" s="76">
        <f>IF(VLOOKUP(A396,Database!$A:$AS,MATCH($F$1,Database!$A$1:$AS$1,0),FALSE)=0,#N/A,VLOOKUP(A396,Database!$A:$AS,MATCH($F$1,Database!$A$1:$AS$1,0),FALSE))</f>
        <v/>
      </c>
      <c r="G396" s="76">
        <f>IF(VLOOKUP(A396,Database!$A:$AS,MATCH($G$1,Database!$A$1:$AS$1,0),FALSE)=0,#N/A,VLOOKUP(A396,Database!$A:$AS,MATCH($G$1,Database!$A$1:$AS$1,0),FALSE))</f>
        <v/>
      </c>
      <c r="H396" s="76">
        <f>(((Table134567891011121314151617343[[#This Row],[ITA]]-VLOOKUP($U$1,A:B,2,))/VLOOKUP($U$1,A:B,2,))*100)+100</f>
        <v/>
      </c>
      <c r="I396" s="76">
        <f>(((Table134567891011121314151617343[[#This Row],[FRA]]-VLOOKUP($U$1,A:C,3,))/VLOOKUP($U$1,A:C,3,))*100)+100</f>
        <v/>
      </c>
      <c r="J396" s="76">
        <f>(((Table134567891011121314151617343[[#This Row],[DEU]]-VLOOKUP($U$1,A:D,4,))/VLOOKUP($U$1,A:D,4,))*100)+100</f>
        <v/>
      </c>
      <c r="K396" s="76">
        <f>(((Table134567891011121314151617343[[#This Row],[ESP]]-VLOOKUP($U$1,A:E,5,))/VLOOKUP($U$1,A:E,5,))*100)+100</f>
        <v/>
      </c>
      <c r="L396" s="76">
        <f>(((Table134567891011121314151617343[[#This Row],[EA19]]-VLOOKUP($U$1,A:F,6,))/VLOOKUP($U$1,A:F,6,))*100)+100</f>
        <v/>
      </c>
      <c r="M396" s="76">
        <f>(((Table134567891011121314151617343[[#This Row],[GBR]]-VLOOKUP($U$1,A:G,7,))/VLOOKUP($U$1,A:G,7,))*100)+100</f>
        <v/>
      </c>
      <c r="N396" s="76">
        <f>IF(VLOOKUP(A396,Database!$A:$AU,MATCH($N$1,Database!$A$1:$AU$1,0),FALSE)=0,#N/A,VLOOKUP(A396,Database!$A:$AU,MATCH($N$1,Database!$A$1:$AU$1,0),FALSE))</f>
        <v/>
      </c>
      <c r="O396" s="76">
        <f>(((Table134567891011121314151617343[[#This Row],[USA]]-VLOOKUP($U$1,A:N,14,))/VLOOKUP($U$1,A:N,14,))*100)+100</f>
        <v/>
      </c>
      <c r="P396" s="76">
        <f>IF(VLOOKUP(A396,Database!$A:$AS,MATCH($P$1,Database!$A$1:$AS$1,0),FALSE)=0,#N/A,VLOOKUP(A396,Database!$A:$AS,MATCH($P$1,Database!$A$1:$AS$1,0),FALSE))</f>
        <v/>
      </c>
      <c r="Q396" s="76">
        <f>(((Table134567891011121314151617343[[#This Row],[JPN]]-VLOOKUP($U$1,A:Q,16,))/VLOOKUP($U$1,A:Q,16,))*100)+100</f>
        <v/>
      </c>
    </row>
    <row r="397" customFormat="1" s="86">
      <c r="A397" s="21" t="n">
        <v>44896</v>
      </c>
      <c r="B397" s="76">
        <f>IF(VLOOKUP(A397,Database!$A:$AS,MATCH($B$1,Database!$A$1:$AS$1,0),FALSE)=0,#N/A,VLOOKUP(A397,Database!$A:$AS,MATCH($B$1,Database!$A$1:$AS$1,0),FALSE))</f>
        <v/>
      </c>
      <c r="C397" s="76">
        <f>IF(VLOOKUP(A397,Database!$A:$AS,MATCH($C$1,Database!$A$1:$AS$1,0),FALSE)=0,#N/A,VLOOKUP(A397,Database!$A:$AS,MATCH($C$1,Database!$A$1:$AS$1,0),FALSE))</f>
        <v/>
      </c>
      <c r="D397" s="76">
        <f>IF(VLOOKUP(A397,Database!$A:$AS,MATCH($D$1,Database!$A$1:$AS$1,0),FALSE)=0,#N/A,VLOOKUP(A397,Database!$A:$AS,MATCH($D$1,Database!$A$1:$AS$1,0),FALSE))</f>
        <v/>
      </c>
      <c r="E397" s="76">
        <f>IF(VLOOKUP(A397,Database!$A:$AS,MATCH($E$1,Database!$A$1:$AS$1,0),FALSE)=0,#N/A,VLOOKUP(A397,Database!$A:$AS,MATCH($E$1,Database!$A$1:$AS$1,0),FALSE))</f>
        <v/>
      </c>
      <c r="F397" s="76">
        <f>IF(VLOOKUP(A397,Database!$A:$AS,MATCH($F$1,Database!$A$1:$AS$1,0),FALSE)=0,#N/A,VLOOKUP(A397,Database!$A:$AS,MATCH($F$1,Database!$A$1:$AS$1,0),FALSE))</f>
        <v/>
      </c>
      <c r="G397" s="76">
        <f>IF(VLOOKUP(A397,Database!$A:$AS,MATCH($G$1,Database!$A$1:$AS$1,0),FALSE)=0,#N/A,VLOOKUP(A397,Database!$A:$AS,MATCH($G$1,Database!$A$1:$AS$1,0),FALSE))</f>
        <v/>
      </c>
      <c r="H397" s="76">
        <f>(((Table134567891011121314151617343[[#This Row],[ITA]]-VLOOKUP($U$1,A:B,2,))/VLOOKUP($U$1,A:B,2,))*100)+100</f>
        <v/>
      </c>
      <c r="I397" s="76">
        <f>(((Table134567891011121314151617343[[#This Row],[FRA]]-VLOOKUP($U$1,A:C,3,))/VLOOKUP($U$1,A:C,3,))*100)+100</f>
        <v/>
      </c>
      <c r="J397" s="76">
        <f>(((Table134567891011121314151617343[[#This Row],[DEU]]-VLOOKUP($U$1,A:D,4,))/VLOOKUP($U$1,A:D,4,))*100)+100</f>
        <v/>
      </c>
      <c r="K397" s="76">
        <f>(((Table134567891011121314151617343[[#This Row],[ESP]]-VLOOKUP($U$1,A:E,5,))/VLOOKUP($U$1,A:E,5,))*100)+100</f>
        <v/>
      </c>
      <c r="L397" s="76">
        <f>(((Table134567891011121314151617343[[#This Row],[EA19]]-VLOOKUP($U$1,A:F,6,))/VLOOKUP($U$1,A:F,6,))*100)+100</f>
        <v/>
      </c>
      <c r="M397" s="76">
        <f>(((Table134567891011121314151617343[[#This Row],[GBR]]-VLOOKUP($U$1,A:G,7,))/VLOOKUP($U$1,A:G,7,))*100)+100</f>
        <v/>
      </c>
      <c r="N397" s="76">
        <f>IF(VLOOKUP(A397,Database!$A:$AU,MATCH($N$1,Database!$A$1:$AU$1,0),FALSE)=0,#N/A,VLOOKUP(A397,Database!$A:$AU,MATCH($N$1,Database!$A$1:$AU$1,0),FALSE))</f>
        <v/>
      </c>
      <c r="O397" s="76">
        <f>(((Table134567891011121314151617343[[#This Row],[USA]]-VLOOKUP($U$1,A:N,14,))/VLOOKUP($U$1,A:N,14,))*100)+100</f>
        <v/>
      </c>
      <c r="P397" s="76">
        <f>IF(VLOOKUP(A397,Database!$A:$AS,MATCH($P$1,Database!$A$1:$AS$1,0),FALSE)=0,#N/A,VLOOKUP(A397,Database!$A:$AS,MATCH($P$1,Database!$A$1:$AS$1,0),FALSE))</f>
        <v/>
      </c>
      <c r="Q397" s="76">
        <f>(((Table134567891011121314151617343[[#This Row],[JPN]]-VLOOKUP($U$1,A:Q,16,))/VLOOKUP($U$1,A:Q,16,))*100)+100</f>
        <v/>
      </c>
    </row>
    <row r="398" customFormat="1" s="86">
      <c r="A398" s="21" t="n">
        <v>44927</v>
      </c>
      <c r="B398" s="76">
        <f>IF(VLOOKUP(A398,Database!$A:$AS,MATCH($B$1,Database!$A$1:$AS$1,0),FALSE)=0,#N/A,VLOOKUP(A398,Database!$A:$AS,MATCH($B$1,Database!$A$1:$AS$1,0),FALSE))</f>
        <v/>
      </c>
      <c r="C398" s="76">
        <f>IF(VLOOKUP(A398,Database!$A:$AS,MATCH($C$1,Database!$A$1:$AS$1,0),FALSE)=0,#N/A,VLOOKUP(A398,Database!$A:$AS,MATCH($C$1,Database!$A$1:$AS$1,0),FALSE))</f>
        <v/>
      </c>
      <c r="D398" s="76">
        <f>IF(VLOOKUP(A398,Database!$A:$AS,MATCH($D$1,Database!$A$1:$AS$1,0),FALSE)=0,#N/A,VLOOKUP(A398,Database!$A:$AS,MATCH($D$1,Database!$A$1:$AS$1,0),FALSE))</f>
        <v/>
      </c>
      <c r="E398" s="76">
        <f>IF(VLOOKUP(A398,Database!$A:$AS,MATCH($E$1,Database!$A$1:$AS$1,0),FALSE)=0,#N/A,VLOOKUP(A398,Database!$A:$AS,MATCH($E$1,Database!$A$1:$AS$1,0),FALSE))</f>
        <v/>
      </c>
      <c r="F398" s="76">
        <f>IF(VLOOKUP(A398,Database!$A:$AS,MATCH($F$1,Database!$A$1:$AS$1,0),FALSE)=0,#N/A,VLOOKUP(A398,Database!$A:$AS,MATCH($F$1,Database!$A$1:$AS$1,0),FALSE))</f>
        <v/>
      </c>
      <c r="G398" s="76">
        <f>IF(VLOOKUP(A398,Database!$A:$AS,MATCH($G$1,Database!$A$1:$AS$1,0),FALSE)=0,#N/A,VLOOKUP(A398,Database!$A:$AS,MATCH($G$1,Database!$A$1:$AS$1,0),FALSE))</f>
        <v/>
      </c>
      <c r="H398" s="76">
        <f>(((Table134567891011121314151617343[[#This Row],[ITA]]-VLOOKUP($U$1,A:B,2,))/VLOOKUP($U$1,A:B,2,))*100)+100</f>
        <v/>
      </c>
      <c r="I398" s="76">
        <f>(((Table134567891011121314151617343[[#This Row],[FRA]]-VLOOKUP($U$1,A:C,3,))/VLOOKUP($U$1,A:C,3,))*100)+100</f>
        <v/>
      </c>
      <c r="J398" s="76">
        <f>(((Table134567891011121314151617343[[#This Row],[DEU]]-VLOOKUP($U$1,A:D,4,))/VLOOKUP($U$1,A:D,4,))*100)+100</f>
        <v/>
      </c>
      <c r="K398" s="76">
        <f>(((Table134567891011121314151617343[[#This Row],[ESP]]-VLOOKUP($U$1,A:E,5,))/VLOOKUP($U$1,A:E,5,))*100)+100</f>
        <v/>
      </c>
      <c r="L398" s="76">
        <f>(((Table134567891011121314151617343[[#This Row],[EA19]]-VLOOKUP($U$1,A:F,6,))/VLOOKUP($U$1,A:F,6,))*100)+100</f>
        <v/>
      </c>
      <c r="M398" s="76">
        <f>(((Table134567891011121314151617343[[#This Row],[GBR]]-VLOOKUP($U$1,A:G,7,))/VLOOKUP($U$1,A:G,7,))*100)+100</f>
        <v/>
      </c>
      <c r="N398" s="76">
        <f>IF(VLOOKUP(A398,Database!$A:$AU,MATCH($N$1,Database!$A$1:$AU$1,0),FALSE)=0,#N/A,VLOOKUP(A398,Database!$A:$AU,MATCH($N$1,Database!$A$1:$AU$1,0),FALSE))</f>
        <v/>
      </c>
      <c r="O398" s="76">
        <f>(((Table134567891011121314151617343[[#This Row],[USA]]-VLOOKUP($U$1,A:N,14,))/VLOOKUP($U$1,A:N,14,))*100)+100</f>
        <v/>
      </c>
      <c r="P398" s="76">
        <f>IF(VLOOKUP(A398,Database!$A:$AS,MATCH($P$1,Database!$A$1:$AS$1,0),FALSE)=0,#N/A,VLOOKUP(A398,Database!$A:$AS,MATCH($P$1,Database!$A$1:$AS$1,0),FALSE))</f>
        <v/>
      </c>
      <c r="Q398" s="76">
        <f>(((Table134567891011121314151617343[[#This Row],[JPN]]-VLOOKUP($U$1,A:Q,16,))/VLOOKUP($U$1,A:Q,16,))*100)+100</f>
        <v/>
      </c>
    </row>
    <row r="399" customFormat="1" s="86">
      <c r="A399" s="16" t="n"/>
      <c r="C399" s="35" t="n"/>
      <c r="D399" s="36" t="n"/>
    </row>
    <row r="400" customFormat="1" s="86">
      <c r="A400" s="16" t="n"/>
      <c r="C400" s="35" t="n"/>
      <c r="D400" s="36" t="n"/>
    </row>
    <row r="401" customFormat="1" s="86">
      <c r="A401" s="16" t="n"/>
      <c r="C401" s="35" t="n"/>
      <c r="D401" s="36" t="n"/>
    </row>
    <row r="402" customFormat="1" s="86">
      <c r="A402" s="16" t="n"/>
      <c r="C402" s="35" t="n"/>
      <c r="D402" s="36" t="n"/>
    </row>
    <row r="403" customFormat="1" s="86">
      <c r="A403" s="16" t="n"/>
      <c r="C403" s="35" t="n"/>
      <c r="D403" s="36" t="n"/>
    </row>
    <row r="404" customFormat="1" s="86">
      <c r="A404" s="16" t="n"/>
      <c r="C404" s="35" t="n"/>
      <c r="D404" s="36" t="n"/>
    </row>
    <row r="405" customFormat="1" s="86">
      <c r="A405" s="16" t="n"/>
      <c r="C405" s="35" t="n"/>
      <c r="D405" s="36" t="n"/>
    </row>
    <row r="406" customFormat="1" s="86">
      <c r="A406" s="16" t="n"/>
      <c r="C406" s="35" t="n"/>
      <c r="D406" s="36" t="n"/>
    </row>
    <row r="407" customFormat="1" s="86">
      <c r="A407" s="16" t="n"/>
      <c r="C407" s="35" t="n"/>
      <c r="D407" s="36" t="n"/>
    </row>
    <row r="408" customFormat="1" s="86">
      <c r="A408" s="16" t="n"/>
      <c r="C408" s="35" t="n"/>
      <c r="D408" s="36" t="n"/>
    </row>
    <row r="409" customFormat="1" s="86">
      <c r="A409" s="16" t="n"/>
      <c r="C409" s="35" t="n"/>
      <c r="D409" s="36" t="n"/>
    </row>
    <row r="410" customFormat="1" s="86">
      <c r="A410" s="16" t="n"/>
      <c r="C410" s="35" t="n"/>
      <c r="D410" s="36" t="n"/>
    </row>
    <row r="411" customFormat="1" s="86">
      <c r="A411" s="16" t="n"/>
      <c r="C411" s="35" t="n"/>
      <c r="D411" s="36" t="n"/>
    </row>
    <row r="412" customFormat="1" s="86">
      <c r="A412" s="16" t="n"/>
      <c r="C412" s="35" t="n"/>
      <c r="D412" s="36" t="n"/>
    </row>
    <row r="413" customFormat="1" s="86">
      <c r="A413" s="16" t="n"/>
      <c r="C413" s="35" t="n"/>
      <c r="D413" s="36" t="n"/>
    </row>
    <row r="414" customFormat="1" s="86">
      <c r="A414" s="16" t="n"/>
      <c r="C414" s="35" t="n"/>
      <c r="D414" s="36" t="n"/>
    </row>
    <row r="415" customFormat="1" s="86">
      <c r="A415" s="16" t="n"/>
      <c r="C415" s="35" t="n"/>
      <c r="D415" s="36" t="n"/>
    </row>
    <row r="416" customFormat="1" s="86">
      <c r="A416" s="16" t="n"/>
      <c r="C416" s="35" t="n"/>
      <c r="D416" s="36" t="n"/>
    </row>
    <row r="417" customFormat="1" s="86">
      <c r="A417" s="16" t="n"/>
      <c r="C417" s="35" t="n"/>
      <c r="D417" s="36" t="n"/>
    </row>
    <row r="418" customFormat="1" s="86">
      <c r="A418" s="16" t="n"/>
      <c r="C418" s="35" t="n"/>
      <c r="D418" s="36" t="n"/>
    </row>
    <row r="419" customFormat="1" s="86">
      <c r="A419" s="16" t="n"/>
      <c r="C419" s="35" t="n"/>
      <c r="D419" s="36" t="n"/>
    </row>
    <row r="420" customFormat="1" s="86">
      <c r="A420" s="16" t="n"/>
      <c r="C420" s="35" t="n"/>
      <c r="D420" s="36" t="n"/>
    </row>
    <row r="421" customFormat="1" s="86">
      <c r="A421" s="16" t="n"/>
      <c r="C421" s="35" t="n"/>
      <c r="D421" s="36" t="n"/>
    </row>
    <row r="422" customFormat="1" s="86">
      <c r="A422" s="16" t="n"/>
      <c r="C422" s="35" t="n"/>
      <c r="D422" s="36" t="n"/>
    </row>
    <row r="423" customFormat="1" s="86">
      <c r="A423" s="16" t="n"/>
      <c r="C423" s="35" t="n"/>
      <c r="D423" s="36" t="n"/>
    </row>
    <row r="424" customFormat="1" s="86">
      <c r="A424" s="16" t="n"/>
      <c r="C424" s="35" t="n"/>
      <c r="D424" s="36" t="n"/>
    </row>
    <row r="425" customFormat="1" s="86">
      <c r="A425" s="16" t="n"/>
      <c r="C425" s="35" t="n"/>
      <c r="D425" s="36" t="n"/>
    </row>
    <row r="426" customFormat="1" s="86">
      <c r="A426" s="16" t="n"/>
      <c r="C426" s="35" t="n"/>
      <c r="D426" s="36" t="n"/>
    </row>
    <row r="427" customFormat="1" s="86">
      <c r="A427" s="16" t="n"/>
      <c r="C427" s="35" t="n"/>
      <c r="D427" s="36" t="n"/>
    </row>
    <row r="428" customFormat="1" s="86">
      <c r="A428" s="16" t="n"/>
      <c r="C428" s="35" t="n"/>
      <c r="D428" s="36" t="n"/>
    </row>
    <row r="429" customFormat="1" s="86">
      <c r="A429" s="16" t="n"/>
      <c r="C429" s="35" t="n"/>
      <c r="D429" s="36" t="n"/>
    </row>
    <row r="430" customFormat="1" s="86">
      <c r="A430" s="16" t="n"/>
      <c r="C430" s="35" t="n"/>
      <c r="D430" s="36" t="n"/>
    </row>
    <row r="431" customFormat="1" s="86">
      <c r="A431" s="16" t="n"/>
      <c r="C431" s="35" t="n"/>
      <c r="D431" s="36" t="n"/>
    </row>
    <row r="432" customFormat="1" s="86">
      <c r="A432" s="16" t="n"/>
      <c r="C432" s="35" t="n"/>
      <c r="D432" s="36" t="n"/>
    </row>
    <row r="433" customFormat="1" s="86">
      <c r="A433" s="16" t="n"/>
      <c r="C433" s="35" t="n"/>
      <c r="D433" s="36" t="n"/>
    </row>
    <row r="434" customFormat="1" s="86">
      <c r="A434" s="16" t="n"/>
      <c r="C434" s="35" t="n"/>
      <c r="D434" s="36" t="n"/>
    </row>
    <row r="435" customFormat="1" s="86">
      <c r="A435" s="16" t="n"/>
      <c r="C435" s="35" t="n"/>
      <c r="D435" s="36" t="n"/>
    </row>
    <row r="436" customFormat="1" s="86">
      <c r="A436" s="16" t="n"/>
      <c r="C436" s="35" t="n"/>
      <c r="D436" s="36" t="n"/>
    </row>
    <row r="437" customFormat="1" s="86">
      <c r="A437" s="16" t="n"/>
      <c r="C437" s="35" t="n"/>
      <c r="D437" s="36" t="n"/>
    </row>
    <row r="438" customFormat="1" s="86">
      <c r="A438" s="16" t="n"/>
      <c r="C438" s="35" t="n"/>
      <c r="D438" s="36" t="n"/>
    </row>
    <row r="439" customFormat="1" s="86">
      <c r="A439" s="16" t="n"/>
      <c r="C439" s="35" t="n"/>
      <c r="D439" s="36" t="n"/>
    </row>
    <row r="440" customFormat="1" s="86">
      <c r="A440" s="16" t="n"/>
      <c r="C440" s="35" t="n"/>
      <c r="D440" s="36" t="n"/>
    </row>
    <row r="441" customFormat="1" s="86">
      <c r="A441" s="16" t="n"/>
      <c r="C441" s="35" t="n"/>
      <c r="D441" s="36" t="n"/>
    </row>
    <row r="442" customFormat="1" s="86">
      <c r="A442" s="16" t="n"/>
      <c r="C442" s="35" t="n"/>
      <c r="D442" s="36" t="n"/>
    </row>
    <row r="443" customFormat="1" s="86">
      <c r="A443" s="16" t="n"/>
      <c r="C443" s="35" t="n"/>
      <c r="D443" s="36" t="n"/>
    </row>
    <row r="444" customFormat="1" s="86">
      <c r="A444" s="16" t="n"/>
      <c r="C444" s="35" t="n"/>
      <c r="D444" s="36" t="n"/>
    </row>
    <row r="445" customFormat="1" s="86">
      <c r="A445" s="16" t="n"/>
      <c r="C445" s="35" t="n"/>
      <c r="D445" s="36" t="n"/>
    </row>
    <row r="446" customFormat="1" s="86">
      <c r="A446" s="16" t="n"/>
      <c r="C446" s="35" t="n"/>
      <c r="D446" s="36" t="n"/>
    </row>
    <row r="447" customFormat="1" s="86">
      <c r="A447" s="16" t="n"/>
      <c r="C447" s="35" t="n"/>
      <c r="D447" s="36" t="n"/>
    </row>
    <row r="448" customFormat="1" s="86">
      <c r="A448" s="16" t="n"/>
      <c r="C448" s="35" t="n"/>
      <c r="D448" s="36" t="n"/>
    </row>
    <row r="449" customFormat="1" s="86">
      <c r="A449" s="16" t="n"/>
      <c r="C449" s="35" t="n"/>
      <c r="D449" s="36" t="n"/>
    </row>
    <row r="450" customFormat="1" s="86">
      <c r="A450" s="16" t="n"/>
      <c r="C450" s="35" t="n"/>
      <c r="D450" s="36" t="n"/>
    </row>
    <row r="451" customFormat="1" s="86">
      <c r="A451" s="16" t="n"/>
      <c r="C451" s="35" t="n"/>
      <c r="D451" s="36" t="n"/>
    </row>
    <row r="452" customFormat="1" s="86">
      <c r="A452" s="16" t="n"/>
      <c r="C452" s="35" t="n"/>
      <c r="D452" s="36" t="n"/>
    </row>
    <row r="453" customFormat="1" s="86">
      <c r="A453" s="16" t="n"/>
      <c r="C453" s="35" t="n"/>
      <c r="D453" s="36" t="n"/>
    </row>
    <row r="454" customFormat="1" s="86">
      <c r="A454" s="16" t="n"/>
      <c r="C454" s="35" t="n"/>
      <c r="D454" s="36" t="n"/>
    </row>
    <row r="455" customFormat="1" s="86">
      <c r="A455" s="16" t="n"/>
      <c r="C455" s="35" t="n"/>
      <c r="D455" s="36" t="n"/>
    </row>
    <row r="456" customFormat="1" s="86">
      <c r="A456" s="16" t="n"/>
      <c r="C456" s="35" t="n"/>
      <c r="D456" s="36" t="n"/>
    </row>
    <row r="457" customFormat="1" s="86">
      <c r="A457" s="16" t="n"/>
      <c r="C457" s="35" t="n"/>
      <c r="D457" s="36" t="n"/>
    </row>
    <row r="458" customFormat="1" s="86">
      <c r="A458" s="16" t="n"/>
      <c r="C458" s="35" t="n"/>
      <c r="D458" s="36" t="n"/>
    </row>
    <row r="459" customFormat="1" s="86">
      <c r="A459" s="16" t="n"/>
      <c r="C459" s="35" t="n"/>
      <c r="D459" s="36" t="n"/>
    </row>
    <row r="460" customFormat="1" s="86">
      <c r="A460" s="16" t="n"/>
      <c r="C460" s="35" t="n"/>
      <c r="D460" s="36" t="n"/>
    </row>
    <row r="461" customFormat="1" s="86">
      <c r="A461" s="16" t="n"/>
      <c r="C461" s="35" t="n"/>
      <c r="D461" s="36" t="n"/>
    </row>
    <row r="462" customFormat="1" s="86">
      <c r="A462" s="16" t="n"/>
      <c r="C462" s="35" t="n"/>
      <c r="D462" s="36" t="n"/>
    </row>
    <row r="463" customFormat="1" s="86">
      <c r="A463" s="16" t="n"/>
      <c r="C463" s="35" t="n"/>
      <c r="D463" s="36" t="n"/>
    </row>
    <row r="464" customFormat="1" s="86">
      <c r="A464" s="16" t="n"/>
      <c r="C464" s="35" t="n"/>
      <c r="D464" s="36" t="n"/>
    </row>
    <row r="465" customFormat="1" s="86">
      <c r="A465" s="16" t="n"/>
      <c r="C465" s="35" t="n"/>
      <c r="D465" s="36" t="n"/>
    </row>
    <row r="466" customFormat="1" s="86">
      <c r="A466" s="16" t="n"/>
      <c r="C466" s="35" t="n"/>
      <c r="D466" s="36" t="n"/>
    </row>
    <row r="467" customFormat="1" s="86">
      <c r="A467" s="16" t="n"/>
      <c r="C467" s="35" t="n"/>
      <c r="D467" s="36" t="n"/>
    </row>
    <row r="468" customFormat="1" s="86">
      <c r="A468" s="16" t="n"/>
      <c r="C468" s="35" t="n"/>
      <c r="D468" s="36" t="n"/>
    </row>
    <row r="469" customFormat="1" s="86">
      <c r="A469" s="16" t="n"/>
      <c r="C469" s="35" t="n"/>
      <c r="D469" s="36" t="n"/>
    </row>
    <row r="470" customFormat="1" s="86">
      <c r="A470" s="16" t="n"/>
      <c r="C470" s="35" t="n"/>
      <c r="D470" s="36" t="n"/>
    </row>
    <row r="471" customFormat="1" s="86">
      <c r="A471" s="16" t="n"/>
      <c r="C471" s="35" t="n"/>
      <c r="D471" s="36" t="n"/>
    </row>
    <row r="472" customFormat="1" s="86">
      <c r="A472" s="16" t="n"/>
      <c r="C472" s="35" t="n"/>
      <c r="D472" s="36" t="n"/>
    </row>
    <row r="473" customFormat="1" s="86">
      <c r="A473" s="16" t="n"/>
      <c r="C473" s="35" t="n"/>
      <c r="D473" s="36" t="n"/>
    </row>
    <row r="474" customFormat="1" s="86">
      <c r="A474" s="16" t="n"/>
      <c r="C474" s="35" t="n"/>
      <c r="D474" s="36" t="n"/>
    </row>
    <row r="475" customFormat="1" s="86">
      <c r="A475" s="16" t="n"/>
      <c r="C475" s="35" t="n"/>
      <c r="D475" s="36" t="n"/>
    </row>
    <row r="476" customFormat="1" s="86">
      <c r="A476" s="16" t="n"/>
      <c r="C476" s="35" t="n"/>
      <c r="D476" s="36" t="n"/>
    </row>
    <row r="477" customFormat="1" s="86">
      <c r="A477" s="16" t="n"/>
      <c r="C477" s="35" t="n"/>
      <c r="D477" s="36" t="n"/>
    </row>
    <row r="478" customFormat="1" s="86">
      <c r="A478" s="16" t="n"/>
      <c r="C478" s="35" t="n"/>
      <c r="D478" s="36" t="n"/>
    </row>
    <row r="479" customFormat="1" s="86">
      <c r="A479" s="16" t="n"/>
      <c r="C479" s="35" t="n"/>
      <c r="D479" s="36" t="n"/>
    </row>
    <row r="480" customFormat="1" s="86">
      <c r="A480" s="16" t="n"/>
      <c r="C480" s="35" t="n"/>
      <c r="D480" s="36" t="n"/>
    </row>
    <row r="481" customFormat="1" s="86">
      <c r="A481" s="16" t="n"/>
      <c r="C481" s="35" t="n"/>
      <c r="D481" s="36" t="n"/>
    </row>
    <row r="482" customFormat="1" s="86">
      <c r="A482" s="16" t="n"/>
      <c r="C482" s="35" t="n"/>
      <c r="D482" s="36" t="n"/>
    </row>
    <row r="483" customFormat="1" s="86">
      <c r="A483" s="16" t="n"/>
      <c r="C483" s="35" t="n"/>
      <c r="D483" s="36" t="n"/>
    </row>
    <row r="484" customFormat="1" s="86">
      <c r="A484" s="16" t="n"/>
      <c r="C484" s="35" t="n"/>
      <c r="D484" s="36" t="n"/>
    </row>
    <row r="485" customFormat="1" s="86">
      <c r="A485" s="16" t="n"/>
      <c r="C485" s="35" t="n"/>
      <c r="D485" s="36" t="n"/>
    </row>
    <row r="486" customFormat="1" s="86">
      <c r="A486" s="16" t="n"/>
      <c r="C486" s="35" t="n"/>
      <c r="D486" s="36" t="n"/>
    </row>
    <row r="487" customFormat="1" s="86">
      <c r="A487" s="16" t="n"/>
      <c r="C487" s="35" t="n"/>
      <c r="D487" s="36" t="n"/>
    </row>
    <row r="488" customFormat="1" s="86">
      <c r="A488" s="16" t="n"/>
      <c r="C488" s="35" t="n"/>
      <c r="D488" s="36" t="n"/>
    </row>
    <row r="489" customFormat="1" s="86">
      <c r="A489" s="16" t="n"/>
      <c r="C489" s="35" t="n"/>
      <c r="D489" s="36" t="n"/>
    </row>
    <row r="490" customFormat="1" s="86">
      <c r="A490" s="16" t="n"/>
      <c r="C490" s="35" t="n"/>
      <c r="D490" s="36" t="n"/>
    </row>
    <row r="491" customFormat="1" s="86">
      <c r="A491" s="16" t="n"/>
      <c r="C491" s="35" t="n"/>
      <c r="D491" s="36" t="n"/>
    </row>
    <row r="492" customFormat="1" s="86">
      <c r="A492" s="16" t="n"/>
      <c r="C492" s="35" t="n"/>
      <c r="D492" s="36" t="n"/>
    </row>
    <row r="493" customFormat="1" s="86">
      <c r="A493" s="16" t="n"/>
      <c r="C493" s="35" t="n"/>
      <c r="D493" s="36" t="n"/>
    </row>
    <row r="494" customFormat="1" s="86">
      <c r="A494" s="16" t="n"/>
      <c r="C494" s="35" t="n"/>
      <c r="D494" s="36" t="n"/>
    </row>
    <row r="495" customFormat="1" s="86">
      <c r="A495" s="16" t="n"/>
      <c r="C495" s="35" t="n"/>
      <c r="D495" s="36" t="n"/>
    </row>
    <row r="496" customFormat="1" s="86">
      <c r="A496" s="16" t="n"/>
      <c r="C496" s="35" t="n"/>
      <c r="D496" s="36" t="n"/>
    </row>
    <row r="497" customFormat="1" s="86">
      <c r="A497" s="16" t="n"/>
      <c r="C497" s="35" t="n"/>
      <c r="D497" s="36" t="n"/>
    </row>
    <row r="498" customFormat="1" s="86">
      <c r="A498" s="16" t="n"/>
      <c r="C498" s="35" t="n"/>
      <c r="D498" s="36" t="n"/>
    </row>
    <row r="499" customFormat="1" s="86">
      <c r="A499" s="16" t="n"/>
      <c r="C499" s="35" t="n"/>
      <c r="D499" s="36" t="n"/>
    </row>
    <row r="500" customFormat="1" s="86">
      <c r="A500" s="16" t="n"/>
      <c r="C500" s="35" t="n"/>
      <c r="D500" s="36" t="n"/>
    </row>
    <row r="501" customFormat="1" s="86">
      <c r="A501" s="16" t="n"/>
      <c r="C501" s="35" t="n"/>
      <c r="D501" s="36" t="n"/>
    </row>
    <row r="502" customFormat="1" s="86">
      <c r="A502" s="16" t="n"/>
      <c r="C502" s="35" t="n"/>
      <c r="D502" s="36" t="n"/>
    </row>
    <row r="503" customFormat="1" s="86">
      <c r="A503" s="16" t="n"/>
      <c r="C503" s="35" t="n"/>
      <c r="D503" s="36" t="n"/>
    </row>
    <row r="504" customFormat="1" s="86">
      <c r="A504" s="16" t="n"/>
      <c r="C504" s="35" t="n"/>
      <c r="D504" s="36" t="n"/>
    </row>
    <row r="505" customFormat="1" s="86">
      <c r="A505" s="16" t="n"/>
      <c r="C505" s="35" t="n"/>
      <c r="D505" s="36" t="n"/>
    </row>
    <row r="506" customFormat="1" s="86">
      <c r="A506" s="16" t="n"/>
      <c r="C506" s="35" t="n"/>
      <c r="D506" s="36" t="n"/>
    </row>
    <row r="507" customFormat="1" s="86">
      <c r="A507" s="16" t="n"/>
      <c r="C507" s="35" t="n"/>
      <c r="D507" s="36" t="n"/>
    </row>
    <row r="508" customFormat="1" s="86">
      <c r="A508" s="16" t="n"/>
      <c r="C508" s="35" t="n"/>
      <c r="D508" s="36" t="n"/>
    </row>
    <row r="509" customFormat="1" s="86">
      <c r="A509" s="16" t="n"/>
      <c r="C509" s="35" t="n"/>
      <c r="D509" s="36" t="n"/>
    </row>
    <row r="510" customFormat="1" s="86">
      <c r="A510" s="16" t="n"/>
      <c r="C510" s="35" t="n"/>
      <c r="D510" s="36" t="n"/>
    </row>
    <row r="511" customFormat="1" s="86">
      <c r="A511" s="16" t="n"/>
      <c r="C511" s="35" t="n"/>
      <c r="D511" s="36" t="n"/>
    </row>
    <row r="512" customFormat="1" s="86">
      <c r="A512" s="16" t="n"/>
      <c r="C512" s="35" t="n"/>
      <c r="D512" s="36" t="n"/>
    </row>
    <row r="513" customFormat="1" s="86">
      <c r="A513" s="16" t="n"/>
      <c r="C513" s="35" t="n"/>
      <c r="D513" s="36" t="n"/>
    </row>
    <row r="514" customFormat="1" s="86">
      <c r="A514" s="16" t="n"/>
      <c r="C514" s="35" t="n"/>
      <c r="D514" s="36" t="n"/>
    </row>
    <row r="515" customFormat="1" s="86">
      <c r="A515" s="16" t="n"/>
      <c r="C515" s="35" t="n"/>
      <c r="D515" s="36" t="n"/>
    </row>
    <row r="516" customFormat="1" s="86">
      <c r="A516" s="16" t="n"/>
      <c r="C516" s="35" t="n"/>
      <c r="D516" s="36" t="n"/>
    </row>
    <row r="517" customFormat="1" s="86">
      <c r="A517" s="16" t="n"/>
      <c r="C517" s="35" t="n"/>
      <c r="D517" s="36" t="n"/>
    </row>
    <row r="518" customFormat="1" s="86">
      <c r="A518" s="16" t="n"/>
      <c r="C518" s="35" t="n"/>
      <c r="D518" s="36" t="n"/>
    </row>
    <row r="519" customFormat="1" s="86">
      <c r="A519" s="16" t="n"/>
      <c r="C519" s="35" t="n"/>
      <c r="D519" s="36" t="n"/>
    </row>
    <row r="520" customFormat="1" s="86">
      <c r="A520" s="16" t="n"/>
      <c r="C520" s="35" t="n"/>
      <c r="D520" s="36" t="n"/>
    </row>
    <row r="521" customFormat="1" s="86">
      <c r="A521" s="16" t="n"/>
      <c r="C521" s="35" t="n"/>
      <c r="D521" s="36" t="n"/>
    </row>
    <row r="522" customFormat="1" s="86">
      <c r="A522" s="16" t="n"/>
      <c r="C522" s="35" t="n"/>
      <c r="D522" s="36" t="n"/>
    </row>
    <row r="523" customFormat="1" s="86">
      <c r="A523" s="16" t="n"/>
      <c r="C523" s="35" t="n"/>
      <c r="D523" s="36" t="n"/>
    </row>
    <row r="524" customFormat="1" s="86">
      <c r="A524" s="16" t="n"/>
      <c r="C524" s="35" t="n"/>
      <c r="D524" s="36" t="n"/>
    </row>
    <row r="525" customFormat="1" s="86">
      <c r="A525" s="16" t="n"/>
      <c r="C525" s="35" t="n"/>
      <c r="D525" s="36" t="n"/>
    </row>
    <row r="526" customFormat="1" s="86">
      <c r="A526" s="16" t="n"/>
      <c r="C526" s="35" t="n"/>
      <c r="D526" s="36" t="n"/>
    </row>
    <row r="527" customFormat="1" s="86">
      <c r="A527" s="16" t="n"/>
      <c r="C527" s="35" t="n"/>
      <c r="D527" s="36" t="n"/>
    </row>
    <row r="528" customFormat="1" s="86">
      <c r="A528" s="16" t="n"/>
      <c r="C528" s="35" t="n"/>
      <c r="D528" s="36" t="n"/>
    </row>
    <row r="529" customFormat="1" s="86">
      <c r="A529" s="16" t="n"/>
      <c r="C529" s="35" t="n"/>
      <c r="D529" s="36" t="n"/>
    </row>
    <row r="530" customFormat="1" s="86">
      <c r="A530" s="16" t="n"/>
      <c r="C530" s="35" t="n"/>
      <c r="D530" s="36" t="n"/>
    </row>
    <row r="531" customFormat="1" s="86">
      <c r="A531" s="16" t="n"/>
      <c r="C531" s="35" t="n"/>
      <c r="D531" s="36" t="n"/>
    </row>
    <row r="532" customFormat="1" s="86">
      <c r="A532" s="16" t="n"/>
      <c r="C532" s="35" t="n"/>
      <c r="D532" s="36" t="n"/>
    </row>
    <row r="533" customFormat="1" s="86">
      <c r="A533" s="16" t="n"/>
      <c r="C533" s="35" t="n"/>
      <c r="D533" s="36" t="n"/>
    </row>
    <row r="534" customFormat="1" s="86">
      <c r="A534" s="16" t="n"/>
      <c r="C534" s="35" t="n"/>
      <c r="D534" s="36" t="n"/>
    </row>
    <row r="535" customFormat="1" s="86">
      <c r="A535" s="16" t="n"/>
      <c r="C535" s="35" t="n"/>
      <c r="D535" s="36" t="n"/>
    </row>
    <row r="536" customFormat="1" s="86">
      <c r="A536" s="16" t="n"/>
      <c r="C536" s="35" t="n"/>
      <c r="D536" s="36" t="n"/>
    </row>
    <row r="537" customFormat="1" s="86">
      <c r="A537" s="16" t="n"/>
      <c r="C537" s="35" t="n"/>
      <c r="D537" s="36" t="n"/>
    </row>
    <row r="538" customFormat="1" s="86">
      <c r="A538" s="16" t="n"/>
      <c r="C538" s="35" t="n"/>
      <c r="D538" s="36" t="n"/>
    </row>
    <row r="539" customFormat="1" s="86">
      <c r="A539" s="16" t="n"/>
      <c r="C539" s="35" t="n"/>
      <c r="D539" s="36" t="n"/>
    </row>
    <row r="540" customFormat="1" s="86">
      <c r="A540" s="16" t="n"/>
      <c r="C540" s="35" t="n"/>
      <c r="D540" s="36" t="n"/>
    </row>
    <row r="541" customFormat="1" s="86">
      <c r="A541" s="16" t="n"/>
      <c r="C541" s="35" t="n"/>
      <c r="D541" s="36" t="n"/>
    </row>
    <row r="542" customFormat="1" s="86">
      <c r="A542" s="16" t="n"/>
      <c r="C542" s="35" t="n"/>
      <c r="D542" s="36" t="n"/>
    </row>
    <row r="543" customFormat="1" s="86">
      <c r="A543" s="16" t="n"/>
      <c r="C543" s="35" t="n"/>
      <c r="D543" s="36" t="n"/>
    </row>
    <row r="544" customFormat="1" s="86">
      <c r="A544" s="16" t="n"/>
      <c r="C544" s="35" t="n"/>
      <c r="D544" s="36" t="n"/>
    </row>
    <row r="545" customFormat="1" s="86">
      <c r="A545" s="16" t="n"/>
      <c r="C545" s="35" t="n"/>
      <c r="D545" s="36" t="n"/>
    </row>
    <row r="546" customFormat="1" s="86">
      <c r="A546" s="16" t="n"/>
      <c r="C546" s="35" t="n"/>
      <c r="D546" s="36" t="n"/>
    </row>
    <row r="547" customFormat="1" s="86">
      <c r="A547" s="16" t="n"/>
      <c r="C547" s="35" t="n"/>
      <c r="D547" s="36" t="n"/>
    </row>
    <row r="548" customFormat="1" s="86">
      <c r="A548" s="16" t="n"/>
      <c r="C548" s="35" t="n"/>
      <c r="D548" s="36" t="n"/>
    </row>
    <row r="549" customFormat="1" s="86">
      <c r="A549" s="16" t="n"/>
      <c r="C549" s="35" t="n"/>
      <c r="D549" s="36" t="n"/>
    </row>
    <row r="550" customFormat="1" s="86">
      <c r="A550" s="16" t="n"/>
      <c r="C550" s="35" t="n"/>
      <c r="D550" s="36" t="n"/>
    </row>
    <row r="551" customFormat="1" s="86">
      <c r="A551" s="16" t="n"/>
      <c r="C551" s="35" t="n"/>
      <c r="D551" s="36" t="n"/>
    </row>
    <row r="552" customFormat="1" s="86">
      <c r="A552" s="16" t="n"/>
      <c r="C552" s="35" t="n"/>
      <c r="D552" s="36" t="n"/>
    </row>
    <row r="553" customFormat="1" s="86">
      <c r="A553" s="16" t="n"/>
      <c r="C553" s="35" t="n"/>
      <c r="D553" s="36" t="n"/>
    </row>
    <row r="554" customFormat="1" s="86">
      <c r="A554" s="16" t="n"/>
      <c r="C554" s="35" t="n"/>
      <c r="D554" s="36" t="n"/>
    </row>
    <row r="555" customFormat="1" s="86">
      <c r="A555" s="16" t="n"/>
      <c r="C555" s="35" t="n"/>
      <c r="D555" s="36" t="n"/>
    </row>
    <row r="556" customFormat="1" s="86">
      <c r="A556" s="16" t="n"/>
      <c r="C556" s="35" t="n"/>
      <c r="D556" s="36" t="n"/>
    </row>
    <row r="557" customFormat="1" s="86">
      <c r="A557" s="16" t="n"/>
      <c r="C557" s="35" t="n"/>
      <c r="D557" s="36" t="n"/>
    </row>
    <row r="558" customFormat="1" s="86">
      <c r="A558" s="16" t="n"/>
      <c r="C558" s="35" t="n"/>
      <c r="D558" s="36" t="n"/>
    </row>
    <row r="559" customFormat="1" s="86">
      <c r="A559" s="16" t="n"/>
      <c r="C559" s="35" t="n"/>
      <c r="D559" s="36" t="n"/>
    </row>
    <row r="560" customFormat="1" s="86">
      <c r="A560" s="16" t="n"/>
      <c r="C560" s="35" t="n"/>
      <c r="D560" s="36" t="n"/>
    </row>
    <row r="561" customFormat="1" s="86">
      <c r="A561" s="16" t="n"/>
      <c r="C561" s="35" t="n"/>
      <c r="D561" s="36" t="n"/>
    </row>
    <row r="562" customFormat="1" s="86">
      <c r="A562" s="16" t="n"/>
      <c r="C562" s="35" t="n"/>
      <c r="D562" s="36" t="n"/>
    </row>
    <row r="563" customFormat="1" s="86">
      <c r="A563" s="16" t="n"/>
      <c r="C563" s="35" t="n"/>
      <c r="D563" s="36" t="n"/>
    </row>
    <row r="564" customFormat="1" s="86">
      <c r="A564" s="16" t="n"/>
      <c r="C564" s="35" t="n"/>
      <c r="D564" s="36" t="n"/>
    </row>
    <row r="565" customFormat="1" s="86">
      <c r="A565" s="16" t="n"/>
      <c r="C565" s="35" t="n"/>
      <c r="D565" s="36" t="n"/>
    </row>
    <row r="566" customFormat="1" s="86">
      <c r="A566" s="16" t="n"/>
      <c r="C566" s="35" t="n"/>
      <c r="D566" s="36" t="n"/>
    </row>
    <row r="567" customFormat="1" s="86">
      <c r="A567" s="16" t="n"/>
      <c r="C567" s="35" t="n"/>
      <c r="D567" s="36" t="n"/>
    </row>
    <row r="568" customFormat="1" s="86">
      <c r="A568" s="16" t="n"/>
      <c r="C568" s="35" t="n"/>
      <c r="D568" s="36" t="n"/>
    </row>
    <row r="569" customFormat="1" s="86">
      <c r="A569" s="16" t="n"/>
      <c r="C569" s="35" t="n"/>
      <c r="D569" s="36" t="n"/>
    </row>
    <row r="570" customFormat="1" s="86">
      <c r="A570" s="16" t="n"/>
      <c r="C570" s="35" t="n"/>
      <c r="D570" s="36" t="n"/>
    </row>
    <row r="571" customFormat="1" s="86">
      <c r="A571" s="16" t="n"/>
      <c r="C571" s="35" t="n"/>
      <c r="D571" s="36" t="n"/>
    </row>
    <row r="572" customFormat="1" s="86">
      <c r="A572" s="16" t="n"/>
      <c r="C572" s="35" t="n"/>
      <c r="D572" s="36" t="n"/>
    </row>
    <row r="573" customFormat="1" s="86">
      <c r="A573" s="16" t="n"/>
      <c r="C573" s="35" t="n"/>
      <c r="D573" s="36" t="n"/>
    </row>
    <row r="574" customFormat="1" s="86">
      <c r="A574" s="16" t="n"/>
      <c r="C574" s="35" t="n"/>
      <c r="D574" s="36" t="n"/>
    </row>
    <row r="575" customFormat="1" s="86">
      <c r="A575" s="16" t="n"/>
      <c r="C575" s="35" t="n"/>
      <c r="D575" s="36" t="n"/>
    </row>
    <row r="576" customFormat="1" s="86">
      <c r="A576" s="16" t="n"/>
      <c r="C576" s="35" t="n"/>
      <c r="D576" s="36" t="n"/>
    </row>
    <row r="577" customFormat="1" s="86">
      <c r="A577" s="16" t="n"/>
      <c r="C577" s="35" t="n"/>
      <c r="D577" s="36" t="n"/>
    </row>
    <row r="578" customFormat="1" s="86">
      <c r="A578" s="16" t="n"/>
      <c r="C578" s="35" t="n"/>
      <c r="D578" s="36" t="n"/>
    </row>
    <row r="579" customFormat="1" s="86">
      <c r="A579" s="16" t="n"/>
      <c r="C579" s="35" t="n"/>
      <c r="D579" s="36" t="n"/>
    </row>
    <row r="580" customFormat="1" s="86">
      <c r="A580" s="16" t="n"/>
      <c r="C580" s="35" t="n"/>
      <c r="D580" s="36" t="n"/>
    </row>
    <row r="581" customFormat="1" s="86">
      <c r="A581" s="16" t="n"/>
      <c r="C581" s="35" t="n"/>
      <c r="D581" s="36" t="n"/>
    </row>
    <row r="582" customFormat="1" s="86">
      <c r="A582" s="16" t="n"/>
      <c r="C582" s="35" t="n"/>
      <c r="D582" s="36" t="n"/>
    </row>
    <row r="583" customFormat="1" s="86">
      <c r="A583" s="16" t="n"/>
      <c r="C583" s="35" t="n"/>
      <c r="D583" s="36" t="n"/>
    </row>
    <row r="584" customFormat="1" s="86">
      <c r="A584" s="16" t="n"/>
      <c r="C584" s="35" t="n"/>
      <c r="D584" s="36" t="n"/>
    </row>
    <row r="585" customFormat="1" s="86">
      <c r="A585" s="16" t="n"/>
      <c r="C585" s="35" t="n"/>
      <c r="D585" s="36" t="n"/>
    </row>
    <row r="586" customFormat="1" s="86">
      <c r="A586" s="16" t="n"/>
      <c r="C586" s="35" t="n"/>
      <c r="D586" s="36" t="n"/>
    </row>
    <row r="587" customFormat="1" s="86">
      <c r="A587" s="16" t="n"/>
      <c r="C587" s="35" t="n"/>
      <c r="D587" s="36" t="n"/>
    </row>
    <row r="588" customFormat="1" s="86">
      <c r="A588" s="16" t="n"/>
      <c r="C588" s="35" t="n"/>
      <c r="D588" s="36" t="n"/>
    </row>
    <row r="589" customFormat="1" s="86">
      <c r="A589" s="16" t="n"/>
      <c r="C589" s="35" t="n"/>
      <c r="D589" s="36" t="n"/>
    </row>
    <row r="590" customFormat="1" s="86">
      <c r="A590" s="16" t="n"/>
      <c r="C590" s="35" t="n"/>
      <c r="D590" s="36" t="n"/>
    </row>
    <row r="591" customFormat="1" s="86">
      <c r="A591" s="16" t="n"/>
      <c r="C591" s="35" t="n"/>
      <c r="D591" s="36" t="n"/>
    </row>
    <row r="592" customFormat="1" s="86">
      <c r="A592" s="16" t="n"/>
      <c r="C592" s="35" t="n"/>
      <c r="D592" s="36" t="n"/>
    </row>
    <row r="593" customFormat="1" s="86">
      <c r="A593" s="16" t="n"/>
      <c r="C593" s="35" t="n"/>
      <c r="D593" s="36" t="n"/>
    </row>
    <row r="594" customFormat="1" s="86">
      <c r="A594" s="16" t="n"/>
      <c r="C594" s="35" t="n"/>
      <c r="D594" s="36" t="n"/>
    </row>
    <row r="595" customFormat="1" s="86">
      <c r="A595" s="16" t="n"/>
      <c r="C595" s="35" t="n"/>
      <c r="D595" s="36" t="n"/>
    </row>
    <row r="596" customFormat="1" s="86">
      <c r="A596" s="16" t="n"/>
      <c r="C596" s="35" t="n"/>
      <c r="D596" s="36" t="n"/>
    </row>
    <row r="597" customFormat="1" s="86">
      <c r="A597" s="16" t="n"/>
      <c r="C597" s="35" t="n"/>
      <c r="D597" s="36" t="n"/>
    </row>
    <row r="598" customFormat="1" s="86">
      <c r="A598" s="16" t="n"/>
      <c r="C598" s="35" t="n"/>
      <c r="D598" s="36" t="n"/>
    </row>
    <row r="599" customFormat="1" s="86">
      <c r="A599" s="16" t="n"/>
      <c r="C599" s="35" t="n"/>
      <c r="D599" s="36" t="n"/>
    </row>
    <row r="600" customFormat="1" s="86">
      <c r="A600" s="16" t="n"/>
      <c r="C600" s="35" t="n"/>
      <c r="D600" s="36" t="n"/>
    </row>
    <row r="601" customFormat="1" s="86">
      <c r="A601" s="16" t="n"/>
      <c r="C601" s="35" t="n"/>
      <c r="D601" s="36" t="n"/>
    </row>
    <row r="602" customFormat="1" s="86">
      <c r="A602" s="16" t="n"/>
      <c r="C602" s="35" t="n"/>
      <c r="D602" s="36" t="n"/>
    </row>
    <row r="603" customFormat="1" s="86">
      <c r="A603" s="16" t="n"/>
      <c r="C603" s="35" t="n"/>
      <c r="D603" s="36" t="n"/>
    </row>
    <row r="604" customFormat="1" s="86">
      <c r="A604" s="16" t="n"/>
      <c r="C604" s="35" t="n"/>
      <c r="D604" s="36" t="n"/>
    </row>
    <row r="605" customFormat="1" s="86">
      <c r="A605" s="16" t="n"/>
      <c r="C605" s="35" t="n"/>
      <c r="D605" s="36" t="n"/>
    </row>
    <row r="606" customFormat="1" s="86">
      <c r="A606" s="16" t="n"/>
      <c r="C606" s="35" t="n"/>
      <c r="D606" s="36" t="n"/>
    </row>
    <row r="607" customFormat="1" s="86">
      <c r="A607" s="16" t="n"/>
      <c r="C607" s="35" t="n"/>
      <c r="D607" s="36" t="n"/>
    </row>
    <row r="608" customFormat="1" s="86">
      <c r="A608" s="16" t="n"/>
      <c r="C608" s="35" t="n"/>
      <c r="D608" s="36" t="n"/>
    </row>
    <row r="609" customFormat="1" s="86">
      <c r="A609" s="16" t="n"/>
      <c r="C609" s="35" t="n"/>
      <c r="D609" s="36" t="n"/>
    </row>
    <row r="610" customFormat="1" s="86">
      <c r="A610" s="16" t="n"/>
      <c r="C610" s="35" t="n"/>
      <c r="D610" s="36" t="n"/>
    </row>
    <row r="611" customFormat="1" s="86">
      <c r="A611" s="16" t="n"/>
      <c r="C611" s="35" t="n"/>
      <c r="D611" s="36" t="n"/>
    </row>
    <row r="612" customFormat="1" s="86">
      <c r="A612" s="16" t="n"/>
      <c r="C612" s="35" t="n"/>
      <c r="D612" s="36" t="n"/>
    </row>
    <row r="613" customFormat="1" s="86">
      <c r="A613" s="16" t="n"/>
      <c r="C613" s="35" t="n"/>
      <c r="D613" s="36" t="n"/>
    </row>
    <row r="614" customFormat="1" s="86">
      <c r="A614" s="16" t="n"/>
      <c r="C614" s="35" t="n"/>
      <c r="D614" s="36" t="n"/>
    </row>
    <row r="615" customFormat="1" s="86">
      <c r="A615" s="16" t="n"/>
      <c r="C615" s="35" t="n"/>
      <c r="D615" s="36" t="n"/>
    </row>
    <row r="616" customFormat="1" s="86">
      <c r="A616" s="16" t="n"/>
      <c r="C616" s="35" t="n"/>
      <c r="D616" s="36" t="n"/>
    </row>
    <row r="617" customFormat="1" s="86">
      <c r="A617" s="16" t="n"/>
      <c r="C617" s="35" t="n"/>
      <c r="D617" s="36" t="n"/>
    </row>
    <row r="618" customFormat="1" s="86">
      <c r="A618" s="16" t="n"/>
      <c r="C618" s="35" t="n"/>
      <c r="D618" s="36" t="n"/>
    </row>
    <row r="619" customFormat="1" s="86">
      <c r="A619" s="16" t="n"/>
      <c r="C619" s="35" t="n"/>
      <c r="D619" s="36" t="n"/>
    </row>
    <row r="620" customFormat="1" s="86">
      <c r="A620" s="16" t="n"/>
      <c r="C620" s="35" t="n"/>
      <c r="D620" s="36" t="n"/>
    </row>
    <row r="621" customFormat="1" s="86">
      <c r="A621" s="16" t="n"/>
      <c r="C621" s="35" t="n"/>
      <c r="D621" s="36" t="n"/>
    </row>
    <row r="622" customFormat="1" s="86">
      <c r="A622" s="16" t="n"/>
      <c r="C622" s="35" t="n"/>
      <c r="D622" s="36" t="n"/>
    </row>
    <row r="623" customFormat="1" s="86">
      <c r="A623" s="16" t="n"/>
      <c r="C623" s="35" t="n"/>
      <c r="D623" s="36" t="n"/>
    </row>
    <row r="624" customFormat="1" s="86">
      <c r="A624" s="16" t="n"/>
      <c r="C624" s="35" t="n"/>
      <c r="D624" s="36" t="n"/>
    </row>
    <row r="625" customFormat="1" s="86">
      <c r="A625" s="16" t="n"/>
      <c r="C625" s="35" t="n"/>
      <c r="D625" s="36" t="n"/>
    </row>
    <row r="626" customFormat="1" s="86">
      <c r="A626" s="16" t="n"/>
      <c r="C626" s="35" t="n"/>
      <c r="D626" s="36" t="n"/>
    </row>
    <row r="627" customFormat="1" s="86">
      <c r="A627" s="16" t="n"/>
      <c r="C627" s="35" t="n"/>
      <c r="D627" s="36" t="n"/>
    </row>
    <row r="628" customFormat="1" s="86">
      <c r="A628" s="16" t="n"/>
      <c r="C628" s="35" t="n"/>
      <c r="D628" s="36" t="n"/>
    </row>
    <row r="629" customFormat="1" s="86">
      <c r="A629" s="16" t="n"/>
      <c r="C629" s="35" t="n"/>
      <c r="D629" s="36" t="n"/>
    </row>
    <row r="630" customFormat="1" s="86">
      <c r="A630" s="16" t="n"/>
      <c r="C630" s="35" t="n"/>
      <c r="D630" s="36" t="n"/>
    </row>
    <row r="631" customFormat="1" s="86">
      <c r="A631" s="16" t="n"/>
      <c r="C631" s="35" t="n"/>
      <c r="D631" s="36" t="n"/>
    </row>
    <row r="632" customFormat="1" s="86">
      <c r="A632" s="16" t="n"/>
      <c r="C632" s="35" t="n"/>
      <c r="D632" s="36" t="n"/>
    </row>
    <row r="633" customFormat="1" s="86">
      <c r="A633" s="16" t="n"/>
      <c r="C633" s="35" t="n"/>
      <c r="D633" s="36" t="n"/>
    </row>
    <row r="634" customFormat="1" s="86">
      <c r="A634" s="16" t="n"/>
      <c r="C634" s="35" t="n"/>
      <c r="D634" s="36" t="n"/>
    </row>
    <row r="635" customFormat="1" s="86">
      <c r="A635" s="16" t="n"/>
      <c r="C635" s="35" t="n"/>
      <c r="D635" s="36" t="n"/>
    </row>
    <row r="636" customFormat="1" s="86">
      <c r="A636" s="16" t="n"/>
      <c r="C636" s="35" t="n"/>
      <c r="D636" s="36" t="n"/>
    </row>
    <row r="637" customFormat="1" s="86">
      <c r="A637" s="16" t="n"/>
      <c r="C637" s="35" t="n"/>
      <c r="D637" s="36" t="n"/>
    </row>
    <row r="638" customFormat="1" s="86">
      <c r="A638" s="16" t="n"/>
      <c r="C638" s="35" t="n"/>
      <c r="D638" s="36" t="n"/>
    </row>
    <row r="639" customFormat="1" s="86">
      <c r="A639" s="16" t="n"/>
      <c r="C639" s="35" t="n"/>
      <c r="D639" s="36" t="n"/>
    </row>
    <row r="640" customFormat="1" s="86">
      <c r="A640" s="16" t="n"/>
      <c r="C640" s="35" t="n"/>
      <c r="D640" s="36" t="n"/>
    </row>
    <row r="641" customFormat="1" s="86">
      <c r="A641" s="16" t="n"/>
      <c r="C641" s="35" t="n"/>
      <c r="D641" s="36" t="n"/>
    </row>
    <row r="642" customFormat="1" s="86">
      <c r="A642" s="16" t="n"/>
      <c r="C642" s="35" t="n"/>
      <c r="D642" s="36" t="n"/>
    </row>
    <row r="643" customFormat="1" s="86">
      <c r="A643" s="16" t="n"/>
      <c r="C643" s="35" t="n"/>
      <c r="D643" s="36" t="n"/>
    </row>
    <row r="644" customFormat="1" s="86">
      <c r="A644" s="16" t="n"/>
      <c r="C644" s="35" t="n"/>
      <c r="D644" s="36" t="n"/>
    </row>
    <row r="645" customFormat="1" s="86">
      <c r="A645" s="16" t="n"/>
      <c r="C645" s="35" t="n"/>
      <c r="D645" s="36" t="n"/>
    </row>
    <row r="646" customFormat="1" s="86">
      <c r="A646" s="16" t="n"/>
      <c r="C646" s="35" t="n"/>
      <c r="D646" s="36" t="n"/>
    </row>
    <row r="647" customFormat="1" s="86">
      <c r="A647" s="16" t="n"/>
      <c r="C647" s="35" t="n"/>
      <c r="D647" s="36" t="n"/>
    </row>
    <row r="648" customFormat="1" s="86">
      <c r="A648" s="16" t="n"/>
      <c r="C648" s="35" t="n"/>
      <c r="D648" s="36" t="n"/>
    </row>
    <row r="649" customFormat="1" s="86">
      <c r="A649" s="16" t="n"/>
      <c r="C649" s="35" t="n"/>
      <c r="D649" s="36" t="n"/>
    </row>
    <row r="650" customFormat="1" s="86">
      <c r="A650" s="16" t="n"/>
      <c r="C650" s="35" t="n"/>
      <c r="D650" s="36" t="n"/>
    </row>
    <row r="651" customFormat="1" s="86">
      <c r="A651" s="16" t="n"/>
      <c r="C651" s="35" t="n"/>
      <c r="D651" s="36" t="n"/>
    </row>
    <row r="652" customFormat="1" s="86">
      <c r="A652" s="16" t="n"/>
      <c r="C652" s="35" t="n"/>
      <c r="D652" s="36" t="n"/>
    </row>
    <row r="653" customFormat="1" s="86">
      <c r="A653" s="16" t="n"/>
      <c r="C653" s="35" t="n"/>
      <c r="D653" s="36" t="n"/>
    </row>
    <row r="654" customFormat="1" s="86">
      <c r="A654" s="16" t="n"/>
      <c r="C654" s="35" t="n"/>
      <c r="D654" s="36" t="n"/>
    </row>
    <row r="655" customFormat="1" s="86">
      <c r="A655" s="16" t="n"/>
      <c r="C655" s="35" t="n"/>
      <c r="D655" s="36" t="n"/>
    </row>
    <row r="656" customFormat="1" s="86">
      <c r="A656" s="16" t="n"/>
      <c r="C656" s="35" t="n"/>
      <c r="D656" s="36" t="n"/>
    </row>
    <row r="657" customFormat="1" s="86">
      <c r="A657" s="16" t="n"/>
      <c r="C657" s="35" t="n"/>
      <c r="D657" s="36" t="n"/>
    </row>
    <row r="658" customFormat="1" s="86">
      <c r="A658" s="16" t="n"/>
      <c r="C658" s="35" t="n"/>
      <c r="D658" s="36" t="n"/>
    </row>
    <row r="659" customFormat="1" s="86">
      <c r="A659" s="16" t="n"/>
      <c r="C659" s="35" t="n"/>
      <c r="D659" s="36" t="n"/>
    </row>
    <row r="660" customFormat="1" s="86">
      <c r="A660" s="16" t="n"/>
      <c r="C660" s="35" t="n"/>
      <c r="D660" s="36" t="n"/>
    </row>
    <row r="661" customFormat="1" s="86">
      <c r="A661" s="16" t="n"/>
      <c r="C661" s="35" t="n"/>
      <c r="D661" s="36" t="n"/>
    </row>
    <row r="662" customFormat="1" s="86">
      <c r="A662" s="16" t="n"/>
      <c r="C662" s="35" t="n"/>
      <c r="D662" s="36" t="n"/>
    </row>
    <row r="663" customFormat="1" s="86">
      <c r="A663" s="16" t="n"/>
      <c r="C663" s="35" t="n"/>
      <c r="D663" s="36" t="n"/>
    </row>
    <row r="664" customFormat="1" s="86">
      <c r="A664" s="16" t="n"/>
      <c r="C664" s="35" t="n"/>
      <c r="D664" s="36" t="n"/>
    </row>
    <row r="665" customFormat="1" s="86">
      <c r="A665" s="16" t="n"/>
      <c r="C665" s="35" t="n"/>
      <c r="D665" s="36" t="n"/>
    </row>
    <row r="666" customFormat="1" s="86">
      <c r="A666" s="16" t="n"/>
      <c r="C666" s="35" t="n"/>
      <c r="D666" s="36" t="n"/>
    </row>
    <row r="667" customFormat="1" s="86">
      <c r="A667" s="16" t="n"/>
      <c r="C667" s="35" t="n"/>
      <c r="D667" s="36" t="n"/>
    </row>
    <row r="668" customFormat="1" s="86">
      <c r="A668" s="16" t="n"/>
      <c r="C668" s="35" t="n"/>
      <c r="D668" s="36" t="n"/>
    </row>
    <row r="669" customFormat="1" s="86">
      <c r="A669" s="16" t="n"/>
      <c r="C669" s="35" t="n"/>
      <c r="D669" s="36" t="n"/>
    </row>
    <row r="670" customFormat="1" s="86">
      <c r="A670" s="16" t="n"/>
      <c r="C670" s="35" t="n"/>
      <c r="D670" s="36" t="n"/>
    </row>
    <row r="671" customFormat="1" s="86">
      <c r="A671" s="16" t="n"/>
      <c r="C671" s="35" t="n"/>
      <c r="D671" s="36" t="n"/>
    </row>
    <row r="672" customFormat="1" s="86">
      <c r="A672" s="16" t="n"/>
      <c r="C672" s="35" t="n"/>
      <c r="D672" s="36" t="n"/>
    </row>
    <row r="673" customFormat="1" s="86">
      <c r="A673" s="16" t="n"/>
      <c r="C673" s="35" t="n"/>
      <c r="D673" s="36" t="n"/>
    </row>
    <row r="674" customFormat="1" s="86">
      <c r="A674" s="16" t="n"/>
      <c r="C674" s="35" t="n"/>
      <c r="D674" s="36" t="n"/>
    </row>
    <row r="675" customFormat="1" s="86">
      <c r="A675" s="16" t="n"/>
      <c r="C675" s="35" t="n"/>
      <c r="D675" s="36" t="n"/>
    </row>
    <row r="676" customFormat="1" s="86">
      <c r="A676" s="16" t="n"/>
      <c r="C676" s="35" t="n"/>
      <c r="D676" s="36" t="n"/>
    </row>
    <row r="677" customFormat="1" s="86">
      <c r="A677" s="16" t="n"/>
      <c r="C677" s="35" t="n"/>
      <c r="D677" s="36" t="n"/>
    </row>
    <row r="678" customFormat="1" s="86">
      <c r="A678" s="16" t="n"/>
      <c r="C678" s="35" t="n"/>
      <c r="D678" s="36" t="n"/>
    </row>
    <row r="679" customFormat="1" s="86">
      <c r="A679" s="16" t="n"/>
      <c r="C679" s="35" t="n"/>
      <c r="D679" s="36" t="n"/>
    </row>
    <row r="680" customFormat="1" s="86">
      <c r="A680" s="16" t="n"/>
      <c r="C680" s="35" t="n"/>
      <c r="D680" s="36" t="n"/>
    </row>
    <row r="681" customFormat="1" s="86">
      <c r="A681" s="16" t="n"/>
      <c r="C681" s="35" t="n"/>
      <c r="D681" s="36" t="n"/>
    </row>
    <row r="682" customFormat="1" s="86">
      <c r="A682" s="16" t="n"/>
      <c r="C682" s="35" t="n"/>
      <c r="D682" s="36" t="n"/>
    </row>
    <row r="683" customFormat="1" s="86">
      <c r="A683" s="16" t="n"/>
      <c r="C683" s="35" t="n"/>
      <c r="D683" s="36" t="n"/>
    </row>
    <row r="684" customFormat="1" s="86">
      <c r="A684" s="16" t="n"/>
      <c r="C684" s="35" t="n"/>
      <c r="D684" s="36" t="n"/>
    </row>
    <row r="685" customFormat="1" s="86">
      <c r="A685" s="16" t="n"/>
      <c r="C685" s="35" t="n"/>
      <c r="D685" s="36" t="n"/>
    </row>
    <row r="686" customFormat="1" s="86">
      <c r="A686" s="16" t="n"/>
      <c r="C686" s="35" t="n"/>
      <c r="D686" s="36" t="n"/>
    </row>
    <row r="687" customFormat="1" s="86">
      <c r="A687" s="16" t="n"/>
      <c r="C687" s="35" t="n"/>
      <c r="D687" s="36" t="n"/>
    </row>
    <row r="688" customFormat="1" s="86">
      <c r="A688" s="16" t="n"/>
      <c r="C688" s="35" t="n"/>
      <c r="D688" s="36" t="n"/>
    </row>
    <row r="689" customFormat="1" s="86">
      <c r="A689" s="16" t="n"/>
      <c r="C689" s="35" t="n"/>
      <c r="D689" s="36" t="n"/>
    </row>
    <row r="690" customFormat="1" s="86">
      <c r="A690" s="16" t="n"/>
      <c r="C690" s="35" t="n"/>
      <c r="D690" s="36" t="n"/>
    </row>
    <row r="691" customFormat="1" s="86">
      <c r="A691" s="16" t="n"/>
      <c r="C691" s="35" t="n"/>
      <c r="D691" s="36" t="n"/>
    </row>
    <row r="692" customFormat="1" s="86">
      <c r="A692" s="16" t="n"/>
      <c r="C692" s="35" t="n"/>
      <c r="D692" s="36" t="n"/>
    </row>
    <row r="693" customFormat="1" s="86">
      <c r="A693" s="16" t="n"/>
      <c r="C693" s="35" t="n"/>
      <c r="D693" s="36" t="n"/>
    </row>
    <row r="694" customFormat="1" s="86">
      <c r="A694" s="16" t="n"/>
      <c r="C694" s="35" t="n"/>
      <c r="D694" s="36" t="n"/>
    </row>
    <row r="695" customFormat="1" s="86">
      <c r="A695" s="16" t="n"/>
      <c r="C695" s="35" t="n"/>
      <c r="D695" s="36" t="n"/>
    </row>
    <row r="696" customFormat="1" s="86">
      <c r="A696" s="16" t="n"/>
      <c r="C696" s="35" t="n"/>
      <c r="D696" s="36" t="n"/>
    </row>
    <row r="697" customFormat="1" s="86">
      <c r="A697" s="16" t="n"/>
      <c r="C697" s="35" t="n"/>
      <c r="D697" s="36" t="n"/>
    </row>
    <row r="698" customFormat="1" s="86">
      <c r="A698" s="16" t="n"/>
      <c r="C698" s="35" t="n"/>
      <c r="D698" s="36" t="n"/>
    </row>
    <row r="699" customFormat="1" s="86">
      <c r="A699" s="16" t="n"/>
      <c r="C699" s="35" t="n"/>
      <c r="D699" s="36" t="n"/>
    </row>
    <row r="700" customFormat="1" s="86">
      <c r="A700" s="16" t="n"/>
      <c r="C700" s="35" t="n"/>
      <c r="D700" s="36" t="n"/>
    </row>
    <row r="701" customFormat="1" s="86">
      <c r="A701" s="16" t="n"/>
      <c r="C701" s="35" t="n"/>
      <c r="D701" s="36" t="n"/>
    </row>
    <row r="702" customFormat="1" s="86">
      <c r="A702" s="16" t="n"/>
      <c r="C702" s="35" t="n"/>
      <c r="D702" s="36" t="n"/>
    </row>
    <row r="703" customFormat="1" s="86">
      <c r="A703" s="16" t="n"/>
      <c r="C703" s="35" t="n"/>
      <c r="D703" s="36" t="n"/>
    </row>
    <row r="704" customFormat="1" s="86">
      <c r="A704" s="16" t="n"/>
      <c r="C704" s="35" t="n"/>
      <c r="D704" s="36" t="n"/>
    </row>
    <row r="705" customFormat="1" s="86">
      <c r="A705" s="16" t="n"/>
      <c r="C705" s="35" t="n"/>
      <c r="D705" s="36" t="n"/>
    </row>
    <row r="706" customFormat="1" s="86">
      <c r="A706" s="16" t="n"/>
      <c r="C706" s="35" t="n"/>
      <c r="D706" s="36" t="n"/>
    </row>
    <row r="707" customFormat="1" s="86">
      <c r="A707" s="16" t="n"/>
      <c r="C707" s="35" t="n"/>
      <c r="D707" s="36" t="n"/>
    </row>
    <row r="708" customFormat="1" s="86">
      <c r="A708" s="16" t="n"/>
      <c r="C708" s="35" t="n"/>
      <c r="D708" s="36" t="n"/>
    </row>
    <row r="709" customFormat="1" s="86">
      <c r="A709" s="16" t="n"/>
      <c r="C709" s="35" t="n"/>
      <c r="D709" s="36" t="n"/>
    </row>
    <row r="710" customFormat="1" s="86">
      <c r="A710" s="16" t="n"/>
      <c r="C710" s="35" t="n"/>
      <c r="D710" s="36" t="n"/>
    </row>
    <row r="711" customFormat="1" s="86">
      <c r="A711" s="16" t="n"/>
      <c r="C711" s="35" t="n"/>
      <c r="D711" s="36" t="n"/>
    </row>
    <row r="712" customFormat="1" s="86">
      <c r="A712" s="16" t="n"/>
      <c r="C712" s="35" t="n"/>
      <c r="D712" s="36" t="n"/>
    </row>
    <row r="713" customFormat="1" s="86">
      <c r="A713" s="16" t="n"/>
      <c r="C713" s="35" t="n"/>
      <c r="D713" s="36" t="n"/>
    </row>
    <row r="714" customFormat="1" s="86">
      <c r="A714" s="16" t="n"/>
      <c r="C714" s="35" t="n"/>
      <c r="D714" s="36" t="n"/>
    </row>
    <row r="715" customFormat="1" s="86">
      <c r="A715" s="16" t="n"/>
      <c r="C715" s="35" t="n"/>
      <c r="D715" s="36" t="n"/>
    </row>
    <row r="716" customFormat="1" s="86">
      <c r="A716" s="16" t="n"/>
      <c r="C716" s="35" t="n"/>
      <c r="D716" s="36" t="n"/>
    </row>
    <row r="717" customFormat="1" s="86">
      <c r="A717" s="16" t="n"/>
      <c r="C717" s="35" t="n"/>
      <c r="D717" s="36" t="n"/>
    </row>
    <row r="718" customFormat="1" s="86">
      <c r="A718" s="16" t="n"/>
      <c r="C718" s="35" t="n"/>
      <c r="D718" s="36" t="n"/>
    </row>
    <row r="719" customFormat="1" s="86">
      <c r="A719" s="16" t="n"/>
      <c r="C719" s="35" t="n"/>
      <c r="D719" s="36" t="n"/>
    </row>
    <row r="720" customFormat="1" s="86">
      <c r="A720" s="16" t="n"/>
      <c r="C720" s="35" t="n"/>
      <c r="D720" s="36" t="n"/>
    </row>
    <row r="721" customFormat="1" s="86">
      <c r="A721" s="16" t="n"/>
      <c r="C721" s="35" t="n"/>
      <c r="D721" s="36" t="n"/>
    </row>
    <row r="722" customFormat="1" s="86">
      <c r="A722" s="16" t="n"/>
      <c r="C722" s="35" t="n"/>
      <c r="D722" s="36" t="n"/>
    </row>
    <row r="723" customFormat="1" s="86">
      <c r="A723" s="16" t="n"/>
      <c r="C723" s="35" t="n"/>
      <c r="D723" s="36" t="n"/>
    </row>
    <row r="724" customFormat="1" s="86">
      <c r="A724" s="16" t="n"/>
      <c r="C724" s="35" t="n"/>
      <c r="D724" s="36" t="n"/>
    </row>
    <row r="725" customFormat="1" s="86">
      <c r="A725" s="16" t="n"/>
      <c r="C725" s="35" t="n"/>
      <c r="D725" s="36" t="n"/>
    </row>
    <row r="726" customFormat="1" s="86">
      <c r="A726" s="16" t="n"/>
      <c r="C726" s="35" t="n"/>
      <c r="D726" s="36" t="n"/>
    </row>
    <row r="727" customFormat="1" s="86">
      <c r="A727" s="16" t="n"/>
      <c r="C727" s="35" t="n"/>
      <c r="D727" s="36" t="n"/>
    </row>
    <row r="728" customFormat="1" s="86">
      <c r="A728" s="16" t="n"/>
      <c r="C728" s="35" t="n"/>
      <c r="D728" s="36" t="n"/>
    </row>
    <row r="729" customFormat="1" s="86">
      <c r="A729" s="16" t="n"/>
      <c r="C729" s="35" t="n"/>
      <c r="D729" s="36" t="n"/>
    </row>
    <row r="730" customFormat="1" s="86">
      <c r="A730" s="16" t="n"/>
      <c r="C730" s="35" t="n"/>
      <c r="D730" s="36" t="n"/>
    </row>
    <row r="731" customFormat="1" s="86">
      <c r="A731" s="16" t="n"/>
      <c r="C731" s="35" t="n"/>
      <c r="D731" s="36" t="n"/>
    </row>
    <row r="732" customFormat="1" s="86">
      <c r="A732" s="16" t="n"/>
      <c r="C732" s="35" t="n"/>
      <c r="D732" s="36" t="n"/>
    </row>
    <row r="733" customFormat="1" s="86">
      <c r="A733" s="16" t="n"/>
      <c r="C733" s="35" t="n"/>
      <c r="D733" s="36" t="n"/>
    </row>
    <row r="734" customFormat="1" s="86">
      <c r="A734" s="16" t="n"/>
      <c r="C734" s="35" t="n"/>
      <c r="D734" s="36" t="n"/>
    </row>
    <row r="735" customFormat="1" s="86">
      <c r="A735" s="16" t="n"/>
      <c r="C735" s="35" t="n"/>
      <c r="D735" s="36" t="n"/>
    </row>
    <row r="736" customFormat="1" s="86">
      <c r="A736" s="16" t="n"/>
      <c r="C736" s="35" t="n"/>
      <c r="D736" s="36" t="n"/>
    </row>
    <row r="737" customFormat="1" s="86">
      <c r="A737" s="16" t="n"/>
      <c r="C737" s="35" t="n"/>
      <c r="D737" s="36" t="n"/>
    </row>
    <row r="738" customFormat="1" s="86">
      <c r="A738" s="16" t="n"/>
      <c r="C738" s="35" t="n"/>
      <c r="D738" s="36" t="n"/>
    </row>
    <row r="739" customFormat="1" s="86">
      <c r="A739" s="16" t="n"/>
      <c r="C739" s="35" t="n"/>
      <c r="D739" s="36" t="n"/>
    </row>
    <row r="740" customFormat="1" s="86">
      <c r="A740" s="16" t="n"/>
      <c r="C740" s="35" t="n"/>
      <c r="D740" s="36" t="n"/>
    </row>
    <row r="741" customFormat="1" s="86">
      <c r="A741" s="16" t="n"/>
      <c r="C741" s="35" t="n"/>
      <c r="D741" s="36" t="n"/>
    </row>
    <row r="742" customFormat="1" s="86">
      <c r="A742" s="16" t="n"/>
      <c r="C742" s="35" t="n"/>
      <c r="D742" s="36" t="n"/>
    </row>
    <row r="743" customFormat="1" s="86">
      <c r="A743" s="16" t="n"/>
      <c r="C743" s="35" t="n"/>
      <c r="D743" s="36" t="n"/>
    </row>
    <row r="744" customFormat="1" s="86">
      <c r="A744" s="16" t="n"/>
      <c r="C744" s="35" t="n"/>
      <c r="D744" s="36" t="n"/>
    </row>
    <row r="745" customFormat="1" s="86">
      <c r="A745" s="16" t="n"/>
      <c r="C745" s="35" t="n"/>
      <c r="D745" s="36" t="n"/>
    </row>
    <row r="746" customFormat="1" s="86">
      <c r="A746" s="16" t="n"/>
      <c r="C746" s="35" t="n"/>
      <c r="D746" s="36" t="n"/>
    </row>
    <row r="747" customFormat="1" s="86">
      <c r="A747" s="16" t="n"/>
      <c r="C747" s="35" t="n"/>
      <c r="D747" s="36" t="n"/>
    </row>
    <row r="748" customFormat="1" s="86">
      <c r="A748" s="16" t="n"/>
      <c r="C748" s="35" t="n"/>
      <c r="D748" s="36" t="n"/>
    </row>
    <row r="749" customFormat="1" s="86">
      <c r="A749" s="16" t="n"/>
      <c r="C749" s="35" t="n"/>
      <c r="D749" s="36" t="n"/>
    </row>
    <row r="750" customFormat="1" s="86">
      <c r="A750" s="16" t="n"/>
      <c r="C750" s="35" t="n"/>
      <c r="D750" s="36" t="n"/>
    </row>
    <row r="751" customFormat="1" s="86">
      <c r="A751" s="16" t="n"/>
      <c r="C751" s="35" t="n"/>
      <c r="D751" s="36" t="n"/>
    </row>
    <row r="752" customFormat="1" s="86">
      <c r="A752" s="16" t="n"/>
      <c r="C752" s="35" t="n"/>
      <c r="D752" s="36" t="n"/>
    </row>
    <row r="753" customFormat="1" s="86">
      <c r="A753" s="16" t="n"/>
      <c r="C753" s="35" t="n"/>
      <c r="D753" s="36" t="n"/>
    </row>
    <row r="754" customFormat="1" s="86">
      <c r="A754" s="16" t="n"/>
      <c r="C754" s="35" t="n"/>
      <c r="D754" s="36" t="n"/>
    </row>
    <row r="755" customFormat="1" s="86">
      <c r="A755" s="16" t="n"/>
      <c r="C755" s="35" t="n"/>
      <c r="D755" s="36" t="n"/>
    </row>
    <row r="756" customFormat="1" s="86">
      <c r="A756" s="16" t="n"/>
      <c r="C756" s="35" t="n"/>
      <c r="D756" s="36" t="n"/>
    </row>
    <row r="757" customFormat="1" s="86">
      <c r="A757" s="16" t="n"/>
      <c r="C757" s="35" t="n"/>
      <c r="D757" s="36" t="n"/>
    </row>
    <row r="758" customFormat="1" s="86">
      <c r="A758" s="16" t="n"/>
      <c r="C758" s="35" t="n"/>
      <c r="D758" s="36" t="n"/>
    </row>
    <row r="759" customFormat="1" s="86">
      <c r="A759" s="16" t="n"/>
      <c r="C759" s="35" t="n"/>
      <c r="D759" s="36" t="n"/>
    </row>
    <row r="760" customFormat="1" s="86">
      <c r="A760" s="16" t="n"/>
      <c r="C760" s="35" t="n"/>
      <c r="D760" s="36" t="n"/>
    </row>
    <row r="761" customFormat="1" s="86">
      <c r="A761" s="16" t="n"/>
      <c r="C761" s="35" t="n"/>
      <c r="D761" s="36" t="n"/>
    </row>
    <row r="762" customFormat="1" s="86">
      <c r="A762" s="16" t="n"/>
      <c r="C762" s="35" t="n"/>
      <c r="D762" s="36" t="n"/>
    </row>
    <row r="763" customFormat="1" s="86">
      <c r="A763" s="16" t="n"/>
      <c r="C763" s="35" t="n"/>
      <c r="D763" s="36" t="n"/>
    </row>
    <row r="764" customFormat="1" s="86">
      <c r="A764" s="16" t="n"/>
      <c r="C764" s="35" t="n"/>
      <c r="D764" s="36" t="n"/>
    </row>
    <row r="765" customFormat="1" s="86">
      <c r="A765" s="16" t="n"/>
      <c r="C765" s="35" t="n"/>
      <c r="D765" s="36" t="n"/>
    </row>
    <row r="766" customFormat="1" s="86">
      <c r="A766" s="16" t="n"/>
      <c r="C766" s="35" t="n"/>
      <c r="D766" s="36" t="n"/>
    </row>
    <row r="767" customFormat="1" s="86">
      <c r="A767" s="16" t="n"/>
      <c r="C767" s="35" t="n"/>
      <c r="D767" s="36" t="n"/>
    </row>
    <row r="768" customFormat="1" s="86">
      <c r="A768" s="16" t="n"/>
      <c r="C768" s="35" t="n"/>
      <c r="D768" s="36" t="n"/>
    </row>
    <row r="769" customFormat="1" s="86">
      <c r="A769" s="16" t="n"/>
      <c r="C769" s="35" t="n"/>
      <c r="D769" s="36" t="n"/>
    </row>
    <row r="770" customFormat="1" s="86">
      <c r="A770" s="16" t="n"/>
      <c r="C770" s="35" t="n"/>
      <c r="D770" s="36" t="n"/>
    </row>
    <row r="771" customFormat="1" s="86">
      <c r="A771" s="16" t="n"/>
      <c r="C771" s="35" t="n"/>
      <c r="D771" s="36" t="n"/>
    </row>
    <row r="772" customFormat="1" s="86">
      <c r="A772" s="16" t="n"/>
      <c r="C772" s="35" t="n"/>
      <c r="D772" s="36" t="n"/>
    </row>
    <row r="773" customFormat="1" s="86">
      <c r="A773" s="16" t="n"/>
      <c r="C773" s="35" t="n"/>
      <c r="D773" s="36" t="n"/>
    </row>
    <row r="774" customFormat="1" s="86">
      <c r="A774" s="16" t="n"/>
      <c r="C774" s="35" t="n"/>
      <c r="D774" s="36" t="n"/>
    </row>
    <row r="775" customFormat="1" s="86">
      <c r="A775" s="16" t="n"/>
      <c r="C775" s="35" t="n"/>
      <c r="D775" s="36" t="n"/>
    </row>
    <row r="776" customFormat="1" s="86">
      <c r="A776" s="16" t="n"/>
      <c r="C776" s="35" t="n"/>
      <c r="D776" s="36" t="n"/>
    </row>
    <row r="777" customFormat="1" s="86">
      <c r="A777" s="16" t="n"/>
      <c r="C777" s="35" t="n"/>
      <c r="D777" s="36" t="n"/>
    </row>
    <row r="778" customFormat="1" s="86">
      <c r="A778" s="16" t="n"/>
      <c r="C778" s="35" t="n"/>
      <c r="D778" s="36" t="n"/>
    </row>
    <row r="779" customFormat="1" s="86">
      <c r="A779" s="16" t="n"/>
      <c r="C779" s="35" t="n"/>
      <c r="D779" s="36" t="n"/>
    </row>
    <row r="780" customFormat="1" s="86">
      <c r="A780" s="16" t="n"/>
      <c r="C780" s="35" t="n"/>
      <c r="D780" s="36" t="n"/>
    </row>
    <row r="781" customFormat="1" s="86">
      <c r="A781" s="16" t="n"/>
      <c r="C781" s="35" t="n"/>
      <c r="D781" s="36" t="n"/>
    </row>
    <row r="782" customFormat="1" s="86">
      <c r="A782" s="16" t="n"/>
      <c r="C782" s="35" t="n"/>
      <c r="D782" s="36" t="n"/>
    </row>
    <row r="783" customFormat="1" s="86">
      <c r="A783" s="16" t="n"/>
      <c r="C783" s="35" t="n"/>
      <c r="D783" s="36" t="n"/>
    </row>
    <row r="784" customFormat="1" s="86">
      <c r="A784" s="16" t="n"/>
      <c r="C784" s="35" t="n"/>
      <c r="D784" s="36" t="n"/>
    </row>
    <row r="785" customFormat="1" s="86">
      <c r="A785" s="16" t="n"/>
      <c r="C785" s="35" t="n"/>
      <c r="D785" s="36" t="n"/>
    </row>
    <row r="786" customFormat="1" s="86">
      <c r="A786" s="16" t="n"/>
      <c r="C786" s="35" t="n"/>
      <c r="D786" s="36" t="n"/>
    </row>
    <row r="787" customFormat="1" s="86">
      <c r="A787" s="16" t="n"/>
      <c r="C787" s="35" t="n"/>
      <c r="D787" s="36" t="n"/>
    </row>
    <row r="788" customFormat="1" s="86">
      <c r="A788" s="16" t="n"/>
      <c r="C788" s="35" t="n"/>
      <c r="D788" s="36" t="n"/>
    </row>
    <row r="789" customFormat="1" s="86">
      <c r="A789" s="16" t="n"/>
      <c r="C789" s="35" t="n"/>
      <c r="D789" s="36" t="n"/>
    </row>
    <row r="790" customFormat="1" s="86">
      <c r="A790" s="16" t="n"/>
      <c r="C790" s="35" t="n"/>
      <c r="D790" s="36" t="n"/>
    </row>
    <row r="791" customFormat="1" s="86">
      <c r="A791" s="16" t="n"/>
      <c r="C791" s="35" t="n"/>
      <c r="D791" s="36" t="n"/>
    </row>
    <row r="792" customFormat="1" s="86">
      <c r="A792" s="16" t="n"/>
      <c r="C792" s="35" t="n"/>
      <c r="D792" s="36" t="n"/>
    </row>
    <row r="793" customFormat="1" s="86">
      <c r="A793" s="16" t="n"/>
      <c r="C793" s="35" t="n"/>
      <c r="D793" s="36" t="n"/>
    </row>
    <row r="794" customFormat="1" s="86">
      <c r="A794" s="16" t="n"/>
      <c r="C794" s="35" t="n"/>
      <c r="D794" s="36" t="n"/>
    </row>
    <row r="795" customFormat="1" s="86">
      <c r="A795" s="16" t="n"/>
      <c r="C795" s="35" t="n"/>
      <c r="D795" s="36" t="n"/>
    </row>
    <row r="796" customFormat="1" s="86">
      <c r="A796" s="16" t="n"/>
      <c r="C796" s="35" t="n"/>
      <c r="D796" s="36" t="n"/>
    </row>
    <row r="797" customFormat="1" s="86">
      <c r="A797" s="16" t="n"/>
      <c r="C797" s="35" t="n"/>
      <c r="D797" s="36" t="n"/>
    </row>
    <row r="798" customFormat="1" s="86">
      <c r="A798" s="16" t="n"/>
      <c r="C798" s="35" t="n"/>
      <c r="D798" s="36" t="n"/>
    </row>
    <row r="799" customFormat="1" s="86">
      <c r="A799" s="16" t="n"/>
      <c r="C799" s="35" t="n"/>
      <c r="D799" s="36" t="n"/>
    </row>
    <row r="800" customFormat="1" s="86">
      <c r="A800" s="16" t="n"/>
      <c r="C800" s="35" t="n"/>
      <c r="D800" s="36" t="n"/>
    </row>
    <row r="801" customFormat="1" s="86">
      <c r="A801" s="16" t="n"/>
      <c r="C801" s="35" t="n"/>
      <c r="D801" s="36" t="n"/>
    </row>
    <row r="802" customFormat="1" s="86">
      <c r="A802" s="16" t="n"/>
      <c r="C802" s="35" t="n"/>
      <c r="D802" s="36" t="n"/>
    </row>
    <row r="803" customFormat="1" s="86">
      <c r="A803" s="16" t="n"/>
      <c r="C803" s="35" t="n"/>
      <c r="D803" s="36" t="n"/>
    </row>
    <row r="804" customFormat="1" s="86">
      <c r="A804" s="16" t="n"/>
      <c r="C804" s="35" t="n"/>
      <c r="D804" s="36" t="n"/>
    </row>
    <row r="805" customFormat="1" s="86">
      <c r="A805" s="16" t="n"/>
      <c r="C805" s="35" t="n"/>
      <c r="D805" s="36" t="n"/>
    </row>
    <row r="806" customFormat="1" s="86">
      <c r="A806" s="16" t="n"/>
      <c r="C806" s="35" t="n"/>
      <c r="D806" s="36" t="n"/>
    </row>
    <row r="807" customFormat="1" s="86">
      <c r="A807" s="16" t="n"/>
      <c r="C807" s="35" t="n"/>
      <c r="D807" s="36" t="n"/>
    </row>
    <row r="808" customFormat="1" s="86">
      <c r="A808" s="16" t="n"/>
      <c r="C808" s="35" t="n"/>
      <c r="D808" s="36" t="n"/>
    </row>
    <row r="809" customFormat="1" s="86">
      <c r="A809" s="16" t="n"/>
      <c r="C809" s="35" t="n"/>
      <c r="D809" s="36" t="n"/>
    </row>
    <row r="810" customFormat="1" s="86">
      <c r="A810" s="16" t="n"/>
      <c r="C810" s="35" t="n"/>
      <c r="D810" s="36" t="n"/>
    </row>
    <row r="811" customFormat="1" s="86">
      <c r="A811" s="16" t="n"/>
      <c r="C811" s="35" t="n"/>
      <c r="D811" s="36" t="n"/>
    </row>
    <row r="812" customFormat="1" s="86">
      <c r="A812" s="16" t="n"/>
      <c r="C812" s="35" t="n"/>
      <c r="D812" s="36" t="n"/>
    </row>
    <row r="813" customFormat="1" s="86">
      <c r="A813" s="16" t="n"/>
      <c r="C813" s="35" t="n"/>
      <c r="D813" s="36" t="n"/>
    </row>
    <row r="814" customFormat="1" s="86">
      <c r="A814" s="16" t="n"/>
      <c r="C814" s="35" t="n"/>
      <c r="D814" s="36" t="n"/>
    </row>
    <row r="815" customFormat="1" s="86">
      <c r="A815" s="16" t="n"/>
      <c r="C815" s="35" t="n"/>
      <c r="D815" s="36" t="n"/>
    </row>
    <row r="816">
      <c r="A816" s="16" t="n"/>
      <c r="B816" s="86" t="n"/>
      <c r="C816" s="35" t="n"/>
      <c r="D816" s="36" t="n"/>
      <c r="E816" s="86" t="n"/>
      <c r="F816" s="86" t="n"/>
      <c r="G816" s="86" t="n"/>
      <c r="H816" s="86" t="n"/>
      <c r="I816" s="86" t="n"/>
      <c r="J816" s="86" t="n"/>
      <c r="K816" s="86" t="n"/>
      <c r="L816" s="86" t="n"/>
      <c r="M816" s="86" t="n"/>
      <c r="N816" s="86" t="n"/>
      <c r="O816" s="86" t="n"/>
      <c r="P816" s="86" t="n"/>
      <c r="Q816" s="86" t="n"/>
    </row>
    <row r="817">
      <c r="A817" s="16" t="n"/>
      <c r="B817" s="86" t="n"/>
      <c r="C817" s="35" t="n"/>
      <c r="D817" s="36" t="n"/>
      <c r="E817" s="86" t="n"/>
      <c r="F817" s="86" t="n"/>
      <c r="G817" s="86" t="n"/>
      <c r="H817" s="86" t="n"/>
      <c r="I817" s="86" t="n"/>
      <c r="J817" s="86" t="n"/>
      <c r="K817" s="86" t="n"/>
      <c r="L817" s="86" t="n"/>
      <c r="M817" s="86" t="n"/>
      <c r="N817" s="86" t="n"/>
      <c r="O817" s="86" t="n"/>
      <c r="P817" s="86" t="n"/>
      <c r="Q817" s="86" t="n"/>
    </row>
    <row r="818">
      <c r="A818" s="16" t="n"/>
      <c r="B818" s="86" t="n"/>
      <c r="C818" s="35" t="n"/>
      <c r="D818" s="36" t="n"/>
      <c r="E818" s="86" t="n"/>
      <c r="F818" s="86" t="n"/>
      <c r="G818" s="86" t="n"/>
      <c r="H818" s="86" t="n"/>
      <c r="I818" s="86" t="n"/>
      <c r="J818" s="86" t="n"/>
      <c r="K818" s="86" t="n"/>
      <c r="L818" s="86" t="n"/>
      <c r="M818" s="86" t="n"/>
      <c r="N818" s="86" t="n"/>
      <c r="O818" s="86" t="n"/>
      <c r="P818" s="86" t="n"/>
      <c r="Q818" s="86" t="n"/>
    </row>
    <row r="819">
      <c r="A819" s="16" t="n"/>
      <c r="B819" s="86" t="n"/>
      <c r="C819" s="35" t="n"/>
      <c r="D819" s="36" t="n"/>
      <c r="E819" s="86" t="n"/>
      <c r="F819" s="86" t="n"/>
      <c r="G819" s="86" t="n"/>
      <c r="H819" s="86" t="n"/>
      <c r="I819" s="86" t="n"/>
      <c r="J819" s="86" t="n"/>
      <c r="K819" s="86" t="n"/>
      <c r="L819" s="86" t="n"/>
      <c r="M819" s="86" t="n"/>
      <c r="N819" s="86" t="n"/>
      <c r="O819" s="86" t="n"/>
      <c r="P819" s="86" t="n"/>
      <c r="Q819" s="86" t="n"/>
    </row>
    <row r="820">
      <c r="A820" s="16" t="n"/>
      <c r="B820" s="86" t="n"/>
      <c r="C820" s="35" t="n"/>
      <c r="D820" s="36" t="n"/>
      <c r="E820" s="86" t="n"/>
      <c r="F820" s="86" t="n"/>
      <c r="G820" s="86" t="n"/>
      <c r="H820" s="86" t="n"/>
      <c r="I820" s="86" t="n"/>
      <c r="J820" s="86" t="n"/>
      <c r="K820" s="86" t="n"/>
      <c r="L820" s="86" t="n"/>
      <c r="M820" s="86" t="n"/>
      <c r="N820" s="86" t="n"/>
      <c r="O820" s="86" t="n"/>
      <c r="P820" s="86" t="n"/>
      <c r="Q820" s="86" t="n"/>
    </row>
    <row r="821">
      <c r="A821" s="16" t="n"/>
      <c r="B821" s="86" t="n"/>
      <c r="C821" s="35" t="n"/>
      <c r="D821" s="36" t="n"/>
      <c r="E821" s="86" t="n"/>
      <c r="F821" s="86" t="n"/>
      <c r="G821" s="86" t="n"/>
      <c r="H821" s="86" t="n"/>
      <c r="I821" s="86" t="n"/>
      <c r="J821" s="86" t="n"/>
      <c r="K821" s="86" t="n"/>
      <c r="L821" s="86" t="n"/>
      <c r="M821" s="86" t="n"/>
      <c r="N821" s="86" t="n"/>
      <c r="O821" s="86" t="n"/>
      <c r="P821" s="86" t="n"/>
      <c r="Q821" s="86" t="n"/>
    </row>
    <row r="822">
      <c r="A822" s="16" t="n"/>
      <c r="B822" s="86" t="n"/>
      <c r="C822" s="35" t="n"/>
      <c r="D822" s="36" t="n"/>
      <c r="E822" s="86" t="n"/>
      <c r="F822" s="86" t="n"/>
      <c r="G822" s="86" t="n"/>
      <c r="H822" s="86" t="n"/>
      <c r="I822" s="86" t="n"/>
      <c r="J822" s="86" t="n"/>
      <c r="K822" s="86" t="n"/>
      <c r="L822" s="86" t="n"/>
      <c r="M822" s="86" t="n"/>
      <c r="N822" s="86" t="n"/>
      <c r="O822" s="86" t="n"/>
      <c r="P822" s="86" t="n"/>
      <c r="Q822" s="86" t="n"/>
    </row>
    <row r="823">
      <c r="A823" s="16" t="n"/>
      <c r="B823" s="86" t="n"/>
      <c r="C823" s="35" t="n"/>
      <c r="D823" s="36" t="n"/>
      <c r="E823" s="86" t="n"/>
      <c r="F823" s="86" t="n"/>
      <c r="G823" s="86" t="n"/>
      <c r="H823" s="86" t="n"/>
      <c r="I823" s="86" t="n"/>
      <c r="J823" s="86" t="n"/>
      <c r="K823" s="86" t="n"/>
      <c r="L823" s="86" t="n"/>
      <c r="M823" s="86" t="n"/>
      <c r="N823" s="86" t="n"/>
      <c r="O823" s="86" t="n"/>
      <c r="P823" s="86" t="n"/>
      <c r="Q823" s="86" t="n"/>
    </row>
    <row r="824">
      <c r="A824" s="16" t="n"/>
      <c r="B824" s="86" t="n"/>
      <c r="C824" s="35" t="n"/>
      <c r="D824" s="36" t="n"/>
      <c r="E824" s="86" t="n"/>
      <c r="F824" s="86" t="n"/>
      <c r="G824" s="86" t="n"/>
      <c r="H824" s="86" t="n"/>
      <c r="I824" s="86" t="n"/>
      <c r="J824" s="86" t="n"/>
      <c r="K824" s="86" t="n"/>
      <c r="L824" s="86" t="n"/>
      <c r="M824" s="86" t="n"/>
      <c r="N824" s="86" t="n"/>
      <c r="O824" s="86" t="n"/>
      <c r="P824" s="86" t="n"/>
      <c r="Q824" s="86" t="n"/>
    </row>
    <row r="825">
      <c r="A825" s="16" t="n"/>
      <c r="B825" s="86" t="n"/>
      <c r="C825" s="35" t="n"/>
      <c r="D825" s="36" t="n"/>
      <c r="E825" s="86" t="n"/>
      <c r="F825" s="86" t="n"/>
      <c r="G825" s="86" t="n"/>
      <c r="H825" s="86" t="n"/>
      <c r="I825" s="86" t="n"/>
      <c r="J825" s="86" t="n"/>
      <c r="K825" s="86" t="n"/>
      <c r="L825" s="86" t="n"/>
      <c r="M825" s="86" t="n"/>
      <c r="N825" s="86" t="n"/>
      <c r="O825" s="86" t="n"/>
      <c r="P825" s="86" t="n"/>
      <c r="Q825" s="86" t="n"/>
    </row>
    <row r="826">
      <c r="A826" s="16" t="n"/>
      <c r="B826" s="86" t="n"/>
      <c r="C826" s="35" t="n"/>
      <c r="D826" s="36" t="n"/>
      <c r="E826" s="86" t="n"/>
      <c r="F826" s="86" t="n"/>
      <c r="G826" s="86" t="n"/>
      <c r="H826" s="86" t="n"/>
      <c r="I826" s="86" t="n"/>
      <c r="J826" s="86" t="n"/>
      <c r="K826" s="86" t="n"/>
      <c r="L826" s="86" t="n"/>
      <c r="M826" s="86" t="n"/>
      <c r="N826" s="86" t="n"/>
      <c r="O826" s="86" t="n"/>
      <c r="P826" s="86" t="n"/>
      <c r="Q826" s="86" t="n"/>
    </row>
    <row r="827">
      <c r="A827" s="16" t="n"/>
      <c r="B827" s="86" t="n"/>
      <c r="C827" s="35" t="n"/>
      <c r="D827" s="36" t="n"/>
      <c r="E827" s="86" t="n"/>
      <c r="F827" s="86" t="n"/>
      <c r="G827" s="86" t="n"/>
      <c r="H827" s="86" t="n"/>
      <c r="I827" s="86" t="n"/>
      <c r="J827" s="86" t="n"/>
      <c r="K827" s="86" t="n"/>
      <c r="L827" s="86" t="n"/>
      <c r="M827" s="86" t="n"/>
      <c r="N827" s="86" t="n"/>
      <c r="O827" s="86" t="n"/>
      <c r="P827" s="86" t="n"/>
      <c r="Q827" s="86" t="n"/>
    </row>
    <row r="828">
      <c r="A828" s="16" t="n"/>
      <c r="B828" s="86" t="n"/>
      <c r="C828" s="35" t="n"/>
      <c r="D828" s="36" t="n"/>
      <c r="E828" s="86" t="n"/>
      <c r="F828" s="86" t="n"/>
      <c r="G828" s="86" t="n"/>
      <c r="H828" s="86" t="n"/>
      <c r="I828" s="86" t="n"/>
      <c r="J828" s="86" t="n"/>
      <c r="K828" s="86" t="n"/>
      <c r="L828" s="86" t="n"/>
      <c r="M828" s="86" t="n"/>
      <c r="N828" s="86" t="n"/>
      <c r="O828" s="86" t="n"/>
      <c r="P828" s="86" t="n"/>
      <c r="Q828" s="86" t="n"/>
    </row>
    <row r="829">
      <c r="A829" s="16" t="n"/>
      <c r="B829" s="86" t="n"/>
      <c r="C829" s="35" t="n"/>
      <c r="D829" s="36" t="n"/>
      <c r="E829" s="86" t="n"/>
      <c r="F829" s="86" t="n"/>
      <c r="G829" s="86" t="n"/>
      <c r="H829" s="86" t="n"/>
      <c r="I829" s="86" t="n"/>
      <c r="J829" s="86" t="n"/>
      <c r="K829" s="86" t="n"/>
      <c r="L829" s="86" t="n"/>
      <c r="M829" s="86" t="n"/>
      <c r="N829" s="86" t="n"/>
      <c r="O829" s="86" t="n"/>
      <c r="P829" s="86" t="n"/>
      <c r="Q829" s="86" t="n"/>
    </row>
    <row r="830">
      <c r="A830" s="16" t="n"/>
      <c r="B830" s="86" t="n"/>
      <c r="C830" s="35" t="n"/>
      <c r="D830" s="36" t="n"/>
      <c r="E830" s="86" t="n"/>
      <c r="F830" s="86" t="n"/>
      <c r="G830" s="86" t="n"/>
      <c r="H830" s="86" t="n"/>
      <c r="I830" s="86" t="n"/>
      <c r="J830" s="86" t="n"/>
      <c r="K830" s="86" t="n"/>
      <c r="L830" s="86" t="n"/>
      <c r="M830" s="86" t="n"/>
      <c r="N830" s="86" t="n"/>
      <c r="O830" s="86" t="n"/>
      <c r="P830" s="86" t="n"/>
      <c r="Q830" s="86" t="n"/>
    </row>
    <row r="831">
      <c r="A831" s="16" t="n"/>
      <c r="B831" s="86" t="n"/>
      <c r="C831" s="35" t="n"/>
      <c r="D831" s="36" t="n"/>
      <c r="E831" s="86" t="n"/>
      <c r="F831" s="86" t="n"/>
      <c r="G831" s="86" t="n"/>
      <c r="H831" s="86" t="n"/>
      <c r="I831" s="86" t="n"/>
      <c r="J831" s="86" t="n"/>
      <c r="K831" s="86" t="n"/>
      <c r="L831" s="86" t="n"/>
      <c r="M831" s="86" t="n"/>
      <c r="N831" s="86" t="n"/>
      <c r="O831" s="86" t="n"/>
      <c r="P831" s="86" t="n"/>
      <c r="Q831" s="86" t="n"/>
    </row>
    <row r="832">
      <c r="A832" s="16" t="n"/>
      <c r="B832" s="86" t="n"/>
      <c r="C832" s="35" t="n"/>
      <c r="D832" s="36" t="n"/>
      <c r="E832" s="86" t="n"/>
      <c r="F832" s="86" t="n"/>
      <c r="G832" s="86" t="n"/>
      <c r="H832" s="86" t="n"/>
      <c r="I832" s="86" t="n"/>
      <c r="J832" s="86" t="n"/>
      <c r="K832" s="86" t="n"/>
      <c r="L832" s="86" t="n"/>
      <c r="M832" s="86" t="n"/>
      <c r="N832" s="86" t="n"/>
      <c r="O832" s="86" t="n"/>
      <c r="P832" s="86" t="n"/>
      <c r="Q832" s="86" t="n"/>
    </row>
    <row r="833">
      <c r="A833" s="16" t="n"/>
      <c r="B833" s="86" t="n"/>
      <c r="C833" s="35" t="n"/>
      <c r="D833" s="36" t="n"/>
      <c r="E833" s="86" t="n"/>
      <c r="F833" s="86" t="n"/>
      <c r="G833" s="86" t="n"/>
      <c r="H833" s="86" t="n"/>
      <c r="I833" s="86" t="n"/>
      <c r="J833" s="86" t="n"/>
      <c r="K833" s="86" t="n"/>
      <c r="L833" s="86" t="n"/>
      <c r="M833" s="86" t="n"/>
      <c r="N833" s="86" t="n"/>
      <c r="O833" s="86" t="n"/>
      <c r="P833" s="86" t="n"/>
      <c r="Q833" s="86" t="n"/>
    </row>
    <row r="834">
      <c r="A834" s="16" t="n"/>
      <c r="B834" s="86" t="n"/>
      <c r="C834" s="35" t="n"/>
      <c r="D834" s="36" t="n"/>
      <c r="E834" s="86" t="n"/>
      <c r="F834" s="86" t="n"/>
      <c r="G834" s="86" t="n"/>
      <c r="H834" s="86" t="n"/>
      <c r="I834" s="86" t="n"/>
      <c r="J834" s="86" t="n"/>
      <c r="K834" s="86" t="n"/>
      <c r="L834" s="86" t="n"/>
      <c r="M834" s="86" t="n"/>
      <c r="N834" s="86" t="n"/>
      <c r="O834" s="86" t="n"/>
      <c r="P834" s="86" t="n"/>
      <c r="Q834" s="86" t="n"/>
    </row>
    <row r="835">
      <c r="A835" s="16" t="n"/>
      <c r="B835" s="86" t="n"/>
      <c r="C835" s="35" t="n"/>
      <c r="D835" s="36" t="n"/>
      <c r="E835" s="86" t="n"/>
      <c r="F835" s="86" t="n"/>
      <c r="G835" s="86" t="n"/>
      <c r="H835" s="86" t="n"/>
      <c r="I835" s="86" t="n"/>
      <c r="J835" s="86" t="n"/>
      <c r="K835" s="86" t="n"/>
      <c r="L835" s="86" t="n"/>
      <c r="M835" s="86" t="n"/>
      <c r="N835" s="86" t="n"/>
      <c r="O835" s="86" t="n"/>
      <c r="P835" s="86" t="n"/>
      <c r="Q835" s="86" t="n"/>
    </row>
    <row r="836">
      <c r="A836" s="16" t="n"/>
      <c r="B836" s="86" t="n"/>
      <c r="C836" s="35" t="n"/>
      <c r="D836" s="36" t="n"/>
      <c r="E836" s="86" t="n"/>
      <c r="F836" s="86" t="n"/>
      <c r="G836" s="86" t="n"/>
      <c r="H836" s="86" t="n"/>
      <c r="I836" s="86" t="n"/>
      <c r="J836" s="86" t="n"/>
      <c r="K836" s="86" t="n"/>
      <c r="L836" s="86" t="n"/>
      <c r="M836" s="86" t="n"/>
      <c r="N836" s="86" t="n"/>
      <c r="O836" s="86" t="n"/>
      <c r="P836" s="86" t="n"/>
      <c r="Q836" s="86" t="n"/>
    </row>
    <row r="837">
      <c r="A837" s="16" t="n"/>
      <c r="B837" s="86" t="n"/>
      <c r="C837" s="35" t="n"/>
      <c r="D837" s="36" t="n"/>
      <c r="E837" s="86" t="n"/>
      <c r="F837" s="86" t="n"/>
      <c r="G837" s="86" t="n"/>
      <c r="H837" s="86" t="n"/>
      <c r="I837" s="86" t="n"/>
      <c r="J837" s="86" t="n"/>
      <c r="K837" s="86" t="n"/>
      <c r="L837" s="86" t="n"/>
      <c r="M837" s="86" t="n"/>
      <c r="N837" s="86" t="n"/>
      <c r="O837" s="86" t="n"/>
      <c r="P837" s="86" t="n"/>
      <c r="Q837" s="86" t="n"/>
    </row>
    <row r="838">
      <c r="A838" s="16" t="n"/>
      <c r="B838" s="86" t="n"/>
      <c r="C838" s="35" t="n"/>
      <c r="D838" s="36" t="n"/>
      <c r="E838" s="86" t="n"/>
      <c r="F838" s="86" t="n"/>
      <c r="G838" s="86" t="n"/>
      <c r="H838" s="86" t="n"/>
      <c r="I838" s="86" t="n"/>
      <c r="J838" s="86" t="n"/>
      <c r="K838" s="86" t="n"/>
      <c r="L838" s="86" t="n"/>
      <c r="M838" s="86" t="n"/>
      <c r="N838" s="86" t="n"/>
      <c r="O838" s="86" t="n"/>
      <c r="P838" s="86" t="n"/>
      <c r="Q838" s="86" t="n"/>
    </row>
    <row r="839">
      <c r="A839" s="16" t="n"/>
      <c r="B839" s="86" t="n"/>
      <c r="C839" s="35" t="n"/>
      <c r="D839" s="36" t="n"/>
      <c r="E839" s="86" t="n"/>
      <c r="F839" s="86" t="n"/>
      <c r="G839" s="86" t="n"/>
      <c r="H839" s="86" t="n"/>
      <c r="I839" s="86" t="n"/>
      <c r="J839" s="86" t="n"/>
      <c r="K839" s="86" t="n"/>
      <c r="L839" s="86" t="n"/>
      <c r="M839" s="86" t="n"/>
      <c r="N839" s="86" t="n"/>
      <c r="O839" s="86" t="n"/>
      <c r="P839" s="86" t="n"/>
      <c r="Q839" s="86" t="n"/>
    </row>
    <row r="840">
      <c r="A840" s="16" t="n"/>
      <c r="B840" s="86" t="n"/>
      <c r="C840" s="35" t="n"/>
      <c r="D840" s="36" t="n"/>
      <c r="E840" s="86" t="n"/>
      <c r="F840" s="86" t="n"/>
      <c r="G840" s="86" t="n"/>
      <c r="H840" s="86" t="n"/>
      <c r="I840" s="86" t="n"/>
      <c r="J840" s="86" t="n"/>
      <c r="K840" s="86" t="n"/>
      <c r="L840" s="86" t="n"/>
      <c r="M840" s="86" t="n"/>
      <c r="N840" s="86" t="n"/>
      <c r="O840" s="86" t="n"/>
      <c r="P840" s="86" t="n"/>
      <c r="Q840" s="86" t="n"/>
    </row>
    <row r="841">
      <c r="A841" s="16" t="n"/>
      <c r="B841" s="86" t="n"/>
      <c r="C841" s="35" t="n"/>
      <c r="D841" s="36" t="n"/>
      <c r="E841" s="86" t="n"/>
      <c r="F841" s="86" t="n"/>
      <c r="G841" s="86" t="n"/>
      <c r="H841" s="86" t="n"/>
      <c r="I841" s="86" t="n"/>
      <c r="J841" s="86" t="n"/>
      <c r="K841" s="86" t="n"/>
      <c r="L841" s="86" t="n"/>
      <c r="M841" s="86" t="n"/>
      <c r="N841" s="86" t="n"/>
      <c r="O841" s="86" t="n"/>
      <c r="P841" s="86" t="n"/>
      <c r="Q841" s="86" t="n"/>
    </row>
    <row r="842">
      <c r="A842" s="16" t="n"/>
      <c r="B842" s="86" t="n"/>
      <c r="C842" s="35" t="n"/>
      <c r="D842" s="36" t="n"/>
      <c r="E842" s="86" t="n"/>
      <c r="F842" s="86" t="n"/>
      <c r="G842" s="86" t="n"/>
      <c r="H842" s="86" t="n"/>
      <c r="I842" s="86" t="n"/>
      <c r="J842" s="86" t="n"/>
      <c r="K842" s="86" t="n"/>
      <c r="L842" s="86" t="n"/>
      <c r="M842" s="86" t="n"/>
      <c r="N842" s="86" t="n"/>
      <c r="O842" s="86" t="n"/>
      <c r="P842" s="86" t="n"/>
      <c r="Q842" s="86" t="n"/>
    </row>
    <row r="843">
      <c r="A843" s="16" t="n"/>
      <c r="B843" s="86" t="n"/>
      <c r="C843" s="35" t="n"/>
      <c r="D843" s="36" t="n"/>
      <c r="E843" s="86" t="n"/>
      <c r="F843" s="86" t="n"/>
      <c r="G843" s="86" t="n"/>
      <c r="H843" s="86" t="n"/>
      <c r="I843" s="86" t="n"/>
      <c r="J843" s="86" t="n"/>
      <c r="K843" s="86" t="n"/>
      <c r="L843" s="86" t="n"/>
      <c r="M843" s="86" t="n"/>
      <c r="N843" s="86" t="n"/>
      <c r="O843" s="86" t="n"/>
      <c r="P843" s="86" t="n"/>
      <c r="Q843" s="86" t="n"/>
    </row>
    <row r="844">
      <c r="A844" s="16" t="n"/>
      <c r="B844" s="86" t="n"/>
      <c r="C844" s="35" t="n"/>
      <c r="D844" s="36" t="n"/>
      <c r="E844" s="86" t="n"/>
      <c r="F844" s="86" t="n"/>
      <c r="G844" s="86" t="n"/>
      <c r="H844" s="86" t="n"/>
      <c r="I844" s="86" t="n"/>
      <c r="J844" s="86" t="n"/>
      <c r="K844" s="86" t="n"/>
      <c r="L844" s="86" t="n"/>
      <c r="M844" s="86" t="n"/>
      <c r="N844" s="86" t="n"/>
      <c r="O844" s="86" t="n"/>
      <c r="P844" s="86" t="n"/>
      <c r="Q844" s="86" t="n"/>
    </row>
    <row r="845">
      <c r="A845" s="16" t="n"/>
      <c r="B845" s="86" t="n"/>
      <c r="C845" s="35" t="n"/>
      <c r="D845" s="36" t="n"/>
      <c r="E845" s="86" t="n"/>
      <c r="F845" s="86" t="n"/>
      <c r="G845" s="86" t="n"/>
      <c r="H845" s="86" t="n"/>
      <c r="I845" s="86" t="n"/>
      <c r="J845" s="86" t="n"/>
      <c r="K845" s="86" t="n"/>
      <c r="L845" s="86" t="n"/>
      <c r="M845" s="86" t="n"/>
      <c r="N845" s="86" t="n"/>
      <c r="O845" s="86" t="n"/>
      <c r="P845" s="86" t="n"/>
      <c r="Q845" s="86" t="n"/>
    </row>
    <row r="846">
      <c r="A846" s="16" t="n"/>
      <c r="B846" s="86" t="n"/>
      <c r="C846" s="35" t="n"/>
      <c r="D846" s="36" t="n"/>
      <c r="E846" s="86" t="n"/>
      <c r="F846" s="86" t="n"/>
      <c r="G846" s="86" t="n"/>
      <c r="H846" s="86" t="n"/>
      <c r="I846" s="86" t="n"/>
      <c r="J846" s="86" t="n"/>
      <c r="K846" s="86" t="n"/>
      <c r="L846" s="86" t="n"/>
      <c r="M846" s="86" t="n"/>
      <c r="N846" s="86" t="n"/>
      <c r="O846" s="86" t="n"/>
      <c r="P846" s="86" t="n"/>
      <c r="Q846" s="86" t="n"/>
    </row>
    <row r="847">
      <c r="A847" s="16" t="n"/>
      <c r="B847" s="86" t="n"/>
      <c r="C847" s="35" t="n"/>
      <c r="D847" s="36" t="n"/>
      <c r="E847" s="86" t="n"/>
      <c r="F847" s="86" t="n"/>
      <c r="G847" s="86" t="n"/>
      <c r="H847" s="86" t="n"/>
      <c r="I847" s="86" t="n"/>
      <c r="J847" s="86" t="n"/>
      <c r="K847" s="86" t="n"/>
      <c r="L847" s="86" t="n"/>
      <c r="M847" s="86" t="n"/>
      <c r="N847" s="86" t="n"/>
      <c r="O847" s="86" t="n"/>
      <c r="P847" s="86" t="n"/>
      <c r="Q847" s="86" t="n"/>
    </row>
    <row r="848">
      <c r="A848" s="16" t="n"/>
      <c r="B848" s="86" t="n"/>
      <c r="C848" s="35" t="n"/>
      <c r="D848" s="36" t="n"/>
      <c r="E848" s="86" t="n"/>
      <c r="F848" s="86" t="n"/>
      <c r="G848" s="86" t="n"/>
      <c r="H848" s="86" t="n"/>
      <c r="I848" s="86" t="n"/>
      <c r="J848" s="86" t="n"/>
      <c r="K848" s="86" t="n"/>
      <c r="L848" s="86" t="n"/>
      <c r="M848" s="86" t="n"/>
      <c r="N848" s="86" t="n"/>
      <c r="O848" s="86" t="n"/>
      <c r="P848" s="86" t="n"/>
      <c r="Q848" s="86" t="n"/>
    </row>
    <row r="849">
      <c r="A849" s="16" t="n"/>
      <c r="B849" s="86" t="n"/>
      <c r="C849" s="35" t="n"/>
      <c r="D849" s="36" t="n"/>
      <c r="E849" s="86" t="n"/>
      <c r="F849" s="86" t="n"/>
      <c r="G849" s="86" t="n"/>
      <c r="H849" s="86" t="n"/>
      <c r="I849" s="86" t="n"/>
      <c r="J849" s="86" t="n"/>
      <c r="K849" s="86" t="n"/>
      <c r="L849" s="86" t="n"/>
      <c r="M849" s="86" t="n"/>
      <c r="N849" s="86" t="n"/>
      <c r="O849" s="86" t="n"/>
      <c r="P849" s="86" t="n"/>
      <c r="Q849" s="86" t="n"/>
    </row>
    <row r="850">
      <c r="A850" s="16" t="n"/>
      <c r="B850" s="86" t="n"/>
      <c r="C850" s="35" t="n"/>
      <c r="D850" s="36" t="n"/>
      <c r="E850" s="86" t="n"/>
      <c r="F850" s="86" t="n"/>
      <c r="G850" s="86" t="n"/>
      <c r="H850" s="86" t="n"/>
      <c r="I850" s="86" t="n"/>
      <c r="J850" s="86" t="n"/>
      <c r="K850" s="86" t="n"/>
      <c r="L850" s="86" t="n"/>
      <c r="M850" s="86" t="n"/>
      <c r="N850" s="86" t="n"/>
      <c r="O850" s="86" t="n"/>
      <c r="P850" s="86" t="n"/>
      <c r="Q850" s="86" t="n"/>
    </row>
    <row r="851">
      <c r="A851" s="16" t="n"/>
      <c r="B851" s="86" t="n"/>
      <c r="C851" s="35" t="n"/>
      <c r="D851" s="36" t="n"/>
      <c r="E851" s="86" t="n"/>
      <c r="F851" s="86" t="n"/>
      <c r="G851" s="86" t="n"/>
      <c r="H851" s="86" t="n"/>
      <c r="I851" s="86" t="n"/>
      <c r="J851" s="86" t="n"/>
      <c r="K851" s="86" t="n"/>
      <c r="L851" s="86" t="n"/>
      <c r="M851" s="86" t="n"/>
      <c r="N851" s="86" t="n"/>
      <c r="O851" s="86" t="n"/>
      <c r="P851" s="86" t="n"/>
      <c r="Q851" s="86" t="n"/>
    </row>
    <row r="852">
      <c r="A852" s="16" t="n"/>
      <c r="B852" s="86" t="n"/>
      <c r="C852" s="35" t="n"/>
      <c r="D852" s="36" t="n"/>
      <c r="E852" s="86" t="n"/>
      <c r="F852" s="86" t="n"/>
      <c r="G852" s="86" t="n"/>
      <c r="H852" s="86" t="n"/>
      <c r="I852" s="86" t="n"/>
      <c r="J852" s="86" t="n"/>
      <c r="K852" s="86" t="n"/>
      <c r="L852" s="86" t="n"/>
      <c r="M852" s="86" t="n"/>
      <c r="N852" s="86" t="n"/>
      <c r="O852" s="86" t="n"/>
      <c r="P852" s="86" t="n"/>
      <c r="Q852" s="86" t="n"/>
    </row>
    <row r="853">
      <c r="A853" s="16" t="n"/>
      <c r="B853" s="86" t="n"/>
      <c r="C853" s="35" t="n"/>
      <c r="D853" s="36" t="n"/>
      <c r="E853" s="86" t="n"/>
      <c r="F853" s="86" t="n"/>
      <c r="G853" s="86" t="n"/>
      <c r="H853" s="86" t="n"/>
      <c r="I853" s="86" t="n"/>
      <c r="J853" s="86" t="n"/>
      <c r="K853" s="86" t="n"/>
      <c r="L853" s="86" t="n"/>
      <c r="M853" s="86" t="n"/>
      <c r="N853" s="86" t="n"/>
      <c r="O853" s="86" t="n"/>
      <c r="P853" s="86" t="n"/>
      <c r="Q853" s="86" t="n"/>
    </row>
    <row r="854">
      <c r="A854" s="16" t="n"/>
      <c r="B854" s="86" t="n"/>
      <c r="C854" s="35" t="n"/>
      <c r="D854" s="36" t="n"/>
      <c r="E854" s="86" t="n"/>
      <c r="F854" s="86" t="n"/>
      <c r="G854" s="86" t="n"/>
      <c r="H854" s="86" t="n"/>
      <c r="I854" s="86" t="n"/>
      <c r="J854" s="86" t="n"/>
      <c r="K854" s="86" t="n"/>
      <c r="L854" s="86" t="n"/>
      <c r="M854" s="86" t="n"/>
      <c r="N854" s="86" t="n"/>
      <c r="O854" s="86" t="n"/>
      <c r="P854" s="86" t="n"/>
      <c r="Q854" s="86" t="n"/>
    </row>
    <row r="855">
      <c r="A855" s="16" t="n"/>
      <c r="B855" s="86" t="n"/>
      <c r="C855" s="35" t="n"/>
      <c r="D855" s="36" t="n"/>
      <c r="E855" s="86" t="n"/>
      <c r="F855" s="86" t="n"/>
      <c r="G855" s="86" t="n"/>
      <c r="H855" s="86" t="n"/>
      <c r="I855" s="86" t="n"/>
      <c r="J855" s="86" t="n"/>
      <c r="K855" s="86" t="n"/>
      <c r="L855" s="86" t="n"/>
      <c r="M855" s="86" t="n"/>
      <c r="N855" s="86" t="n"/>
      <c r="O855" s="86" t="n"/>
      <c r="P855" s="86" t="n"/>
      <c r="Q855" s="86" t="n"/>
    </row>
    <row r="856">
      <c r="A856" s="16" t="n"/>
      <c r="B856" s="86" t="n"/>
      <c r="C856" s="35" t="n"/>
      <c r="D856" s="36" t="n"/>
      <c r="E856" s="86" t="n"/>
      <c r="F856" s="86" t="n"/>
      <c r="G856" s="86" t="n"/>
      <c r="H856" s="86" t="n"/>
      <c r="I856" s="86" t="n"/>
      <c r="J856" s="86" t="n"/>
      <c r="K856" s="86" t="n"/>
      <c r="L856" s="86" t="n"/>
      <c r="M856" s="86" t="n"/>
      <c r="N856" s="86" t="n"/>
      <c r="O856" s="86" t="n"/>
      <c r="P856" s="86" t="n"/>
      <c r="Q856" s="86" t="n"/>
    </row>
    <row r="857">
      <c r="A857" s="16" t="n"/>
      <c r="B857" s="86" t="n"/>
      <c r="C857" s="35" t="n"/>
      <c r="D857" s="36" t="n"/>
      <c r="E857" s="86" t="n"/>
      <c r="F857" s="86" t="n"/>
      <c r="G857" s="86" t="n"/>
      <c r="H857" s="86" t="n"/>
      <c r="I857" s="86" t="n"/>
      <c r="J857" s="86" t="n"/>
      <c r="K857" s="86" t="n"/>
      <c r="L857" s="86" t="n"/>
      <c r="M857" s="86" t="n"/>
      <c r="N857" s="86" t="n"/>
      <c r="O857" s="86" t="n"/>
      <c r="P857" s="86" t="n"/>
      <c r="Q857" s="86" t="n"/>
    </row>
    <row r="858">
      <c r="A858" s="16" t="n"/>
      <c r="B858" s="86" t="n"/>
      <c r="C858" s="35" t="n"/>
      <c r="D858" s="36" t="n"/>
      <c r="E858" s="86" t="n"/>
      <c r="F858" s="86" t="n"/>
      <c r="G858" s="86" t="n"/>
      <c r="H858" s="86" t="n"/>
      <c r="I858" s="86" t="n"/>
      <c r="J858" s="86" t="n"/>
      <c r="K858" s="86" t="n"/>
      <c r="L858" s="86" t="n"/>
      <c r="M858" s="86" t="n"/>
      <c r="N858" s="86" t="n"/>
      <c r="O858" s="86" t="n"/>
      <c r="P858" s="86" t="n"/>
      <c r="Q858" s="86" t="n"/>
    </row>
    <row r="859">
      <c r="A859" s="16" t="n"/>
      <c r="B859" s="86" t="n"/>
      <c r="C859" s="35" t="n"/>
      <c r="D859" s="36" t="n"/>
      <c r="E859" s="86" t="n"/>
      <c r="F859" s="86" t="n"/>
      <c r="G859" s="86" t="n"/>
      <c r="H859" s="86" t="n"/>
      <c r="I859" s="86" t="n"/>
      <c r="J859" s="86" t="n"/>
      <c r="K859" s="86" t="n"/>
      <c r="L859" s="86" t="n"/>
      <c r="M859" s="86" t="n"/>
      <c r="N859" s="86" t="n"/>
      <c r="O859" s="86" t="n"/>
      <c r="P859" s="86" t="n"/>
      <c r="Q859" s="86" t="n"/>
    </row>
    <row r="860">
      <c r="A860" s="16" t="n"/>
      <c r="B860" s="86" t="n"/>
      <c r="C860" s="35" t="n"/>
      <c r="D860" s="36" t="n"/>
      <c r="E860" s="86" t="n"/>
      <c r="F860" s="86" t="n"/>
      <c r="G860" s="86" t="n"/>
      <c r="H860" s="86" t="n"/>
      <c r="I860" s="86" t="n"/>
      <c r="J860" s="86" t="n"/>
      <c r="K860" s="86" t="n"/>
      <c r="L860" s="86" t="n"/>
      <c r="M860" s="86" t="n"/>
      <c r="N860" s="86" t="n"/>
      <c r="O860" s="86" t="n"/>
      <c r="P860" s="86" t="n"/>
      <c r="Q860" s="86" t="n"/>
    </row>
    <row r="861">
      <c r="A861" s="16" t="n"/>
      <c r="B861" s="86" t="n"/>
      <c r="C861" s="35" t="n"/>
      <c r="D861" s="36" t="n"/>
      <c r="E861" s="86" t="n"/>
      <c r="F861" s="86" t="n"/>
      <c r="G861" s="86" t="n"/>
      <c r="H861" s="86" t="n"/>
      <c r="I861" s="86" t="n"/>
      <c r="J861" s="86" t="n"/>
      <c r="K861" s="86" t="n"/>
      <c r="L861" s="86" t="n"/>
      <c r="M861" s="86" t="n"/>
      <c r="N861" s="86" t="n"/>
      <c r="O861" s="86" t="n"/>
      <c r="P861" s="86" t="n"/>
      <c r="Q861" s="86" t="n"/>
    </row>
    <row r="862">
      <c r="A862" s="16" t="n"/>
      <c r="B862" s="86" t="n"/>
      <c r="C862" s="35" t="n"/>
      <c r="D862" s="36" t="n"/>
      <c r="E862" s="86" t="n"/>
      <c r="F862" s="86" t="n"/>
      <c r="G862" s="86" t="n"/>
      <c r="H862" s="86" t="n"/>
      <c r="I862" s="86" t="n"/>
      <c r="J862" s="86" t="n"/>
      <c r="K862" s="86" t="n"/>
      <c r="L862" s="86" t="n"/>
      <c r="M862" s="86" t="n"/>
      <c r="N862" s="86" t="n"/>
      <c r="O862" s="86" t="n"/>
      <c r="P862" s="86" t="n"/>
      <c r="Q862" s="86" t="n"/>
    </row>
    <row r="863">
      <c r="A863" s="16" t="n"/>
      <c r="B863" s="86" t="n"/>
      <c r="C863" s="35" t="n"/>
      <c r="D863" s="36" t="n"/>
      <c r="E863" s="86" t="n"/>
      <c r="F863" s="86" t="n"/>
      <c r="G863" s="86" t="n"/>
      <c r="H863" s="86" t="n"/>
      <c r="I863" s="86" t="n"/>
      <c r="J863" s="86" t="n"/>
      <c r="K863" s="86" t="n"/>
      <c r="L863" s="86" t="n"/>
      <c r="M863" s="86" t="n"/>
      <c r="N863" s="86" t="n"/>
      <c r="O863" s="86" t="n"/>
      <c r="P863" s="86" t="n"/>
      <c r="Q863" s="86" t="n"/>
    </row>
    <row r="864">
      <c r="A864" s="16" t="n"/>
      <c r="B864" s="86" t="n"/>
      <c r="C864" s="35" t="n"/>
      <c r="D864" s="36" t="n"/>
      <c r="E864" s="86" t="n"/>
      <c r="F864" s="86" t="n"/>
      <c r="G864" s="86" t="n"/>
      <c r="H864" s="86" t="n"/>
      <c r="I864" s="86" t="n"/>
      <c r="J864" s="86" t="n"/>
      <c r="K864" s="86" t="n"/>
      <c r="L864" s="86" t="n"/>
      <c r="M864" s="86" t="n"/>
      <c r="N864" s="86" t="n"/>
      <c r="O864" s="86" t="n"/>
      <c r="P864" s="86" t="n"/>
      <c r="Q864" s="86" t="n"/>
    </row>
    <row r="865">
      <c r="A865" s="16" t="n"/>
      <c r="B865" s="86" t="n"/>
      <c r="C865" s="35" t="n"/>
      <c r="D865" s="36" t="n"/>
      <c r="E865" s="86" t="n"/>
      <c r="F865" s="86" t="n"/>
      <c r="G865" s="86" t="n"/>
      <c r="H865" s="86" t="n"/>
      <c r="I865" s="86" t="n"/>
      <c r="J865" s="86" t="n"/>
      <c r="K865" s="86" t="n"/>
      <c r="L865" s="86" t="n"/>
      <c r="M865" s="86" t="n"/>
      <c r="N865" s="86" t="n"/>
      <c r="O865" s="86" t="n"/>
      <c r="P865" s="86" t="n"/>
      <c r="Q865" s="86" t="n"/>
    </row>
    <row r="866">
      <c r="A866" s="16" t="n"/>
      <c r="B866" s="86" t="n"/>
      <c r="C866" s="35" t="n"/>
      <c r="D866" s="36" t="n"/>
      <c r="E866" s="86" t="n"/>
      <c r="F866" s="86" t="n"/>
      <c r="G866" s="86" t="n"/>
      <c r="H866" s="86" t="n"/>
      <c r="I866" s="86" t="n"/>
      <c r="J866" s="86" t="n"/>
      <c r="K866" s="86" t="n"/>
      <c r="L866" s="86" t="n"/>
      <c r="M866" s="86" t="n"/>
      <c r="N866" s="86" t="n"/>
      <c r="O866" s="86" t="n"/>
      <c r="P866" s="86" t="n"/>
      <c r="Q866" s="86" t="n"/>
    </row>
    <row r="867">
      <c r="A867" s="16" t="n"/>
      <c r="B867" s="86" t="n"/>
      <c r="C867" s="35" t="n"/>
      <c r="D867" s="36" t="n"/>
      <c r="E867" s="86" t="n"/>
      <c r="F867" s="86" t="n"/>
      <c r="G867" s="86" t="n"/>
      <c r="H867" s="86" t="n"/>
      <c r="I867" s="86" t="n"/>
      <c r="J867" s="86" t="n"/>
      <c r="K867" s="86" t="n"/>
      <c r="L867" s="86" t="n"/>
      <c r="M867" s="86" t="n"/>
      <c r="N867" s="86" t="n"/>
      <c r="O867" s="86" t="n"/>
      <c r="P867" s="86" t="n"/>
      <c r="Q867" s="86" t="n"/>
    </row>
    <row r="868">
      <c r="A868" s="16" t="n"/>
      <c r="B868" s="86" t="n"/>
      <c r="C868" s="35" t="n"/>
      <c r="D868" s="36" t="n"/>
      <c r="E868" s="86" t="n"/>
      <c r="F868" s="86" t="n"/>
      <c r="G868" s="86" t="n"/>
      <c r="H868" s="86" t="n"/>
      <c r="I868" s="86" t="n"/>
      <c r="J868" s="86" t="n"/>
      <c r="K868" s="86" t="n"/>
      <c r="L868" s="86" t="n"/>
      <c r="M868" s="86" t="n"/>
      <c r="N868" s="86" t="n"/>
      <c r="O868" s="86" t="n"/>
      <c r="P868" s="86" t="n"/>
      <c r="Q868" s="86" t="n"/>
    </row>
    <row r="869">
      <c r="A869" s="16" t="n"/>
      <c r="B869" s="86" t="n"/>
      <c r="C869" s="35" t="n"/>
      <c r="D869" s="36" t="n"/>
      <c r="E869" s="86" t="n"/>
      <c r="F869" s="86" t="n"/>
      <c r="G869" s="86" t="n"/>
      <c r="H869" s="86" t="n"/>
      <c r="I869" s="86" t="n"/>
      <c r="J869" s="86" t="n"/>
      <c r="K869" s="86" t="n"/>
      <c r="L869" s="86" t="n"/>
      <c r="M869" s="86" t="n"/>
      <c r="N869" s="86" t="n"/>
      <c r="O869" s="86" t="n"/>
      <c r="P869" s="86" t="n"/>
      <c r="Q869" s="86" t="n"/>
    </row>
    <row r="870">
      <c r="A870" s="16" t="n"/>
      <c r="B870" s="86" t="n"/>
      <c r="C870" s="35" t="n"/>
      <c r="D870" s="36" t="n"/>
      <c r="E870" s="86" t="n"/>
      <c r="F870" s="86" t="n"/>
      <c r="G870" s="86" t="n"/>
      <c r="H870" s="86" t="n"/>
      <c r="I870" s="86" t="n"/>
      <c r="J870" s="86" t="n"/>
      <c r="K870" s="86" t="n"/>
      <c r="L870" s="86" t="n"/>
      <c r="M870" s="86" t="n"/>
      <c r="N870" s="86" t="n"/>
      <c r="O870" s="86" t="n"/>
      <c r="P870" s="86" t="n"/>
      <c r="Q870" s="86" t="n"/>
    </row>
    <row r="871">
      <c r="A871" s="16" t="n"/>
      <c r="B871" s="86" t="n"/>
      <c r="C871" s="35" t="n"/>
      <c r="D871" s="36" t="n"/>
      <c r="E871" s="86" t="n"/>
      <c r="F871" s="86" t="n"/>
      <c r="G871" s="86" t="n"/>
      <c r="H871" s="86" t="n"/>
      <c r="I871" s="86" t="n"/>
      <c r="J871" s="86" t="n"/>
      <c r="K871" s="86" t="n"/>
      <c r="L871" s="86" t="n"/>
      <c r="M871" s="86" t="n"/>
      <c r="N871" s="86" t="n"/>
      <c r="O871" s="86" t="n"/>
      <c r="P871" s="86" t="n"/>
      <c r="Q871" s="86" t="n"/>
    </row>
    <row r="872">
      <c r="A872" s="16" t="n"/>
      <c r="B872" s="86" t="n"/>
      <c r="C872" s="35" t="n"/>
      <c r="D872" s="36" t="n"/>
      <c r="E872" s="86" t="n"/>
      <c r="F872" s="86" t="n"/>
      <c r="G872" s="86" t="n"/>
      <c r="H872" s="86" t="n"/>
      <c r="I872" s="86" t="n"/>
      <c r="J872" s="86" t="n"/>
      <c r="K872" s="86" t="n"/>
      <c r="L872" s="86" t="n"/>
      <c r="M872" s="86" t="n"/>
      <c r="N872" s="86" t="n"/>
      <c r="O872" s="86" t="n"/>
      <c r="P872" s="86" t="n"/>
      <c r="Q872" s="86" t="n"/>
    </row>
    <row r="873">
      <c r="A873" s="16" t="n"/>
      <c r="B873" s="86" t="n"/>
      <c r="C873" s="35" t="n"/>
      <c r="D873" s="36" t="n"/>
      <c r="E873" s="86" t="n"/>
      <c r="F873" s="86" t="n"/>
      <c r="G873" s="86" t="n"/>
      <c r="H873" s="86" t="n"/>
      <c r="I873" s="86" t="n"/>
      <c r="J873" s="86" t="n"/>
      <c r="K873" s="86" t="n"/>
      <c r="L873" s="86" t="n"/>
      <c r="M873" s="86" t="n"/>
      <c r="N873" s="86" t="n"/>
      <c r="O873" s="86" t="n"/>
      <c r="P873" s="86" t="n"/>
      <c r="Q873" s="86" t="n"/>
    </row>
    <row r="874">
      <c r="A874" s="16" t="n"/>
      <c r="B874" s="86" t="n"/>
      <c r="C874" s="35" t="n"/>
      <c r="D874" s="36" t="n"/>
      <c r="E874" s="86" t="n"/>
      <c r="F874" s="86" t="n"/>
      <c r="G874" s="86" t="n"/>
      <c r="H874" s="86" t="n"/>
      <c r="I874" s="86" t="n"/>
      <c r="J874" s="86" t="n"/>
      <c r="K874" s="86" t="n"/>
      <c r="L874" s="86" t="n"/>
      <c r="M874" s="86" t="n"/>
      <c r="N874" s="86" t="n"/>
      <c r="O874" s="86" t="n"/>
      <c r="P874" s="86" t="n"/>
      <c r="Q874" s="86" t="n"/>
    </row>
    <row r="875">
      <c r="A875" s="16" t="n"/>
      <c r="B875" s="86" t="n"/>
      <c r="C875" s="35" t="n"/>
      <c r="D875" s="36" t="n"/>
      <c r="E875" s="86" t="n"/>
      <c r="F875" s="86" t="n"/>
      <c r="G875" s="86" t="n"/>
      <c r="H875" s="86" t="n"/>
      <c r="I875" s="86" t="n"/>
      <c r="J875" s="86" t="n"/>
      <c r="K875" s="86" t="n"/>
      <c r="L875" s="86" t="n"/>
      <c r="M875" s="86" t="n"/>
      <c r="N875" s="86" t="n"/>
      <c r="O875" s="86" t="n"/>
      <c r="P875" s="86" t="n"/>
      <c r="Q875" s="86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120" zoomScaleNormal="120" workbookViewId="0">
      <pane ySplit="4" topLeftCell="A375" activePane="bottomLeft" state="frozen"/>
      <selection activeCell="P16" sqref="P16"/>
      <selection pane="bottomLeft" activeCell="A383" sqref="A383:D390"/>
    </sheetView>
  </sheetViews>
  <sheetFormatPr baseColWidth="8" defaultColWidth="8.81640625" defaultRowHeight="14.5"/>
  <cols>
    <col width="14.1796875" customWidth="1" style="1" min="1" max="1"/>
    <col width="12.6328125" bestFit="1" customWidth="1" min="2" max="2"/>
    <col width="11.6328125" customWidth="1" style="9" min="3" max="4"/>
    <col width="9.1796875" customWidth="1" style="86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Table13456789101112131415161734[[#Headers],[USA]]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USA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6">
        <f>VLOOKUP(A5,Database!$A:$AU,MATCH($B$4,Database!$A$1:$AU$1,0),FALSE)</f>
        <v/>
      </c>
      <c r="C5" s="22" t="n"/>
      <c r="D5" s="23" t="n"/>
    </row>
    <row r="6">
      <c r="A6" s="21" t="n">
        <v>33239</v>
      </c>
      <c r="B6" s="76">
        <f>VLOOKUP(A6,Database!$A:$AU,MATCH($B$4,Database!$A$1:$AU$1,0),FALSE)</f>
        <v/>
      </c>
      <c r="C6" s="22">
        <f>(Table13456789101112131415161734[[#This Row],[USA]]-B5)/B5</f>
        <v/>
      </c>
      <c r="D6" s="23" t="n"/>
    </row>
    <row r="7">
      <c r="A7" s="21" t="n">
        <v>33270</v>
      </c>
      <c r="B7" s="76">
        <f>VLOOKUP(A7,Database!$A:$AU,MATCH($B$4,Database!$A$1:$AU$1,0),FALSE)</f>
        <v/>
      </c>
      <c r="C7" s="22">
        <f>(Table13456789101112131415161734[[#This Row],[USA]]-B6)/B6</f>
        <v/>
      </c>
      <c r="D7" s="23" t="n"/>
    </row>
    <row r="8">
      <c r="A8" s="21" t="n">
        <v>33298</v>
      </c>
      <c r="B8" s="76">
        <f>VLOOKUP(A8,Database!$A:$AU,MATCH($B$4,Database!$A$1:$AU$1,0),FALSE)</f>
        <v/>
      </c>
      <c r="C8" s="22">
        <f>(Table13456789101112131415161734[[#This Row],[USA]]-B7)/B7</f>
        <v/>
      </c>
      <c r="D8" s="23" t="n"/>
    </row>
    <row r="9">
      <c r="A9" s="21" t="n">
        <v>33329</v>
      </c>
      <c r="B9" s="76">
        <f>VLOOKUP(A9,Database!$A:$AU,MATCH($B$4,Database!$A$1:$AU$1,0),FALSE)</f>
        <v/>
      </c>
      <c r="C9" s="22">
        <f>(Table13456789101112131415161734[[#This Row],[USA]]-B8)/B8</f>
        <v/>
      </c>
      <c r="D9" s="23" t="n"/>
    </row>
    <row r="10">
      <c r="A10" s="21" t="n">
        <v>33359</v>
      </c>
      <c r="B10" s="76">
        <f>VLOOKUP(A10,Database!$A:$AU,MATCH($B$4,Database!$A$1:$AU$1,0),FALSE)</f>
        <v/>
      </c>
      <c r="C10" s="22">
        <f>(Table13456789101112131415161734[[#This Row],[USA]]-B9)/B9</f>
        <v/>
      </c>
      <c r="D10" s="23" t="n"/>
    </row>
    <row r="11">
      <c r="A11" s="21" t="n">
        <v>33390</v>
      </c>
      <c r="B11" s="76">
        <f>VLOOKUP(A11,Database!$A:$AU,MATCH($B$4,Database!$A$1:$AU$1,0),FALSE)</f>
        <v/>
      </c>
      <c r="C11" s="22">
        <f>(Table13456789101112131415161734[[#This Row],[USA]]-B10)/B10</f>
        <v/>
      </c>
      <c r="D11" s="23" t="n"/>
    </row>
    <row r="12">
      <c r="A12" s="21" t="n">
        <v>33420</v>
      </c>
      <c r="B12" s="76">
        <f>VLOOKUP(A12,Database!$A:$AU,MATCH($B$4,Database!$A$1:$AU$1,0),FALSE)</f>
        <v/>
      </c>
      <c r="C12" s="22">
        <f>(Table13456789101112131415161734[[#This Row],[USA]]-B11)/B11</f>
        <v/>
      </c>
      <c r="D12" s="23" t="n"/>
    </row>
    <row r="13">
      <c r="A13" s="21" t="n">
        <v>33451</v>
      </c>
      <c r="B13" s="76">
        <f>VLOOKUP(A13,Database!$A:$AU,MATCH($B$4,Database!$A$1:$AU$1,0),FALSE)</f>
        <v/>
      </c>
      <c r="C13" s="22">
        <f>(Table13456789101112131415161734[[#This Row],[USA]]-B12)/B12</f>
        <v/>
      </c>
      <c r="D13" s="23" t="n"/>
    </row>
    <row r="14">
      <c r="A14" s="21" t="n">
        <v>33482</v>
      </c>
      <c r="B14" s="76">
        <f>VLOOKUP(A14,Database!$A:$AU,MATCH($B$4,Database!$A$1:$AU$1,0),FALSE)</f>
        <v/>
      </c>
      <c r="C14" s="22">
        <f>(Table13456789101112131415161734[[#This Row],[USA]]-B13)/B13</f>
        <v/>
      </c>
      <c r="D14" s="23" t="n"/>
    </row>
    <row r="15">
      <c r="A15" s="21" t="n">
        <v>33512</v>
      </c>
      <c r="B15" s="76">
        <f>VLOOKUP(A15,Database!$A:$AU,MATCH($B$4,Database!$A$1:$AU$1,0),FALSE)</f>
        <v/>
      </c>
      <c r="C15" s="22">
        <f>(Table13456789101112131415161734[[#This Row],[USA]]-B14)/B14</f>
        <v/>
      </c>
      <c r="D15" s="23" t="n"/>
    </row>
    <row r="16">
      <c r="A16" s="21" t="n">
        <v>33543</v>
      </c>
      <c r="B16" s="76">
        <f>VLOOKUP(A16,Database!$A:$AU,MATCH($B$4,Database!$A$1:$AU$1,0),FALSE)</f>
        <v/>
      </c>
      <c r="C16" s="22">
        <f>(Table13456789101112131415161734[[#This Row],[USA]]-B15)/B15</f>
        <v/>
      </c>
      <c r="D16" s="23" t="n"/>
    </row>
    <row r="17">
      <c r="A17" s="21" t="n">
        <v>33573</v>
      </c>
      <c r="B17" s="76">
        <f>VLOOKUP(A17,Database!$A:$AU,MATCH($B$4,Database!$A$1:$AU$1,0),FALSE)</f>
        <v/>
      </c>
      <c r="C17" s="22">
        <f>(Table13456789101112131415161734[[#This Row],[USA]]-B16)/B16</f>
        <v/>
      </c>
      <c r="D17" s="23">
        <f>(Table13456789101112131415161734[[#This Row],[USA]]-B5)/B5</f>
        <v/>
      </c>
    </row>
    <row r="18">
      <c r="A18" s="21" t="n">
        <v>33604</v>
      </c>
      <c r="B18" s="76">
        <f>VLOOKUP(A18,Database!$A:$AU,MATCH($B$4,Database!$A$1:$AU$1,0),FALSE)</f>
        <v/>
      </c>
      <c r="C18" s="22">
        <f>(Table13456789101112131415161734[[#This Row],[USA]]-B17)/B17</f>
        <v/>
      </c>
      <c r="D18" s="23">
        <f>(Table13456789101112131415161734[[#This Row],[USA]]-B6)/B6</f>
        <v/>
      </c>
    </row>
    <row r="19">
      <c r="A19" s="21" t="n">
        <v>33635</v>
      </c>
      <c r="B19" s="76">
        <f>VLOOKUP(A19,Database!$A:$AU,MATCH($B$4,Database!$A$1:$AU$1,0),FALSE)</f>
        <v/>
      </c>
      <c r="C19" s="22">
        <f>(Table13456789101112131415161734[[#This Row],[USA]]-B18)/B18</f>
        <v/>
      </c>
      <c r="D19" s="23">
        <f>(Table13456789101112131415161734[[#This Row],[USA]]-B7)/B7</f>
        <v/>
      </c>
    </row>
    <row r="20">
      <c r="A20" s="21" t="n">
        <v>33664</v>
      </c>
      <c r="B20" s="76">
        <f>VLOOKUP(A20,Database!$A:$AU,MATCH($B$4,Database!$A$1:$AU$1,0),FALSE)</f>
        <v/>
      </c>
      <c r="C20" s="22">
        <f>(Table13456789101112131415161734[[#This Row],[USA]]-B19)/B19</f>
        <v/>
      </c>
      <c r="D20" s="23">
        <f>(Table13456789101112131415161734[[#This Row],[USA]]-B8)/B8</f>
        <v/>
      </c>
    </row>
    <row r="21">
      <c r="A21" s="21" t="n">
        <v>33695</v>
      </c>
      <c r="B21" s="76">
        <f>VLOOKUP(A21,Database!$A:$AU,MATCH($B$4,Database!$A$1:$AU$1,0),FALSE)</f>
        <v/>
      </c>
      <c r="C21" s="22">
        <f>(Table13456789101112131415161734[[#This Row],[USA]]-B20)/B20</f>
        <v/>
      </c>
      <c r="D21" s="23">
        <f>(Table13456789101112131415161734[[#This Row],[USA]]-B9)/B9</f>
        <v/>
      </c>
    </row>
    <row r="22">
      <c r="A22" s="21" t="n">
        <v>33725</v>
      </c>
      <c r="B22" s="76">
        <f>VLOOKUP(A22,Database!$A:$AU,MATCH($B$4,Database!$A$1:$AU$1,0),FALSE)</f>
        <v/>
      </c>
      <c r="C22" s="22">
        <f>(Table13456789101112131415161734[[#This Row],[USA]]-B21)/B21</f>
        <v/>
      </c>
      <c r="D22" s="23">
        <f>(Table13456789101112131415161734[[#This Row],[USA]]-B10)/B10</f>
        <v/>
      </c>
    </row>
    <row r="23">
      <c r="A23" s="21" t="n">
        <v>33756</v>
      </c>
      <c r="B23" s="76">
        <f>VLOOKUP(A23,Database!$A:$AU,MATCH($B$4,Database!$A$1:$AU$1,0),FALSE)</f>
        <v/>
      </c>
      <c r="C23" s="22">
        <f>(Table13456789101112131415161734[[#This Row],[USA]]-B22)/B22</f>
        <v/>
      </c>
      <c r="D23" s="23">
        <f>(Table13456789101112131415161734[[#This Row],[USA]]-B11)/B11</f>
        <v/>
      </c>
    </row>
    <row r="24">
      <c r="A24" s="21" t="n">
        <v>33786</v>
      </c>
      <c r="B24" s="76">
        <f>VLOOKUP(A24,Database!$A:$AU,MATCH($B$4,Database!$A$1:$AU$1,0),FALSE)</f>
        <v/>
      </c>
      <c r="C24" s="22">
        <f>(Table13456789101112131415161734[[#This Row],[USA]]-B23)/B23</f>
        <v/>
      </c>
      <c r="D24" s="23">
        <f>(Table13456789101112131415161734[[#This Row],[USA]]-B12)/B12</f>
        <v/>
      </c>
    </row>
    <row r="25">
      <c r="A25" s="21" t="n">
        <v>33817</v>
      </c>
      <c r="B25" s="76">
        <f>VLOOKUP(A25,Database!$A:$AU,MATCH($B$4,Database!$A$1:$AU$1,0),FALSE)</f>
        <v/>
      </c>
      <c r="C25" s="22">
        <f>(Table13456789101112131415161734[[#This Row],[USA]]-B24)/B24</f>
        <v/>
      </c>
      <c r="D25" s="23">
        <f>(Table13456789101112131415161734[[#This Row],[USA]]-B13)/B13</f>
        <v/>
      </c>
    </row>
    <row r="26">
      <c r="A26" s="21" t="n">
        <v>33848</v>
      </c>
      <c r="B26" s="76">
        <f>VLOOKUP(A26,Database!$A:$AU,MATCH($B$4,Database!$A$1:$AU$1,0),FALSE)</f>
        <v/>
      </c>
      <c r="C26" s="22">
        <f>(Table13456789101112131415161734[[#This Row],[USA]]-B25)/B25</f>
        <v/>
      </c>
      <c r="D26" s="23">
        <f>(Table13456789101112131415161734[[#This Row],[USA]]-B14)/B14</f>
        <v/>
      </c>
    </row>
    <row r="27">
      <c r="A27" s="21" t="n">
        <v>33878</v>
      </c>
      <c r="B27" s="76">
        <f>VLOOKUP(A27,Database!$A:$AU,MATCH($B$4,Database!$A$1:$AU$1,0),FALSE)</f>
        <v/>
      </c>
      <c r="C27" s="22">
        <f>(Table13456789101112131415161734[[#This Row],[USA]]-B26)/B26</f>
        <v/>
      </c>
      <c r="D27" s="23">
        <f>(Table13456789101112131415161734[[#This Row],[USA]]-B15)/B15</f>
        <v/>
      </c>
    </row>
    <row r="28">
      <c r="A28" s="21" t="n">
        <v>33909</v>
      </c>
      <c r="B28" s="76">
        <f>VLOOKUP(A28,Database!$A:$AU,MATCH($B$4,Database!$A$1:$AU$1,0),FALSE)</f>
        <v/>
      </c>
      <c r="C28" s="22">
        <f>(Table13456789101112131415161734[[#This Row],[USA]]-B27)/B27</f>
        <v/>
      </c>
      <c r="D28" s="23">
        <f>(Table13456789101112131415161734[[#This Row],[USA]]-B16)/B16</f>
        <v/>
      </c>
    </row>
    <row r="29">
      <c r="A29" s="21" t="n">
        <v>33939</v>
      </c>
      <c r="B29" s="76">
        <f>VLOOKUP(A29,Database!$A:$AU,MATCH($B$4,Database!$A$1:$AU$1,0),FALSE)</f>
        <v/>
      </c>
      <c r="C29" s="22">
        <f>(Table13456789101112131415161734[[#This Row],[USA]]-B28)/B28</f>
        <v/>
      </c>
      <c r="D29" s="23">
        <f>(Table13456789101112131415161734[[#This Row],[USA]]-B17)/B17</f>
        <v/>
      </c>
    </row>
    <row r="30">
      <c r="A30" s="21" t="n">
        <v>33970</v>
      </c>
      <c r="B30" s="76">
        <f>VLOOKUP(A30,Database!$A:$AU,MATCH($B$4,Database!$A$1:$AU$1,0),FALSE)</f>
        <v/>
      </c>
      <c r="C30" s="22">
        <f>(Table13456789101112131415161734[[#This Row],[USA]]-B29)/B29</f>
        <v/>
      </c>
      <c r="D30" s="23">
        <f>(Table13456789101112131415161734[[#This Row],[USA]]-B18)/B18</f>
        <v/>
      </c>
    </row>
    <row r="31">
      <c r="A31" s="21" t="n">
        <v>34001</v>
      </c>
      <c r="B31" s="76">
        <f>VLOOKUP(A31,Database!$A:$AU,MATCH($B$4,Database!$A$1:$AU$1,0),FALSE)</f>
        <v/>
      </c>
      <c r="C31" s="22">
        <f>(Table13456789101112131415161734[[#This Row],[USA]]-B30)/B30</f>
        <v/>
      </c>
      <c r="D31" s="23">
        <f>(Table13456789101112131415161734[[#This Row],[USA]]-B19)/B19</f>
        <v/>
      </c>
    </row>
    <row r="32">
      <c r="A32" s="21" t="n">
        <v>34029</v>
      </c>
      <c r="B32" s="76">
        <f>VLOOKUP(A32,Database!$A:$AU,MATCH($B$4,Database!$A$1:$AU$1,0),FALSE)</f>
        <v/>
      </c>
      <c r="C32" s="22">
        <f>(Table13456789101112131415161734[[#This Row],[USA]]-B31)/B31</f>
        <v/>
      </c>
      <c r="D32" s="23">
        <f>(Table13456789101112131415161734[[#This Row],[USA]]-B20)/B20</f>
        <v/>
      </c>
    </row>
    <row r="33">
      <c r="A33" s="21" t="n">
        <v>34060</v>
      </c>
      <c r="B33" s="76">
        <f>VLOOKUP(A33,Database!$A:$AU,MATCH($B$4,Database!$A$1:$AU$1,0),FALSE)</f>
        <v/>
      </c>
      <c r="C33" s="22">
        <f>(Table13456789101112131415161734[[#This Row],[USA]]-B32)/B32</f>
        <v/>
      </c>
      <c r="D33" s="23">
        <f>(Table13456789101112131415161734[[#This Row],[USA]]-B21)/B21</f>
        <v/>
      </c>
    </row>
    <row r="34">
      <c r="A34" s="21" t="n">
        <v>34090</v>
      </c>
      <c r="B34" s="76">
        <f>VLOOKUP(A34,Database!$A:$AU,MATCH($B$4,Database!$A$1:$AU$1,0),FALSE)</f>
        <v/>
      </c>
      <c r="C34" s="22">
        <f>(Table13456789101112131415161734[[#This Row],[USA]]-B33)/B33</f>
        <v/>
      </c>
      <c r="D34" s="23">
        <f>(Table13456789101112131415161734[[#This Row],[USA]]-B22)/B22</f>
        <v/>
      </c>
    </row>
    <row r="35">
      <c r="A35" s="21" t="n">
        <v>34121</v>
      </c>
      <c r="B35" s="76">
        <f>VLOOKUP(A35,Database!$A:$AU,MATCH($B$4,Database!$A$1:$AU$1,0),FALSE)</f>
        <v/>
      </c>
      <c r="C35" s="22">
        <f>(Table13456789101112131415161734[[#This Row],[USA]]-B34)/B34</f>
        <v/>
      </c>
      <c r="D35" s="23">
        <f>(Table13456789101112131415161734[[#This Row],[USA]]-B23)/B23</f>
        <v/>
      </c>
    </row>
    <row r="36">
      <c r="A36" s="21" t="n">
        <v>34151</v>
      </c>
      <c r="B36" s="76">
        <f>VLOOKUP(A36,Database!$A:$AU,MATCH($B$4,Database!$A$1:$AU$1,0),FALSE)</f>
        <v/>
      </c>
      <c r="C36" s="22">
        <f>(Table13456789101112131415161734[[#This Row],[USA]]-B35)/B35</f>
        <v/>
      </c>
      <c r="D36" s="23">
        <f>(Table13456789101112131415161734[[#This Row],[USA]]-B24)/B24</f>
        <v/>
      </c>
    </row>
    <row r="37">
      <c r="A37" s="21" t="n">
        <v>34182</v>
      </c>
      <c r="B37" s="76">
        <f>VLOOKUP(A37,Database!$A:$AU,MATCH($B$4,Database!$A$1:$AU$1,0),FALSE)</f>
        <v/>
      </c>
      <c r="C37" s="22">
        <f>(Table13456789101112131415161734[[#This Row],[USA]]-B36)/B36</f>
        <v/>
      </c>
      <c r="D37" s="23">
        <f>(Table13456789101112131415161734[[#This Row],[USA]]-B25)/B25</f>
        <v/>
      </c>
    </row>
    <row r="38">
      <c r="A38" s="21" t="n">
        <v>34213</v>
      </c>
      <c r="B38" s="76">
        <f>VLOOKUP(A38,Database!$A:$AU,MATCH($B$4,Database!$A$1:$AU$1,0),FALSE)</f>
        <v/>
      </c>
      <c r="C38" s="22">
        <f>(Table13456789101112131415161734[[#This Row],[USA]]-B37)/B37</f>
        <v/>
      </c>
      <c r="D38" s="23">
        <f>(Table13456789101112131415161734[[#This Row],[USA]]-B26)/B26</f>
        <v/>
      </c>
    </row>
    <row r="39">
      <c r="A39" s="21" t="n">
        <v>34243</v>
      </c>
      <c r="B39" s="76">
        <f>VLOOKUP(A39,Database!$A:$AU,MATCH($B$4,Database!$A$1:$AU$1,0),FALSE)</f>
        <v/>
      </c>
      <c r="C39" s="22">
        <f>(Table13456789101112131415161734[[#This Row],[USA]]-B38)/B38</f>
        <v/>
      </c>
      <c r="D39" s="23">
        <f>(Table13456789101112131415161734[[#This Row],[USA]]-B27)/B27</f>
        <v/>
      </c>
    </row>
    <row r="40">
      <c r="A40" s="21" t="n">
        <v>34274</v>
      </c>
      <c r="B40" s="76">
        <f>VLOOKUP(A40,Database!$A:$AU,MATCH($B$4,Database!$A$1:$AU$1,0),FALSE)</f>
        <v/>
      </c>
      <c r="C40" s="22">
        <f>(Table13456789101112131415161734[[#This Row],[USA]]-B39)/B39</f>
        <v/>
      </c>
      <c r="D40" s="23">
        <f>(Table13456789101112131415161734[[#This Row],[USA]]-B28)/B28</f>
        <v/>
      </c>
    </row>
    <row r="41">
      <c r="A41" s="21" t="n">
        <v>34304</v>
      </c>
      <c r="B41" s="76">
        <f>VLOOKUP(A41,Database!$A:$AU,MATCH($B$4,Database!$A$1:$AU$1,0),FALSE)</f>
        <v/>
      </c>
      <c r="C41" s="22">
        <f>(Table13456789101112131415161734[[#This Row],[USA]]-B40)/B40</f>
        <v/>
      </c>
      <c r="D41" s="23">
        <f>(Table13456789101112131415161734[[#This Row],[USA]]-B29)/B29</f>
        <v/>
      </c>
    </row>
    <row r="42">
      <c r="A42" s="21" t="n">
        <v>34335</v>
      </c>
      <c r="B42" s="76">
        <f>VLOOKUP(A42,Database!$A:$AU,MATCH($B$4,Database!$A$1:$AU$1,0),FALSE)</f>
        <v/>
      </c>
      <c r="C42" s="22">
        <f>(Table13456789101112131415161734[[#This Row],[USA]]-B41)/B41</f>
        <v/>
      </c>
      <c r="D42" s="23">
        <f>(Table13456789101112131415161734[[#This Row],[USA]]-B30)/B30</f>
        <v/>
      </c>
    </row>
    <row r="43">
      <c r="A43" s="21" t="n">
        <v>34366</v>
      </c>
      <c r="B43" s="76">
        <f>VLOOKUP(A43,Database!$A:$AU,MATCH($B$4,Database!$A$1:$AU$1,0),FALSE)</f>
        <v/>
      </c>
      <c r="C43" s="22">
        <f>(Table13456789101112131415161734[[#This Row],[USA]]-B42)/B42</f>
        <v/>
      </c>
      <c r="D43" s="23">
        <f>(Table13456789101112131415161734[[#This Row],[USA]]-B31)/B31</f>
        <v/>
      </c>
    </row>
    <row r="44">
      <c r="A44" s="21" t="n">
        <v>34394</v>
      </c>
      <c r="B44" s="76">
        <f>VLOOKUP(A44,Database!$A:$AU,MATCH($B$4,Database!$A$1:$AU$1,0),FALSE)</f>
        <v/>
      </c>
      <c r="C44" s="22">
        <f>(Table13456789101112131415161734[[#This Row],[USA]]-B43)/B43</f>
        <v/>
      </c>
      <c r="D44" s="23">
        <f>(Table13456789101112131415161734[[#This Row],[USA]]-B32)/B32</f>
        <v/>
      </c>
    </row>
    <row r="45">
      <c r="A45" s="21" t="n">
        <v>34425</v>
      </c>
      <c r="B45" s="76">
        <f>VLOOKUP(A45,Database!$A:$AU,MATCH($B$4,Database!$A$1:$AU$1,0),FALSE)</f>
        <v/>
      </c>
      <c r="C45" s="22">
        <f>(Table13456789101112131415161734[[#This Row],[USA]]-B44)/B44</f>
        <v/>
      </c>
      <c r="D45" s="23">
        <f>(Table13456789101112131415161734[[#This Row],[USA]]-B33)/B33</f>
        <v/>
      </c>
    </row>
    <row r="46">
      <c r="A46" s="21" t="n">
        <v>34455</v>
      </c>
      <c r="B46" s="76">
        <f>VLOOKUP(A46,Database!$A:$AU,MATCH($B$4,Database!$A$1:$AU$1,0),FALSE)</f>
        <v/>
      </c>
      <c r="C46" s="22">
        <f>(Table13456789101112131415161734[[#This Row],[USA]]-B45)/B45</f>
        <v/>
      </c>
      <c r="D46" s="23">
        <f>(Table13456789101112131415161734[[#This Row],[USA]]-B34)/B34</f>
        <v/>
      </c>
    </row>
    <row r="47">
      <c r="A47" s="21" t="n">
        <v>34486</v>
      </c>
      <c r="B47" s="76">
        <f>VLOOKUP(A47,Database!$A:$AU,MATCH($B$4,Database!$A$1:$AU$1,0),FALSE)</f>
        <v/>
      </c>
      <c r="C47" s="22">
        <f>(Table13456789101112131415161734[[#This Row],[USA]]-B46)/B46</f>
        <v/>
      </c>
      <c r="D47" s="23">
        <f>(Table13456789101112131415161734[[#This Row],[USA]]-B35)/B35</f>
        <v/>
      </c>
    </row>
    <row r="48">
      <c r="A48" s="21" t="n">
        <v>34516</v>
      </c>
      <c r="B48" s="76">
        <f>VLOOKUP(A48,Database!$A:$AU,MATCH($B$4,Database!$A$1:$AU$1,0),FALSE)</f>
        <v/>
      </c>
      <c r="C48" s="22">
        <f>(Table13456789101112131415161734[[#This Row],[USA]]-B47)/B47</f>
        <v/>
      </c>
      <c r="D48" s="23">
        <f>(Table13456789101112131415161734[[#This Row],[USA]]-B36)/B36</f>
        <v/>
      </c>
    </row>
    <row r="49">
      <c r="A49" s="21" t="n">
        <v>34547</v>
      </c>
      <c r="B49" s="76">
        <f>VLOOKUP(A49,Database!$A:$AU,MATCH($B$4,Database!$A$1:$AU$1,0),FALSE)</f>
        <v/>
      </c>
      <c r="C49" s="22">
        <f>(Table13456789101112131415161734[[#This Row],[USA]]-B48)/B48</f>
        <v/>
      </c>
      <c r="D49" s="23">
        <f>(Table13456789101112131415161734[[#This Row],[USA]]-B37)/B37</f>
        <v/>
      </c>
    </row>
    <row r="50">
      <c r="A50" s="21" t="n">
        <v>34578</v>
      </c>
      <c r="B50" s="76">
        <f>VLOOKUP(A50,Database!$A:$AU,MATCH($B$4,Database!$A$1:$AU$1,0),FALSE)</f>
        <v/>
      </c>
      <c r="C50" s="22">
        <f>(Table13456789101112131415161734[[#This Row],[USA]]-B49)/B49</f>
        <v/>
      </c>
      <c r="D50" s="23">
        <f>(Table13456789101112131415161734[[#This Row],[USA]]-B38)/B38</f>
        <v/>
      </c>
    </row>
    <row r="51">
      <c r="A51" s="21" t="n">
        <v>34608</v>
      </c>
      <c r="B51" s="76">
        <f>VLOOKUP(A51,Database!$A:$AU,MATCH($B$4,Database!$A$1:$AU$1,0),FALSE)</f>
        <v/>
      </c>
      <c r="C51" s="22">
        <f>(Table13456789101112131415161734[[#This Row],[USA]]-B50)/B50</f>
        <v/>
      </c>
      <c r="D51" s="23">
        <f>(Table13456789101112131415161734[[#This Row],[USA]]-B39)/B39</f>
        <v/>
      </c>
    </row>
    <row r="52">
      <c r="A52" s="21" t="n">
        <v>34639</v>
      </c>
      <c r="B52" s="76">
        <f>VLOOKUP(A52,Database!$A:$AU,MATCH($B$4,Database!$A$1:$AU$1,0),FALSE)</f>
        <v/>
      </c>
      <c r="C52" s="22">
        <f>(Table13456789101112131415161734[[#This Row],[USA]]-B51)/B51</f>
        <v/>
      </c>
      <c r="D52" s="23">
        <f>(Table13456789101112131415161734[[#This Row],[USA]]-B40)/B40</f>
        <v/>
      </c>
    </row>
    <row r="53">
      <c r="A53" s="21" t="n">
        <v>34669</v>
      </c>
      <c r="B53" s="76">
        <f>VLOOKUP(A53,Database!$A:$AU,MATCH($B$4,Database!$A$1:$AU$1,0),FALSE)</f>
        <v/>
      </c>
      <c r="C53" s="22">
        <f>(Table13456789101112131415161734[[#This Row],[USA]]-B52)/B52</f>
        <v/>
      </c>
      <c r="D53" s="23">
        <f>(Table13456789101112131415161734[[#This Row],[USA]]-B41)/B41</f>
        <v/>
      </c>
    </row>
    <row r="54">
      <c r="A54" s="21" t="n">
        <v>34700</v>
      </c>
      <c r="B54" s="76">
        <f>VLOOKUP(A54,Database!$A:$AU,MATCH($B$4,Database!$A$1:$AU$1,0),FALSE)</f>
        <v/>
      </c>
      <c r="C54" s="22">
        <f>(Table13456789101112131415161734[[#This Row],[USA]]-B53)/B53</f>
        <v/>
      </c>
      <c r="D54" s="23">
        <f>(Table13456789101112131415161734[[#This Row],[USA]]-B42)/B42</f>
        <v/>
      </c>
    </row>
    <row r="55">
      <c r="A55" s="21" t="n">
        <v>34731</v>
      </c>
      <c r="B55" s="76">
        <f>VLOOKUP(A55,Database!$A:$AU,MATCH($B$4,Database!$A$1:$AU$1,0),FALSE)</f>
        <v/>
      </c>
      <c r="C55" s="22">
        <f>(Table13456789101112131415161734[[#This Row],[USA]]-B54)/B54</f>
        <v/>
      </c>
      <c r="D55" s="23">
        <f>(Table13456789101112131415161734[[#This Row],[USA]]-B43)/B43</f>
        <v/>
      </c>
    </row>
    <row r="56">
      <c r="A56" s="21" t="n">
        <v>34759</v>
      </c>
      <c r="B56" s="76">
        <f>VLOOKUP(A56,Database!$A:$AU,MATCH($B$4,Database!$A$1:$AU$1,0),FALSE)</f>
        <v/>
      </c>
      <c r="C56" s="22">
        <f>(Table13456789101112131415161734[[#This Row],[USA]]-B55)/B55</f>
        <v/>
      </c>
      <c r="D56" s="23">
        <f>(Table13456789101112131415161734[[#This Row],[USA]]-B44)/B44</f>
        <v/>
      </c>
    </row>
    <row r="57">
      <c r="A57" s="21" t="n">
        <v>34790</v>
      </c>
      <c r="B57" s="76">
        <f>VLOOKUP(A57,Database!$A:$AU,MATCH($B$4,Database!$A$1:$AU$1,0),FALSE)</f>
        <v/>
      </c>
      <c r="C57" s="22">
        <f>(Table13456789101112131415161734[[#This Row],[USA]]-B56)/B56</f>
        <v/>
      </c>
      <c r="D57" s="23">
        <f>(Table13456789101112131415161734[[#This Row],[USA]]-B45)/B45</f>
        <v/>
      </c>
    </row>
    <row r="58">
      <c r="A58" s="21" t="n">
        <v>34820</v>
      </c>
      <c r="B58" s="76">
        <f>VLOOKUP(A58,Database!$A:$AU,MATCH($B$4,Database!$A$1:$AU$1,0),FALSE)</f>
        <v/>
      </c>
      <c r="C58" s="22">
        <f>(Table13456789101112131415161734[[#This Row],[USA]]-B57)/B57</f>
        <v/>
      </c>
      <c r="D58" s="23">
        <f>(Table13456789101112131415161734[[#This Row],[USA]]-B46)/B46</f>
        <v/>
      </c>
    </row>
    <row r="59">
      <c r="A59" s="21" t="n">
        <v>34851</v>
      </c>
      <c r="B59" s="76">
        <f>VLOOKUP(A59,Database!$A:$AU,MATCH($B$4,Database!$A$1:$AU$1,0),FALSE)</f>
        <v/>
      </c>
      <c r="C59" s="22">
        <f>(Table13456789101112131415161734[[#This Row],[USA]]-B58)/B58</f>
        <v/>
      </c>
      <c r="D59" s="23">
        <f>(Table13456789101112131415161734[[#This Row],[USA]]-B47)/B47</f>
        <v/>
      </c>
    </row>
    <row r="60">
      <c r="A60" s="21" t="n">
        <v>34881</v>
      </c>
      <c r="B60" s="76">
        <f>VLOOKUP(A60,Database!$A:$AU,MATCH($B$4,Database!$A$1:$AU$1,0),FALSE)</f>
        <v/>
      </c>
      <c r="C60" s="22">
        <f>(Table13456789101112131415161734[[#This Row],[USA]]-B59)/B59</f>
        <v/>
      </c>
      <c r="D60" s="23">
        <f>(Table13456789101112131415161734[[#This Row],[USA]]-B48)/B48</f>
        <v/>
      </c>
    </row>
    <row r="61">
      <c r="A61" s="21" t="n">
        <v>34912</v>
      </c>
      <c r="B61" s="76">
        <f>VLOOKUP(A61,Database!$A:$AU,MATCH($B$4,Database!$A$1:$AU$1,0),FALSE)</f>
        <v/>
      </c>
      <c r="C61" s="22">
        <f>(Table13456789101112131415161734[[#This Row],[USA]]-B60)/B60</f>
        <v/>
      </c>
      <c r="D61" s="23">
        <f>(Table13456789101112131415161734[[#This Row],[USA]]-B49)/B49</f>
        <v/>
      </c>
    </row>
    <row r="62">
      <c r="A62" s="21" t="n">
        <v>34943</v>
      </c>
      <c r="B62" s="76">
        <f>VLOOKUP(A62,Database!$A:$AU,MATCH($B$4,Database!$A$1:$AU$1,0),FALSE)</f>
        <v/>
      </c>
      <c r="C62" s="22">
        <f>(Table13456789101112131415161734[[#This Row],[USA]]-B61)/B61</f>
        <v/>
      </c>
      <c r="D62" s="23">
        <f>(Table13456789101112131415161734[[#This Row],[USA]]-B50)/B50</f>
        <v/>
      </c>
    </row>
    <row r="63">
      <c r="A63" s="21" t="n">
        <v>34973</v>
      </c>
      <c r="B63" s="76">
        <f>VLOOKUP(A63,Database!$A:$AU,MATCH($B$4,Database!$A$1:$AU$1,0),FALSE)</f>
        <v/>
      </c>
      <c r="C63" s="22">
        <f>(Table13456789101112131415161734[[#This Row],[USA]]-B62)/B62</f>
        <v/>
      </c>
      <c r="D63" s="23">
        <f>(Table13456789101112131415161734[[#This Row],[USA]]-B51)/B51</f>
        <v/>
      </c>
    </row>
    <row r="64">
      <c r="A64" s="21" t="n">
        <v>35004</v>
      </c>
      <c r="B64" s="76">
        <f>VLOOKUP(A64,Database!$A:$AU,MATCH($B$4,Database!$A$1:$AU$1,0),FALSE)</f>
        <v/>
      </c>
      <c r="C64" s="22">
        <f>(Table13456789101112131415161734[[#This Row],[USA]]-B63)/B63</f>
        <v/>
      </c>
      <c r="D64" s="23">
        <f>(Table13456789101112131415161734[[#This Row],[USA]]-B52)/B52</f>
        <v/>
      </c>
    </row>
    <row r="65">
      <c r="A65" s="21" t="n">
        <v>35034</v>
      </c>
      <c r="B65" s="76">
        <f>VLOOKUP(A65,Database!$A:$AU,MATCH($B$4,Database!$A$1:$AU$1,0),FALSE)</f>
        <v/>
      </c>
      <c r="C65" s="22">
        <f>(Table13456789101112131415161734[[#This Row],[USA]]-B64)/B64</f>
        <v/>
      </c>
      <c r="D65" s="23">
        <f>(Table13456789101112131415161734[[#This Row],[USA]]-B53)/B53</f>
        <v/>
      </c>
    </row>
    <row r="66">
      <c r="A66" s="21" t="n">
        <v>35065</v>
      </c>
      <c r="B66" s="76">
        <f>VLOOKUP(A66,Database!$A:$AU,MATCH($B$4,Database!$A$1:$AU$1,0),FALSE)</f>
        <v/>
      </c>
      <c r="C66" s="22">
        <f>(Table13456789101112131415161734[[#This Row],[USA]]-B65)/B65</f>
        <v/>
      </c>
      <c r="D66" s="23">
        <f>(Table13456789101112131415161734[[#This Row],[USA]]-B54)/B54</f>
        <v/>
      </c>
    </row>
    <row r="67">
      <c r="A67" s="21" t="n">
        <v>35096</v>
      </c>
      <c r="B67" s="76">
        <f>VLOOKUP(A67,Database!$A:$AU,MATCH($B$4,Database!$A$1:$AU$1,0),FALSE)</f>
        <v/>
      </c>
      <c r="C67" s="22">
        <f>(Table13456789101112131415161734[[#This Row],[USA]]-B66)/B66</f>
        <v/>
      </c>
      <c r="D67" s="23">
        <f>(Table13456789101112131415161734[[#This Row],[USA]]-B55)/B55</f>
        <v/>
      </c>
    </row>
    <row r="68">
      <c r="A68" s="21" t="n">
        <v>35125</v>
      </c>
      <c r="B68" s="76">
        <f>VLOOKUP(A68,Database!$A:$AU,MATCH($B$4,Database!$A$1:$AU$1,0),FALSE)</f>
        <v/>
      </c>
      <c r="C68" s="22">
        <f>(Table13456789101112131415161734[[#This Row],[USA]]-B67)/B67</f>
        <v/>
      </c>
      <c r="D68" s="23">
        <f>(Table13456789101112131415161734[[#This Row],[USA]]-B56)/B56</f>
        <v/>
      </c>
    </row>
    <row r="69">
      <c r="A69" s="21" t="n">
        <v>35156</v>
      </c>
      <c r="B69" s="76">
        <f>VLOOKUP(A69,Database!$A:$AU,MATCH($B$4,Database!$A$1:$AU$1,0),FALSE)</f>
        <v/>
      </c>
      <c r="C69" s="22">
        <f>(Table13456789101112131415161734[[#This Row],[USA]]-B68)/B68</f>
        <v/>
      </c>
      <c r="D69" s="23">
        <f>(Table13456789101112131415161734[[#This Row],[USA]]-B57)/B57</f>
        <v/>
      </c>
    </row>
    <row r="70">
      <c r="A70" s="21" t="n">
        <v>35186</v>
      </c>
      <c r="B70" s="76">
        <f>VLOOKUP(A70,Database!$A:$AU,MATCH($B$4,Database!$A$1:$AU$1,0),FALSE)</f>
        <v/>
      </c>
      <c r="C70" s="22">
        <f>(Table13456789101112131415161734[[#This Row],[USA]]-B69)/B69</f>
        <v/>
      </c>
      <c r="D70" s="23">
        <f>(Table13456789101112131415161734[[#This Row],[USA]]-B58)/B58</f>
        <v/>
      </c>
    </row>
    <row r="71">
      <c r="A71" s="21" t="n">
        <v>35217</v>
      </c>
      <c r="B71" s="76">
        <f>VLOOKUP(A71,Database!$A:$AU,MATCH($B$4,Database!$A$1:$AU$1,0),FALSE)</f>
        <v/>
      </c>
      <c r="C71" s="22">
        <f>(Table13456789101112131415161734[[#This Row],[USA]]-B70)/B70</f>
        <v/>
      </c>
      <c r="D71" s="23">
        <f>(Table13456789101112131415161734[[#This Row],[USA]]-B59)/B59</f>
        <v/>
      </c>
    </row>
    <row r="72">
      <c r="A72" s="21" t="n">
        <v>35247</v>
      </c>
      <c r="B72" s="76">
        <f>VLOOKUP(A72,Database!$A:$AU,MATCH($B$4,Database!$A$1:$AU$1,0),FALSE)</f>
        <v/>
      </c>
      <c r="C72" s="22">
        <f>(Table13456789101112131415161734[[#This Row],[USA]]-B71)/B71</f>
        <v/>
      </c>
      <c r="D72" s="23">
        <f>(Table13456789101112131415161734[[#This Row],[USA]]-B60)/B60</f>
        <v/>
      </c>
    </row>
    <row r="73">
      <c r="A73" s="21" t="n">
        <v>35278</v>
      </c>
      <c r="B73" s="76">
        <f>VLOOKUP(A73,Database!$A:$AU,MATCH($B$4,Database!$A$1:$AU$1,0),FALSE)</f>
        <v/>
      </c>
      <c r="C73" s="22">
        <f>(Table13456789101112131415161734[[#This Row],[USA]]-B72)/B72</f>
        <v/>
      </c>
      <c r="D73" s="23">
        <f>(Table13456789101112131415161734[[#This Row],[USA]]-B61)/B61</f>
        <v/>
      </c>
    </row>
    <row r="74">
      <c r="A74" s="21" t="n">
        <v>35309</v>
      </c>
      <c r="B74" s="76">
        <f>VLOOKUP(A74,Database!$A:$AU,MATCH($B$4,Database!$A$1:$AU$1,0),FALSE)</f>
        <v/>
      </c>
      <c r="C74" s="22">
        <f>(Table13456789101112131415161734[[#This Row],[USA]]-B73)/B73</f>
        <v/>
      </c>
      <c r="D74" s="23">
        <f>(Table13456789101112131415161734[[#This Row],[USA]]-B62)/B62</f>
        <v/>
      </c>
    </row>
    <row r="75">
      <c r="A75" s="21" t="n">
        <v>35339</v>
      </c>
      <c r="B75" s="76">
        <f>VLOOKUP(A75,Database!$A:$AU,MATCH($B$4,Database!$A$1:$AU$1,0),FALSE)</f>
        <v/>
      </c>
      <c r="C75" s="22">
        <f>(Table13456789101112131415161734[[#This Row],[USA]]-B74)/B74</f>
        <v/>
      </c>
      <c r="D75" s="23">
        <f>(Table13456789101112131415161734[[#This Row],[USA]]-B63)/B63</f>
        <v/>
      </c>
    </row>
    <row r="76">
      <c r="A76" s="21" t="n">
        <v>35370</v>
      </c>
      <c r="B76" s="76">
        <f>VLOOKUP(A76,Database!$A:$AU,MATCH($B$4,Database!$A$1:$AU$1,0),FALSE)</f>
        <v/>
      </c>
      <c r="C76" s="22">
        <f>(Table13456789101112131415161734[[#This Row],[USA]]-B75)/B75</f>
        <v/>
      </c>
      <c r="D76" s="23">
        <f>(Table13456789101112131415161734[[#This Row],[USA]]-B64)/B64</f>
        <v/>
      </c>
    </row>
    <row r="77">
      <c r="A77" s="21" t="n">
        <v>35400</v>
      </c>
      <c r="B77" s="76">
        <f>VLOOKUP(A77,Database!$A:$AU,MATCH($B$4,Database!$A$1:$AU$1,0),FALSE)</f>
        <v/>
      </c>
      <c r="C77" s="22">
        <f>(Table13456789101112131415161734[[#This Row],[USA]]-B76)/B76</f>
        <v/>
      </c>
      <c r="D77" s="23">
        <f>(Table13456789101112131415161734[[#This Row],[USA]]-B65)/B65</f>
        <v/>
      </c>
    </row>
    <row r="78">
      <c r="A78" s="21" t="n">
        <v>35431</v>
      </c>
      <c r="B78" s="76">
        <f>VLOOKUP(A78,Database!$A:$AU,MATCH($B$4,Database!$A$1:$AU$1,0),FALSE)</f>
        <v/>
      </c>
      <c r="C78" s="22">
        <f>(Table13456789101112131415161734[[#This Row],[USA]]-B77)/B77</f>
        <v/>
      </c>
      <c r="D78" s="23">
        <f>(Table13456789101112131415161734[[#This Row],[USA]]-B66)/B66</f>
        <v/>
      </c>
    </row>
    <row r="79">
      <c r="A79" s="21" t="n">
        <v>35462</v>
      </c>
      <c r="B79" s="76">
        <f>VLOOKUP(A79,Database!$A:$AU,MATCH($B$4,Database!$A$1:$AU$1,0),FALSE)</f>
        <v/>
      </c>
      <c r="C79" s="22">
        <f>(Table13456789101112131415161734[[#This Row],[USA]]-B78)/B78</f>
        <v/>
      </c>
      <c r="D79" s="23">
        <f>(Table13456789101112131415161734[[#This Row],[USA]]-B67)/B67</f>
        <v/>
      </c>
    </row>
    <row r="80">
      <c r="A80" s="21" t="n">
        <v>35490</v>
      </c>
      <c r="B80" s="76">
        <f>VLOOKUP(A80,Database!$A:$AU,MATCH($B$4,Database!$A$1:$AU$1,0),FALSE)</f>
        <v/>
      </c>
      <c r="C80" s="22">
        <f>(Table13456789101112131415161734[[#This Row],[USA]]-B79)/B79</f>
        <v/>
      </c>
      <c r="D80" s="23">
        <f>(Table13456789101112131415161734[[#This Row],[USA]]-B68)/B68</f>
        <v/>
      </c>
    </row>
    <row r="81">
      <c r="A81" s="21" t="n">
        <v>35521</v>
      </c>
      <c r="B81" s="76">
        <f>VLOOKUP(A81,Database!$A:$AU,MATCH($B$4,Database!$A$1:$AU$1,0),FALSE)</f>
        <v/>
      </c>
      <c r="C81" s="22">
        <f>(Table13456789101112131415161734[[#This Row],[USA]]-B80)/B80</f>
        <v/>
      </c>
      <c r="D81" s="23">
        <f>(Table13456789101112131415161734[[#This Row],[USA]]-B69)/B69</f>
        <v/>
      </c>
    </row>
    <row r="82">
      <c r="A82" s="21" t="n">
        <v>35551</v>
      </c>
      <c r="B82" s="76">
        <f>VLOOKUP(A82,Database!$A:$AU,MATCH($B$4,Database!$A$1:$AU$1,0),FALSE)</f>
        <v/>
      </c>
      <c r="C82" s="22">
        <f>(Table13456789101112131415161734[[#This Row],[USA]]-B81)/B81</f>
        <v/>
      </c>
      <c r="D82" s="23">
        <f>(Table13456789101112131415161734[[#This Row],[USA]]-B70)/B70</f>
        <v/>
      </c>
    </row>
    <row r="83">
      <c r="A83" s="21" t="n">
        <v>35582</v>
      </c>
      <c r="B83" s="76">
        <f>VLOOKUP(A83,Database!$A:$AU,MATCH($B$4,Database!$A$1:$AU$1,0),FALSE)</f>
        <v/>
      </c>
      <c r="C83" s="22">
        <f>(Table13456789101112131415161734[[#This Row],[USA]]-B82)/B82</f>
        <v/>
      </c>
      <c r="D83" s="23">
        <f>(Table13456789101112131415161734[[#This Row],[USA]]-B71)/B71</f>
        <v/>
      </c>
    </row>
    <row r="84">
      <c r="A84" s="21" t="n">
        <v>35612</v>
      </c>
      <c r="B84" s="76">
        <f>VLOOKUP(A84,Database!$A:$AU,MATCH($B$4,Database!$A$1:$AU$1,0),FALSE)</f>
        <v/>
      </c>
      <c r="C84" s="22">
        <f>(Table13456789101112131415161734[[#This Row],[USA]]-B83)/B83</f>
        <v/>
      </c>
      <c r="D84" s="23">
        <f>(Table13456789101112131415161734[[#This Row],[USA]]-B72)/B72</f>
        <v/>
      </c>
    </row>
    <row r="85">
      <c r="A85" s="21" t="n">
        <v>35643</v>
      </c>
      <c r="B85" s="76">
        <f>VLOOKUP(A85,Database!$A:$AU,MATCH($B$4,Database!$A$1:$AU$1,0),FALSE)</f>
        <v/>
      </c>
      <c r="C85" s="22">
        <f>(Table13456789101112131415161734[[#This Row],[USA]]-B84)/B84</f>
        <v/>
      </c>
      <c r="D85" s="23">
        <f>(Table13456789101112131415161734[[#This Row],[USA]]-B73)/B73</f>
        <v/>
      </c>
    </row>
    <row r="86">
      <c r="A86" s="21" t="n">
        <v>35674</v>
      </c>
      <c r="B86" s="76">
        <f>VLOOKUP(A86,Database!$A:$AU,MATCH($B$4,Database!$A$1:$AU$1,0),FALSE)</f>
        <v/>
      </c>
      <c r="C86" s="22">
        <f>(Table13456789101112131415161734[[#This Row],[USA]]-B85)/B85</f>
        <v/>
      </c>
      <c r="D86" s="23">
        <f>(Table13456789101112131415161734[[#This Row],[USA]]-B74)/B74</f>
        <v/>
      </c>
    </row>
    <row r="87">
      <c r="A87" s="21" t="n">
        <v>35704</v>
      </c>
      <c r="B87" s="76">
        <f>VLOOKUP(A87,Database!$A:$AU,MATCH($B$4,Database!$A$1:$AU$1,0),FALSE)</f>
        <v/>
      </c>
      <c r="C87" s="22">
        <f>(Table13456789101112131415161734[[#This Row],[USA]]-B86)/B86</f>
        <v/>
      </c>
      <c r="D87" s="23">
        <f>(Table13456789101112131415161734[[#This Row],[USA]]-B75)/B75</f>
        <v/>
      </c>
    </row>
    <row r="88">
      <c r="A88" s="21" t="n">
        <v>35735</v>
      </c>
      <c r="B88" s="76">
        <f>VLOOKUP(A88,Database!$A:$AU,MATCH($B$4,Database!$A$1:$AU$1,0),FALSE)</f>
        <v/>
      </c>
      <c r="C88" s="22">
        <f>(Table13456789101112131415161734[[#This Row],[USA]]-B87)/B87</f>
        <v/>
      </c>
      <c r="D88" s="23">
        <f>(Table13456789101112131415161734[[#This Row],[USA]]-B76)/B76</f>
        <v/>
      </c>
    </row>
    <row r="89">
      <c r="A89" s="21" t="n">
        <v>35765</v>
      </c>
      <c r="B89" s="76">
        <f>VLOOKUP(A89,Database!$A:$AU,MATCH($B$4,Database!$A$1:$AU$1,0),FALSE)</f>
        <v/>
      </c>
      <c r="C89" s="22">
        <f>(Table13456789101112131415161734[[#This Row],[USA]]-B88)/B88</f>
        <v/>
      </c>
      <c r="D89" s="23">
        <f>(Table13456789101112131415161734[[#This Row],[USA]]-B77)/B77</f>
        <v/>
      </c>
    </row>
    <row r="90">
      <c r="A90" s="21" t="n">
        <v>35796</v>
      </c>
      <c r="B90" s="76">
        <f>VLOOKUP(A90,Database!$A:$AU,MATCH($B$4,Database!$A$1:$AU$1,0),FALSE)</f>
        <v/>
      </c>
      <c r="C90" s="22">
        <f>(Table13456789101112131415161734[[#This Row],[USA]]-B89)/B89</f>
        <v/>
      </c>
      <c r="D90" s="23">
        <f>(Table13456789101112131415161734[[#This Row],[USA]]-B78)/B78</f>
        <v/>
      </c>
    </row>
    <row r="91">
      <c r="A91" s="21" t="n">
        <v>35827</v>
      </c>
      <c r="B91" s="76">
        <f>VLOOKUP(A91,Database!$A:$AU,MATCH($B$4,Database!$A$1:$AU$1,0),FALSE)</f>
        <v/>
      </c>
      <c r="C91" s="22">
        <f>(Table13456789101112131415161734[[#This Row],[USA]]-B90)/B90</f>
        <v/>
      </c>
      <c r="D91" s="23">
        <f>(Table13456789101112131415161734[[#This Row],[USA]]-B79)/B79</f>
        <v/>
      </c>
    </row>
    <row r="92">
      <c r="A92" s="21" t="n">
        <v>35855</v>
      </c>
      <c r="B92" s="76">
        <f>VLOOKUP(A92,Database!$A:$AU,MATCH($B$4,Database!$A$1:$AU$1,0),FALSE)</f>
        <v/>
      </c>
      <c r="C92" s="22">
        <f>(Table13456789101112131415161734[[#This Row],[USA]]-B91)/B91</f>
        <v/>
      </c>
      <c r="D92" s="23">
        <f>(Table13456789101112131415161734[[#This Row],[USA]]-B80)/B80</f>
        <v/>
      </c>
    </row>
    <row r="93">
      <c r="A93" s="21" t="n">
        <v>35886</v>
      </c>
      <c r="B93" s="76">
        <f>VLOOKUP(A93,Database!$A:$AU,MATCH($B$4,Database!$A$1:$AU$1,0),FALSE)</f>
        <v/>
      </c>
      <c r="C93" s="22">
        <f>(Table13456789101112131415161734[[#This Row],[USA]]-B92)/B92</f>
        <v/>
      </c>
      <c r="D93" s="23">
        <f>(Table13456789101112131415161734[[#This Row],[USA]]-B81)/B81</f>
        <v/>
      </c>
    </row>
    <row r="94">
      <c r="A94" s="21" t="n">
        <v>35916</v>
      </c>
      <c r="B94" s="76">
        <f>VLOOKUP(A94,Database!$A:$AU,MATCH($B$4,Database!$A$1:$AU$1,0),FALSE)</f>
        <v/>
      </c>
      <c r="C94" s="22">
        <f>(Table13456789101112131415161734[[#This Row],[USA]]-B93)/B93</f>
        <v/>
      </c>
      <c r="D94" s="23">
        <f>(Table13456789101112131415161734[[#This Row],[USA]]-B82)/B82</f>
        <v/>
      </c>
    </row>
    <row r="95">
      <c r="A95" s="21" t="n">
        <v>35947</v>
      </c>
      <c r="B95" s="76">
        <f>VLOOKUP(A95,Database!$A:$AU,MATCH($B$4,Database!$A$1:$AU$1,0),FALSE)</f>
        <v/>
      </c>
      <c r="C95" s="22">
        <f>(Table13456789101112131415161734[[#This Row],[USA]]-B94)/B94</f>
        <v/>
      </c>
      <c r="D95" s="23">
        <f>(Table13456789101112131415161734[[#This Row],[USA]]-B83)/B83</f>
        <v/>
      </c>
    </row>
    <row r="96">
      <c r="A96" s="21" t="n">
        <v>35977</v>
      </c>
      <c r="B96" s="76">
        <f>VLOOKUP(A96,Database!$A:$AU,MATCH($B$4,Database!$A$1:$AU$1,0),FALSE)</f>
        <v/>
      </c>
      <c r="C96" s="22">
        <f>(Table13456789101112131415161734[[#This Row],[USA]]-B95)/B95</f>
        <v/>
      </c>
      <c r="D96" s="23">
        <f>(Table13456789101112131415161734[[#This Row],[USA]]-B84)/B84</f>
        <v/>
      </c>
    </row>
    <row r="97">
      <c r="A97" s="21" t="n">
        <v>36008</v>
      </c>
      <c r="B97" s="76">
        <f>VLOOKUP(A97,Database!$A:$AU,MATCH($B$4,Database!$A$1:$AU$1,0),FALSE)</f>
        <v/>
      </c>
      <c r="C97" s="22">
        <f>(Table13456789101112131415161734[[#This Row],[USA]]-B96)/B96</f>
        <v/>
      </c>
      <c r="D97" s="23">
        <f>(Table13456789101112131415161734[[#This Row],[USA]]-B85)/B85</f>
        <v/>
      </c>
    </row>
    <row r="98">
      <c r="A98" s="21" t="n">
        <v>36039</v>
      </c>
      <c r="B98" s="76">
        <f>VLOOKUP(A98,Database!$A:$AU,MATCH($B$4,Database!$A$1:$AU$1,0),FALSE)</f>
        <v/>
      </c>
      <c r="C98" s="22">
        <f>(Table13456789101112131415161734[[#This Row],[USA]]-B97)/B97</f>
        <v/>
      </c>
      <c r="D98" s="23">
        <f>(Table13456789101112131415161734[[#This Row],[USA]]-B86)/B86</f>
        <v/>
      </c>
    </row>
    <row r="99">
      <c r="A99" s="21" t="n">
        <v>36069</v>
      </c>
      <c r="B99" s="76">
        <f>VLOOKUP(A99,Database!$A:$AU,MATCH($B$4,Database!$A$1:$AU$1,0),FALSE)</f>
        <v/>
      </c>
      <c r="C99" s="22">
        <f>(Table13456789101112131415161734[[#This Row],[USA]]-B98)/B98</f>
        <v/>
      </c>
      <c r="D99" s="23">
        <f>(Table13456789101112131415161734[[#This Row],[USA]]-B87)/B87</f>
        <v/>
      </c>
    </row>
    <row r="100">
      <c r="A100" s="21" t="n">
        <v>36100</v>
      </c>
      <c r="B100" s="76">
        <f>VLOOKUP(A100,Database!$A:$AU,MATCH($B$4,Database!$A$1:$AU$1,0),FALSE)</f>
        <v/>
      </c>
      <c r="C100" s="22">
        <f>(Table13456789101112131415161734[[#This Row],[USA]]-B99)/B99</f>
        <v/>
      </c>
      <c r="D100" s="23">
        <f>(Table13456789101112131415161734[[#This Row],[USA]]-B88)/B88</f>
        <v/>
      </c>
    </row>
    <row r="101">
      <c r="A101" s="21" t="n">
        <v>36130</v>
      </c>
      <c r="B101" s="76">
        <f>VLOOKUP(A101,Database!$A:$AU,MATCH($B$4,Database!$A$1:$AU$1,0),FALSE)</f>
        <v/>
      </c>
      <c r="C101" s="22">
        <f>(Table13456789101112131415161734[[#This Row],[USA]]-B100)/B100</f>
        <v/>
      </c>
      <c r="D101" s="23">
        <f>(Table13456789101112131415161734[[#This Row],[USA]]-B89)/B89</f>
        <v/>
      </c>
    </row>
    <row r="102">
      <c r="A102" s="21" t="n">
        <v>36161</v>
      </c>
      <c r="B102" s="76">
        <f>VLOOKUP(A102,Database!$A:$AU,MATCH($B$4,Database!$A$1:$AU$1,0),FALSE)</f>
        <v/>
      </c>
      <c r="C102" s="22">
        <f>(Table13456789101112131415161734[[#This Row],[USA]]-B101)/B101</f>
        <v/>
      </c>
      <c r="D102" s="23">
        <f>(Table13456789101112131415161734[[#This Row],[USA]]-B90)/B90</f>
        <v/>
      </c>
    </row>
    <row r="103">
      <c r="A103" s="21" t="n">
        <v>36192</v>
      </c>
      <c r="B103" s="76">
        <f>VLOOKUP(A103,Database!$A:$AU,MATCH($B$4,Database!$A$1:$AU$1,0),FALSE)</f>
        <v/>
      </c>
      <c r="C103" s="22">
        <f>(Table13456789101112131415161734[[#This Row],[USA]]-B102)/B102</f>
        <v/>
      </c>
      <c r="D103" s="23">
        <f>(Table13456789101112131415161734[[#This Row],[USA]]-B91)/B91</f>
        <v/>
      </c>
    </row>
    <row r="104">
      <c r="A104" s="21" t="n">
        <v>36220</v>
      </c>
      <c r="B104" s="76">
        <f>VLOOKUP(A104,Database!$A:$AU,MATCH($B$4,Database!$A$1:$AU$1,0),FALSE)</f>
        <v/>
      </c>
      <c r="C104" s="22">
        <f>(Table13456789101112131415161734[[#This Row],[USA]]-B103)/B103</f>
        <v/>
      </c>
      <c r="D104" s="23">
        <f>(Table13456789101112131415161734[[#This Row],[USA]]-B92)/B92</f>
        <v/>
      </c>
    </row>
    <row r="105">
      <c r="A105" s="21" t="n">
        <v>36251</v>
      </c>
      <c r="B105" s="76">
        <f>VLOOKUP(A105,Database!$A:$AU,MATCH($B$4,Database!$A$1:$AU$1,0),FALSE)</f>
        <v/>
      </c>
      <c r="C105" s="22">
        <f>(Table13456789101112131415161734[[#This Row],[USA]]-B104)/B104</f>
        <v/>
      </c>
      <c r="D105" s="23">
        <f>(Table13456789101112131415161734[[#This Row],[USA]]-B93)/B93</f>
        <v/>
      </c>
    </row>
    <row r="106">
      <c r="A106" s="21" t="n">
        <v>36281</v>
      </c>
      <c r="B106" s="76">
        <f>VLOOKUP(A106,Database!$A:$AU,MATCH($B$4,Database!$A$1:$AU$1,0),FALSE)</f>
        <v/>
      </c>
      <c r="C106" s="22">
        <f>(Table13456789101112131415161734[[#This Row],[USA]]-B105)/B105</f>
        <v/>
      </c>
      <c r="D106" s="23">
        <f>(Table13456789101112131415161734[[#This Row],[USA]]-B94)/B94</f>
        <v/>
      </c>
    </row>
    <row r="107">
      <c r="A107" s="21" t="n">
        <v>36312</v>
      </c>
      <c r="B107" s="76">
        <f>VLOOKUP(A107,Database!$A:$AU,MATCH($B$4,Database!$A$1:$AU$1,0),FALSE)</f>
        <v/>
      </c>
      <c r="C107" s="22">
        <f>(Table13456789101112131415161734[[#This Row],[USA]]-B106)/B106</f>
        <v/>
      </c>
      <c r="D107" s="23">
        <f>(Table13456789101112131415161734[[#This Row],[USA]]-B95)/B95</f>
        <v/>
      </c>
    </row>
    <row r="108">
      <c r="A108" s="21" t="n">
        <v>36342</v>
      </c>
      <c r="B108" s="76">
        <f>VLOOKUP(A108,Database!$A:$AU,MATCH($B$4,Database!$A$1:$AU$1,0),FALSE)</f>
        <v/>
      </c>
      <c r="C108" s="22">
        <f>(Table13456789101112131415161734[[#This Row],[USA]]-B107)/B107</f>
        <v/>
      </c>
      <c r="D108" s="23">
        <f>(Table13456789101112131415161734[[#This Row],[USA]]-B96)/B96</f>
        <v/>
      </c>
    </row>
    <row r="109">
      <c r="A109" s="21" t="n">
        <v>36373</v>
      </c>
      <c r="B109" s="76">
        <f>VLOOKUP(A109,Database!$A:$AU,MATCH($B$4,Database!$A$1:$AU$1,0),FALSE)</f>
        <v/>
      </c>
      <c r="C109" s="22">
        <f>(Table13456789101112131415161734[[#This Row],[USA]]-B108)/B108</f>
        <v/>
      </c>
      <c r="D109" s="23">
        <f>(Table13456789101112131415161734[[#This Row],[USA]]-B97)/B97</f>
        <v/>
      </c>
    </row>
    <row r="110">
      <c r="A110" s="21" t="n">
        <v>36404</v>
      </c>
      <c r="B110" s="76">
        <f>VLOOKUP(A110,Database!$A:$AU,MATCH($B$4,Database!$A$1:$AU$1,0),FALSE)</f>
        <v/>
      </c>
      <c r="C110" s="22">
        <f>(Table13456789101112131415161734[[#This Row],[USA]]-B109)/B109</f>
        <v/>
      </c>
      <c r="D110" s="23">
        <f>(Table13456789101112131415161734[[#This Row],[USA]]-B98)/B98</f>
        <v/>
      </c>
    </row>
    <row r="111">
      <c r="A111" s="21" t="n">
        <v>36434</v>
      </c>
      <c r="B111" s="76">
        <f>VLOOKUP(A111,Database!$A:$AU,MATCH($B$4,Database!$A$1:$AU$1,0),FALSE)</f>
        <v/>
      </c>
      <c r="C111" s="22">
        <f>(Table13456789101112131415161734[[#This Row],[USA]]-B110)/B110</f>
        <v/>
      </c>
      <c r="D111" s="23">
        <f>(Table13456789101112131415161734[[#This Row],[USA]]-B99)/B99</f>
        <v/>
      </c>
    </row>
    <row r="112">
      <c r="A112" s="21" t="n">
        <v>36465</v>
      </c>
      <c r="B112" s="76">
        <f>VLOOKUP(A112,Database!$A:$AU,MATCH($B$4,Database!$A$1:$AU$1,0),FALSE)</f>
        <v/>
      </c>
      <c r="C112" s="22">
        <f>(Table13456789101112131415161734[[#This Row],[USA]]-B111)/B111</f>
        <v/>
      </c>
      <c r="D112" s="23">
        <f>(Table13456789101112131415161734[[#This Row],[USA]]-B100)/B100</f>
        <v/>
      </c>
    </row>
    <row r="113">
      <c r="A113" s="21" t="n">
        <v>36495</v>
      </c>
      <c r="B113" s="76">
        <f>VLOOKUP(A113,Database!$A:$AU,MATCH($B$4,Database!$A$1:$AU$1,0),FALSE)</f>
        <v/>
      </c>
      <c r="C113" s="22">
        <f>(Table13456789101112131415161734[[#This Row],[USA]]-B112)/B112</f>
        <v/>
      </c>
      <c r="D113" s="23">
        <f>(Table13456789101112131415161734[[#This Row],[USA]]-B101)/B101</f>
        <v/>
      </c>
    </row>
    <row r="114">
      <c r="A114" s="21" t="n">
        <v>36526</v>
      </c>
      <c r="B114" s="76">
        <f>VLOOKUP(A114,Database!$A:$AU,MATCH($B$4,Database!$A$1:$AU$1,0),FALSE)</f>
        <v/>
      </c>
      <c r="C114" s="22">
        <f>(Table13456789101112131415161734[[#This Row],[USA]]-B113)/B113</f>
        <v/>
      </c>
      <c r="D114" s="23">
        <f>(Table13456789101112131415161734[[#This Row],[USA]]-B102)/B102</f>
        <v/>
      </c>
    </row>
    <row r="115">
      <c r="A115" s="21" t="n">
        <v>36557</v>
      </c>
      <c r="B115" s="76">
        <f>VLOOKUP(A115,Database!$A:$AU,MATCH($B$4,Database!$A$1:$AU$1,0),FALSE)</f>
        <v/>
      </c>
      <c r="C115" s="22">
        <f>(Table13456789101112131415161734[[#This Row],[USA]]-B114)/B114</f>
        <v/>
      </c>
      <c r="D115" s="23">
        <f>(Table13456789101112131415161734[[#This Row],[USA]]-B103)/B103</f>
        <v/>
      </c>
    </row>
    <row r="116">
      <c r="A116" s="21" t="n">
        <v>36586</v>
      </c>
      <c r="B116" s="76">
        <f>VLOOKUP(A116,Database!$A:$AU,MATCH($B$4,Database!$A$1:$AU$1,0),FALSE)</f>
        <v/>
      </c>
      <c r="C116" s="22">
        <f>(Table13456789101112131415161734[[#This Row],[USA]]-B115)/B115</f>
        <v/>
      </c>
      <c r="D116" s="23">
        <f>(Table13456789101112131415161734[[#This Row],[USA]]-B104)/B104</f>
        <v/>
      </c>
    </row>
    <row r="117">
      <c r="A117" s="21" t="n">
        <v>36617</v>
      </c>
      <c r="B117" s="76">
        <f>VLOOKUP(A117,Database!$A:$AU,MATCH($B$4,Database!$A$1:$AU$1,0),FALSE)</f>
        <v/>
      </c>
      <c r="C117" s="22">
        <f>(Table13456789101112131415161734[[#This Row],[USA]]-B116)/B116</f>
        <v/>
      </c>
      <c r="D117" s="23">
        <f>(Table13456789101112131415161734[[#This Row],[USA]]-B105)/B105</f>
        <v/>
      </c>
    </row>
    <row r="118">
      <c r="A118" s="21" t="n">
        <v>36647</v>
      </c>
      <c r="B118" s="76">
        <f>VLOOKUP(A118,Database!$A:$AU,MATCH($B$4,Database!$A$1:$AU$1,0),FALSE)</f>
        <v/>
      </c>
      <c r="C118" s="22">
        <f>(Table13456789101112131415161734[[#This Row],[USA]]-B117)/B117</f>
        <v/>
      </c>
      <c r="D118" s="23">
        <f>(Table13456789101112131415161734[[#This Row],[USA]]-B106)/B106</f>
        <v/>
      </c>
    </row>
    <row r="119">
      <c r="A119" s="21" t="n">
        <v>36678</v>
      </c>
      <c r="B119" s="76">
        <f>VLOOKUP(A119,Database!$A:$AU,MATCH($B$4,Database!$A$1:$AU$1,0),FALSE)</f>
        <v/>
      </c>
      <c r="C119" s="22">
        <f>(Table13456789101112131415161734[[#This Row],[USA]]-B118)/B118</f>
        <v/>
      </c>
      <c r="D119" s="23">
        <f>(Table13456789101112131415161734[[#This Row],[USA]]-B107)/B107</f>
        <v/>
      </c>
    </row>
    <row r="120">
      <c r="A120" s="21" t="n">
        <v>36708</v>
      </c>
      <c r="B120" s="76">
        <f>VLOOKUP(A120,Database!$A:$AU,MATCH($B$4,Database!$A$1:$AU$1,0),FALSE)</f>
        <v/>
      </c>
      <c r="C120" s="22">
        <f>(Table13456789101112131415161734[[#This Row],[USA]]-B119)/B119</f>
        <v/>
      </c>
      <c r="D120" s="23">
        <f>(Table13456789101112131415161734[[#This Row],[USA]]-B108)/B108</f>
        <v/>
      </c>
    </row>
    <row r="121">
      <c r="A121" s="21" t="n">
        <v>36739</v>
      </c>
      <c r="B121" s="76">
        <f>VLOOKUP(A121,Database!$A:$AU,MATCH($B$4,Database!$A$1:$AU$1,0),FALSE)</f>
        <v/>
      </c>
      <c r="C121" s="22">
        <f>(Table13456789101112131415161734[[#This Row],[USA]]-B120)/B120</f>
        <v/>
      </c>
      <c r="D121" s="23">
        <f>(Table13456789101112131415161734[[#This Row],[USA]]-B109)/B109</f>
        <v/>
      </c>
    </row>
    <row r="122">
      <c r="A122" s="21" t="n">
        <v>36770</v>
      </c>
      <c r="B122" s="76">
        <f>VLOOKUP(A122,Database!$A:$AU,MATCH($B$4,Database!$A$1:$AU$1,0),FALSE)</f>
        <v/>
      </c>
      <c r="C122" s="22">
        <f>(Table13456789101112131415161734[[#This Row],[USA]]-B121)/B121</f>
        <v/>
      </c>
      <c r="D122" s="23">
        <f>(Table13456789101112131415161734[[#This Row],[USA]]-B110)/B110</f>
        <v/>
      </c>
    </row>
    <row r="123">
      <c r="A123" s="21" t="n">
        <v>36800</v>
      </c>
      <c r="B123" s="76">
        <f>VLOOKUP(A123,Database!$A:$AU,MATCH($B$4,Database!$A$1:$AU$1,0),FALSE)</f>
        <v/>
      </c>
      <c r="C123" s="22">
        <f>(Table13456789101112131415161734[[#This Row],[USA]]-B122)/B122</f>
        <v/>
      </c>
      <c r="D123" s="23">
        <f>(Table13456789101112131415161734[[#This Row],[USA]]-B111)/B111</f>
        <v/>
      </c>
    </row>
    <row r="124">
      <c r="A124" s="21" t="n">
        <v>36831</v>
      </c>
      <c r="B124" s="76">
        <f>VLOOKUP(A124,Database!$A:$AU,MATCH($B$4,Database!$A$1:$AU$1,0),FALSE)</f>
        <v/>
      </c>
      <c r="C124" s="22">
        <f>(Table13456789101112131415161734[[#This Row],[USA]]-B123)/B123</f>
        <v/>
      </c>
      <c r="D124" s="23">
        <f>(Table13456789101112131415161734[[#This Row],[USA]]-B112)/B112</f>
        <v/>
      </c>
    </row>
    <row r="125">
      <c r="A125" s="21" t="n">
        <v>36861</v>
      </c>
      <c r="B125" s="76">
        <f>VLOOKUP(A125,Database!$A:$AU,MATCH($B$4,Database!$A$1:$AU$1,0),FALSE)</f>
        <v/>
      </c>
      <c r="C125" s="22">
        <f>(Table13456789101112131415161734[[#This Row],[USA]]-B124)/B124</f>
        <v/>
      </c>
      <c r="D125" s="23">
        <f>(Table13456789101112131415161734[[#This Row],[USA]]-B113)/B113</f>
        <v/>
      </c>
    </row>
    <row r="126">
      <c r="A126" s="21" t="n">
        <v>36892</v>
      </c>
      <c r="B126" s="76">
        <f>VLOOKUP(A126,Database!$A:$AU,MATCH($B$4,Database!$A$1:$AU$1,0),FALSE)</f>
        <v/>
      </c>
      <c r="C126" s="22">
        <f>(Table13456789101112131415161734[[#This Row],[USA]]-B125)/B125</f>
        <v/>
      </c>
      <c r="D126" s="23">
        <f>(Table13456789101112131415161734[[#This Row],[USA]]-B114)/B114</f>
        <v/>
      </c>
    </row>
    <row r="127">
      <c r="A127" s="21" t="n">
        <v>36923</v>
      </c>
      <c r="B127" s="76">
        <f>VLOOKUP(A127,Database!$A:$AU,MATCH($B$4,Database!$A$1:$AU$1,0),FALSE)</f>
        <v/>
      </c>
      <c r="C127" s="22">
        <f>(Table13456789101112131415161734[[#This Row],[USA]]-B126)/B126</f>
        <v/>
      </c>
      <c r="D127" s="23">
        <f>(Table13456789101112131415161734[[#This Row],[USA]]-B115)/B115</f>
        <v/>
      </c>
    </row>
    <row r="128">
      <c r="A128" s="21" t="n">
        <v>36951</v>
      </c>
      <c r="B128" s="76">
        <f>VLOOKUP(A128,Database!$A:$AU,MATCH($B$4,Database!$A$1:$AU$1,0),FALSE)</f>
        <v/>
      </c>
      <c r="C128" s="22">
        <f>(Table13456789101112131415161734[[#This Row],[USA]]-B127)/B127</f>
        <v/>
      </c>
      <c r="D128" s="23">
        <f>(Table13456789101112131415161734[[#This Row],[USA]]-B116)/B116</f>
        <v/>
      </c>
    </row>
    <row r="129">
      <c r="A129" s="21" t="n">
        <v>36982</v>
      </c>
      <c r="B129" s="76">
        <f>VLOOKUP(A129,Database!$A:$AU,MATCH($B$4,Database!$A$1:$AU$1,0),FALSE)</f>
        <v/>
      </c>
      <c r="C129" s="22">
        <f>(Table13456789101112131415161734[[#This Row],[USA]]-B128)/B128</f>
        <v/>
      </c>
      <c r="D129" s="23">
        <f>(Table13456789101112131415161734[[#This Row],[USA]]-B117)/B117</f>
        <v/>
      </c>
    </row>
    <row r="130">
      <c r="A130" s="21" t="n">
        <v>37012</v>
      </c>
      <c r="B130" s="76">
        <f>VLOOKUP(A130,Database!$A:$AU,MATCH($B$4,Database!$A$1:$AU$1,0),FALSE)</f>
        <v/>
      </c>
      <c r="C130" s="22">
        <f>(Table13456789101112131415161734[[#This Row],[USA]]-B129)/B129</f>
        <v/>
      </c>
      <c r="D130" s="23">
        <f>(Table13456789101112131415161734[[#This Row],[USA]]-B118)/B118</f>
        <v/>
      </c>
    </row>
    <row r="131">
      <c r="A131" s="21" t="n">
        <v>37043</v>
      </c>
      <c r="B131" s="76">
        <f>VLOOKUP(A131,Database!$A:$AU,MATCH($B$4,Database!$A$1:$AU$1,0),FALSE)</f>
        <v/>
      </c>
      <c r="C131" s="22">
        <f>(Table13456789101112131415161734[[#This Row],[USA]]-B130)/B130</f>
        <v/>
      </c>
      <c r="D131" s="23">
        <f>(Table13456789101112131415161734[[#This Row],[USA]]-B119)/B119</f>
        <v/>
      </c>
    </row>
    <row r="132">
      <c r="A132" s="21" t="n">
        <v>37073</v>
      </c>
      <c r="B132" s="76">
        <f>VLOOKUP(A132,Database!$A:$AU,MATCH($B$4,Database!$A$1:$AU$1,0),FALSE)</f>
        <v/>
      </c>
      <c r="C132" s="22">
        <f>(Table13456789101112131415161734[[#This Row],[USA]]-B131)/B131</f>
        <v/>
      </c>
      <c r="D132" s="23">
        <f>(Table13456789101112131415161734[[#This Row],[USA]]-B120)/B120</f>
        <v/>
      </c>
    </row>
    <row r="133">
      <c r="A133" s="21" t="n">
        <v>37104</v>
      </c>
      <c r="B133" s="76">
        <f>VLOOKUP(A133,Database!$A:$AU,MATCH($B$4,Database!$A$1:$AU$1,0),FALSE)</f>
        <v/>
      </c>
      <c r="C133" s="22">
        <f>(Table13456789101112131415161734[[#This Row],[USA]]-B132)/B132</f>
        <v/>
      </c>
      <c r="D133" s="23">
        <f>(Table13456789101112131415161734[[#This Row],[USA]]-B121)/B121</f>
        <v/>
      </c>
    </row>
    <row r="134">
      <c r="A134" s="21" t="n">
        <v>37135</v>
      </c>
      <c r="B134" s="76">
        <f>VLOOKUP(A134,Database!$A:$AU,MATCH($B$4,Database!$A$1:$AU$1,0),FALSE)</f>
        <v/>
      </c>
      <c r="C134" s="22">
        <f>(Table13456789101112131415161734[[#This Row],[USA]]-B133)/B133</f>
        <v/>
      </c>
      <c r="D134" s="23">
        <f>(Table13456789101112131415161734[[#This Row],[USA]]-B122)/B122</f>
        <v/>
      </c>
    </row>
    <row r="135">
      <c r="A135" s="21" t="n">
        <v>37165</v>
      </c>
      <c r="B135" s="76">
        <f>VLOOKUP(A135,Database!$A:$AU,MATCH($B$4,Database!$A$1:$AU$1,0),FALSE)</f>
        <v/>
      </c>
      <c r="C135" s="22">
        <f>(Table13456789101112131415161734[[#This Row],[USA]]-B134)/B134</f>
        <v/>
      </c>
      <c r="D135" s="23">
        <f>(Table13456789101112131415161734[[#This Row],[USA]]-B123)/B123</f>
        <v/>
      </c>
    </row>
    <row r="136">
      <c r="A136" s="21" t="n">
        <v>37196</v>
      </c>
      <c r="B136" s="76">
        <f>VLOOKUP(A136,Database!$A:$AU,MATCH($B$4,Database!$A$1:$AU$1,0),FALSE)</f>
        <v/>
      </c>
      <c r="C136" s="22">
        <f>(Table13456789101112131415161734[[#This Row],[USA]]-B135)/B135</f>
        <v/>
      </c>
      <c r="D136" s="23">
        <f>(Table13456789101112131415161734[[#This Row],[USA]]-B124)/B124</f>
        <v/>
      </c>
    </row>
    <row r="137">
      <c r="A137" s="21" t="n">
        <v>37226</v>
      </c>
      <c r="B137" s="76">
        <f>VLOOKUP(A137,Database!$A:$AU,MATCH($B$4,Database!$A$1:$AU$1,0),FALSE)</f>
        <v/>
      </c>
      <c r="C137" s="22">
        <f>(Table13456789101112131415161734[[#This Row],[USA]]-B136)/B136</f>
        <v/>
      </c>
      <c r="D137" s="23">
        <f>(Table13456789101112131415161734[[#This Row],[USA]]-B125)/B125</f>
        <v/>
      </c>
    </row>
    <row r="138">
      <c r="A138" s="21" t="n">
        <v>37257</v>
      </c>
      <c r="B138" s="76">
        <f>VLOOKUP(A138,Database!$A:$AU,MATCH($B$4,Database!$A$1:$AU$1,0),FALSE)</f>
        <v/>
      </c>
      <c r="C138" s="22">
        <f>(Table13456789101112131415161734[[#This Row],[USA]]-B137)/B137</f>
        <v/>
      </c>
      <c r="D138" s="23">
        <f>(Table13456789101112131415161734[[#This Row],[USA]]-B126)/B126</f>
        <v/>
      </c>
    </row>
    <row r="139">
      <c r="A139" s="21" t="n">
        <v>37288</v>
      </c>
      <c r="B139" s="76">
        <f>VLOOKUP(A139,Database!$A:$AU,MATCH($B$4,Database!$A$1:$AU$1,0),FALSE)</f>
        <v/>
      </c>
      <c r="C139" s="22">
        <f>(Table13456789101112131415161734[[#This Row],[USA]]-B138)/B138</f>
        <v/>
      </c>
      <c r="D139" s="23">
        <f>(Table13456789101112131415161734[[#This Row],[USA]]-B127)/B127</f>
        <v/>
      </c>
    </row>
    <row r="140">
      <c r="A140" s="21" t="n">
        <v>37316</v>
      </c>
      <c r="B140" s="76">
        <f>VLOOKUP(A140,Database!$A:$AU,MATCH($B$4,Database!$A$1:$AU$1,0),FALSE)</f>
        <v/>
      </c>
      <c r="C140" s="22">
        <f>(Table13456789101112131415161734[[#This Row],[USA]]-B139)/B139</f>
        <v/>
      </c>
      <c r="D140" s="23">
        <f>(Table13456789101112131415161734[[#This Row],[USA]]-B128)/B128</f>
        <v/>
      </c>
    </row>
    <row r="141">
      <c r="A141" s="21" t="n">
        <v>37347</v>
      </c>
      <c r="B141" s="76">
        <f>VLOOKUP(A141,Database!$A:$AU,MATCH($B$4,Database!$A$1:$AU$1,0),FALSE)</f>
        <v/>
      </c>
      <c r="C141" s="22">
        <f>(Table13456789101112131415161734[[#This Row],[USA]]-B140)/B140</f>
        <v/>
      </c>
      <c r="D141" s="23">
        <f>(Table13456789101112131415161734[[#This Row],[USA]]-B129)/B129</f>
        <v/>
      </c>
    </row>
    <row r="142">
      <c r="A142" s="21" t="n">
        <v>37377</v>
      </c>
      <c r="B142" s="76">
        <f>VLOOKUP(A142,Database!$A:$AU,MATCH($B$4,Database!$A$1:$AU$1,0),FALSE)</f>
        <v/>
      </c>
      <c r="C142" s="22">
        <f>(Table13456789101112131415161734[[#This Row],[USA]]-B141)/B141</f>
        <v/>
      </c>
      <c r="D142" s="23">
        <f>(Table13456789101112131415161734[[#This Row],[USA]]-B130)/B130</f>
        <v/>
      </c>
    </row>
    <row r="143">
      <c r="A143" s="21" t="n">
        <v>37408</v>
      </c>
      <c r="B143" s="76">
        <f>VLOOKUP(A143,Database!$A:$AU,MATCH($B$4,Database!$A$1:$AU$1,0),FALSE)</f>
        <v/>
      </c>
      <c r="C143" s="22">
        <f>(Table13456789101112131415161734[[#This Row],[USA]]-B142)/B142</f>
        <v/>
      </c>
      <c r="D143" s="23">
        <f>(Table13456789101112131415161734[[#This Row],[USA]]-B131)/B131</f>
        <v/>
      </c>
    </row>
    <row r="144">
      <c r="A144" s="21" t="n">
        <v>37438</v>
      </c>
      <c r="B144" s="76">
        <f>VLOOKUP(A144,Database!$A:$AU,MATCH($B$4,Database!$A$1:$AU$1,0),FALSE)</f>
        <v/>
      </c>
      <c r="C144" s="22">
        <f>(Table13456789101112131415161734[[#This Row],[USA]]-B143)/B143</f>
        <v/>
      </c>
      <c r="D144" s="23">
        <f>(Table13456789101112131415161734[[#This Row],[USA]]-B132)/B132</f>
        <v/>
      </c>
    </row>
    <row r="145">
      <c r="A145" s="21" t="n">
        <v>37469</v>
      </c>
      <c r="B145" s="76">
        <f>VLOOKUP(A145,Database!$A:$AU,MATCH($B$4,Database!$A$1:$AU$1,0),FALSE)</f>
        <v/>
      </c>
      <c r="C145" s="22">
        <f>(Table13456789101112131415161734[[#This Row],[USA]]-B144)/B144</f>
        <v/>
      </c>
      <c r="D145" s="23">
        <f>(Table13456789101112131415161734[[#This Row],[USA]]-B133)/B133</f>
        <v/>
      </c>
    </row>
    <row r="146">
      <c r="A146" s="21" t="n">
        <v>37500</v>
      </c>
      <c r="B146" s="76">
        <f>VLOOKUP(A146,Database!$A:$AU,MATCH($B$4,Database!$A$1:$AU$1,0),FALSE)</f>
        <v/>
      </c>
      <c r="C146" s="22">
        <f>(Table13456789101112131415161734[[#This Row],[USA]]-B145)/B145</f>
        <v/>
      </c>
      <c r="D146" s="23">
        <f>(Table13456789101112131415161734[[#This Row],[USA]]-B134)/B134</f>
        <v/>
      </c>
    </row>
    <row r="147">
      <c r="A147" s="21" t="n">
        <v>37530</v>
      </c>
      <c r="B147" s="76">
        <f>VLOOKUP(A147,Database!$A:$AU,MATCH($B$4,Database!$A$1:$AU$1,0),FALSE)</f>
        <v/>
      </c>
      <c r="C147" s="22">
        <f>(Table13456789101112131415161734[[#This Row],[USA]]-B146)/B146</f>
        <v/>
      </c>
      <c r="D147" s="23">
        <f>(Table13456789101112131415161734[[#This Row],[USA]]-B135)/B135</f>
        <v/>
      </c>
    </row>
    <row r="148">
      <c r="A148" s="21" t="n">
        <v>37561</v>
      </c>
      <c r="B148" s="76">
        <f>VLOOKUP(A148,Database!$A:$AU,MATCH($B$4,Database!$A$1:$AU$1,0),FALSE)</f>
        <v/>
      </c>
      <c r="C148" s="22">
        <f>(Table13456789101112131415161734[[#This Row],[USA]]-B147)/B147</f>
        <v/>
      </c>
      <c r="D148" s="23">
        <f>(Table13456789101112131415161734[[#This Row],[USA]]-B136)/B136</f>
        <v/>
      </c>
    </row>
    <row r="149">
      <c r="A149" s="21" t="n">
        <v>37591</v>
      </c>
      <c r="B149" s="76">
        <f>VLOOKUP(A149,Database!$A:$AU,MATCH($B$4,Database!$A$1:$AU$1,0),FALSE)</f>
        <v/>
      </c>
      <c r="C149" s="22">
        <f>(Table13456789101112131415161734[[#This Row],[USA]]-B148)/B148</f>
        <v/>
      </c>
      <c r="D149" s="23">
        <f>(Table13456789101112131415161734[[#This Row],[USA]]-B137)/B137</f>
        <v/>
      </c>
    </row>
    <row r="150">
      <c r="A150" s="21" t="n">
        <v>37622</v>
      </c>
      <c r="B150" s="76">
        <f>VLOOKUP(A150,Database!$A:$AU,MATCH($B$4,Database!$A$1:$AU$1,0),FALSE)</f>
        <v/>
      </c>
      <c r="C150" s="22">
        <f>(Table13456789101112131415161734[[#This Row],[USA]]-B149)/B149</f>
        <v/>
      </c>
      <c r="D150" s="23">
        <f>(Table13456789101112131415161734[[#This Row],[USA]]-B138)/B138</f>
        <v/>
      </c>
    </row>
    <row r="151">
      <c r="A151" s="21" t="n">
        <v>37653</v>
      </c>
      <c r="B151" s="76">
        <f>VLOOKUP(A151,Database!$A:$AU,MATCH($B$4,Database!$A$1:$AU$1,0),FALSE)</f>
        <v/>
      </c>
      <c r="C151" s="22">
        <f>(Table13456789101112131415161734[[#This Row],[USA]]-B150)/B150</f>
        <v/>
      </c>
      <c r="D151" s="23">
        <f>(Table13456789101112131415161734[[#This Row],[USA]]-B139)/B139</f>
        <v/>
      </c>
    </row>
    <row r="152">
      <c r="A152" s="21" t="n">
        <v>37681</v>
      </c>
      <c r="B152" s="76">
        <f>VLOOKUP(A152,Database!$A:$AU,MATCH($B$4,Database!$A$1:$AU$1,0),FALSE)</f>
        <v/>
      </c>
      <c r="C152" s="22">
        <f>(Table13456789101112131415161734[[#This Row],[USA]]-B151)/B151</f>
        <v/>
      </c>
      <c r="D152" s="23">
        <f>(Table13456789101112131415161734[[#This Row],[USA]]-B140)/B140</f>
        <v/>
      </c>
    </row>
    <row r="153">
      <c r="A153" s="21" t="n">
        <v>37712</v>
      </c>
      <c r="B153" s="76">
        <f>VLOOKUP(A153,Database!$A:$AU,MATCH($B$4,Database!$A$1:$AU$1,0),FALSE)</f>
        <v/>
      </c>
      <c r="C153" s="22">
        <f>(Table13456789101112131415161734[[#This Row],[USA]]-B152)/B152</f>
        <v/>
      </c>
      <c r="D153" s="23">
        <f>(Table13456789101112131415161734[[#This Row],[USA]]-B141)/B141</f>
        <v/>
      </c>
    </row>
    <row r="154">
      <c r="A154" s="21" t="n">
        <v>37742</v>
      </c>
      <c r="B154" s="76">
        <f>VLOOKUP(A154,Database!$A:$AU,MATCH($B$4,Database!$A$1:$AU$1,0),FALSE)</f>
        <v/>
      </c>
      <c r="C154" s="22">
        <f>(Table13456789101112131415161734[[#This Row],[USA]]-B153)/B153</f>
        <v/>
      </c>
      <c r="D154" s="23">
        <f>(Table13456789101112131415161734[[#This Row],[USA]]-B142)/B142</f>
        <v/>
      </c>
    </row>
    <row r="155">
      <c r="A155" s="21" t="n">
        <v>37773</v>
      </c>
      <c r="B155" s="76">
        <f>VLOOKUP(A155,Database!$A:$AU,MATCH($B$4,Database!$A$1:$AU$1,0),FALSE)</f>
        <v/>
      </c>
      <c r="C155" s="22">
        <f>(Table13456789101112131415161734[[#This Row],[USA]]-B154)/B154</f>
        <v/>
      </c>
      <c r="D155" s="23">
        <f>(Table13456789101112131415161734[[#This Row],[USA]]-B143)/B143</f>
        <v/>
      </c>
    </row>
    <row r="156">
      <c r="A156" s="21" t="n">
        <v>37803</v>
      </c>
      <c r="B156" s="76">
        <f>VLOOKUP(A156,Database!$A:$AU,MATCH($B$4,Database!$A$1:$AU$1,0),FALSE)</f>
        <v/>
      </c>
      <c r="C156" s="22">
        <f>(Table13456789101112131415161734[[#This Row],[USA]]-B155)/B155</f>
        <v/>
      </c>
      <c r="D156" s="23">
        <f>(Table13456789101112131415161734[[#This Row],[USA]]-B144)/B144</f>
        <v/>
      </c>
    </row>
    <row r="157">
      <c r="A157" s="21" t="n">
        <v>37834</v>
      </c>
      <c r="B157" s="76">
        <f>VLOOKUP(A157,Database!$A:$AU,MATCH($B$4,Database!$A$1:$AU$1,0),FALSE)</f>
        <v/>
      </c>
      <c r="C157" s="22">
        <f>(Table13456789101112131415161734[[#This Row],[USA]]-B156)/B156</f>
        <v/>
      </c>
      <c r="D157" s="23">
        <f>(Table13456789101112131415161734[[#This Row],[USA]]-B145)/B145</f>
        <v/>
      </c>
    </row>
    <row r="158">
      <c r="A158" s="21" t="n">
        <v>37865</v>
      </c>
      <c r="B158" s="76">
        <f>VLOOKUP(A158,Database!$A:$AU,MATCH($B$4,Database!$A$1:$AU$1,0),FALSE)</f>
        <v/>
      </c>
      <c r="C158" s="22">
        <f>(Table13456789101112131415161734[[#This Row],[USA]]-B157)/B157</f>
        <v/>
      </c>
      <c r="D158" s="23">
        <f>(Table13456789101112131415161734[[#This Row],[USA]]-B146)/B146</f>
        <v/>
      </c>
    </row>
    <row r="159">
      <c r="A159" s="21" t="n">
        <v>37895</v>
      </c>
      <c r="B159" s="76">
        <f>VLOOKUP(A159,Database!$A:$AU,MATCH($B$4,Database!$A$1:$AU$1,0),FALSE)</f>
        <v/>
      </c>
      <c r="C159" s="22">
        <f>(Table13456789101112131415161734[[#This Row],[USA]]-B158)/B158</f>
        <v/>
      </c>
      <c r="D159" s="23">
        <f>(Table13456789101112131415161734[[#This Row],[USA]]-B147)/B147</f>
        <v/>
      </c>
    </row>
    <row r="160">
      <c r="A160" s="21" t="n">
        <v>37926</v>
      </c>
      <c r="B160" s="76">
        <f>VLOOKUP(A160,Database!$A:$AU,MATCH($B$4,Database!$A$1:$AU$1,0),FALSE)</f>
        <v/>
      </c>
      <c r="C160" s="22">
        <f>(Table13456789101112131415161734[[#This Row],[USA]]-B159)/B159</f>
        <v/>
      </c>
      <c r="D160" s="23">
        <f>(Table13456789101112131415161734[[#This Row],[USA]]-B148)/B148</f>
        <v/>
      </c>
    </row>
    <row r="161">
      <c r="A161" s="21" t="n">
        <v>37956</v>
      </c>
      <c r="B161" s="76">
        <f>VLOOKUP(A161,Database!$A:$AU,MATCH($B$4,Database!$A$1:$AU$1,0),FALSE)</f>
        <v/>
      </c>
      <c r="C161" s="22">
        <f>(Table13456789101112131415161734[[#This Row],[USA]]-B160)/B160</f>
        <v/>
      </c>
      <c r="D161" s="23">
        <f>(Table13456789101112131415161734[[#This Row],[USA]]-B149)/B149</f>
        <v/>
      </c>
    </row>
    <row r="162">
      <c r="A162" s="21" t="n">
        <v>37987</v>
      </c>
      <c r="B162" s="76">
        <f>VLOOKUP(A162,Database!$A:$AU,MATCH($B$4,Database!$A$1:$AU$1,0),FALSE)</f>
        <v/>
      </c>
      <c r="C162" s="22">
        <f>(Table13456789101112131415161734[[#This Row],[USA]]-B161)/B161</f>
        <v/>
      </c>
      <c r="D162" s="23">
        <f>(Table13456789101112131415161734[[#This Row],[USA]]-B150)/B150</f>
        <v/>
      </c>
    </row>
    <row r="163">
      <c r="A163" s="21" t="n">
        <v>38018</v>
      </c>
      <c r="B163" s="76">
        <f>VLOOKUP(A163,Database!$A:$AU,MATCH($B$4,Database!$A$1:$AU$1,0),FALSE)</f>
        <v/>
      </c>
      <c r="C163" s="22">
        <f>(Table13456789101112131415161734[[#This Row],[USA]]-B162)/B162</f>
        <v/>
      </c>
      <c r="D163" s="23">
        <f>(Table13456789101112131415161734[[#This Row],[USA]]-B151)/B151</f>
        <v/>
      </c>
    </row>
    <row r="164">
      <c r="A164" s="21" t="n">
        <v>38047</v>
      </c>
      <c r="B164" s="76">
        <f>VLOOKUP(A164,Database!$A:$AU,MATCH($B$4,Database!$A$1:$AU$1,0),FALSE)</f>
        <v/>
      </c>
      <c r="C164" s="22">
        <f>(Table13456789101112131415161734[[#This Row],[USA]]-B163)/B163</f>
        <v/>
      </c>
      <c r="D164" s="23">
        <f>(Table13456789101112131415161734[[#This Row],[USA]]-B152)/B152</f>
        <v/>
      </c>
    </row>
    <row r="165">
      <c r="A165" s="21" t="n">
        <v>38078</v>
      </c>
      <c r="B165" s="76">
        <f>VLOOKUP(A165,Database!$A:$AU,MATCH($B$4,Database!$A$1:$AU$1,0),FALSE)</f>
        <v/>
      </c>
      <c r="C165" s="22">
        <f>(Table13456789101112131415161734[[#This Row],[USA]]-B164)/B164</f>
        <v/>
      </c>
      <c r="D165" s="23">
        <f>(Table13456789101112131415161734[[#This Row],[USA]]-B153)/B153</f>
        <v/>
      </c>
    </row>
    <row r="166">
      <c r="A166" s="21" t="n">
        <v>38108</v>
      </c>
      <c r="B166" s="76">
        <f>VLOOKUP(A166,Database!$A:$AU,MATCH($B$4,Database!$A$1:$AU$1,0),FALSE)</f>
        <v/>
      </c>
      <c r="C166" s="22">
        <f>(Table13456789101112131415161734[[#This Row],[USA]]-B165)/B165</f>
        <v/>
      </c>
      <c r="D166" s="23">
        <f>(Table13456789101112131415161734[[#This Row],[USA]]-B154)/B154</f>
        <v/>
      </c>
    </row>
    <row r="167">
      <c r="A167" s="21" t="n">
        <v>38139</v>
      </c>
      <c r="B167" s="76">
        <f>VLOOKUP(A167,Database!$A:$AU,MATCH($B$4,Database!$A$1:$AU$1,0),FALSE)</f>
        <v/>
      </c>
      <c r="C167" s="22">
        <f>(Table13456789101112131415161734[[#This Row],[USA]]-B166)/B166</f>
        <v/>
      </c>
      <c r="D167" s="23">
        <f>(Table13456789101112131415161734[[#This Row],[USA]]-B155)/B155</f>
        <v/>
      </c>
    </row>
    <row r="168">
      <c r="A168" s="21" t="n">
        <v>38169</v>
      </c>
      <c r="B168" s="76">
        <f>VLOOKUP(A168,Database!$A:$AU,MATCH($B$4,Database!$A$1:$AU$1,0),FALSE)</f>
        <v/>
      </c>
      <c r="C168" s="22">
        <f>(Table13456789101112131415161734[[#This Row],[USA]]-B167)/B167</f>
        <v/>
      </c>
      <c r="D168" s="23">
        <f>(Table13456789101112131415161734[[#This Row],[USA]]-B156)/B156</f>
        <v/>
      </c>
    </row>
    <row r="169">
      <c r="A169" s="21" t="n">
        <v>38200</v>
      </c>
      <c r="B169" s="76">
        <f>VLOOKUP(A169,Database!$A:$AU,MATCH($B$4,Database!$A$1:$AU$1,0),FALSE)</f>
        <v/>
      </c>
      <c r="C169" s="22">
        <f>(Table13456789101112131415161734[[#This Row],[USA]]-B168)/B168</f>
        <v/>
      </c>
      <c r="D169" s="23">
        <f>(Table13456789101112131415161734[[#This Row],[USA]]-B157)/B157</f>
        <v/>
      </c>
    </row>
    <row r="170">
      <c r="A170" s="21" t="n">
        <v>38231</v>
      </c>
      <c r="B170" s="76">
        <f>VLOOKUP(A170,Database!$A:$AU,MATCH($B$4,Database!$A$1:$AU$1,0),FALSE)</f>
        <v/>
      </c>
      <c r="C170" s="22">
        <f>(Table13456789101112131415161734[[#This Row],[USA]]-B169)/B169</f>
        <v/>
      </c>
      <c r="D170" s="23">
        <f>(Table13456789101112131415161734[[#This Row],[USA]]-B158)/B158</f>
        <v/>
      </c>
    </row>
    <row r="171">
      <c r="A171" s="21" t="n">
        <v>38261</v>
      </c>
      <c r="B171" s="76">
        <f>VLOOKUP(A171,Database!$A:$AU,MATCH($B$4,Database!$A$1:$AU$1,0),FALSE)</f>
        <v/>
      </c>
      <c r="C171" s="22">
        <f>(Table13456789101112131415161734[[#This Row],[USA]]-B170)/B170</f>
        <v/>
      </c>
      <c r="D171" s="23">
        <f>(Table13456789101112131415161734[[#This Row],[USA]]-B159)/B159</f>
        <v/>
      </c>
    </row>
    <row r="172">
      <c r="A172" s="21" t="n">
        <v>38292</v>
      </c>
      <c r="B172" s="76">
        <f>VLOOKUP(A172,Database!$A:$AU,MATCH($B$4,Database!$A$1:$AU$1,0),FALSE)</f>
        <v/>
      </c>
      <c r="C172" s="22">
        <f>(Table13456789101112131415161734[[#This Row],[USA]]-B171)/B171</f>
        <v/>
      </c>
      <c r="D172" s="23">
        <f>(Table13456789101112131415161734[[#This Row],[USA]]-B160)/B160</f>
        <v/>
      </c>
    </row>
    <row r="173">
      <c r="A173" s="21" t="n">
        <v>38322</v>
      </c>
      <c r="B173" s="76">
        <f>VLOOKUP(A173,Database!$A:$AU,MATCH($B$4,Database!$A$1:$AU$1,0),FALSE)</f>
        <v/>
      </c>
      <c r="C173" s="22">
        <f>(Table13456789101112131415161734[[#This Row],[USA]]-B172)/B172</f>
        <v/>
      </c>
      <c r="D173" s="23">
        <f>(Table13456789101112131415161734[[#This Row],[USA]]-B161)/B161</f>
        <v/>
      </c>
    </row>
    <row r="174">
      <c r="A174" s="21" t="n">
        <v>38353</v>
      </c>
      <c r="B174" s="76">
        <f>VLOOKUP(A174,Database!$A:$AU,MATCH($B$4,Database!$A$1:$AU$1,0),FALSE)</f>
        <v/>
      </c>
      <c r="C174" s="22">
        <f>(Table13456789101112131415161734[[#This Row],[USA]]-B173)/B173</f>
        <v/>
      </c>
      <c r="D174" s="23">
        <f>(Table13456789101112131415161734[[#This Row],[USA]]-B162)/B162</f>
        <v/>
      </c>
    </row>
    <row r="175">
      <c r="A175" s="21" t="n">
        <v>38384</v>
      </c>
      <c r="B175" s="76">
        <f>VLOOKUP(A175,Database!$A:$AU,MATCH($B$4,Database!$A$1:$AU$1,0),FALSE)</f>
        <v/>
      </c>
      <c r="C175" s="22">
        <f>(Table13456789101112131415161734[[#This Row],[USA]]-B174)/B174</f>
        <v/>
      </c>
      <c r="D175" s="23">
        <f>(Table13456789101112131415161734[[#This Row],[USA]]-B163)/B163</f>
        <v/>
      </c>
    </row>
    <row r="176">
      <c r="A176" s="21" t="n">
        <v>38412</v>
      </c>
      <c r="B176" s="76">
        <f>VLOOKUP(A176,Database!$A:$AU,MATCH($B$4,Database!$A$1:$AU$1,0),FALSE)</f>
        <v/>
      </c>
      <c r="C176" s="22">
        <f>(Table13456789101112131415161734[[#This Row],[USA]]-B175)/B175</f>
        <v/>
      </c>
      <c r="D176" s="23">
        <f>(Table13456789101112131415161734[[#This Row],[USA]]-B164)/B164</f>
        <v/>
      </c>
    </row>
    <row r="177">
      <c r="A177" s="21" t="n">
        <v>38443</v>
      </c>
      <c r="B177" s="76">
        <f>VLOOKUP(A177,Database!$A:$AU,MATCH($B$4,Database!$A$1:$AU$1,0),FALSE)</f>
        <v/>
      </c>
      <c r="C177" s="22">
        <f>(Table13456789101112131415161734[[#This Row],[USA]]-B176)/B176</f>
        <v/>
      </c>
      <c r="D177" s="23">
        <f>(Table13456789101112131415161734[[#This Row],[USA]]-B165)/B165</f>
        <v/>
      </c>
    </row>
    <row r="178">
      <c r="A178" s="21" t="n">
        <v>38473</v>
      </c>
      <c r="B178" s="76">
        <f>VLOOKUP(A178,Database!$A:$AU,MATCH($B$4,Database!$A$1:$AU$1,0),FALSE)</f>
        <v/>
      </c>
      <c r="C178" s="22">
        <f>(Table13456789101112131415161734[[#This Row],[USA]]-B177)/B177</f>
        <v/>
      </c>
      <c r="D178" s="23">
        <f>(Table13456789101112131415161734[[#This Row],[USA]]-B166)/B166</f>
        <v/>
      </c>
    </row>
    <row r="179">
      <c r="A179" s="21" t="n">
        <v>38504</v>
      </c>
      <c r="B179" s="76">
        <f>VLOOKUP(A179,Database!$A:$AU,MATCH($B$4,Database!$A$1:$AU$1,0),FALSE)</f>
        <v/>
      </c>
      <c r="C179" s="22">
        <f>(Table13456789101112131415161734[[#This Row],[USA]]-B178)/B178</f>
        <v/>
      </c>
      <c r="D179" s="23">
        <f>(Table13456789101112131415161734[[#This Row],[USA]]-B167)/B167</f>
        <v/>
      </c>
    </row>
    <row r="180">
      <c r="A180" s="21" t="n">
        <v>38534</v>
      </c>
      <c r="B180" s="76">
        <f>VLOOKUP(A180,Database!$A:$AU,MATCH($B$4,Database!$A$1:$AU$1,0),FALSE)</f>
        <v/>
      </c>
      <c r="C180" s="22">
        <f>(Table13456789101112131415161734[[#This Row],[USA]]-B179)/B179</f>
        <v/>
      </c>
      <c r="D180" s="23">
        <f>(Table13456789101112131415161734[[#This Row],[USA]]-B168)/B168</f>
        <v/>
      </c>
    </row>
    <row r="181">
      <c r="A181" s="21" t="n">
        <v>38565</v>
      </c>
      <c r="B181" s="76">
        <f>VLOOKUP(A181,Database!$A:$AU,MATCH($B$4,Database!$A$1:$AU$1,0),FALSE)</f>
        <v/>
      </c>
      <c r="C181" s="22">
        <f>(Table13456789101112131415161734[[#This Row],[USA]]-B180)/B180</f>
        <v/>
      </c>
      <c r="D181" s="23">
        <f>(Table13456789101112131415161734[[#This Row],[USA]]-B169)/B169</f>
        <v/>
      </c>
    </row>
    <row r="182">
      <c r="A182" s="21" t="n">
        <v>38596</v>
      </c>
      <c r="B182" s="76">
        <f>VLOOKUP(A182,Database!$A:$AU,MATCH($B$4,Database!$A$1:$AU$1,0),FALSE)</f>
        <v/>
      </c>
      <c r="C182" s="22">
        <f>(Table13456789101112131415161734[[#This Row],[USA]]-B181)/B181</f>
        <v/>
      </c>
      <c r="D182" s="23">
        <f>(Table13456789101112131415161734[[#This Row],[USA]]-B170)/B170</f>
        <v/>
      </c>
    </row>
    <row r="183">
      <c r="A183" s="21" t="n">
        <v>38626</v>
      </c>
      <c r="B183" s="76">
        <f>VLOOKUP(A183,Database!$A:$AU,MATCH($B$4,Database!$A$1:$AU$1,0),FALSE)</f>
        <v/>
      </c>
      <c r="C183" s="22">
        <f>(Table13456789101112131415161734[[#This Row],[USA]]-B182)/B182</f>
        <v/>
      </c>
      <c r="D183" s="23">
        <f>(Table13456789101112131415161734[[#This Row],[USA]]-B171)/B171</f>
        <v/>
      </c>
    </row>
    <row r="184">
      <c r="A184" s="21" t="n">
        <v>38657</v>
      </c>
      <c r="B184" s="76">
        <f>VLOOKUP(A184,Database!$A:$AU,MATCH($B$4,Database!$A$1:$AU$1,0),FALSE)</f>
        <v/>
      </c>
      <c r="C184" s="22">
        <f>(Table13456789101112131415161734[[#This Row],[USA]]-B183)/B183</f>
        <v/>
      </c>
      <c r="D184" s="23">
        <f>(Table13456789101112131415161734[[#This Row],[USA]]-B172)/B172</f>
        <v/>
      </c>
    </row>
    <row r="185">
      <c r="A185" s="21" t="n">
        <v>38687</v>
      </c>
      <c r="B185" s="76">
        <f>VLOOKUP(A185,Database!$A:$AU,MATCH($B$4,Database!$A$1:$AU$1,0),FALSE)</f>
        <v/>
      </c>
      <c r="C185" s="22">
        <f>(Table13456789101112131415161734[[#This Row],[USA]]-B184)/B184</f>
        <v/>
      </c>
      <c r="D185" s="23">
        <f>(Table13456789101112131415161734[[#This Row],[USA]]-B173)/B173</f>
        <v/>
      </c>
    </row>
    <row r="186">
      <c r="A186" s="21" t="n">
        <v>38718</v>
      </c>
      <c r="B186" s="76">
        <f>VLOOKUP(A186,Database!$A:$AU,MATCH($B$4,Database!$A$1:$AU$1,0),FALSE)</f>
        <v/>
      </c>
      <c r="C186" s="22">
        <f>(Table13456789101112131415161734[[#This Row],[USA]]-B185)/B185</f>
        <v/>
      </c>
      <c r="D186" s="23">
        <f>(Table13456789101112131415161734[[#This Row],[USA]]-B174)/B174</f>
        <v/>
      </c>
    </row>
    <row r="187">
      <c r="A187" s="21" t="n">
        <v>38749</v>
      </c>
      <c r="B187" s="76">
        <f>VLOOKUP(A187,Database!$A:$AU,MATCH($B$4,Database!$A$1:$AU$1,0),FALSE)</f>
        <v/>
      </c>
      <c r="C187" s="22">
        <f>(Table13456789101112131415161734[[#This Row],[USA]]-B186)/B186</f>
        <v/>
      </c>
      <c r="D187" s="23">
        <f>(Table13456789101112131415161734[[#This Row],[USA]]-B175)/B175</f>
        <v/>
      </c>
    </row>
    <row r="188">
      <c r="A188" s="21" t="n">
        <v>38777</v>
      </c>
      <c r="B188" s="76">
        <f>VLOOKUP(A188,Database!$A:$AU,MATCH($B$4,Database!$A$1:$AU$1,0),FALSE)</f>
        <v/>
      </c>
      <c r="C188" s="22">
        <f>(Table13456789101112131415161734[[#This Row],[USA]]-B187)/B187</f>
        <v/>
      </c>
      <c r="D188" s="23">
        <f>(Table13456789101112131415161734[[#This Row],[USA]]-B176)/B176</f>
        <v/>
      </c>
    </row>
    <row r="189">
      <c r="A189" s="21" t="n">
        <v>38808</v>
      </c>
      <c r="B189" s="76">
        <f>VLOOKUP(A189,Database!$A:$AU,MATCH($B$4,Database!$A$1:$AU$1,0),FALSE)</f>
        <v/>
      </c>
      <c r="C189" s="22">
        <f>(Table13456789101112131415161734[[#This Row],[USA]]-B188)/B188</f>
        <v/>
      </c>
      <c r="D189" s="23">
        <f>(Table13456789101112131415161734[[#This Row],[USA]]-B177)/B177</f>
        <v/>
      </c>
    </row>
    <row r="190">
      <c r="A190" s="21" t="n">
        <v>38838</v>
      </c>
      <c r="B190" s="76">
        <f>VLOOKUP(A190,Database!$A:$AU,MATCH($B$4,Database!$A$1:$AU$1,0),FALSE)</f>
        <v/>
      </c>
      <c r="C190" s="22">
        <f>(Table13456789101112131415161734[[#This Row],[USA]]-B189)/B189</f>
        <v/>
      </c>
      <c r="D190" s="23">
        <f>(Table13456789101112131415161734[[#This Row],[USA]]-B178)/B178</f>
        <v/>
      </c>
    </row>
    <row r="191">
      <c r="A191" s="21" t="n">
        <v>38869</v>
      </c>
      <c r="B191" s="76">
        <f>VLOOKUP(A191,Database!$A:$AU,MATCH($B$4,Database!$A$1:$AU$1,0),FALSE)</f>
        <v/>
      </c>
      <c r="C191" s="22">
        <f>(Table13456789101112131415161734[[#This Row],[USA]]-B190)/B190</f>
        <v/>
      </c>
      <c r="D191" s="23">
        <f>(Table13456789101112131415161734[[#This Row],[USA]]-B179)/B179</f>
        <v/>
      </c>
    </row>
    <row r="192">
      <c r="A192" s="21" t="n">
        <v>38899</v>
      </c>
      <c r="B192" s="76">
        <f>VLOOKUP(A192,Database!$A:$AU,MATCH($B$4,Database!$A$1:$AU$1,0),FALSE)</f>
        <v/>
      </c>
      <c r="C192" s="22">
        <f>(Table13456789101112131415161734[[#This Row],[USA]]-B191)/B191</f>
        <v/>
      </c>
      <c r="D192" s="23">
        <f>(Table13456789101112131415161734[[#This Row],[USA]]-B180)/B180</f>
        <v/>
      </c>
    </row>
    <row r="193">
      <c r="A193" s="21" t="n">
        <v>38930</v>
      </c>
      <c r="B193" s="76">
        <f>VLOOKUP(A193,Database!$A:$AU,MATCH($B$4,Database!$A$1:$AU$1,0),FALSE)</f>
        <v/>
      </c>
      <c r="C193" s="22">
        <f>(Table13456789101112131415161734[[#This Row],[USA]]-B192)/B192</f>
        <v/>
      </c>
      <c r="D193" s="23">
        <f>(Table13456789101112131415161734[[#This Row],[USA]]-B181)/B181</f>
        <v/>
      </c>
    </row>
    <row r="194">
      <c r="A194" s="21" t="n">
        <v>38961</v>
      </c>
      <c r="B194" s="76">
        <f>VLOOKUP(A194,Database!$A:$AU,MATCH($B$4,Database!$A$1:$AU$1,0),FALSE)</f>
        <v/>
      </c>
      <c r="C194" s="22">
        <f>(Table13456789101112131415161734[[#This Row],[USA]]-B193)/B193</f>
        <v/>
      </c>
      <c r="D194" s="23">
        <f>(Table13456789101112131415161734[[#This Row],[USA]]-B182)/B182</f>
        <v/>
      </c>
    </row>
    <row r="195">
      <c r="A195" s="21" t="n">
        <v>38991</v>
      </c>
      <c r="B195" s="76">
        <f>VLOOKUP(A195,Database!$A:$AU,MATCH($B$4,Database!$A$1:$AU$1,0),FALSE)</f>
        <v/>
      </c>
      <c r="C195" s="22">
        <f>(Table13456789101112131415161734[[#This Row],[USA]]-B194)/B194</f>
        <v/>
      </c>
      <c r="D195" s="23">
        <f>(Table13456789101112131415161734[[#This Row],[USA]]-B183)/B183</f>
        <v/>
      </c>
    </row>
    <row r="196">
      <c r="A196" s="21" t="n">
        <v>39022</v>
      </c>
      <c r="B196" s="76">
        <f>VLOOKUP(A196,Database!$A:$AU,MATCH($B$4,Database!$A$1:$AU$1,0),FALSE)</f>
        <v/>
      </c>
      <c r="C196" s="22">
        <f>(Table13456789101112131415161734[[#This Row],[USA]]-B195)/B195</f>
        <v/>
      </c>
      <c r="D196" s="23">
        <f>(Table13456789101112131415161734[[#This Row],[USA]]-B184)/B184</f>
        <v/>
      </c>
    </row>
    <row r="197">
      <c r="A197" s="21" t="n">
        <v>39052</v>
      </c>
      <c r="B197" s="76">
        <f>VLOOKUP(A197,Database!$A:$AU,MATCH($B$4,Database!$A$1:$AU$1,0),FALSE)</f>
        <v/>
      </c>
      <c r="C197" s="22">
        <f>(Table13456789101112131415161734[[#This Row],[USA]]-B196)/B196</f>
        <v/>
      </c>
      <c r="D197" s="23">
        <f>(Table13456789101112131415161734[[#This Row],[USA]]-B185)/B185</f>
        <v/>
      </c>
    </row>
    <row r="198">
      <c r="A198" s="21" t="n">
        <v>39083</v>
      </c>
      <c r="B198" s="76">
        <f>VLOOKUP(A198,Database!$A:$AU,MATCH($B$4,Database!$A$1:$AU$1,0),FALSE)</f>
        <v/>
      </c>
      <c r="C198" s="22">
        <f>(Table13456789101112131415161734[[#This Row],[USA]]-B197)/B197</f>
        <v/>
      </c>
      <c r="D198" s="23">
        <f>(Table13456789101112131415161734[[#This Row],[USA]]-B186)/B186</f>
        <v/>
      </c>
    </row>
    <row r="199">
      <c r="A199" s="21" t="n">
        <v>39114</v>
      </c>
      <c r="B199" s="76">
        <f>VLOOKUP(A199,Database!$A:$AU,MATCH($B$4,Database!$A$1:$AU$1,0),FALSE)</f>
        <v/>
      </c>
      <c r="C199" s="22">
        <f>(Table13456789101112131415161734[[#This Row],[USA]]-B198)/B198</f>
        <v/>
      </c>
      <c r="D199" s="23">
        <f>(Table13456789101112131415161734[[#This Row],[USA]]-B187)/B187</f>
        <v/>
      </c>
    </row>
    <row r="200">
      <c r="A200" s="21" t="n">
        <v>39142</v>
      </c>
      <c r="B200" s="76">
        <f>VLOOKUP(A200,Database!$A:$AU,MATCH($B$4,Database!$A$1:$AU$1,0),FALSE)</f>
        <v/>
      </c>
      <c r="C200" s="22">
        <f>(Table13456789101112131415161734[[#This Row],[USA]]-B199)/B199</f>
        <v/>
      </c>
      <c r="D200" s="23">
        <f>(Table13456789101112131415161734[[#This Row],[USA]]-B188)/B188</f>
        <v/>
      </c>
    </row>
    <row r="201">
      <c r="A201" s="21" t="n">
        <v>39173</v>
      </c>
      <c r="B201" s="76">
        <f>VLOOKUP(A201,Database!$A:$AU,MATCH($B$4,Database!$A$1:$AU$1,0),FALSE)</f>
        <v/>
      </c>
      <c r="C201" s="22">
        <f>(Table13456789101112131415161734[[#This Row],[USA]]-B200)/B200</f>
        <v/>
      </c>
      <c r="D201" s="23">
        <f>(Table13456789101112131415161734[[#This Row],[USA]]-B189)/B189</f>
        <v/>
      </c>
    </row>
    <row r="202">
      <c r="A202" s="21" t="n">
        <v>39203</v>
      </c>
      <c r="B202" s="76">
        <f>VLOOKUP(A202,Database!$A:$AU,MATCH($B$4,Database!$A$1:$AU$1,0),FALSE)</f>
        <v/>
      </c>
      <c r="C202" s="22">
        <f>(Table13456789101112131415161734[[#This Row],[USA]]-B201)/B201</f>
        <v/>
      </c>
      <c r="D202" s="23">
        <f>(Table13456789101112131415161734[[#This Row],[USA]]-B190)/B190</f>
        <v/>
      </c>
    </row>
    <row r="203">
      <c r="A203" s="21" t="n">
        <v>39234</v>
      </c>
      <c r="B203" s="76">
        <f>VLOOKUP(A203,Database!$A:$AU,MATCH($B$4,Database!$A$1:$AU$1,0),FALSE)</f>
        <v/>
      </c>
      <c r="C203" s="22">
        <f>(Table13456789101112131415161734[[#This Row],[USA]]-B202)/B202</f>
        <v/>
      </c>
      <c r="D203" s="23">
        <f>(Table13456789101112131415161734[[#This Row],[USA]]-B191)/B191</f>
        <v/>
      </c>
    </row>
    <row r="204">
      <c r="A204" s="21" t="n">
        <v>39264</v>
      </c>
      <c r="B204" s="76">
        <f>VLOOKUP(A204,Database!$A:$AU,MATCH($B$4,Database!$A$1:$AU$1,0),FALSE)</f>
        <v/>
      </c>
      <c r="C204" s="22">
        <f>(Table13456789101112131415161734[[#This Row],[USA]]-B203)/B203</f>
        <v/>
      </c>
      <c r="D204" s="23">
        <f>(Table13456789101112131415161734[[#This Row],[USA]]-B192)/B192</f>
        <v/>
      </c>
    </row>
    <row r="205">
      <c r="A205" s="21" t="n">
        <v>39295</v>
      </c>
      <c r="B205" s="76">
        <f>VLOOKUP(A205,Database!$A:$AU,MATCH($B$4,Database!$A$1:$AU$1,0),FALSE)</f>
        <v/>
      </c>
      <c r="C205" s="22">
        <f>(Table13456789101112131415161734[[#This Row],[USA]]-B204)/B204</f>
        <v/>
      </c>
      <c r="D205" s="23">
        <f>(Table13456789101112131415161734[[#This Row],[USA]]-B193)/B193</f>
        <v/>
      </c>
    </row>
    <row r="206">
      <c r="A206" s="21" t="n">
        <v>39326</v>
      </c>
      <c r="B206" s="76">
        <f>VLOOKUP(A206,Database!$A:$AU,MATCH($B$4,Database!$A$1:$AU$1,0),FALSE)</f>
        <v/>
      </c>
      <c r="C206" s="22">
        <f>(Table13456789101112131415161734[[#This Row],[USA]]-B205)/B205</f>
        <v/>
      </c>
      <c r="D206" s="23">
        <f>(Table13456789101112131415161734[[#This Row],[USA]]-B194)/B194</f>
        <v/>
      </c>
    </row>
    <row r="207">
      <c r="A207" s="21" t="n">
        <v>39356</v>
      </c>
      <c r="B207" s="76">
        <f>VLOOKUP(A207,Database!$A:$AU,MATCH($B$4,Database!$A$1:$AU$1,0),FALSE)</f>
        <v/>
      </c>
      <c r="C207" s="22">
        <f>(Table13456789101112131415161734[[#This Row],[USA]]-B206)/B206</f>
        <v/>
      </c>
      <c r="D207" s="23">
        <f>(Table13456789101112131415161734[[#This Row],[USA]]-B195)/B195</f>
        <v/>
      </c>
    </row>
    <row r="208">
      <c r="A208" s="21" t="n">
        <v>39387</v>
      </c>
      <c r="B208" s="76">
        <f>VLOOKUP(A208,Database!$A:$AU,MATCH($B$4,Database!$A$1:$AU$1,0),FALSE)</f>
        <v/>
      </c>
      <c r="C208" s="22">
        <f>(Table13456789101112131415161734[[#This Row],[USA]]-B207)/B207</f>
        <v/>
      </c>
      <c r="D208" s="23">
        <f>(Table13456789101112131415161734[[#This Row],[USA]]-B196)/B196</f>
        <v/>
      </c>
    </row>
    <row r="209">
      <c r="A209" s="21" t="n">
        <v>39417</v>
      </c>
      <c r="B209" s="76">
        <f>VLOOKUP(A209,Database!$A:$AU,MATCH($B$4,Database!$A$1:$AU$1,0),FALSE)</f>
        <v/>
      </c>
      <c r="C209" s="22">
        <f>(Table13456789101112131415161734[[#This Row],[USA]]-B208)/B208</f>
        <v/>
      </c>
      <c r="D209" s="23">
        <f>(Table13456789101112131415161734[[#This Row],[USA]]-B197)/B197</f>
        <v/>
      </c>
    </row>
    <row r="210">
      <c r="A210" s="21" t="n">
        <v>39448</v>
      </c>
      <c r="B210" s="76">
        <f>VLOOKUP(A210,Database!$A:$AU,MATCH($B$4,Database!$A$1:$AU$1,0),FALSE)</f>
        <v/>
      </c>
      <c r="C210" s="22">
        <f>(Table13456789101112131415161734[[#This Row],[USA]]-B209)/B209</f>
        <v/>
      </c>
      <c r="D210" s="23">
        <f>(Table13456789101112131415161734[[#This Row],[USA]]-B198)/B198</f>
        <v/>
      </c>
    </row>
    <row r="211">
      <c r="A211" s="21" t="n">
        <v>39479</v>
      </c>
      <c r="B211" s="76">
        <f>VLOOKUP(A211,Database!$A:$AU,MATCH($B$4,Database!$A$1:$AU$1,0),FALSE)</f>
        <v/>
      </c>
      <c r="C211" s="22">
        <f>(Table13456789101112131415161734[[#This Row],[USA]]-B210)/B210</f>
        <v/>
      </c>
      <c r="D211" s="23">
        <f>(Table13456789101112131415161734[[#This Row],[USA]]-B199)/B199</f>
        <v/>
      </c>
    </row>
    <row r="212">
      <c r="A212" s="21" t="n">
        <v>39508</v>
      </c>
      <c r="B212" s="76">
        <f>VLOOKUP(A212,Database!$A:$AU,MATCH($B$4,Database!$A$1:$AU$1,0),FALSE)</f>
        <v/>
      </c>
      <c r="C212" s="22">
        <f>(Table13456789101112131415161734[[#This Row],[USA]]-B211)/B211</f>
        <v/>
      </c>
      <c r="D212" s="23">
        <f>(Table13456789101112131415161734[[#This Row],[USA]]-B200)/B200</f>
        <v/>
      </c>
    </row>
    <row r="213">
      <c r="A213" s="21" t="n">
        <v>39539</v>
      </c>
      <c r="B213" s="76">
        <f>VLOOKUP(A213,Database!$A:$AU,MATCH($B$4,Database!$A$1:$AU$1,0),FALSE)</f>
        <v/>
      </c>
      <c r="C213" s="22">
        <f>(Table13456789101112131415161734[[#This Row],[USA]]-B212)/B212</f>
        <v/>
      </c>
      <c r="D213" s="23">
        <f>(Table13456789101112131415161734[[#This Row],[USA]]-B201)/B201</f>
        <v/>
      </c>
    </row>
    <row r="214">
      <c r="A214" s="21" t="n">
        <v>39569</v>
      </c>
      <c r="B214" s="76">
        <f>VLOOKUP(A214,Database!$A:$AU,MATCH($B$4,Database!$A$1:$AU$1,0),FALSE)</f>
        <v/>
      </c>
      <c r="C214" s="22">
        <f>(Table13456789101112131415161734[[#This Row],[USA]]-B213)/B213</f>
        <v/>
      </c>
      <c r="D214" s="23">
        <f>(Table13456789101112131415161734[[#This Row],[USA]]-B202)/B202</f>
        <v/>
      </c>
    </row>
    <row r="215">
      <c r="A215" s="21" t="n">
        <v>39600</v>
      </c>
      <c r="B215" s="76">
        <f>VLOOKUP(A215,Database!$A:$AU,MATCH($B$4,Database!$A$1:$AU$1,0),FALSE)</f>
        <v/>
      </c>
      <c r="C215" s="22">
        <f>(Table13456789101112131415161734[[#This Row],[USA]]-B214)/B214</f>
        <v/>
      </c>
      <c r="D215" s="23">
        <f>(Table13456789101112131415161734[[#This Row],[USA]]-B203)/B203</f>
        <v/>
      </c>
    </row>
    <row r="216">
      <c r="A216" s="21" t="n">
        <v>39630</v>
      </c>
      <c r="B216" s="76">
        <f>VLOOKUP(A216,Database!$A:$AU,MATCH($B$4,Database!$A$1:$AU$1,0),FALSE)</f>
        <v/>
      </c>
      <c r="C216" s="22">
        <f>(Table13456789101112131415161734[[#This Row],[USA]]-B215)/B215</f>
        <v/>
      </c>
      <c r="D216" s="23">
        <f>(Table13456789101112131415161734[[#This Row],[USA]]-B204)/B204</f>
        <v/>
      </c>
    </row>
    <row r="217">
      <c r="A217" s="21" t="n">
        <v>39661</v>
      </c>
      <c r="B217" s="76">
        <f>VLOOKUP(A217,Database!$A:$AU,MATCH($B$4,Database!$A$1:$AU$1,0),FALSE)</f>
        <v/>
      </c>
      <c r="C217" s="22">
        <f>(Table13456789101112131415161734[[#This Row],[USA]]-B216)/B216</f>
        <v/>
      </c>
      <c r="D217" s="23">
        <f>(Table13456789101112131415161734[[#This Row],[USA]]-B205)/B205</f>
        <v/>
      </c>
    </row>
    <row r="218">
      <c r="A218" s="21" t="n">
        <v>39692</v>
      </c>
      <c r="B218" s="76">
        <f>VLOOKUP(A218,Database!$A:$AU,MATCH($B$4,Database!$A$1:$AU$1,0),FALSE)</f>
        <v/>
      </c>
      <c r="C218" s="22">
        <f>(Table13456789101112131415161734[[#This Row],[USA]]-B217)/B217</f>
        <v/>
      </c>
      <c r="D218" s="23">
        <f>(Table13456789101112131415161734[[#This Row],[USA]]-B206)/B206</f>
        <v/>
      </c>
    </row>
    <row r="219">
      <c r="A219" s="21" t="n">
        <v>39722</v>
      </c>
      <c r="B219" s="76">
        <f>VLOOKUP(A219,Database!$A:$AU,MATCH($B$4,Database!$A$1:$AU$1,0),FALSE)</f>
        <v/>
      </c>
      <c r="C219" s="22">
        <f>(Table13456789101112131415161734[[#This Row],[USA]]-B218)/B218</f>
        <v/>
      </c>
      <c r="D219" s="23">
        <f>(Table13456789101112131415161734[[#This Row],[USA]]-B207)/B207</f>
        <v/>
      </c>
    </row>
    <row r="220">
      <c r="A220" s="21" t="n">
        <v>39753</v>
      </c>
      <c r="B220" s="76">
        <f>VLOOKUP(A220,Database!$A:$AU,MATCH($B$4,Database!$A$1:$AU$1,0),FALSE)</f>
        <v/>
      </c>
      <c r="C220" s="22">
        <f>(Table13456789101112131415161734[[#This Row],[USA]]-B219)/B219</f>
        <v/>
      </c>
      <c r="D220" s="23">
        <f>(Table13456789101112131415161734[[#This Row],[USA]]-B208)/B208</f>
        <v/>
      </c>
    </row>
    <row r="221">
      <c r="A221" s="21" t="n">
        <v>39783</v>
      </c>
      <c r="B221" s="76">
        <f>VLOOKUP(A221,Database!$A:$AU,MATCH($B$4,Database!$A$1:$AU$1,0),FALSE)</f>
        <v/>
      </c>
      <c r="C221" s="22">
        <f>(Table13456789101112131415161734[[#This Row],[USA]]-B220)/B220</f>
        <v/>
      </c>
      <c r="D221" s="23">
        <f>(Table13456789101112131415161734[[#This Row],[USA]]-B209)/B209</f>
        <v/>
      </c>
    </row>
    <row r="222">
      <c r="A222" s="21" t="n">
        <v>39814</v>
      </c>
      <c r="B222" s="76">
        <f>VLOOKUP(A222,Database!$A:$AU,MATCH($B$4,Database!$A$1:$AU$1,0),FALSE)</f>
        <v/>
      </c>
      <c r="C222" s="22">
        <f>(Table13456789101112131415161734[[#This Row],[USA]]-B221)/B221</f>
        <v/>
      </c>
      <c r="D222" s="23">
        <f>(Table13456789101112131415161734[[#This Row],[USA]]-B210)/B210</f>
        <v/>
      </c>
    </row>
    <row r="223">
      <c r="A223" s="21" t="n">
        <v>39845</v>
      </c>
      <c r="B223" s="76">
        <f>VLOOKUP(A223,Database!$A:$AU,MATCH($B$4,Database!$A$1:$AU$1,0),FALSE)</f>
        <v/>
      </c>
      <c r="C223" s="22">
        <f>(Table13456789101112131415161734[[#This Row],[USA]]-B222)/B222</f>
        <v/>
      </c>
      <c r="D223" s="23">
        <f>(Table13456789101112131415161734[[#This Row],[USA]]-B211)/B211</f>
        <v/>
      </c>
    </row>
    <row r="224">
      <c r="A224" s="21" t="n">
        <v>39873</v>
      </c>
      <c r="B224" s="76">
        <f>VLOOKUP(A224,Database!$A:$AU,MATCH($B$4,Database!$A$1:$AU$1,0),FALSE)</f>
        <v/>
      </c>
      <c r="C224" s="22">
        <f>(Table13456789101112131415161734[[#This Row],[USA]]-B223)/B223</f>
        <v/>
      </c>
      <c r="D224" s="23">
        <f>(Table13456789101112131415161734[[#This Row],[USA]]-B212)/B212</f>
        <v/>
      </c>
    </row>
    <row r="225">
      <c r="A225" s="21" t="n">
        <v>39904</v>
      </c>
      <c r="B225" s="76">
        <f>VLOOKUP(A225,Database!$A:$AU,MATCH($B$4,Database!$A$1:$AU$1,0),FALSE)</f>
        <v/>
      </c>
      <c r="C225" s="22">
        <f>(Table13456789101112131415161734[[#This Row],[USA]]-B224)/B224</f>
        <v/>
      </c>
      <c r="D225" s="23">
        <f>(Table13456789101112131415161734[[#This Row],[USA]]-B213)/B213</f>
        <v/>
      </c>
    </row>
    <row r="226">
      <c r="A226" s="21" t="n">
        <v>39934</v>
      </c>
      <c r="B226" s="76">
        <f>VLOOKUP(A226,Database!$A:$AU,MATCH($B$4,Database!$A$1:$AU$1,0),FALSE)</f>
        <v/>
      </c>
      <c r="C226" s="22">
        <f>(Table13456789101112131415161734[[#This Row],[USA]]-B225)/B225</f>
        <v/>
      </c>
      <c r="D226" s="23">
        <f>(Table13456789101112131415161734[[#This Row],[USA]]-B214)/B214</f>
        <v/>
      </c>
    </row>
    <row r="227">
      <c r="A227" s="21" t="n">
        <v>39965</v>
      </c>
      <c r="B227" s="76">
        <f>VLOOKUP(A227,Database!$A:$AU,MATCH($B$4,Database!$A$1:$AU$1,0),FALSE)</f>
        <v/>
      </c>
      <c r="C227" s="22">
        <f>(Table13456789101112131415161734[[#This Row],[USA]]-B226)/B226</f>
        <v/>
      </c>
      <c r="D227" s="23">
        <f>(Table13456789101112131415161734[[#This Row],[USA]]-B215)/B215</f>
        <v/>
      </c>
    </row>
    <row r="228">
      <c r="A228" s="21" t="n">
        <v>39995</v>
      </c>
      <c r="B228" s="76">
        <f>VLOOKUP(A228,Database!$A:$AU,MATCH($B$4,Database!$A$1:$AU$1,0),FALSE)</f>
        <v/>
      </c>
      <c r="C228" s="22">
        <f>(Table13456789101112131415161734[[#This Row],[USA]]-B227)/B227</f>
        <v/>
      </c>
      <c r="D228" s="23">
        <f>(Table13456789101112131415161734[[#This Row],[USA]]-B216)/B216</f>
        <v/>
      </c>
    </row>
    <row r="229">
      <c r="A229" s="21" t="n">
        <v>40026</v>
      </c>
      <c r="B229" s="76">
        <f>VLOOKUP(A229,Database!$A:$AU,MATCH($B$4,Database!$A$1:$AU$1,0),FALSE)</f>
        <v/>
      </c>
      <c r="C229" s="22">
        <f>(Table13456789101112131415161734[[#This Row],[USA]]-B228)/B228</f>
        <v/>
      </c>
      <c r="D229" s="23">
        <f>(Table13456789101112131415161734[[#This Row],[USA]]-B217)/B217</f>
        <v/>
      </c>
    </row>
    <row r="230">
      <c r="A230" s="21" t="n">
        <v>40057</v>
      </c>
      <c r="B230" s="76">
        <f>VLOOKUP(A230,Database!$A:$AU,MATCH($B$4,Database!$A$1:$AU$1,0),FALSE)</f>
        <v/>
      </c>
      <c r="C230" s="22">
        <f>(Table13456789101112131415161734[[#This Row],[USA]]-B229)/B229</f>
        <v/>
      </c>
      <c r="D230" s="23">
        <f>(Table13456789101112131415161734[[#This Row],[USA]]-B218)/B218</f>
        <v/>
      </c>
    </row>
    <row r="231">
      <c r="A231" s="21" t="n">
        <v>40087</v>
      </c>
      <c r="B231" s="76">
        <f>VLOOKUP(A231,Database!$A:$AU,MATCH($B$4,Database!$A$1:$AU$1,0),FALSE)</f>
        <v/>
      </c>
      <c r="C231" s="22">
        <f>(Table13456789101112131415161734[[#This Row],[USA]]-B230)/B230</f>
        <v/>
      </c>
      <c r="D231" s="23">
        <f>(Table13456789101112131415161734[[#This Row],[USA]]-B219)/B219</f>
        <v/>
      </c>
    </row>
    <row r="232">
      <c r="A232" s="21" t="n">
        <v>40118</v>
      </c>
      <c r="B232" s="76">
        <f>VLOOKUP(A232,Database!$A:$AU,MATCH($B$4,Database!$A$1:$AU$1,0),FALSE)</f>
        <v/>
      </c>
      <c r="C232" s="22">
        <f>(Table13456789101112131415161734[[#This Row],[USA]]-B231)/B231</f>
        <v/>
      </c>
      <c r="D232" s="23">
        <f>(Table13456789101112131415161734[[#This Row],[USA]]-B220)/B220</f>
        <v/>
      </c>
    </row>
    <row r="233">
      <c r="A233" s="21" t="n">
        <v>40148</v>
      </c>
      <c r="B233" s="76">
        <f>VLOOKUP(A233,Database!$A:$AU,MATCH($B$4,Database!$A$1:$AU$1,0),FALSE)</f>
        <v/>
      </c>
      <c r="C233" s="22">
        <f>(Table13456789101112131415161734[[#This Row],[USA]]-B232)/B232</f>
        <v/>
      </c>
      <c r="D233" s="23">
        <f>(Table13456789101112131415161734[[#This Row],[USA]]-B221)/B221</f>
        <v/>
      </c>
    </row>
    <row r="234">
      <c r="A234" s="21" t="n">
        <v>40179</v>
      </c>
      <c r="B234" s="76">
        <f>VLOOKUP(A234,Database!$A:$AU,MATCH($B$4,Database!$A$1:$AU$1,0),FALSE)</f>
        <v/>
      </c>
      <c r="C234" s="22">
        <f>(Table13456789101112131415161734[[#This Row],[USA]]-B233)/B233</f>
        <v/>
      </c>
      <c r="D234" s="23">
        <f>(Table13456789101112131415161734[[#This Row],[USA]]-B222)/B222</f>
        <v/>
      </c>
    </row>
    <row r="235">
      <c r="A235" s="21" t="n">
        <v>40210</v>
      </c>
      <c r="B235" s="76">
        <f>VLOOKUP(A235,Database!$A:$AU,MATCH($B$4,Database!$A$1:$AU$1,0),FALSE)</f>
        <v/>
      </c>
      <c r="C235" s="22">
        <f>(Table13456789101112131415161734[[#This Row],[USA]]-B234)/B234</f>
        <v/>
      </c>
      <c r="D235" s="23">
        <f>(Table13456789101112131415161734[[#This Row],[USA]]-B223)/B223</f>
        <v/>
      </c>
    </row>
    <row r="236">
      <c r="A236" s="21" t="n">
        <v>40238</v>
      </c>
      <c r="B236" s="76">
        <f>VLOOKUP(A236,Database!$A:$AU,MATCH($B$4,Database!$A$1:$AU$1,0),FALSE)</f>
        <v/>
      </c>
      <c r="C236" s="22">
        <f>(Table13456789101112131415161734[[#This Row],[USA]]-B235)/B235</f>
        <v/>
      </c>
      <c r="D236" s="23">
        <f>(Table13456789101112131415161734[[#This Row],[USA]]-B224)/B224</f>
        <v/>
      </c>
    </row>
    <row r="237">
      <c r="A237" s="21" t="n">
        <v>40269</v>
      </c>
      <c r="B237" s="76">
        <f>VLOOKUP(A237,Database!$A:$AU,MATCH($B$4,Database!$A$1:$AU$1,0),FALSE)</f>
        <v/>
      </c>
      <c r="C237" s="22">
        <f>(Table13456789101112131415161734[[#This Row],[USA]]-B236)/B236</f>
        <v/>
      </c>
      <c r="D237" s="23">
        <f>(Table13456789101112131415161734[[#This Row],[USA]]-B225)/B225</f>
        <v/>
      </c>
    </row>
    <row r="238">
      <c r="A238" s="21" t="n">
        <v>40299</v>
      </c>
      <c r="B238" s="76">
        <f>VLOOKUP(A238,Database!$A:$AU,MATCH($B$4,Database!$A$1:$AU$1,0),FALSE)</f>
        <v/>
      </c>
      <c r="C238" s="22">
        <f>(Table13456789101112131415161734[[#This Row],[USA]]-B237)/B237</f>
        <v/>
      </c>
      <c r="D238" s="23">
        <f>(Table13456789101112131415161734[[#This Row],[USA]]-B226)/B226</f>
        <v/>
      </c>
    </row>
    <row r="239">
      <c r="A239" s="21" t="n">
        <v>40330</v>
      </c>
      <c r="B239" s="76">
        <f>VLOOKUP(A239,Database!$A:$AU,MATCH($B$4,Database!$A$1:$AU$1,0),FALSE)</f>
        <v/>
      </c>
      <c r="C239" s="22">
        <f>(Table13456789101112131415161734[[#This Row],[USA]]-B238)/B238</f>
        <v/>
      </c>
      <c r="D239" s="23">
        <f>(Table13456789101112131415161734[[#This Row],[USA]]-B227)/B227</f>
        <v/>
      </c>
    </row>
    <row r="240">
      <c r="A240" s="21" t="n">
        <v>40360</v>
      </c>
      <c r="B240" s="76">
        <f>VLOOKUP(A240,Database!$A:$AU,MATCH($B$4,Database!$A$1:$AU$1,0),FALSE)</f>
        <v/>
      </c>
      <c r="C240" s="22">
        <f>(Table13456789101112131415161734[[#This Row],[USA]]-B239)/B239</f>
        <v/>
      </c>
      <c r="D240" s="23">
        <f>(Table13456789101112131415161734[[#This Row],[USA]]-B228)/B228</f>
        <v/>
      </c>
    </row>
    <row r="241">
      <c r="A241" s="21" t="n">
        <v>40391</v>
      </c>
      <c r="B241" s="76">
        <f>VLOOKUP(A241,Database!$A:$AU,MATCH($B$4,Database!$A$1:$AU$1,0),FALSE)</f>
        <v/>
      </c>
      <c r="C241" s="22">
        <f>(Table13456789101112131415161734[[#This Row],[USA]]-B240)/B240</f>
        <v/>
      </c>
      <c r="D241" s="23">
        <f>(Table13456789101112131415161734[[#This Row],[USA]]-B229)/B229</f>
        <v/>
      </c>
    </row>
    <row r="242">
      <c r="A242" s="21" t="n">
        <v>40422</v>
      </c>
      <c r="B242" s="76">
        <f>VLOOKUP(A242,Database!$A:$AU,MATCH($B$4,Database!$A$1:$AU$1,0),FALSE)</f>
        <v/>
      </c>
      <c r="C242" s="22">
        <f>(Table13456789101112131415161734[[#This Row],[USA]]-B241)/B241</f>
        <v/>
      </c>
      <c r="D242" s="23">
        <f>(Table13456789101112131415161734[[#This Row],[USA]]-B230)/B230</f>
        <v/>
      </c>
    </row>
    <row r="243">
      <c r="A243" s="21" t="n">
        <v>40452</v>
      </c>
      <c r="B243" s="76">
        <f>VLOOKUP(A243,Database!$A:$AU,MATCH($B$4,Database!$A$1:$AU$1,0),FALSE)</f>
        <v/>
      </c>
      <c r="C243" s="22">
        <f>(Table13456789101112131415161734[[#This Row],[USA]]-B242)/B242</f>
        <v/>
      </c>
      <c r="D243" s="23">
        <f>(Table13456789101112131415161734[[#This Row],[USA]]-B231)/B231</f>
        <v/>
      </c>
    </row>
    <row r="244">
      <c r="A244" s="21" t="n">
        <v>40483</v>
      </c>
      <c r="B244" s="76">
        <f>VLOOKUP(A244,Database!$A:$AU,MATCH($B$4,Database!$A$1:$AU$1,0),FALSE)</f>
        <v/>
      </c>
      <c r="C244" s="22">
        <f>(Table13456789101112131415161734[[#This Row],[USA]]-B243)/B243</f>
        <v/>
      </c>
      <c r="D244" s="23">
        <f>(Table13456789101112131415161734[[#This Row],[USA]]-B232)/B232</f>
        <v/>
      </c>
    </row>
    <row r="245">
      <c r="A245" s="21" t="n">
        <v>40513</v>
      </c>
      <c r="B245" s="76">
        <f>VLOOKUP(A245,Database!$A:$AU,MATCH($B$4,Database!$A$1:$AU$1,0),FALSE)</f>
        <v/>
      </c>
      <c r="C245" s="22">
        <f>(Table13456789101112131415161734[[#This Row],[USA]]-B244)/B244</f>
        <v/>
      </c>
      <c r="D245" s="23">
        <f>(Table13456789101112131415161734[[#This Row],[USA]]-B233)/B233</f>
        <v/>
      </c>
    </row>
    <row r="246">
      <c r="A246" s="21" t="n">
        <v>40544</v>
      </c>
      <c r="B246" s="76">
        <f>VLOOKUP(A246,Database!$A:$AU,MATCH($B$4,Database!$A$1:$AU$1,0),FALSE)</f>
        <v/>
      </c>
      <c r="C246" s="22">
        <f>(Table13456789101112131415161734[[#This Row],[USA]]-B245)/B245</f>
        <v/>
      </c>
      <c r="D246" s="23">
        <f>(Table13456789101112131415161734[[#This Row],[USA]]-B234)/B234</f>
        <v/>
      </c>
    </row>
    <row r="247">
      <c r="A247" s="21" t="n">
        <v>40575</v>
      </c>
      <c r="B247" s="76">
        <f>VLOOKUP(A247,Database!$A:$AU,MATCH($B$4,Database!$A$1:$AU$1,0),FALSE)</f>
        <v/>
      </c>
      <c r="C247" s="22">
        <f>(Table13456789101112131415161734[[#This Row],[USA]]-B246)/B246</f>
        <v/>
      </c>
      <c r="D247" s="23">
        <f>(Table13456789101112131415161734[[#This Row],[USA]]-B235)/B235</f>
        <v/>
      </c>
    </row>
    <row r="248">
      <c r="A248" s="21" t="n">
        <v>40603</v>
      </c>
      <c r="B248" s="76">
        <f>VLOOKUP(A248,Database!$A:$AU,MATCH($B$4,Database!$A$1:$AU$1,0),FALSE)</f>
        <v/>
      </c>
      <c r="C248" s="22">
        <f>(Table13456789101112131415161734[[#This Row],[USA]]-B247)/B247</f>
        <v/>
      </c>
      <c r="D248" s="23">
        <f>(Table13456789101112131415161734[[#This Row],[USA]]-B236)/B236</f>
        <v/>
      </c>
    </row>
    <row r="249">
      <c r="A249" s="21" t="n">
        <v>40634</v>
      </c>
      <c r="B249" s="76">
        <f>VLOOKUP(A249,Database!$A:$AU,MATCH($B$4,Database!$A$1:$AU$1,0),FALSE)</f>
        <v/>
      </c>
      <c r="C249" s="22">
        <f>(Table13456789101112131415161734[[#This Row],[USA]]-B248)/B248</f>
        <v/>
      </c>
      <c r="D249" s="23">
        <f>(Table13456789101112131415161734[[#This Row],[USA]]-B237)/B237</f>
        <v/>
      </c>
    </row>
    <row r="250">
      <c r="A250" s="21" t="n">
        <v>40664</v>
      </c>
      <c r="B250" s="76">
        <f>VLOOKUP(A250,Database!$A:$AU,MATCH($B$4,Database!$A$1:$AU$1,0),FALSE)</f>
        <v/>
      </c>
      <c r="C250" s="22">
        <f>(Table13456789101112131415161734[[#This Row],[USA]]-B249)/B249</f>
        <v/>
      </c>
      <c r="D250" s="23">
        <f>(Table13456789101112131415161734[[#This Row],[USA]]-B238)/B238</f>
        <v/>
      </c>
    </row>
    <row r="251">
      <c r="A251" s="21" t="n">
        <v>40695</v>
      </c>
      <c r="B251" s="76">
        <f>VLOOKUP(A251,Database!$A:$AU,MATCH($B$4,Database!$A$1:$AU$1,0),FALSE)</f>
        <v/>
      </c>
      <c r="C251" s="22">
        <f>(Table13456789101112131415161734[[#This Row],[USA]]-B250)/B250</f>
        <v/>
      </c>
      <c r="D251" s="23">
        <f>(Table13456789101112131415161734[[#This Row],[USA]]-B239)/B239</f>
        <v/>
      </c>
    </row>
    <row r="252">
      <c r="A252" s="21" t="n">
        <v>40725</v>
      </c>
      <c r="B252" s="76">
        <f>VLOOKUP(A252,Database!$A:$AU,MATCH($B$4,Database!$A$1:$AU$1,0),FALSE)</f>
        <v/>
      </c>
      <c r="C252" s="22">
        <f>(Table13456789101112131415161734[[#This Row],[USA]]-B251)/B251</f>
        <v/>
      </c>
      <c r="D252" s="23">
        <f>(Table13456789101112131415161734[[#This Row],[USA]]-B240)/B240</f>
        <v/>
      </c>
    </row>
    <row r="253">
      <c r="A253" s="21" t="n">
        <v>40756</v>
      </c>
      <c r="B253" s="76">
        <f>VLOOKUP(A253,Database!$A:$AU,MATCH($B$4,Database!$A$1:$AU$1,0),FALSE)</f>
        <v/>
      </c>
      <c r="C253" s="22">
        <f>(Table13456789101112131415161734[[#This Row],[USA]]-B252)/B252</f>
        <v/>
      </c>
      <c r="D253" s="23">
        <f>(Table13456789101112131415161734[[#This Row],[USA]]-B241)/B241</f>
        <v/>
      </c>
    </row>
    <row r="254">
      <c r="A254" s="21" t="n">
        <v>40787</v>
      </c>
      <c r="B254" s="76">
        <f>VLOOKUP(A254,Database!$A:$AU,MATCH($B$4,Database!$A$1:$AU$1,0),FALSE)</f>
        <v/>
      </c>
      <c r="C254" s="22">
        <f>(Table13456789101112131415161734[[#This Row],[USA]]-B253)/B253</f>
        <v/>
      </c>
      <c r="D254" s="23">
        <f>(Table13456789101112131415161734[[#This Row],[USA]]-B242)/B242</f>
        <v/>
      </c>
    </row>
    <row r="255">
      <c r="A255" s="21" t="n">
        <v>40817</v>
      </c>
      <c r="B255" s="76">
        <f>VLOOKUP(A255,Database!$A:$AU,MATCH($B$4,Database!$A$1:$AU$1,0),FALSE)</f>
        <v/>
      </c>
      <c r="C255" s="22">
        <f>(Table13456789101112131415161734[[#This Row],[USA]]-B254)/B254</f>
        <v/>
      </c>
      <c r="D255" s="23">
        <f>(Table13456789101112131415161734[[#This Row],[USA]]-B243)/B243</f>
        <v/>
      </c>
    </row>
    <row r="256">
      <c r="A256" s="21" t="n">
        <v>40848</v>
      </c>
      <c r="B256" s="76">
        <f>VLOOKUP(A256,Database!$A:$AU,MATCH($B$4,Database!$A$1:$AU$1,0),FALSE)</f>
        <v/>
      </c>
      <c r="C256" s="22">
        <f>(Table13456789101112131415161734[[#This Row],[USA]]-B255)/B255</f>
        <v/>
      </c>
      <c r="D256" s="23">
        <f>(Table13456789101112131415161734[[#This Row],[USA]]-B244)/B244</f>
        <v/>
      </c>
    </row>
    <row r="257">
      <c r="A257" s="21" t="n">
        <v>40878</v>
      </c>
      <c r="B257" s="76">
        <f>VLOOKUP(A257,Database!$A:$AU,MATCH($B$4,Database!$A$1:$AU$1,0),FALSE)</f>
        <v/>
      </c>
      <c r="C257" s="22">
        <f>(Table13456789101112131415161734[[#This Row],[USA]]-B256)/B256</f>
        <v/>
      </c>
      <c r="D257" s="23">
        <f>(Table13456789101112131415161734[[#This Row],[USA]]-B245)/B245</f>
        <v/>
      </c>
    </row>
    <row r="258">
      <c r="A258" s="21" t="n">
        <v>40909</v>
      </c>
      <c r="B258" s="76">
        <f>VLOOKUP(A258,Database!$A:$AU,MATCH($B$4,Database!$A$1:$AU$1,0),FALSE)</f>
        <v/>
      </c>
      <c r="C258" s="22">
        <f>(Table13456789101112131415161734[[#This Row],[USA]]-B257)/B257</f>
        <v/>
      </c>
      <c r="D258" s="23">
        <f>(Table13456789101112131415161734[[#This Row],[USA]]-B246)/B246</f>
        <v/>
      </c>
    </row>
    <row r="259">
      <c r="A259" s="21" t="n">
        <v>40940</v>
      </c>
      <c r="B259" s="76">
        <f>VLOOKUP(A259,Database!$A:$AU,MATCH($B$4,Database!$A$1:$AU$1,0),FALSE)</f>
        <v/>
      </c>
      <c r="C259" s="22">
        <f>(Table13456789101112131415161734[[#This Row],[USA]]-B258)/B258</f>
        <v/>
      </c>
      <c r="D259" s="23">
        <f>(Table13456789101112131415161734[[#This Row],[USA]]-B247)/B247</f>
        <v/>
      </c>
    </row>
    <row r="260">
      <c r="A260" s="21" t="n">
        <v>40969</v>
      </c>
      <c r="B260" s="76">
        <f>VLOOKUP(A260,Database!$A:$AU,MATCH($B$4,Database!$A$1:$AU$1,0),FALSE)</f>
        <v/>
      </c>
      <c r="C260" s="22">
        <f>(Table13456789101112131415161734[[#This Row],[USA]]-B259)/B259</f>
        <v/>
      </c>
      <c r="D260" s="23">
        <f>(Table13456789101112131415161734[[#This Row],[USA]]-B248)/B248</f>
        <v/>
      </c>
    </row>
    <row r="261">
      <c r="A261" s="21" t="n">
        <v>41000</v>
      </c>
      <c r="B261" s="76">
        <f>VLOOKUP(A261,Database!$A:$AU,MATCH($B$4,Database!$A$1:$AU$1,0),FALSE)</f>
        <v/>
      </c>
      <c r="C261" s="22">
        <f>(Table13456789101112131415161734[[#This Row],[USA]]-B260)/B260</f>
        <v/>
      </c>
      <c r="D261" s="23">
        <f>(Table13456789101112131415161734[[#This Row],[USA]]-B249)/B249</f>
        <v/>
      </c>
    </row>
    <row r="262">
      <c r="A262" s="21" t="n">
        <v>41030</v>
      </c>
      <c r="B262" s="76">
        <f>VLOOKUP(A262,Database!$A:$AU,MATCH($B$4,Database!$A$1:$AU$1,0),FALSE)</f>
        <v/>
      </c>
      <c r="C262" s="22">
        <f>(Table13456789101112131415161734[[#This Row],[USA]]-B261)/B261</f>
        <v/>
      </c>
      <c r="D262" s="23">
        <f>(Table13456789101112131415161734[[#This Row],[USA]]-B250)/B250</f>
        <v/>
      </c>
    </row>
    <row r="263">
      <c r="A263" s="21" t="n">
        <v>41061</v>
      </c>
      <c r="B263" s="76">
        <f>VLOOKUP(A263,Database!$A:$AU,MATCH($B$4,Database!$A$1:$AU$1,0),FALSE)</f>
        <v/>
      </c>
      <c r="C263" s="22">
        <f>(Table13456789101112131415161734[[#This Row],[USA]]-B262)/B262</f>
        <v/>
      </c>
      <c r="D263" s="23">
        <f>(Table13456789101112131415161734[[#This Row],[USA]]-B251)/B251</f>
        <v/>
      </c>
    </row>
    <row r="264">
      <c r="A264" s="21" t="n">
        <v>41091</v>
      </c>
      <c r="B264" s="76">
        <f>VLOOKUP(A264,Database!$A:$AU,MATCH($B$4,Database!$A$1:$AU$1,0),FALSE)</f>
        <v/>
      </c>
      <c r="C264" s="22">
        <f>(Table13456789101112131415161734[[#This Row],[USA]]-B263)/B263</f>
        <v/>
      </c>
      <c r="D264" s="23">
        <f>(Table13456789101112131415161734[[#This Row],[USA]]-B252)/B252</f>
        <v/>
      </c>
    </row>
    <row r="265">
      <c r="A265" s="21" t="n">
        <v>41122</v>
      </c>
      <c r="B265" s="76">
        <f>VLOOKUP(A265,Database!$A:$AU,MATCH($B$4,Database!$A$1:$AU$1,0),FALSE)</f>
        <v/>
      </c>
      <c r="C265" s="22">
        <f>(Table13456789101112131415161734[[#This Row],[USA]]-B264)/B264</f>
        <v/>
      </c>
      <c r="D265" s="23">
        <f>(Table13456789101112131415161734[[#This Row],[USA]]-B253)/B253</f>
        <v/>
      </c>
    </row>
    <row r="266">
      <c r="A266" s="21" t="n">
        <v>41153</v>
      </c>
      <c r="B266" s="76">
        <f>VLOOKUP(A266,Database!$A:$AU,MATCH($B$4,Database!$A$1:$AU$1,0),FALSE)</f>
        <v/>
      </c>
      <c r="C266" s="22">
        <f>(Table13456789101112131415161734[[#This Row],[USA]]-B265)/B265</f>
        <v/>
      </c>
      <c r="D266" s="23">
        <f>(Table13456789101112131415161734[[#This Row],[USA]]-B254)/B254</f>
        <v/>
      </c>
    </row>
    <row r="267">
      <c r="A267" s="21" t="n">
        <v>41183</v>
      </c>
      <c r="B267" s="76">
        <f>VLOOKUP(A267,Database!$A:$AU,MATCH($B$4,Database!$A$1:$AU$1,0),FALSE)</f>
        <v/>
      </c>
      <c r="C267" s="22">
        <f>(Table13456789101112131415161734[[#This Row],[USA]]-B266)/B266</f>
        <v/>
      </c>
      <c r="D267" s="23">
        <f>(Table13456789101112131415161734[[#This Row],[USA]]-B255)/B255</f>
        <v/>
      </c>
    </row>
    <row r="268">
      <c r="A268" s="21" t="n">
        <v>41214</v>
      </c>
      <c r="B268" s="76">
        <f>VLOOKUP(A268,Database!$A:$AU,MATCH($B$4,Database!$A$1:$AU$1,0),FALSE)</f>
        <v/>
      </c>
      <c r="C268" s="22">
        <f>(Table13456789101112131415161734[[#This Row],[USA]]-B267)/B267</f>
        <v/>
      </c>
      <c r="D268" s="23">
        <f>(Table13456789101112131415161734[[#This Row],[USA]]-B256)/B256</f>
        <v/>
      </c>
    </row>
    <row r="269">
      <c r="A269" s="21" t="n">
        <v>41244</v>
      </c>
      <c r="B269" s="76">
        <f>VLOOKUP(A269,Database!$A:$AU,MATCH($B$4,Database!$A$1:$AU$1,0),FALSE)</f>
        <v/>
      </c>
      <c r="C269" s="22">
        <f>(Table13456789101112131415161734[[#This Row],[USA]]-B268)/B268</f>
        <v/>
      </c>
      <c r="D269" s="23">
        <f>(Table13456789101112131415161734[[#This Row],[USA]]-B257)/B257</f>
        <v/>
      </c>
    </row>
    <row r="270">
      <c r="A270" s="21" t="n">
        <v>41275</v>
      </c>
      <c r="B270" s="76">
        <f>VLOOKUP(A270,Database!$A:$AU,MATCH($B$4,Database!$A$1:$AU$1,0),FALSE)</f>
        <v/>
      </c>
      <c r="C270" s="22">
        <f>(Table13456789101112131415161734[[#This Row],[USA]]-B269)/B269</f>
        <v/>
      </c>
      <c r="D270" s="23">
        <f>(Table13456789101112131415161734[[#This Row],[USA]]-B258)/B258</f>
        <v/>
      </c>
    </row>
    <row r="271">
      <c r="A271" s="21" t="n">
        <v>41306</v>
      </c>
      <c r="B271" s="76">
        <f>VLOOKUP(A271,Database!$A:$AU,MATCH($B$4,Database!$A$1:$AU$1,0),FALSE)</f>
        <v/>
      </c>
      <c r="C271" s="22">
        <f>(Table13456789101112131415161734[[#This Row],[USA]]-B270)/B270</f>
        <v/>
      </c>
      <c r="D271" s="23">
        <f>(Table13456789101112131415161734[[#This Row],[USA]]-B259)/B259</f>
        <v/>
      </c>
    </row>
    <row r="272">
      <c r="A272" s="21" t="n">
        <v>41334</v>
      </c>
      <c r="B272" s="76">
        <f>VLOOKUP(A272,Database!$A:$AU,MATCH($B$4,Database!$A$1:$AU$1,0),FALSE)</f>
        <v/>
      </c>
      <c r="C272" s="22">
        <f>(Table13456789101112131415161734[[#This Row],[USA]]-B271)/B271</f>
        <v/>
      </c>
      <c r="D272" s="23">
        <f>(Table13456789101112131415161734[[#This Row],[USA]]-B260)/B260</f>
        <v/>
      </c>
    </row>
    <row r="273">
      <c r="A273" s="21" t="n">
        <v>41365</v>
      </c>
      <c r="B273" s="76">
        <f>VLOOKUP(A273,Database!$A:$AU,MATCH($B$4,Database!$A$1:$AU$1,0),FALSE)</f>
        <v/>
      </c>
      <c r="C273" s="22">
        <f>(Table13456789101112131415161734[[#This Row],[USA]]-B272)/B272</f>
        <v/>
      </c>
      <c r="D273" s="23">
        <f>(Table13456789101112131415161734[[#This Row],[USA]]-B261)/B261</f>
        <v/>
      </c>
    </row>
    <row r="274">
      <c r="A274" s="21" t="n">
        <v>41395</v>
      </c>
      <c r="B274" s="76">
        <f>VLOOKUP(A274,Database!$A:$AU,MATCH($B$4,Database!$A$1:$AU$1,0),FALSE)</f>
        <v/>
      </c>
      <c r="C274" s="22">
        <f>(Table13456789101112131415161734[[#This Row],[USA]]-B273)/B273</f>
        <v/>
      </c>
      <c r="D274" s="23">
        <f>(Table13456789101112131415161734[[#This Row],[USA]]-B262)/B262</f>
        <v/>
      </c>
    </row>
    <row r="275">
      <c r="A275" s="21" t="n">
        <v>41426</v>
      </c>
      <c r="B275" s="76">
        <f>VLOOKUP(A275,Database!$A:$AU,MATCH($B$4,Database!$A$1:$AU$1,0),FALSE)</f>
        <v/>
      </c>
      <c r="C275" s="22">
        <f>(Table13456789101112131415161734[[#This Row],[USA]]-B274)/B274</f>
        <v/>
      </c>
      <c r="D275" s="23">
        <f>(Table13456789101112131415161734[[#This Row],[USA]]-B263)/B263</f>
        <v/>
      </c>
    </row>
    <row r="276">
      <c r="A276" s="21" t="n">
        <v>41456</v>
      </c>
      <c r="B276" s="76">
        <f>VLOOKUP(A276,Database!$A:$AU,MATCH($B$4,Database!$A$1:$AU$1,0),FALSE)</f>
        <v/>
      </c>
      <c r="C276" s="22">
        <f>(Table13456789101112131415161734[[#This Row],[USA]]-B275)/B275</f>
        <v/>
      </c>
      <c r="D276" s="23">
        <f>(Table13456789101112131415161734[[#This Row],[USA]]-B264)/B264</f>
        <v/>
      </c>
    </row>
    <row r="277">
      <c r="A277" s="21" t="n">
        <v>41487</v>
      </c>
      <c r="B277" s="76">
        <f>VLOOKUP(A277,Database!$A:$AU,MATCH($B$4,Database!$A$1:$AU$1,0),FALSE)</f>
        <v/>
      </c>
      <c r="C277" s="22">
        <f>(Table13456789101112131415161734[[#This Row],[USA]]-B276)/B276</f>
        <v/>
      </c>
      <c r="D277" s="23">
        <f>(Table13456789101112131415161734[[#This Row],[USA]]-B265)/B265</f>
        <v/>
      </c>
    </row>
    <row r="278">
      <c r="A278" s="21" t="n">
        <v>41518</v>
      </c>
      <c r="B278" s="76">
        <f>VLOOKUP(A278,Database!$A:$AU,MATCH($B$4,Database!$A$1:$AU$1,0),FALSE)</f>
        <v/>
      </c>
      <c r="C278" s="22">
        <f>(Table13456789101112131415161734[[#This Row],[USA]]-B277)/B277</f>
        <v/>
      </c>
      <c r="D278" s="23">
        <f>(Table13456789101112131415161734[[#This Row],[USA]]-B266)/B266</f>
        <v/>
      </c>
    </row>
    <row r="279">
      <c r="A279" s="21" t="n">
        <v>41548</v>
      </c>
      <c r="B279" s="76">
        <f>VLOOKUP(A279,Database!$A:$AU,MATCH($B$4,Database!$A$1:$AU$1,0),FALSE)</f>
        <v/>
      </c>
      <c r="C279" s="22">
        <f>(Table13456789101112131415161734[[#This Row],[USA]]-B278)/B278</f>
        <v/>
      </c>
      <c r="D279" s="23">
        <f>(Table13456789101112131415161734[[#This Row],[USA]]-B267)/B267</f>
        <v/>
      </c>
    </row>
    <row r="280">
      <c r="A280" s="21" t="n">
        <v>41579</v>
      </c>
      <c r="B280" s="76">
        <f>VLOOKUP(A280,Database!$A:$AU,MATCH($B$4,Database!$A$1:$AU$1,0),FALSE)</f>
        <v/>
      </c>
      <c r="C280" s="22">
        <f>(Table13456789101112131415161734[[#This Row],[USA]]-B279)/B279</f>
        <v/>
      </c>
      <c r="D280" s="23">
        <f>(Table13456789101112131415161734[[#This Row],[USA]]-B268)/B268</f>
        <v/>
      </c>
    </row>
    <row r="281">
      <c r="A281" s="21" t="n">
        <v>41609</v>
      </c>
      <c r="B281" s="76">
        <f>VLOOKUP(A281,Database!$A:$AU,MATCH($B$4,Database!$A$1:$AU$1,0),FALSE)</f>
        <v/>
      </c>
      <c r="C281" s="22">
        <f>(Table13456789101112131415161734[[#This Row],[USA]]-B280)/B280</f>
        <v/>
      </c>
      <c r="D281" s="23">
        <f>(Table13456789101112131415161734[[#This Row],[USA]]-B269)/B269</f>
        <v/>
      </c>
    </row>
    <row r="282">
      <c r="A282" s="21" t="n">
        <v>41640</v>
      </c>
      <c r="B282" s="76">
        <f>VLOOKUP(A282,Database!$A:$AU,MATCH($B$4,Database!$A$1:$AU$1,0),FALSE)</f>
        <v/>
      </c>
      <c r="C282" s="22">
        <f>(Table13456789101112131415161734[[#This Row],[USA]]-B281)/B281</f>
        <v/>
      </c>
      <c r="D282" s="23">
        <f>(Table13456789101112131415161734[[#This Row],[USA]]-B270)/B270</f>
        <v/>
      </c>
    </row>
    <row r="283">
      <c r="A283" s="21" t="n">
        <v>41671</v>
      </c>
      <c r="B283" s="76">
        <f>VLOOKUP(A283,Database!$A:$AU,MATCH($B$4,Database!$A$1:$AU$1,0),FALSE)</f>
        <v/>
      </c>
      <c r="C283" s="22">
        <f>(Table13456789101112131415161734[[#This Row],[USA]]-B282)/B282</f>
        <v/>
      </c>
      <c r="D283" s="23">
        <f>(Table13456789101112131415161734[[#This Row],[USA]]-B271)/B271</f>
        <v/>
      </c>
    </row>
    <row r="284">
      <c r="A284" s="21" t="n">
        <v>41699</v>
      </c>
      <c r="B284" s="76">
        <f>VLOOKUP(A284,Database!$A:$AU,MATCH($B$4,Database!$A$1:$AU$1,0),FALSE)</f>
        <v/>
      </c>
      <c r="C284" s="22">
        <f>(Table13456789101112131415161734[[#This Row],[USA]]-B283)/B283</f>
        <v/>
      </c>
      <c r="D284" s="23">
        <f>(Table13456789101112131415161734[[#This Row],[USA]]-B272)/B272</f>
        <v/>
      </c>
    </row>
    <row r="285">
      <c r="A285" s="21" t="n">
        <v>41730</v>
      </c>
      <c r="B285" s="76">
        <f>VLOOKUP(A285,Database!$A:$AU,MATCH($B$4,Database!$A$1:$AU$1,0),FALSE)</f>
        <v/>
      </c>
      <c r="C285" s="22">
        <f>(Table13456789101112131415161734[[#This Row],[USA]]-B284)/B284</f>
        <v/>
      </c>
      <c r="D285" s="23">
        <f>(Table13456789101112131415161734[[#This Row],[USA]]-B273)/B273</f>
        <v/>
      </c>
    </row>
    <row r="286">
      <c r="A286" s="21" t="n">
        <v>41760</v>
      </c>
      <c r="B286" s="76">
        <f>VLOOKUP(A286,Database!$A:$AU,MATCH($B$4,Database!$A$1:$AU$1,0),FALSE)</f>
        <v/>
      </c>
      <c r="C286" s="22">
        <f>(Table13456789101112131415161734[[#This Row],[USA]]-B285)/B285</f>
        <v/>
      </c>
      <c r="D286" s="23">
        <f>(Table13456789101112131415161734[[#This Row],[USA]]-B274)/B274</f>
        <v/>
      </c>
    </row>
    <row r="287">
      <c r="A287" s="21" t="n">
        <v>41791</v>
      </c>
      <c r="B287" s="76">
        <f>VLOOKUP(A287,Database!$A:$AU,MATCH($B$4,Database!$A$1:$AU$1,0),FALSE)</f>
        <v/>
      </c>
      <c r="C287" s="22">
        <f>(Table13456789101112131415161734[[#This Row],[USA]]-B286)/B286</f>
        <v/>
      </c>
      <c r="D287" s="23">
        <f>(Table13456789101112131415161734[[#This Row],[USA]]-B275)/B275</f>
        <v/>
      </c>
    </row>
    <row r="288">
      <c r="A288" s="21" t="n">
        <v>41821</v>
      </c>
      <c r="B288" s="76">
        <f>VLOOKUP(A288,Database!$A:$AU,MATCH($B$4,Database!$A$1:$AU$1,0),FALSE)</f>
        <v/>
      </c>
      <c r="C288" s="22">
        <f>(Table13456789101112131415161734[[#This Row],[USA]]-B287)/B287</f>
        <v/>
      </c>
      <c r="D288" s="23">
        <f>(Table13456789101112131415161734[[#This Row],[USA]]-B276)/B276</f>
        <v/>
      </c>
    </row>
    <row r="289">
      <c r="A289" s="21" t="n">
        <v>41852</v>
      </c>
      <c r="B289" s="76">
        <f>VLOOKUP(A289,Database!$A:$AU,MATCH($B$4,Database!$A$1:$AU$1,0),FALSE)</f>
        <v/>
      </c>
      <c r="C289" s="22">
        <f>(Table13456789101112131415161734[[#This Row],[USA]]-B288)/B288</f>
        <v/>
      </c>
      <c r="D289" s="23">
        <f>(Table13456789101112131415161734[[#This Row],[USA]]-B277)/B277</f>
        <v/>
      </c>
    </row>
    <row r="290">
      <c r="A290" s="21" t="n">
        <v>41883</v>
      </c>
      <c r="B290" s="76">
        <f>VLOOKUP(A290,Database!$A:$AU,MATCH($B$4,Database!$A$1:$AU$1,0),FALSE)</f>
        <v/>
      </c>
      <c r="C290" s="22">
        <f>(Table13456789101112131415161734[[#This Row],[USA]]-B289)/B289</f>
        <v/>
      </c>
      <c r="D290" s="23">
        <f>(Table13456789101112131415161734[[#This Row],[USA]]-B278)/B278</f>
        <v/>
      </c>
    </row>
    <row r="291">
      <c r="A291" s="21" t="n">
        <v>41913</v>
      </c>
      <c r="B291" s="76">
        <f>VLOOKUP(A291,Database!$A:$AU,MATCH($B$4,Database!$A$1:$AU$1,0),FALSE)</f>
        <v/>
      </c>
      <c r="C291" s="22">
        <f>(Table13456789101112131415161734[[#This Row],[USA]]-B290)/B290</f>
        <v/>
      </c>
      <c r="D291" s="23">
        <f>(Table13456789101112131415161734[[#This Row],[USA]]-B279)/B279</f>
        <v/>
      </c>
    </row>
    <row r="292">
      <c r="A292" s="21" t="n">
        <v>41944</v>
      </c>
      <c r="B292" s="76">
        <f>VLOOKUP(A292,Database!$A:$AU,MATCH($B$4,Database!$A$1:$AU$1,0),FALSE)</f>
        <v/>
      </c>
      <c r="C292" s="22">
        <f>(Table13456789101112131415161734[[#This Row],[USA]]-B291)/B291</f>
        <v/>
      </c>
      <c r="D292" s="23">
        <f>(Table13456789101112131415161734[[#This Row],[USA]]-B280)/B280</f>
        <v/>
      </c>
    </row>
    <row r="293">
      <c r="A293" s="21" t="n">
        <v>41974</v>
      </c>
      <c r="B293" s="76">
        <f>VLOOKUP(A293,Database!$A:$AU,MATCH($B$4,Database!$A$1:$AU$1,0),FALSE)</f>
        <v/>
      </c>
      <c r="C293" s="22">
        <f>(Table13456789101112131415161734[[#This Row],[USA]]-B292)/B292</f>
        <v/>
      </c>
      <c r="D293" s="23">
        <f>(Table13456789101112131415161734[[#This Row],[USA]]-B281)/B281</f>
        <v/>
      </c>
    </row>
    <row r="294">
      <c r="A294" s="21" t="n">
        <v>42005</v>
      </c>
      <c r="B294" s="76">
        <f>VLOOKUP(A294,Database!$A:$AU,MATCH($B$4,Database!$A$1:$AU$1,0),FALSE)</f>
        <v/>
      </c>
      <c r="C294" s="22">
        <f>(Table13456789101112131415161734[[#This Row],[USA]]-B293)/B293</f>
        <v/>
      </c>
      <c r="D294" s="23">
        <f>(Table13456789101112131415161734[[#This Row],[USA]]-B282)/B282</f>
        <v/>
      </c>
    </row>
    <row r="295">
      <c r="A295" s="21" t="n">
        <v>42036</v>
      </c>
      <c r="B295" s="76">
        <f>VLOOKUP(A295,Database!$A:$AU,MATCH($B$4,Database!$A$1:$AU$1,0),FALSE)</f>
        <v/>
      </c>
      <c r="C295" s="22">
        <f>(Table13456789101112131415161734[[#This Row],[USA]]-B294)/B294</f>
        <v/>
      </c>
      <c r="D295" s="23">
        <f>(Table13456789101112131415161734[[#This Row],[USA]]-B283)/B283</f>
        <v/>
      </c>
    </row>
    <row r="296">
      <c r="A296" s="21" t="n">
        <v>42064</v>
      </c>
      <c r="B296" s="76">
        <f>VLOOKUP(A296,Database!$A:$AU,MATCH($B$4,Database!$A$1:$AU$1,0),FALSE)</f>
        <v/>
      </c>
      <c r="C296" s="22">
        <f>(Table13456789101112131415161734[[#This Row],[USA]]-B295)/B295</f>
        <v/>
      </c>
      <c r="D296" s="23">
        <f>(Table13456789101112131415161734[[#This Row],[USA]]-B284)/B284</f>
        <v/>
      </c>
    </row>
    <row r="297">
      <c r="A297" s="21" t="n">
        <v>42095</v>
      </c>
      <c r="B297" s="76">
        <f>VLOOKUP(A297,Database!$A:$AU,MATCH($B$4,Database!$A$1:$AU$1,0),FALSE)</f>
        <v/>
      </c>
      <c r="C297" s="22">
        <f>(Table13456789101112131415161734[[#This Row],[USA]]-B296)/B296</f>
        <v/>
      </c>
      <c r="D297" s="23">
        <f>(Table13456789101112131415161734[[#This Row],[USA]]-B285)/B285</f>
        <v/>
      </c>
    </row>
    <row r="298">
      <c r="A298" s="21" t="n">
        <v>42125</v>
      </c>
      <c r="B298" s="76">
        <f>VLOOKUP(A298,Database!$A:$AU,MATCH($B$4,Database!$A$1:$AU$1,0),FALSE)</f>
        <v/>
      </c>
      <c r="C298" s="22">
        <f>(Table13456789101112131415161734[[#This Row],[USA]]-B297)/B297</f>
        <v/>
      </c>
      <c r="D298" s="23">
        <f>(Table13456789101112131415161734[[#This Row],[USA]]-B286)/B286</f>
        <v/>
      </c>
    </row>
    <row r="299">
      <c r="A299" s="21" t="n">
        <v>42156</v>
      </c>
      <c r="B299" s="76">
        <f>VLOOKUP(A299,Database!$A:$AU,MATCH($B$4,Database!$A$1:$AU$1,0),FALSE)</f>
        <v/>
      </c>
      <c r="C299" s="22">
        <f>(Table13456789101112131415161734[[#This Row],[USA]]-B298)/B298</f>
        <v/>
      </c>
      <c r="D299" s="23">
        <f>(Table13456789101112131415161734[[#This Row],[USA]]-B287)/B287</f>
        <v/>
      </c>
    </row>
    <row r="300">
      <c r="A300" s="21" t="n">
        <v>42186</v>
      </c>
      <c r="B300" s="76">
        <f>VLOOKUP(A300,Database!$A:$AU,MATCH($B$4,Database!$A$1:$AU$1,0),FALSE)</f>
        <v/>
      </c>
      <c r="C300" s="22">
        <f>(Table13456789101112131415161734[[#This Row],[USA]]-B299)/B299</f>
        <v/>
      </c>
      <c r="D300" s="23">
        <f>(Table13456789101112131415161734[[#This Row],[USA]]-B288)/B288</f>
        <v/>
      </c>
    </row>
    <row r="301">
      <c r="A301" s="21" t="n">
        <v>42217</v>
      </c>
      <c r="B301" s="76">
        <f>VLOOKUP(A301,Database!$A:$AU,MATCH($B$4,Database!$A$1:$AU$1,0),FALSE)</f>
        <v/>
      </c>
      <c r="C301" s="22">
        <f>(Table13456789101112131415161734[[#This Row],[USA]]-B300)/B300</f>
        <v/>
      </c>
      <c r="D301" s="23">
        <f>(Table13456789101112131415161734[[#This Row],[USA]]-B289)/B289</f>
        <v/>
      </c>
    </row>
    <row r="302">
      <c r="A302" s="21" t="n">
        <v>42248</v>
      </c>
      <c r="B302" s="76">
        <f>VLOOKUP(A302,Database!$A:$AU,MATCH($B$4,Database!$A$1:$AU$1,0),FALSE)</f>
        <v/>
      </c>
      <c r="C302" s="22">
        <f>(Table13456789101112131415161734[[#This Row],[USA]]-B301)/B301</f>
        <v/>
      </c>
      <c r="D302" s="23">
        <f>(Table13456789101112131415161734[[#This Row],[USA]]-B290)/B290</f>
        <v/>
      </c>
    </row>
    <row r="303">
      <c r="A303" s="21" t="n">
        <v>42278</v>
      </c>
      <c r="B303" s="76">
        <f>VLOOKUP(A303,Database!$A:$AU,MATCH($B$4,Database!$A$1:$AU$1,0),FALSE)</f>
        <v/>
      </c>
      <c r="C303" s="22">
        <f>(Table13456789101112131415161734[[#This Row],[USA]]-B302)/B302</f>
        <v/>
      </c>
      <c r="D303" s="23">
        <f>(Table13456789101112131415161734[[#This Row],[USA]]-B291)/B291</f>
        <v/>
      </c>
    </row>
    <row r="304">
      <c r="A304" s="21" t="n">
        <v>42309</v>
      </c>
      <c r="B304" s="76">
        <f>VLOOKUP(A304,Database!$A:$AU,MATCH($B$4,Database!$A$1:$AU$1,0),FALSE)</f>
        <v/>
      </c>
      <c r="C304" s="22">
        <f>(Table13456789101112131415161734[[#This Row],[USA]]-B303)/B303</f>
        <v/>
      </c>
      <c r="D304" s="23">
        <f>(Table13456789101112131415161734[[#This Row],[USA]]-B292)/B292</f>
        <v/>
      </c>
    </row>
    <row r="305">
      <c r="A305" s="21" t="n">
        <v>42339</v>
      </c>
      <c r="B305" s="76">
        <f>VLOOKUP(A305,Database!$A:$AU,MATCH($B$4,Database!$A$1:$AU$1,0),FALSE)</f>
        <v/>
      </c>
      <c r="C305" s="22">
        <f>(Table13456789101112131415161734[[#This Row],[USA]]-B304)/B304</f>
        <v/>
      </c>
      <c r="D305" s="23">
        <f>(Table13456789101112131415161734[[#This Row],[USA]]-B293)/B293</f>
        <v/>
      </c>
    </row>
    <row r="306" customFormat="1" s="86">
      <c r="A306" s="21" t="n">
        <v>42370</v>
      </c>
      <c r="B306" s="76">
        <f>VLOOKUP(A306,Database!$A:$AU,MATCH($B$4,Database!$A$1:$AU$1,0),FALSE)</f>
        <v/>
      </c>
      <c r="C306" s="22">
        <f>(Table13456789101112131415161734[[#This Row],[USA]]-B305)/B305</f>
        <v/>
      </c>
      <c r="D306" s="23">
        <f>(Table13456789101112131415161734[[#This Row],[USA]]-B294)/B294</f>
        <v/>
      </c>
    </row>
    <row r="307" customFormat="1" s="86">
      <c r="A307" s="21" t="n">
        <v>42401</v>
      </c>
      <c r="B307" s="76">
        <f>VLOOKUP(A307,Database!$A:$AU,MATCH($B$4,Database!$A$1:$AU$1,0),FALSE)</f>
        <v/>
      </c>
      <c r="C307" s="22">
        <f>(Table13456789101112131415161734[[#This Row],[USA]]-B306)/B306</f>
        <v/>
      </c>
      <c r="D307" s="23">
        <f>(Table13456789101112131415161734[[#This Row],[USA]]-B295)/B295</f>
        <v/>
      </c>
    </row>
    <row r="308" customFormat="1" s="86">
      <c r="A308" s="21" t="n">
        <v>42430</v>
      </c>
      <c r="B308" s="76">
        <f>VLOOKUP(A308,Database!$A:$AU,MATCH($B$4,Database!$A$1:$AU$1,0),FALSE)</f>
        <v/>
      </c>
      <c r="C308" s="22">
        <f>(Table13456789101112131415161734[[#This Row],[USA]]-B307)/B307</f>
        <v/>
      </c>
      <c r="D308" s="23">
        <f>(Table13456789101112131415161734[[#This Row],[USA]]-B296)/B296</f>
        <v/>
      </c>
    </row>
    <row r="309" customFormat="1" s="86">
      <c r="A309" s="21" t="n">
        <v>42461</v>
      </c>
      <c r="B309" s="76">
        <f>VLOOKUP(A309,Database!$A:$AU,MATCH($B$4,Database!$A$1:$AU$1,0),FALSE)</f>
        <v/>
      </c>
      <c r="C309" s="22">
        <f>(Table13456789101112131415161734[[#This Row],[USA]]-B308)/B308</f>
        <v/>
      </c>
      <c r="D309" s="23">
        <f>(Table13456789101112131415161734[[#This Row],[USA]]-B297)/B297</f>
        <v/>
      </c>
    </row>
    <row r="310" customFormat="1" s="86">
      <c r="A310" s="21" t="n">
        <v>42491</v>
      </c>
      <c r="B310" s="76">
        <f>VLOOKUP(A310,Database!$A:$AU,MATCH($B$4,Database!$A$1:$AU$1,0),FALSE)</f>
        <v/>
      </c>
      <c r="C310" s="22">
        <f>(Table13456789101112131415161734[[#This Row],[USA]]-B309)/B309</f>
        <v/>
      </c>
      <c r="D310" s="23">
        <f>(Table13456789101112131415161734[[#This Row],[USA]]-B298)/B298</f>
        <v/>
      </c>
    </row>
    <row r="311" customFormat="1" s="86">
      <c r="A311" s="21" t="n">
        <v>42522</v>
      </c>
      <c r="B311" s="76">
        <f>VLOOKUP(A311,Database!$A:$AU,MATCH($B$4,Database!$A$1:$AU$1,0),FALSE)</f>
        <v/>
      </c>
      <c r="C311" s="22">
        <f>(Table13456789101112131415161734[[#This Row],[USA]]-B310)/B310</f>
        <v/>
      </c>
      <c r="D311" s="23">
        <f>(Table13456789101112131415161734[[#This Row],[USA]]-B299)/B299</f>
        <v/>
      </c>
    </row>
    <row r="312" customFormat="1" s="86">
      <c r="A312" s="21" t="n">
        <v>42552</v>
      </c>
      <c r="B312" s="76">
        <f>VLOOKUP(A312,Database!$A:$AU,MATCH($B$4,Database!$A$1:$AU$1,0),FALSE)</f>
        <v/>
      </c>
      <c r="C312" s="22">
        <f>(Table13456789101112131415161734[[#This Row],[USA]]-B311)/B311</f>
        <v/>
      </c>
      <c r="D312" s="23">
        <f>(Table13456789101112131415161734[[#This Row],[USA]]-B300)/B300</f>
        <v/>
      </c>
    </row>
    <row r="313" customFormat="1" s="86">
      <c r="A313" s="21" t="n">
        <v>42583</v>
      </c>
      <c r="B313" s="76">
        <f>VLOOKUP(A313,Database!$A:$AU,MATCH($B$4,Database!$A$1:$AU$1,0),FALSE)</f>
        <v/>
      </c>
      <c r="C313" s="22">
        <f>(Table13456789101112131415161734[[#This Row],[USA]]-B312)/B312</f>
        <v/>
      </c>
      <c r="D313" s="23">
        <f>(Table13456789101112131415161734[[#This Row],[USA]]-B301)/B301</f>
        <v/>
      </c>
    </row>
    <row r="314" customFormat="1" s="86">
      <c r="A314" s="21" t="n">
        <v>42614</v>
      </c>
      <c r="B314" s="76">
        <f>VLOOKUP(A314,Database!$A:$AU,MATCH($B$4,Database!$A$1:$AU$1,0),FALSE)</f>
        <v/>
      </c>
      <c r="C314" s="22">
        <f>(Table13456789101112131415161734[[#This Row],[USA]]-B313)/B313</f>
        <v/>
      </c>
      <c r="D314" s="23">
        <f>(Table13456789101112131415161734[[#This Row],[USA]]-B302)/B302</f>
        <v/>
      </c>
    </row>
    <row r="315" customFormat="1" s="86">
      <c r="A315" s="21" t="n">
        <v>42644</v>
      </c>
      <c r="B315" s="76">
        <f>VLOOKUP(A315,Database!$A:$AU,MATCH($B$4,Database!$A$1:$AU$1,0),FALSE)</f>
        <v/>
      </c>
      <c r="C315" s="22">
        <f>(Table13456789101112131415161734[[#This Row],[USA]]-B314)/B314</f>
        <v/>
      </c>
      <c r="D315" s="23">
        <f>(Table13456789101112131415161734[[#This Row],[USA]]-B303)/B303</f>
        <v/>
      </c>
    </row>
    <row r="316" customFormat="1" s="86">
      <c r="A316" s="21" t="n">
        <v>42675</v>
      </c>
      <c r="B316" s="76">
        <f>VLOOKUP(A316,Database!$A:$AU,MATCH($B$4,Database!$A$1:$AU$1,0),FALSE)</f>
        <v/>
      </c>
      <c r="C316" s="22">
        <f>(Table13456789101112131415161734[[#This Row],[USA]]-B315)/B315</f>
        <v/>
      </c>
      <c r="D316" s="23">
        <f>(Table13456789101112131415161734[[#This Row],[USA]]-B304)/B304</f>
        <v/>
      </c>
    </row>
    <row r="317" customFormat="1" s="86">
      <c r="A317" s="21" t="n">
        <v>42705</v>
      </c>
      <c r="B317" s="76">
        <f>VLOOKUP(A317,Database!$A:$AU,MATCH($B$4,Database!$A$1:$AU$1,0),FALSE)</f>
        <v/>
      </c>
      <c r="C317" s="22">
        <f>(Table13456789101112131415161734[[#This Row],[USA]]-B316)/B316</f>
        <v/>
      </c>
      <c r="D317" s="23">
        <f>(Table13456789101112131415161734[[#This Row],[USA]]-B305)/B305</f>
        <v/>
      </c>
    </row>
    <row r="318" customFormat="1" s="86">
      <c r="A318" s="21" t="n">
        <v>42736</v>
      </c>
      <c r="B318" s="76">
        <f>VLOOKUP(A318,Database!$A:$AU,MATCH($B$4,Database!$A$1:$AU$1,0),FALSE)</f>
        <v/>
      </c>
      <c r="C318" s="22">
        <f>(Table13456789101112131415161734[[#This Row],[USA]]-B317)/B317</f>
        <v/>
      </c>
      <c r="D318" s="23">
        <f>(Table13456789101112131415161734[[#This Row],[USA]]-B306)/B306</f>
        <v/>
      </c>
    </row>
    <row r="319" customFormat="1" s="86">
      <c r="A319" s="21" t="n">
        <v>42767</v>
      </c>
      <c r="B319" s="76">
        <f>VLOOKUP(A319,Database!$A:$AU,MATCH($B$4,Database!$A$1:$AU$1,0),FALSE)</f>
        <v/>
      </c>
      <c r="C319" s="22">
        <f>(Table13456789101112131415161734[[#This Row],[USA]]-B318)/B318</f>
        <v/>
      </c>
      <c r="D319" s="23">
        <f>(Table13456789101112131415161734[[#This Row],[USA]]-B307)/B307</f>
        <v/>
      </c>
    </row>
    <row r="320" customFormat="1" s="86">
      <c r="A320" s="21" t="n">
        <v>42795</v>
      </c>
      <c r="B320" s="76">
        <f>VLOOKUP(A320,Database!$A:$AU,MATCH($B$4,Database!$A$1:$AU$1,0),FALSE)</f>
        <v/>
      </c>
      <c r="C320" s="22">
        <f>(Table13456789101112131415161734[[#This Row],[USA]]-B319)/B319</f>
        <v/>
      </c>
      <c r="D320" s="23">
        <f>(Table13456789101112131415161734[[#This Row],[USA]]-B308)/B308</f>
        <v/>
      </c>
    </row>
    <row r="321" customFormat="1" s="86">
      <c r="A321" s="21" t="n">
        <v>42826</v>
      </c>
      <c r="B321" s="76">
        <f>VLOOKUP(A321,Database!$A:$AU,MATCH($B$4,Database!$A$1:$AU$1,0),FALSE)</f>
        <v/>
      </c>
      <c r="C321" s="22">
        <f>(Table13456789101112131415161734[[#This Row],[USA]]-B320)/B320</f>
        <v/>
      </c>
      <c r="D321" s="23">
        <f>(Table13456789101112131415161734[[#This Row],[USA]]-B309)/B309</f>
        <v/>
      </c>
    </row>
    <row r="322" customFormat="1" s="86">
      <c r="A322" s="21" t="n">
        <v>42856</v>
      </c>
      <c r="B322" s="76">
        <f>VLOOKUP(A322,Database!$A:$AU,MATCH($B$4,Database!$A$1:$AU$1,0),FALSE)</f>
        <v/>
      </c>
      <c r="C322" s="22">
        <f>(Table13456789101112131415161734[[#This Row],[USA]]-B321)/B321</f>
        <v/>
      </c>
      <c r="D322" s="23">
        <f>(Table13456789101112131415161734[[#This Row],[USA]]-B310)/B310</f>
        <v/>
      </c>
    </row>
    <row r="323" customFormat="1" s="86">
      <c r="A323" s="21" t="n">
        <v>42887</v>
      </c>
      <c r="B323" s="76">
        <f>VLOOKUP(A323,Database!$A:$AU,MATCH($B$4,Database!$A$1:$AU$1,0),FALSE)</f>
        <v/>
      </c>
      <c r="C323" s="22">
        <f>(Table13456789101112131415161734[[#This Row],[USA]]-B322)/B322</f>
        <v/>
      </c>
      <c r="D323" s="23">
        <f>(Table13456789101112131415161734[[#This Row],[USA]]-B311)/B311</f>
        <v/>
      </c>
    </row>
    <row r="324" customFormat="1" s="86">
      <c r="A324" s="21" t="n">
        <v>42917</v>
      </c>
      <c r="B324" s="76">
        <f>VLOOKUP(A324,Database!$A:$AU,MATCH($B$4,Database!$A$1:$AU$1,0),FALSE)</f>
        <v/>
      </c>
      <c r="C324" s="22">
        <f>(Table13456789101112131415161734[[#This Row],[USA]]-B323)/B323</f>
        <v/>
      </c>
      <c r="D324" s="23">
        <f>(Table13456789101112131415161734[[#This Row],[USA]]-B312)/B312</f>
        <v/>
      </c>
    </row>
    <row r="325" customFormat="1" s="86">
      <c r="A325" s="21" t="n">
        <v>42948</v>
      </c>
      <c r="B325" s="76">
        <f>VLOOKUP(A325,Database!$A:$AU,MATCH($B$4,Database!$A$1:$AU$1,0),FALSE)</f>
        <v/>
      </c>
      <c r="C325" s="22">
        <f>(Table13456789101112131415161734[[#This Row],[USA]]-B324)/B324</f>
        <v/>
      </c>
      <c r="D325" s="23">
        <f>(Table13456789101112131415161734[[#This Row],[USA]]-B313)/B313</f>
        <v/>
      </c>
    </row>
    <row r="326" customFormat="1" s="86">
      <c r="A326" s="21" t="n">
        <v>42979</v>
      </c>
      <c r="B326" s="76">
        <f>VLOOKUP(A326,Database!$A:$AU,MATCH($B$4,Database!$A$1:$AU$1,0),FALSE)</f>
        <v/>
      </c>
      <c r="C326" s="22">
        <f>(Table13456789101112131415161734[[#This Row],[USA]]-B325)/B325</f>
        <v/>
      </c>
      <c r="D326" s="23">
        <f>(Table13456789101112131415161734[[#This Row],[USA]]-B314)/B314</f>
        <v/>
      </c>
    </row>
    <row r="327" customFormat="1" s="86">
      <c r="A327" s="21" t="n">
        <v>43009</v>
      </c>
      <c r="B327" s="76">
        <f>VLOOKUP(A327,Database!$A:$AU,MATCH($B$4,Database!$A$1:$AU$1,0),FALSE)</f>
        <v/>
      </c>
      <c r="C327" s="22">
        <f>(Table13456789101112131415161734[[#This Row],[USA]]-B326)/B326</f>
        <v/>
      </c>
      <c r="D327" s="23">
        <f>(Table13456789101112131415161734[[#This Row],[USA]]-B315)/B315</f>
        <v/>
      </c>
    </row>
    <row r="328" customFormat="1" s="86">
      <c r="A328" s="21" t="n">
        <v>43040</v>
      </c>
      <c r="B328" s="76">
        <f>VLOOKUP(A328,Database!$A:$AU,MATCH($B$4,Database!$A$1:$AU$1,0),FALSE)</f>
        <v/>
      </c>
      <c r="C328" s="22">
        <f>(Table13456789101112131415161734[[#This Row],[USA]]-B327)/B327</f>
        <v/>
      </c>
      <c r="D328" s="23">
        <f>(Table13456789101112131415161734[[#This Row],[USA]]-B316)/B316</f>
        <v/>
      </c>
    </row>
    <row r="329" customFormat="1" s="86">
      <c r="A329" s="21" t="n">
        <v>43070</v>
      </c>
      <c r="B329" s="76">
        <f>VLOOKUP(A329,Database!$A:$AU,MATCH($B$4,Database!$A$1:$AU$1,0),FALSE)</f>
        <v/>
      </c>
      <c r="C329" s="22">
        <f>(Table13456789101112131415161734[[#This Row],[USA]]-B328)/B328</f>
        <v/>
      </c>
      <c r="D329" s="23">
        <f>(Table13456789101112131415161734[[#This Row],[USA]]-B317)/B317</f>
        <v/>
      </c>
    </row>
    <row r="330" customFormat="1" s="86">
      <c r="A330" s="21" t="n">
        <v>43101</v>
      </c>
      <c r="B330" s="76">
        <f>VLOOKUP(A330,Database!$A:$AU,MATCH($B$4,Database!$A$1:$AU$1,0),FALSE)</f>
        <v/>
      </c>
      <c r="C330" s="22">
        <f>(Table13456789101112131415161734[[#This Row],[USA]]-B329)/B329</f>
        <v/>
      </c>
      <c r="D330" s="23">
        <f>(Table13456789101112131415161734[[#This Row],[USA]]-B318)/B318</f>
        <v/>
      </c>
    </row>
    <row r="331" customFormat="1" s="86">
      <c r="A331" s="21" t="n">
        <v>43132</v>
      </c>
      <c r="B331" s="76">
        <f>VLOOKUP(A331,Database!$A:$AU,MATCH($B$4,Database!$A$1:$AU$1,0),FALSE)</f>
        <v/>
      </c>
      <c r="C331" s="22">
        <f>(Table13456789101112131415161734[[#This Row],[USA]]-B330)/B330</f>
        <v/>
      </c>
      <c r="D331" s="23">
        <f>(Table13456789101112131415161734[[#This Row],[USA]]-B319)/B319</f>
        <v/>
      </c>
    </row>
    <row r="332" customFormat="1" s="86">
      <c r="A332" s="21" t="n">
        <v>43160</v>
      </c>
      <c r="B332" s="76">
        <f>VLOOKUP(A332,Database!$A:$AU,MATCH($B$4,Database!$A$1:$AU$1,0),FALSE)</f>
        <v/>
      </c>
      <c r="C332" s="22">
        <f>(Table13456789101112131415161734[[#This Row],[USA]]-B331)/B331</f>
        <v/>
      </c>
      <c r="D332" s="23">
        <f>(Table13456789101112131415161734[[#This Row],[USA]]-B320)/B320</f>
        <v/>
      </c>
    </row>
    <row r="333" customFormat="1" s="86">
      <c r="A333" s="21" t="n">
        <v>43191</v>
      </c>
      <c r="B333" s="76">
        <f>VLOOKUP(A333,Database!$A:$AU,MATCH($B$4,Database!$A$1:$AU$1,0),FALSE)</f>
        <v/>
      </c>
      <c r="C333" s="22">
        <f>(Table13456789101112131415161734[[#This Row],[USA]]-B332)/B332</f>
        <v/>
      </c>
      <c r="D333" s="23">
        <f>(Table13456789101112131415161734[[#This Row],[USA]]-B321)/B321</f>
        <v/>
      </c>
    </row>
    <row r="334" customFormat="1" s="86">
      <c r="A334" s="21" t="n">
        <v>43221</v>
      </c>
      <c r="B334" s="76">
        <f>VLOOKUP(A334,Database!$A:$AU,MATCH($B$4,Database!$A$1:$AU$1,0),FALSE)</f>
        <v/>
      </c>
      <c r="C334" s="22">
        <f>(Table13456789101112131415161734[[#This Row],[USA]]-B333)/B333</f>
        <v/>
      </c>
      <c r="D334" s="23">
        <f>(Table13456789101112131415161734[[#This Row],[USA]]-B322)/B322</f>
        <v/>
      </c>
    </row>
    <row r="335" customFormat="1" s="86">
      <c r="A335" s="21" t="n">
        <v>43252</v>
      </c>
      <c r="B335" s="76">
        <f>VLOOKUP(A335,Database!$A:$AU,MATCH($B$4,Database!$A$1:$AU$1,0),FALSE)</f>
        <v/>
      </c>
      <c r="C335" s="22">
        <f>(Table13456789101112131415161734[[#This Row],[USA]]-B334)/B334</f>
        <v/>
      </c>
      <c r="D335" s="23">
        <f>(Table13456789101112131415161734[[#This Row],[USA]]-B323)/B323</f>
        <v/>
      </c>
    </row>
    <row r="336" customFormat="1" s="86">
      <c r="A336" s="21" t="n">
        <v>43282</v>
      </c>
      <c r="B336" s="76">
        <f>VLOOKUP(A336,Database!$A:$AU,MATCH($B$4,Database!$A$1:$AU$1,0),FALSE)</f>
        <v/>
      </c>
      <c r="C336" s="22">
        <f>(Table13456789101112131415161734[[#This Row],[USA]]-B335)/B335</f>
        <v/>
      </c>
      <c r="D336" s="23">
        <f>(Table13456789101112131415161734[[#This Row],[USA]]-B324)/B324</f>
        <v/>
      </c>
    </row>
    <row r="337" customFormat="1" s="86">
      <c r="A337" s="21" t="n">
        <v>43313</v>
      </c>
      <c r="B337" s="76">
        <f>VLOOKUP(A337,Database!$A:$AU,MATCH($B$4,Database!$A$1:$AU$1,0),FALSE)</f>
        <v/>
      </c>
      <c r="C337" s="22">
        <f>(Table13456789101112131415161734[[#This Row],[USA]]-B336)/B336</f>
        <v/>
      </c>
      <c r="D337" s="23">
        <f>(Table13456789101112131415161734[[#This Row],[USA]]-B325)/B325</f>
        <v/>
      </c>
    </row>
    <row r="338" customFormat="1" s="86">
      <c r="A338" s="21" t="n">
        <v>43344</v>
      </c>
      <c r="B338" s="76">
        <f>VLOOKUP(A338,Database!$A:$AU,MATCH($B$4,Database!$A$1:$AU$1,0),FALSE)</f>
        <v/>
      </c>
      <c r="C338" s="22">
        <f>(Table13456789101112131415161734[[#This Row],[USA]]-B337)/B337</f>
        <v/>
      </c>
      <c r="D338" s="23">
        <f>(Table13456789101112131415161734[[#This Row],[USA]]-B326)/B326</f>
        <v/>
      </c>
    </row>
    <row r="339" customFormat="1" s="86">
      <c r="A339" s="21" t="n">
        <v>43374</v>
      </c>
      <c r="B339" s="76">
        <f>VLOOKUP(A339,Database!$A:$AU,MATCH($B$4,Database!$A$1:$AU$1,0),FALSE)</f>
        <v/>
      </c>
      <c r="C339" s="22">
        <f>(Table13456789101112131415161734[[#This Row],[USA]]-B338)/B338</f>
        <v/>
      </c>
      <c r="D339" s="23">
        <f>(Table13456789101112131415161734[[#This Row],[USA]]-B327)/B327</f>
        <v/>
      </c>
    </row>
    <row r="340" customFormat="1" s="86">
      <c r="A340" s="21" t="n">
        <v>43405</v>
      </c>
      <c r="B340" s="76">
        <f>VLOOKUP(A340,Database!$A:$AU,MATCH($B$4,Database!$A$1:$AU$1,0),FALSE)</f>
        <v/>
      </c>
      <c r="C340" s="22">
        <f>(Table13456789101112131415161734[[#This Row],[USA]]-B339)/B339</f>
        <v/>
      </c>
      <c r="D340" s="23">
        <f>(Table13456789101112131415161734[[#This Row],[USA]]-B328)/B328</f>
        <v/>
      </c>
    </row>
    <row r="341" customFormat="1" s="86">
      <c r="A341" s="21" t="n">
        <v>43435</v>
      </c>
      <c r="B341" s="76">
        <f>VLOOKUP(A341,Database!$A:$AU,MATCH($B$4,Database!$A$1:$AU$1,0),FALSE)</f>
        <v/>
      </c>
      <c r="C341" s="22">
        <f>(Table13456789101112131415161734[[#This Row],[USA]]-B340)/B340</f>
        <v/>
      </c>
      <c r="D341" s="23">
        <f>(Table13456789101112131415161734[[#This Row],[USA]]-B329)/B329</f>
        <v/>
      </c>
    </row>
    <row r="342" customFormat="1" s="86">
      <c r="A342" s="21" t="n">
        <v>43466</v>
      </c>
      <c r="B342" s="76">
        <f>VLOOKUP(A342,Database!$A:$AU,MATCH($B$4,Database!$A$1:$AU$1,0),FALSE)</f>
        <v/>
      </c>
      <c r="C342" s="22">
        <f>(Table13456789101112131415161734[[#This Row],[USA]]-B341)/B341</f>
        <v/>
      </c>
      <c r="D342" s="23">
        <f>(Table13456789101112131415161734[[#This Row],[USA]]-B330)/B330</f>
        <v/>
      </c>
    </row>
    <row r="343" customFormat="1" s="86">
      <c r="A343" s="21" t="n">
        <v>43497</v>
      </c>
      <c r="B343" s="76">
        <f>VLOOKUP(A343,Database!$A:$AU,MATCH($B$4,Database!$A$1:$AU$1,0),FALSE)</f>
        <v/>
      </c>
      <c r="C343" s="22">
        <f>(Table13456789101112131415161734[[#This Row],[USA]]-B342)/B342</f>
        <v/>
      </c>
      <c r="D343" s="23">
        <f>(Table13456789101112131415161734[[#This Row],[USA]]-B331)/B331</f>
        <v/>
      </c>
    </row>
    <row r="344" customFormat="1" s="86">
      <c r="A344" s="21" t="n">
        <v>43525</v>
      </c>
      <c r="B344" s="76">
        <f>VLOOKUP(A344,Database!$A:$AU,MATCH($B$4,Database!$A$1:$AU$1,0),FALSE)</f>
        <v/>
      </c>
      <c r="C344" s="22">
        <f>(Table13456789101112131415161734[[#This Row],[USA]]-B343)/B343</f>
        <v/>
      </c>
      <c r="D344" s="23">
        <f>(Table13456789101112131415161734[[#This Row],[USA]]-B332)/B332</f>
        <v/>
      </c>
    </row>
    <row r="345" customFormat="1" s="86">
      <c r="A345" s="21" t="n">
        <v>43556</v>
      </c>
      <c r="B345" s="76">
        <f>VLOOKUP(A345,Database!$A:$AU,MATCH($B$4,Database!$A$1:$AU$1,0),FALSE)</f>
        <v/>
      </c>
      <c r="C345" s="22">
        <f>(Table13456789101112131415161734[[#This Row],[USA]]-B344)/B344</f>
        <v/>
      </c>
      <c r="D345" s="23">
        <f>(Table13456789101112131415161734[[#This Row],[USA]]-B333)/B333</f>
        <v/>
      </c>
    </row>
    <row r="346" customFormat="1" s="86">
      <c r="A346" s="21" t="n">
        <v>43586</v>
      </c>
      <c r="B346" s="76">
        <f>VLOOKUP(A346,Database!$A:$AU,MATCH($B$4,Database!$A$1:$AU$1,0),FALSE)</f>
        <v/>
      </c>
      <c r="C346" s="22">
        <f>(Table13456789101112131415161734[[#This Row],[USA]]-B345)/B345</f>
        <v/>
      </c>
      <c r="D346" s="23">
        <f>(Table13456789101112131415161734[[#This Row],[USA]]-B334)/B334</f>
        <v/>
      </c>
    </row>
    <row r="347" customFormat="1" s="86">
      <c r="A347" s="21" t="n">
        <v>43617</v>
      </c>
      <c r="B347" s="76">
        <f>VLOOKUP(A347,Database!$A:$AU,MATCH($B$4,Database!$A$1:$AU$1,0),FALSE)</f>
        <v/>
      </c>
      <c r="C347" s="22">
        <f>(Table13456789101112131415161734[[#This Row],[USA]]-B346)/B346</f>
        <v/>
      </c>
      <c r="D347" s="23">
        <f>(Table13456789101112131415161734[[#This Row],[USA]]-B335)/B335</f>
        <v/>
      </c>
    </row>
    <row r="348" customFormat="1" s="86">
      <c r="A348" s="21" t="n">
        <v>43647</v>
      </c>
      <c r="B348" s="76">
        <f>VLOOKUP(A348,Database!$A:$AU,MATCH($B$4,Database!$A$1:$AU$1,0),FALSE)</f>
        <v/>
      </c>
      <c r="C348" s="22">
        <f>(Table13456789101112131415161734[[#This Row],[USA]]-B347)/B347</f>
        <v/>
      </c>
      <c r="D348" s="23">
        <f>(Table13456789101112131415161734[[#This Row],[USA]]-B336)/B336</f>
        <v/>
      </c>
    </row>
    <row r="349" customFormat="1" s="86">
      <c r="A349" s="21" t="n">
        <v>43678</v>
      </c>
      <c r="B349" s="76">
        <f>VLOOKUP(A349,Database!$A:$AU,MATCH($B$4,Database!$A$1:$AU$1,0),FALSE)</f>
        <v/>
      </c>
      <c r="C349" s="22">
        <f>(Table13456789101112131415161734[[#This Row],[USA]]-B348)/B348</f>
        <v/>
      </c>
      <c r="D349" s="23">
        <f>(Table13456789101112131415161734[[#This Row],[USA]]-B337)/B337</f>
        <v/>
      </c>
    </row>
    <row r="350" customFormat="1" s="86">
      <c r="A350" s="21" t="n">
        <v>43709</v>
      </c>
      <c r="B350" s="76">
        <f>VLOOKUP(A350,Database!$A:$AU,MATCH($B$4,Database!$A$1:$AU$1,0),FALSE)</f>
        <v/>
      </c>
      <c r="C350" s="22">
        <f>(Table13456789101112131415161734[[#This Row],[USA]]-B349)/B349</f>
        <v/>
      </c>
      <c r="D350" s="23">
        <f>(Table13456789101112131415161734[[#This Row],[USA]]-B338)/B338</f>
        <v/>
      </c>
    </row>
    <row r="351" customFormat="1" s="86">
      <c r="A351" s="21" t="n">
        <v>43739</v>
      </c>
      <c r="B351" s="76">
        <f>VLOOKUP(A351,Database!$A:$AU,MATCH($B$4,Database!$A$1:$AU$1,0),FALSE)</f>
        <v/>
      </c>
      <c r="C351" s="22">
        <f>(Table13456789101112131415161734[[#This Row],[USA]]-B350)/B350</f>
        <v/>
      </c>
      <c r="D351" s="23">
        <f>(Table13456789101112131415161734[[#This Row],[USA]]-B339)/B339</f>
        <v/>
      </c>
    </row>
    <row r="352" customFormat="1" s="86">
      <c r="A352" s="21" t="n">
        <v>43770</v>
      </c>
      <c r="B352" s="76">
        <f>VLOOKUP(A352,Database!$A:$AU,MATCH($B$4,Database!$A$1:$AU$1,0),FALSE)</f>
        <v/>
      </c>
      <c r="C352" s="22">
        <f>(Table13456789101112131415161734[[#This Row],[USA]]-B351)/B351</f>
        <v/>
      </c>
      <c r="D352" s="23">
        <f>(Table13456789101112131415161734[[#This Row],[USA]]-B340)/B340</f>
        <v/>
      </c>
    </row>
    <row r="353" customFormat="1" s="86">
      <c r="A353" s="21" t="n">
        <v>43800</v>
      </c>
      <c r="B353" s="76">
        <f>VLOOKUP(A353,Database!$A:$AU,MATCH($B$4,Database!$A$1:$AU$1,0),FALSE)</f>
        <v/>
      </c>
      <c r="C353" s="22">
        <f>(Table13456789101112131415161734[[#This Row],[USA]]-B352)/B352</f>
        <v/>
      </c>
      <c r="D353" s="23">
        <f>(Table13456789101112131415161734[[#This Row],[USA]]-B341)/B341</f>
        <v/>
      </c>
    </row>
    <row r="354" customFormat="1" s="86">
      <c r="A354" s="21" t="n">
        <v>43831</v>
      </c>
      <c r="B354" s="76">
        <f>VLOOKUP(A354,Database!$A:$AU,MATCH($B$4,Database!$A$1:$AU$1,0),FALSE)</f>
        <v/>
      </c>
      <c r="C354" s="22">
        <f>(Table13456789101112131415161734[[#This Row],[USA]]-B353)/B353</f>
        <v/>
      </c>
      <c r="D354" s="23">
        <f>(Table13456789101112131415161734[[#This Row],[USA]]-B342)/B342</f>
        <v/>
      </c>
    </row>
    <row r="355" customFormat="1" s="86">
      <c r="A355" s="21" t="n">
        <v>43862</v>
      </c>
      <c r="B355" s="76">
        <f>VLOOKUP(A355,Database!$A:$AU,MATCH($B$4,Database!$A$1:$AU$1,0),FALSE)</f>
        <v/>
      </c>
      <c r="C355" s="22">
        <f>(Table13456789101112131415161734[[#This Row],[USA]]-B354)/B354</f>
        <v/>
      </c>
      <c r="D355" s="23">
        <f>(Table13456789101112131415161734[[#This Row],[USA]]-B343)/B343</f>
        <v/>
      </c>
    </row>
    <row r="356" customFormat="1" s="86">
      <c r="A356" s="21" t="n">
        <v>43891</v>
      </c>
      <c r="B356" s="76">
        <f>VLOOKUP(A356,Database!$A:$AU,MATCH($B$4,Database!$A$1:$AU$1,0),FALSE)</f>
        <v/>
      </c>
      <c r="C356" s="22">
        <f>(Table13456789101112131415161734[[#This Row],[USA]]-B355)/B355</f>
        <v/>
      </c>
      <c r="D356" s="23">
        <f>(Table13456789101112131415161734[[#This Row],[USA]]-B344)/B344</f>
        <v/>
      </c>
    </row>
    <row r="357" customFormat="1" s="86">
      <c r="A357" s="21" t="n">
        <v>43922</v>
      </c>
      <c r="B357" s="76">
        <f>VLOOKUP(A357,Database!$A:$AU,MATCH($B$4,Database!$A$1:$AU$1,0),FALSE)</f>
        <v/>
      </c>
      <c r="C357" s="22">
        <f>(Table13456789101112131415161734[[#This Row],[USA]]-B356)/B356</f>
        <v/>
      </c>
      <c r="D357" s="23">
        <f>(Table13456789101112131415161734[[#This Row],[USA]]-B345)/B345</f>
        <v/>
      </c>
    </row>
    <row r="358" customFormat="1" s="86">
      <c r="A358" s="21" t="n">
        <v>43952</v>
      </c>
      <c r="B358" s="76">
        <f>VLOOKUP(A358,Database!$A:$AU,MATCH($B$4,Database!$A$1:$AU$1,0),FALSE)</f>
        <v/>
      </c>
      <c r="C358" s="22">
        <f>(Table13456789101112131415161734[[#This Row],[USA]]-B357)/B357</f>
        <v/>
      </c>
      <c r="D358" s="23">
        <f>(Table13456789101112131415161734[[#This Row],[USA]]-B346)/B346</f>
        <v/>
      </c>
    </row>
    <row r="359" customFormat="1" s="86">
      <c r="A359" s="21" t="n">
        <v>43983</v>
      </c>
      <c r="B359" s="76">
        <f>VLOOKUP(A359,Database!$A:$AU,MATCH($B$4,Database!$A$1:$AU$1,0),FALSE)</f>
        <v/>
      </c>
      <c r="C359" s="22">
        <f>(Table13456789101112131415161734[[#This Row],[USA]]-B358)/B358</f>
        <v/>
      </c>
      <c r="D359" s="23">
        <f>(Table13456789101112131415161734[[#This Row],[USA]]-B347)/B347</f>
        <v/>
      </c>
    </row>
    <row r="360" customFormat="1" s="86">
      <c r="A360" s="21" t="n">
        <v>44013</v>
      </c>
      <c r="B360" s="76">
        <f>VLOOKUP(A360,Database!$A:$AU,MATCH($B$4,Database!$A$1:$AU$1,0),FALSE)</f>
        <v/>
      </c>
      <c r="C360" s="22">
        <f>(Table13456789101112131415161734[[#This Row],[USA]]-B359)/B359</f>
        <v/>
      </c>
      <c r="D360" s="23">
        <f>(Table13456789101112131415161734[[#This Row],[USA]]-B348)/B348</f>
        <v/>
      </c>
    </row>
    <row r="361" customFormat="1" s="86">
      <c r="A361" s="21" t="n">
        <v>44044</v>
      </c>
      <c r="B361" s="76">
        <f>VLOOKUP(A361,Database!$A:$AU,MATCH($B$4,Database!$A$1:$AU$1,0),FALSE)</f>
        <v/>
      </c>
      <c r="C361" s="22">
        <f>(Table13456789101112131415161734[[#This Row],[USA]]-B360)/B360</f>
        <v/>
      </c>
      <c r="D361" s="23">
        <f>(Table13456789101112131415161734[[#This Row],[USA]]-B349)/B349</f>
        <v/>
      </c>
    </row>
    <row r="362" customFormat="1" s="86">
      <c r="A362" s="21" t="n">
        <v>44075</v>
      </c>
      <c r="B362" s="76">
        <f>VLOOKUP(A362,Database!$A:$AU,MATCH($B$4,Database!$A$1:$AU$1,0),FALSE)</f>
        <v/>
      </c>
      <c r="C362" s="22">
        <f>(Table13456789101112131415161734[[#This Row],[USA]]-B361)/B361</f>
        <v/>
      </c>
      <c r="D362" s="23">
        <f>(Table13456789101112131415161734[[#This Row],[USA]]-B350)/B350</f>
        <v/>
      </c>
    </row>
    <row r="363" customFormat="1" s="86">
      <c r="A363" s="21" t="n">
        <v>44105</v>
      </c>
      <c r="B363" s="76">
        <f>VLOOKUP(A363,Database!$A:$AU,MATCH($B$4,Database!$A$1:$AU$1,0),FALSE)</f>
        <v/>
      </c>
      <c r="C363" s="22">
        <f>(Table13456789101112131415161734[[#This Row],[USA]]-B362)/B362</f>
        <v/>
      </c>
      <c r="D363" s="23">
        <f>(Table13456789101112131415161734[[#This Row],[USA]]-B351)/B351</f>
        <v/>
      </c>
    </row>
    <row r="364" customFormat="1" s="86">
      <c r="A364" s="21" t="n">
        <v>44136</v>
      </c>
      <c r="B364" s="76">
        <f>VLOOKUP(A364,Database!$A:$AU,MATCH($B$4,Database!$A$1:$AU$1,0),FALSE)</f>
        <v/>
      </c>
      <c r="C364" s="22">
        <f>(Table13456789101112131415161734[[#This Row],[USA]]-B363)/B363</f>
        <v/>
      </c>
      <c r="D364" s="23">
        <f>(Table13456789101112131415161734[[#This Row],[USA]]-B352)/B352</f>
        <v/>
      </c>
    </row>
    <row r="365" customFormat="1" s="86">
      <c r="A365" s="21" t="n">
        <v>44166</v>
      </c>
      <c r="B365" s="76">
        <f>VLOOKUP(A365,Database!$A:$AU,MATCH($B$4,Database!$A$1:$AU$1,0),FALSE)</f>
        <v/>
      </c>
      <c r="C365" s="22">
        <f>(Table13456789101112131415161734[[#This Row],[USA]]-B364)/B364</f>
        <v/>
      </c>
      <c r="D365" s="23">
        <f>(Table13456789101112131415161734[[#This Row],[USA]]-B353)/B353</f>
        <v/>
      </c>
    </row>
    <row r="366" customFormat="1" s="86">
      <c r="A366" s="21" t="n">
        <v>44197</v>
      </c>
      <c r="B366" s="76">
        <f>VLOOKUP(A366,Database!$A:$AU,MATCH($B$4,Database!$A$1:$AU$1,0),FALSE)</f>
        <v/>
      </c>
      <c r="C366" s="22">
        <f>(Table13456789101112131415161734[[#This Row],[USA]]-B365)/B365</f>
        <v/>
      </c>
      <c r="D366" s="23">
        <f>(Table13456789101112131415161734[[#This Row],[USA]]-B354)/B354</f>
        <v/>
      </c>
    </row>
    <row r="367" customFormat="1" s="86">
      <c r="A367" s="21" t="n">
        <v>44228</v>
      </c>
      <c r="B367" s="76">
        <f>VLOOKUP(A367,Database!$A:$AU,MATCH($B$4,Database!$A$1:$AU$1,0),FALSE)</f>
        <v/>
      </c>
      <c r="C367" s="22">
        <f>(Table13456789101112131415161734[[#This Row],[USA]]-B366)/B366</f>
        <v/>
      </c>
      <c r="D367" s="23">
        <f>(Table13456789101112131415161734[[#This Row],[USA]]-B355)/B355</f>
        <v/>
      </c>
    </row>
    <row r="368" customFormat="1" s="86">
      <c r="A368" s="21" t="n">
        <v>44256</v>
      </c>
      <c r="B368" s="76">
        <f>VLOOKUP(A368,Database!$A:$AU,MATCH($B$4,Database!$A$1:$AU$1,0),FALSE)</f>
        <v/>
      </c>
      <c r="C368" s="22">
        <f>(Table13456789101112131415161734[[#This Row],[USA]]-B367)/B367</f>
        <v/>
      </c>
      <c r="D368" s="23">
        <f>(Table13456789101112131415161734[[#This Row],[USA]]-B356)/B356</f>
        <v/>
      </c>
    </row>
    <row r="369" customFormat="1" s="86">
      <c r="A369" s="21" t="n">
        <v>44287</v>
      </c>
      <c r="B369" s="76">
        <f>VLOOKUP(A369,Database!$A:$AU,MATCH($B$4,Database!$A$1:$AU$1,0),FALSE)</f>
        <v/>
      </c>
      <c r="C369" s="22">
        <f>(Table13456789101112131415161734[[#This Row],[USA]]-B368)/B368</f>
        <v/>
      </c>
      <c r="D369" s="23">
        <f>(Table13456789101112131415161734[[#This Row],[USA]]-B357)/B357</f>
        <v/>
      </c>
    </row>
    <row r="370" customFormat="1" s="86">
      <c r="A370" s="21" t="n">
        <v>44317</v>
      </c>
      <c r="B370" s="76">
        <f>VLOOKUP(A370,Database!$A:$AU,MATCH($B$4,Database!$A$1:$AU$1,0),FALSE)</f>
        <v/>
      </c>
      <c r="C370" s="22">
        <f>(Table13456789101112131415161734[[#This Row],[USA]]-B369)/B369</f>
        <v/>
      </c>
      <c r="D370" s="23">
        <f>(Table13456789101112131415161734[[#This Row],[USA]]-B358)/B358</f>
        <v/>
      </c>
    </row>
    <row r="371" customFormat="1" s="86">
      <c r="A371" s="21" t="n">
        <v>44348</v>
      </c>
      <c r="B371" s="76">
        <f>VLOOKUP(A371,Database!$A:$AU,MATCH($B$4,Database!$A$1:$AU$1,0),FALSE)</f>
        <v/>
      </c>
      <c r="C371" s="22">
        <f>(Table13456789101112131415161734[[#This Row],[USA]]-B370)/B370</f>
        <v/>
      </c>
      <c r="D371" s="23">
        <f>(Table13456789101112131415161734[[#This Row],[USA]]-B359)/B359</f>
        <v/>
      </c>
    </row>
    <row r="372" customFormat="1" s="86">
      <c r="A372" s="21" t="n">
        <v>44378</v>
      </c>
      <c r="B372" s="76">
        <f>VLOOKUP(A372,Database!$A:$AU,MATCH($B$4,Database!$A$1:$AU$1,0),FALSE)</f>
        <v/>
      </c>
      <c r="C372" s="22">
        <f>(Table13456789101112131415161734[[#This Row],[USA]]-B371)/B371</f>
        <v/>
      </c>
      <c r="D372" s="23">
        <f>(Table13456789101112131415161734[[#This Row],[USA]]-B360)/B360</f>
        <v/>
      </c>
    </row>
    <row r="373" customFormat="1" s="86">
      <c r="A373" s="21" t="n">
        <v>44409</v>
      </c>
      <c r="B373" s="76">
        <f>VLOOKUP(A373,Database!$A:$AU,MATCH($B$4,Database!$A$1:$AU$1,0),FALSE)</f>
        <v/>
      </c>
      <c r="C373" s="22">
        <f>(Table13456789101112131415161734[[#This Row],[USA]]-B372)/B372</f>
        <v/>
      </c>
      <c r="D373" s="23">
        <f>(Table13456789101112131415161734[[#This Row],[USA]]-B361)/B361</f>
        <v/>
      </c>
    </row>
    <row r="374" customFormat="1" s="86">
      <c r="A374" s="21" t="n">
        <v>44440</v>
      </c>
      <c r="B374" s="76">
        <f>VLOOKUP(A374,Database!$A:$AU,MATCH($B$4,Database!$A$1:$AU$1,0),FALSE)</f>
        <v/>
      </c>
      <c r="C374" s="22">
        <f>(Table13456789101112131415161734[[#This Row],[USA]]-B373)/B373</f>
        <v/>
      </c>
      <c r="D374" s="23">
        <f>(Table13456789101112131415161734[[#This Row],[USA]]-B362)/B362</f>
        <v/>
      </c>
    </row>
    <row r="375" customFormat="1" s="86">
      <c r="A375" s="21" t="n">
        <v>44470</v>
      </c>
      <c r="B375" s="76">
        <f>VLOOKUP(A375,Database!$A:$AU,MATCH($B$4,Database!$A$1:$AU$1,0),FALSE)</f>
        <v/>
      </c>
      <c r="C375" s="22">
        <f>(Table13456789101112131415161734[[#This Row],[USA]]-B374)/B374</f>
        <v/>
      </c>
      <c r="D375" s="23">
        <f>(Table13456789101112131415161734[[#This Row],[USA]]-B363)/B363</f>
        <v/>
      </c>
    </row>
    <row r="376" customFormat="1" s="86">
      <c r="A376" s="21" t="n">
        <v>44501</v>
      </c>
      <c r="B376" s="76">
        <f>VLOOKUP(A376,Database!$A:$AU,MATCH($B$4,Database!$A$1:$AU$1,0),FALSE)</f>
        <v/>
      </c>
      <c r="C376" s="22">
        <f>(Table13456789101112131415161734[[#This Row],[USA]]-B375)/B375</f>
        <v/>
      </c>
      <c r="D376" s="23">
        <f>(Table13456789101112131415161734[[#This Row],[USA]]-B364)/B364</f>
        <v/>
      </c>
    </row>
    <row r="377" customFormat="1" s="86">
      <c r="A377" s="21" t="n">
        <v>44531</v>
      </c>
      <c r="B377" s="76">
        <f>VLOOKUP(A377,Database!$A:$AU,MATCH($B$4,Database!$A$1:$AU$1,0),FALSE)</f>
        <v/>
      </c>
      <c r="C377" s="22">
        <f>(Table13456789101112131415161734[[#This Row],[USA]]-B376)/B376</f>
        <v/>
      </c>
      <c r="D377" s="23">
        <f>(Table13456789101112131415161734[[#This Row],[USA]]-B365)/B365</f>
        <v/>
      </c>
    </row>
    <row r="378" customFormat="1" s="86">
      <c r="A378" s="21" t="n">
        <v>44562</v>
      </c>
      <c r="B378" s="76">
        <f>VLOOKUP(A378,Database!$A:$AU,MATCH($B$4,Database!$A$1:$AU$1,0),FALSE)</f>
        <v/>
      </c>
      <c r="C378" s="22">
        <f>(Table13456789101112131415161734[[#This Row],[USA]]-B377)/B377</f>
        <v/>
      </c>
      <c r="D378" s="23">
        <f>(Table13456789101112131415161734[[#This Row],[USA]]-B366)/B366</f>
        <v/>
      </c>
    </row>
    <row r="379" customFormat="1" s="86">
      <c r="A379" s="21" t="n">
        <v>44593</v>
      </c>
      <c r="B379" s="76">
        <f>VLOOKUP(A379,Database!$A:$AU,MATCH($B$4,Database!$A$1:$AU$1,0),FALSE)</f>
        <v/>
      </c>
      <c r="C379" s="22">
        <f>(Table13456789101112131415161734[[#This Row],[USA]]-B378)/B378</f>
        <v/>
      </c>
      <c r="D379" s="23">
        <f>(Table13456789101112131415161734[[#This Row],[USA]]-B367)/B367</f>
        <v/>
      </c>
    </row>
    <row r="380" customFormat="1" s="86">
      <c r="A380" s="21" t="n">
        <v>44621</v>
      </c>
      <c r="B380" s="76">
        <f>VLOOKUP(A380,Database!$A:$AU,MATCH($B$4,Database!$A$1:$AU$1,0),FALSE)</f>
        <v/>
      </c>
      <c r="C380" s="22">
        <f>(Table13456789101112131415161734[[#This Row],[USA]]-B379)/B379</f>
        <v/>
      </c>
      <c r="D380" s="23">
        <f>(Table13456789101112131415161734[[#This Row],[USA]]-B368)/B368</f>
        <v/>
      </c>
    </row>
    <row r="381" customFormat="1" s="86">
      <c r="A381" s="21" t="n">
        <v>44652</v>
      </c>
      <c r="B381" s="76">
        <f>VLOOKUP(A381,Database!$A:$AU,MATCH($B$4,Database!$A$1:$AU$1,0),FALSE)</f>
        <v/>
      </c>
      <c r="C381" s="22">
        <f>(Table13456789101112131415161734[[#This Row],[USA]]-B380)/B380</f>
        <v/>
      </c>
      <c r="D381" s="23">
        <f>(Table13456789101112131415161734[[#This Row],[USA]]-B369)/B369</f>
        <v/>
      </c>
    </row>
    <row r="382" customFormat="1" s="86">
      <c r="A382" s="21" t="n">
        <v>44682</v>
      </c>
      <c r="B382" s="76">
        <f>VLOOKUP(A382,Database!$A:$AU,MATCH($B$4,Database!$A$1:$AU$1,0),FALSE)</f>
        <v/>
      </c>
      <c r="C382" s="22">
        <f>(Table13456789101112131415161734[[#This Row],[USA]]-B381)/B381</f>
        <v/>
      </c>
      <c r="D382" s="23">
        <f>(Table13456789101112131415161734[[#This Row],[USA]]-B370)/B370</f>
        <v/>
      </c>
    </row>
    <row r="383" customFormat="1" s="86">
      <c r="A383" s="21" t="n">
        <v>44713</v>
      </c>
      <c r="B383" s="76">
        <f>VLOOKUP(A383,Database!$A:$AU,MATCH($B$4,Database!$A$1:$AU$1,0),FALSE)</f>
        <v/>
      </c>
      <c r="C383" s="22">
        <f>(Table13456789101112131415161734[[#This Row],[USA]]-B382)/B382</f>
        <v/>
      </c>
      <c r="D383" s="23">
        <f>(Table13456789101112131415161734[[#This Row],[USA]]-B371)/B371</f>
        <v/>
      </c>
    </row>
    <row r="384" customFormat="1" s="86">
      <c r="A384" s="21" t="n">
        <v>44743</v>
      </c>
      <c r="B384" s="76">
        <f>VLOOKUP(A384,Database!$A:$AU,MATCH($B$4,Database!$A$1:$AU$1,0),FALSE)</f>
        <v/>
      </c>
      <c r="C384" s="22">
        <f>(Table13456789101112131415161734[[#This Row],[USA]]-B383)/B383</f>
        <v/>
      </c>
      <c r="D384" s="23">
        <f>(Table13456789101112131415161734[[#This Row],[USA]]-B372)/B372</f>
        <v/>
      </c>
    </row>
    <row r="385" customFormat="1" s="86">
      <c r="A385" s="21" t="n">
        <v>44774</v>
      </c>
      <c r="B385" s="76">
        <f>VLOOKUP(A385,Database!$A:$AU,MATCH($B$4,Database!$A$1:$AU$1,0),FALSE)</f>
        <v/>
      </c>
      <c r="C385" s="22">
        <f>(Table13456789101112131415161734[[#This Row],[USA]]-B384)/B384</f>
        <v/>
      </c>
      <c r="D385" s="23">
        <f>(Table13456789101112131415161734[[#This Row],[USA]]-B373)/B373</f>
        <v/>
      </c>
    </row>
    <row r="386" customFormat="1" s="86">
      <c r="A386" s="21" t="n">
        <v>44805</v>
      </c>
      <c r="B386" s="76">
        <f>VLOOKUP(A386,Database!$A:$AU,MATCH($B$4,Database!$A$1:$AU$1,0),FALSE)</f>
        <v/>
      </c>
      <c r="C386" s="22">
        <f>(Table13456789101112131415161734[[#This Row],[USA]]-B385)/B385</f>
        <v/>
      </c>
      <c r="D386" s="23">
        <f>(Table13456789101112131415161734[[#This Row],[USA]]-B374)/B374</f>
        <v/>
      </c>
    </row>
    <row r="387" customFormat="1" s="86">
      <c r="A387" s="21" t="n">
        <v>44835</v>
      </c>
      <c r="B387" s="76">
        <f>VLOOKUP(A387,Database!$A:$AU,MATCH($B$4,Database!$A$1:$AU$1,0),FALSE)</f>
        <v/>
      </c>
      <c r="C387" s="22">
        <f>(Table13456789101112131415161734[[#This Row],[USA]]-B386)/B386</f>
        <v/>
      </c>
      <c r="D387" s="23">
        <f>(Table13456789101112131415161734[[#This Row],[USA]]-B375)/B375</f>
        <v/>
      </c>
    </row>
    <row r="388" customFormat="1" s="86">
      <c r="A388" s="21" t="n">
        <v>44866</v>
      </c>
      <c r="B388" s="76">
        <f>VLOOKUP(A388,Database!$A:$AU,MATCH($B$4,Database!$A$1:$AU$1,0),FALSE)</f>
        <v/>
      </c>
      <c r="C388" s="22">
        <f>(Table13456789101112131415161734[[#This Row],[USA]]-B387)/B387</f>
        <v/>
      </c>
      <c r="D388" s="23">
        <f>(Table13456789101112131415161734[[#This Row],[USA]]-B376)/B376</f>
        <v/>
      </c>
    </row>
    <row r="389" customFormat="1" s="86">
      <c r="A389" s="21" t="n">
        <v>44896</v>
      </c>
      <c r="B389" s="76">
        <f>VLOOKUP(A389,Database!$A:$AU,MATCH($B$4,Database!$A$1:$AU$1,0),FALSE)</f>
        <v/>
      </c>
      <c r="C389" s="22">
        <f>(Table13456789101112131415161734[[#This Row],[USA]]-B388)/B388</f>
        <v/>
      </c>
      <c r="D389" s="23">
        <f>(Table13456789101112131415161734[[#This Row],[USA]]-B377)/B377</f>
        <v/>
      </c>
    </row>
    <row r="390" customFormat="1" s="86">
      <c r="A390" s="21" t="n">
        <v>44927</v>
      </c>
      <c r="B390" s="76">
        <f>VLOOKUP(A390,Database!$A:$AU,MATCH($B$4,Database!$A$1:$AU$1,0),FALSE)</f>
        <v/>
      </c>
      <c r="C390" s="22">
        <f>(Table13456789101112131415161734[[#This Row],[USA]]-B389)/B389</f>
        <v/>
      </c>
      <c r="D390" s="23">
        <f>(Table13456789101112131415161734[[#This Row],[USA]]-B378)/B378</f>
        <v/>
      </c>
    </row>
    <row r="391" customFormat="1" s="86">
      <c r="A391" s="16" t="n"/>
      <c r="C391" s="19" t="n"/>
      <c r="D391" s="19" t="n"/>
    </row>
    <row r="392" customFormat="1" s="86">
      <c r="A392" s="16" t="n"/>
      <c r="C392" s="19" t="n"/>
      <c r="D392" s="19" t="n"/>
    </row>
    <row r="393" customFormat="1" s="86">
      <c r="A393" s="16" t="n"/>
      <c r="C393" s="19" t="n"/>
      <c r="D393" s="19" t="n"/>
    </row>
    <row r="394" customFormat="1" s="86">
      <c r="A394" s="16" t="n"/>
      <c r="C394" s="19" t="n"/>
      <c r="D394" s="19" t="n"/>
    </row>
    <row r="395" customFormat="1" s="86">
      <c r="A395" s="16" t="n"/>
      <c r="C395" s="19" t="n"/>
      <c r="D395" s="19" t="n"/>
    </row>
    <row r="396" customFormat="1" s="86">
      <c r="A396" s="16" t="n"/>
      <c r="C396" s="19" t="n"/>
      <c r="D396" s="19" t="n"/>
    </row>
    <row r="397" customFormat="1" s="86">
      <c r="A397" s="16" t="n"/>
      <c r="C397" s="19" t="n"/>
      <c r="D397" s="19" t="n"/>
    </row>
    <row r="398" customFormat="1" s="86">
      <c r="A398" s="16" t="n"/>
      <c r="C398" s="19" t="n"/>
      <c r="D398" s="19" t="n"/>
    </row>
    <row r="399" customFormat="1" s="86">
      <c r="A399" s="16" t="n"/>
      <c r="C399" s="19" t="n"/>
      <c r="D399" s="19" t="n"/>
    </row>
    <row r="400" customFormat="1" s="86">
      <c r="A400" s="16" t="n"/>
      <c r="C400" s="19" t="n"/>
      <c r="D400" s="19" t="n"/>
    </row>
    <row r="401" customFormat="1" s="86">
      <c r="A401" s="16" t="n"/>
      <c r="C401" s="19" t="n"/>
      <c r="D401" s="19" t="n"/>
    </row>
    <row r="402" customFormat="1" s="86">
      <c r="A402" s="16" t="n"/>
      <c r="C402" s="19" t="n"/>
      <c r="D402" s="19" t="n"/>
    </row>
    <row r="403" customFormat="1" s="86">
      <c r="A403" s="16" t="n"/>
      <c r="C403" s="19" t="n"/>
      <c r="D403" s="19" t="n"/>
    </row>
    <row r="404" customFormat="1" s="86">
      <c r="A404" s="16" t="n"/>
      <c r="C404" s="19" t="n"/>
      <c r="D404" s="19" t="n"/>
    </row>
    <row r="405" customFormat="1" s="86">
      <c r="A405" s="16" t="n"/>
      <c r="C405" s="19" t="n"/>
      <c r="D405" s="19" t="n"/>
    </row>
    <row r="406" customFormat="1" s="86">
      <c r="A406" s="16" t="n"/>
      <c r="C406" s="19" t="n"/>
      <c r="D406" s="19" t="n"/>
    </row>
    <row r="407" customFormat="1" s="86">
      <c r="A407" s="16" t="n"/>
      <c r="C407" s="19" t="n"/>
      <c r="D407" s="19" t="n"/>
    </row>
    <row r="408" customFormat="1" s="86">
      <c r="A408" s="16" t="n"/>
      <c r="C408" s="19" t="n"/>
      <c r="D408" s="19" t="n"/>
    </row>
    <row r="409" customFormat="1" s="86">
      <c r="A409" s="16" t="n"/>
      <c r="C409" s="19" t="n"/>
      <c r="D409" s="19" t="n"/>
    </row>
    <row r="410" customFormat="1" s="86">
      <c r="A410" s="16" t="n"/>
      <c r="C410" s="19" t="n"/>
      <c r="D410" s="19" t="n"/>
    </row>
    <row r="411" customFormat="1" s="86">
      <c r="A411" s="16" t="n"/>
      <c r="C411" s="19" t="n"/>
      <c r="D411" s="19" t="n"/>
    </row>
    <row r="412" customFormat="1" s="86">
      <c r="A412" s="16" t="n"/>
      <c r="C412" s="19" t="n"/>
      <c r="D412" s="19" t="n"/>
    </row>
    <row r="413" customFormat="1" s="86">
      <c r="A413" s="16" t="n"/>
      <c r="C413" s="19" t="n"/>
      <c r="D413" s="19" t="n"/>
    </row>
    <row r="414" customFormat="1" s="86">
      <c r="A414" s="16" t="n"/>
      <c r="C414" s="19" t="n"/>
      <c r="D414" s="19" t="n"/>
    </row>
    <row r="415" customFormat="1" s="86">
      <c r="A415" s="16" t="n"/>
      <c r="C415" s="19" t="n"/>
      <c r="D415" s="19" t="n"/>
    </row>
    <row r="416" customFormat="1" s="86">
      <c r="A416" s="16" t="n"/>
      <c r="C416" s="19" t="n"/>
      <c r="D416" s="19" t="n"/>
    </row>
    <row r="417" customFormat="1" s="86">
      <c r="A417" s="16" t="n"/>
      <c r="C417" s="19" t="n"/>
      <c r="D417" s="19" t="n"/>
    </row>
    <row r="418" customFormat="1" s="86">
      <c r="A418" s="16" t="n"/>
      <c r="C418" s="19" t="n"/>
      <c r="D418" s="19" t="n"/>
    </row>
    <row r="419" customFormat="1" s="86">
      <c r="A419" s="16" t="n"/>
      <c r="C419" s="19" t="n"/>
      <c r="D419" s="19" t="n"/>
    </row>
    <row r="420" customFormat="1" s="86">
      <c r="A420" s="16" t="n"/>
      <c r="C420" s="19" t="n"/>
      <c r="D420" s="19" t="n"/>
    </row>
    <row r="421" customFormat="1" s="86">
      <c r="A421" s="16" t="n"/>
      <c r="C421" s="19" t="n"/>
      <c r="D421" s="19" t="n"/>
    </row>
    <row r="422" customFormat="1" s="86">
      <c r="A422" s="16" t="n"/>
      <c r="C422" s="19" t="n"/>
      <c r="D422" s="19" t="n"/>
    </row>
    <row r="423" customFormat="1" s="86">
      <c r="A423" s="16" t="n"/>
      <c r="C423" s="19" t="n"/>
      <c r="D423" s="19" t="n"/>
    </row>
    <row r="424" customFormat="1" s="86">
      <c r="A424" s="16" t="n"/>
      <c r="C424" s="19" t="n"/>
      <c r="D424" s="19" t="n"/>
    </row>
    <row r="425" customFormat="1" s="86">
      <c r="A425" s="16" t="n"/>
      <c r="C425" s="19" t="n"/>
      <c r="D425" s="19" t="n"/>
    </row>
    <row r="426" customFormat="1" s="86">
      <c r="A426" s="16" t="n"/>
      <c r="C426" s="19" t="n"/>
      <c r="D426" s="19" t="n"/>
    </row>
    <row r="427" customFormat="1" s="86">
      <c r="A427" s="16" t="n"/>
      <c r="C427" s="19" t="n"/>
      <c r="D427" s="19" t="n"/>
    </row>
    <row r="428" customFormat="1" s="86">
      <c r="A428" s="16" t="n"/>
      <c r="C428" s="19" t="n"/>
      <c r="D428" s="19" t="n"/>
    </row>
    <row r="429" customFormat="1" s="86">
      <c r="A429" s="16" t="n"/>
      <c r="C429" s="19" t="n"/>
      <c r="D429" s="19" t="n"/>
    </row>
    <row r="430" customFormat="1" s="86">
      <c r="A430" s="16" t="n"/>
      <c r="C430" s="19" t="n"/>
      <c r="D430" s="19" t="n"/>
    </row>
    <row r="431" customFormat="1" s="86">
      <c r="A431" s="16" t="n"/>
      <c r="C431" s="19" t="n"/>
      <c r="D431" s="19" t="n"/>
    </row>
    <row r="432" customFormat="1" s="86">
      <c r="A432" s="16" t="n"/>
      <c r="C432" s="19" t="n"/>
      <c r="D432" s="19" t="n"/>
    </row>
    <row r="433" customFormat="1" s="86">
      <c r="A433" s="16" t="n"/>
      <c r="C433" s="19" t="n"/>
      <c r="D433" s="19" t="n"/>
    </row>
    <row r="434" customFormat="1" s="86">
      <c r="A434" s="16" t="n"/>
      <c r="C434" s="19" t="n"/>
      <c r="D434" s="19" t="n"/>
    </row>
    <row r="435" customFormat="1" s="86">
      <c r="A435" s="16" t="n"/>
      <c r="C435" s="19" t="n"/>
      <c r="D435" s="19" t="n"/>
    </row>
    <row r="436" customFormat="1" s="86">
      <c r="A436" s="16" t="n"/>
      <c r="C436" s="19" t="n"/>
      <c r="D436" s="19" t="n"/>
    </row>
    <row r="437" customFormat="1" s="86">
      <c r="A437" s="16" t="n"/>
      <c r="C437" s="19" t="n"/>
      <c r="D437" s="19" t="n"/>
    </row>
    <row r="438" customFormat="1" s="86">
      <c r="A438" s="16" t="n"/>
      <c r="C438" s="19" t="n"/>
      <c r="D438" s="19" t="n"/>
    </row>
    <row r="439" customFormat="1" s="86">
      <c r="A439" s="16" t="n"/>
      <c r="C439" s="19" t="n"/>
      <c r="D439" s="19" t="n"/>
    </row>
    <row r="440" customFormat="1" s="86">
      <c r="A440" s="16" t="n"/>
      <c r="C440" s="19" t="n"/>
      <c r="D440" s="19" t="n"/>
    </row>
    <row r="441" customFormat="1" s="86">
      <c r="A441" s="16" t="n"/>
      <c r="C441" s="19" t="n"/>
      <c r="D441" s="19" t="n"/>
    </row>
    <row r="442" customFormat="1" s="86">
      <c r="A442" s="16" t="n"/>
      <c r="C442" s="19" t="n"/>
      <c r="D442" s="19" t="n"/>
    </row>
    <row r="443" customFormat="1" s="86">
      <c r="A443" s="16" t="n"/>
      <c r="C443" s="19" t="n"/>
      <c r="D443" s="19" t="n"/>
    </row>
    <row r="444" customFormat="1" s="86">
      <c r="A444" s="16" t="n"/>
      <c r="C444" s="19" t="n"/>
      <c r="D444" s="19" t="n"/>
    </row>
    <row r="445" customFormat="1" s="86">
      <c r="A445" s="16" t="n"/>
      <c r="C445" s="19" t="n"/>
      <c r="D445" s="19" t="n"/>
    </row>
    <row r="446" customFormat="1" s="86">
      <c r="A446" s="16" t="n"/>
      <c r="C446" s="19" t="n"/>
      <c r="D446" s="19" t="n"/>
    </row>
    <row r="447" customFormat="1" s="86">
      <c r="A447" s="16" t="n"/>
      <c r="C447" s="19" t="n"/>
      <c r="D447" s="19" t="n"/>
    </row>
    <row r="448" customFormat="1" s="86">
      <c r="A448" s="16" t="n"/>
      <c r="C448" s="19" t="n"/>
      <c r="D448" s="19" t="n"/>
    </row>
    <row r="449" customFormat="1" s="86">
      <c r="A449" s="16" t="n"/>
      <c r="C449" s="19" t="n"/>
      <c r="D449" s="19" t="n"/>
    </row>
    <row r="450" customFormat="1" s="86">
      <c r="A450" s="16" t="n"/>
      <c r="C450" s="19" t="n"/>
      <c r="D450" s="19" t="n"/>
    </row>
    <row r="451" customFormat="1" s="86">
      <c r="A451" s="16" t="n"/>
      <c r="C451" s="19" t="n"/>
      <c r="D451" s="19" t="n"/>
    </row>
    <row r="452" customFormat="1" s="86">
      <c r="A452" s="16" t="n"/>
      <c r="C452" s="19" t="n"/>
      <c r="D452" s="19" t="n"/>
    </row>
    <row r="453" customFormat="1" s="86">
      <c r="A453" s="16" t="n"/>
      <c r="C453" s="19" t="n"/>
      <c r="D453" s="19" t="n"/>
    </row>
    <row r="454" customFormat="1" s="86">
      <c r="A454" s="16" t="n"/>
      <c r="C454" s="19" t="n"/>
      <c r="D454" s="19" t="n"/>
    </row>
    <row r="455" customFormat="1" s="86">
      <c r="A455" s="16" t="n"/>
      <c r="C455" s="19" t="n"/>
      <c r="D455" s="19" t="n"/>
    </row>
    <row r="456" customFormat="1" s="86">
      <c r="A456" s="16" t="n"/>
      <c r="C456" s="19" t="n"/>
      <c r="D456" s="19" t="n"/>
    </row>
    <row r="457" customFormat="1" s="86">
      <c r="A457" s="16" t="n"/>
      <c r="C457" s="19" t="n"/>
      <c r="D457" s="19" t="n"/>
    </row>
    <row r="458" customFormat="1" s="86">
      <c r="A458" s="16" t="n"/>
      <c r="C458" s="19" t="n"/>
      <c r="D458" s="19" t="n"/>
    </row>
    <row r="459" customFormat="1" s="86">
      <c r="A459" s="16" t="n"/>
      <c r="C459" s="19" t="n"/>
      <c r="D459" s="19" t="n"/>
    </row>
    <row r="460" customFormat="1" s="86">
      <c r="A460" s="16" t="n"/>
      <c r="C460" s="19" t="n"/>
      <c r="D460" s="19" t="n"/>
    </row>
    <row r="461" customFormat="1" s="86">
      <c r="A461" s="16" t="n"/>
      <c r="C461" s="19" t="n"/>
      <c r="D461" s="19" t="n"/>
    </row>
    <row r="462" customFormat="1" s="86">
      <c r="A462" s="16" t="n"/>
      <c r="C462" s="19" t="n"/>
      <c r="D462" s="19" t="n"/>
    </row>
    <row r="463" customFormat="1" s="86">
      <c r="A463" s="16" t="n"/>
      <c r="C463" s="19" t="n"/>
      <c r="D463" s="19" t="n"/>
    </row>
    <row r="464" customFormat="1" s="86">
      <c r="A464" s="16" t="n"/>
      <c r="C464" s="19" t="n"/>
      <c r="D464" s="19" t="n"/>
    </row>
    <row r="465" customFormat="1" s="86">
      <c r="A465" s="16" t="n"/>
      <c r="C465" s="19" t="n"/>
      <c r="D465" s="19" t="n"/>
    </row>
    <row r="466" customFormat="1" s="86">
      <c r="A466" s="16" t="n"/>
      <c r="C466" s="19" t="n"/>
      <c r="D466" s="19" t="n"/>
    </row>
    <row r="467" customFormat="1" s="86">
      <c r="A467" s="16" t="n"/>
      <c r="C467" s="19" t="n"/>
      <c r="D467" s="19" t="n"/>
    </row>
    <row r="468" customFormat="1" s="86">
      <c r="A468" s="16" t="n"/>
      <c r="C468" s="19" t="n"/>
      <c r="D468" s="19" t="n"/>
    </row>
    <row r="469" customFormat="1" s="86">
      <c r="A469" s="16" t="n"/>
      <c r="C469" s="19" t="n"/>
      <c r="D469" s="19" t="n"/>
    </row>
    <row r="470" customFormat="1" s="86">
      <c r="A470" s="16" t="n"/>
      <c r="C470" s="19" t="n"/>
      <c r="D470" s="19" t="n"/>
    </row>
    <row r="471" customFormat="1" s="86">
      <c r="A471" s="16" t="n"/>
      <c r="C471" s="19" t="n"/>
      <c r="D471" s="19" t="n"/>
    </row>
    <row r="472" customFormat="1" s="86">
      <c r="A472" s="16" t="n"/>
      <c r="C472" s="19" t="n"/>
      <c r="D472" s="19" t="n"/>
    </row>
    <row r="473" customFormat="1" s="86">
      <c r="A473" s="16" t="n"/>
      <c r="C473" s="19" t="n"/>
      <c r="D473" s="19" t="n"/>
    </row>
    <row r="474" customFormat="1" s="86">
      <c r="A474" s="16" t="n"/>
      <c r="C474" s="19" t="n"/>
      <c r="D474" s="19" t="n"/>
    </row>
    <row r="475" customFormat="1" s="86">
      <c r="A475" s="16" t="n"/>
      <c r="C475" s="19" t="n"/>
      <c r="D475" s="19" t="n"/>
    </row>
    <row r="476" customFormat="1" s="86">
      <c r="A476" s="16" t="n"/>
      <c r="C476" s="19" t="n"/>
      <c r="D476" s="19" t="n"/>
    </row>
    <row r="477" customFormat="1" s="86">
      <c r="A477" s="16" t="n"/>
      <c r="C477" s="19" t="n"/>
      <c r="D477" s="19" t="n"/>
    </row>
    <row r="478" customFormat="1" s="86">
      <c r="A478" s="16" t="n"/>
      <c r="C478" s="19" t="n"/>
      <c r="D478" s="19" t="n"/>
    </row>
    <row r="479" customFormat="1" s="86">
      <c r="A479" s="16" t="n"/>
      <c r="C479" s="19" t="n"/>
      <c r="D479" s="19" t="n"/>
    </row>
    <row r="480" customFormat="1" s="86">
      <c r="A480" s="16" t="n"/>
      <c r="C480" s="19" t="n"/>
      <c r="D480" s="19" t="n"/>
    </row>
    <row r="481" customFormat="1" s="86">
      <c r="A481" s="16" t="n"/>
      <c r="C481" s="19" t="n"/>
      <c r="D481" s="19" t="n"/>
    </row>
    <row r="482" customFormat="1" s="86">
      <c r="A482" s="16" t="n"/>
      <c r="C482" s="19" t="n"/>
      <c r="D482" s="19" t="n"/>
    </row>
    <row r="483" customFormat="1" s="86">
      <c r="A483" s="16" t="n"/>
      <c r="C483" s="19" t="n"/>
      <c r="D483" s="19" t="n"/>
    </row>
    <row r="484" customFormat="1" s="86">
      <c r="A484" s="16" t="n"/>
      <c r="C484" s="19" t="n"/>
      <c r="D484" s="19" t="n"/>
    </row>
    <row r="485" customFormat="1" s="86">
      <c r="A485" s="16" t="n"/>
      <c r="C485" s="19" t="n"/>
      <c r="D485" s="19" t="n"/>
    </row>
    <row r="486" customFormat="1" s="86">
      <c r="A486" s="16" t="n"/>
      <c r="C486" s="19" t="n"/>
      <c r="D486" s="19" t="n"/>
    </row>
    <row r="487" customFormat="1" s="86">
      <c r="A487" s="16" t="n"/>
      <c r="C487" s="19" t="n"/>
      <c r="D487" s="19" t="n"/>
    </row>
    <row r="488" customFormat="1" s="86">
      <c r="A488" s="16" t="n"/>
      <c r="C488" s="19" t="n"/>
      <c r="D488" s="19" t="n"/>
    </row>
    <row r="489" customFormat="1" s="86">
      <c r="A489" s="16" t="n"/>
      <c r="C489" s="19" t="n"/>
      <c r="D489" s="19" t="n"/>
    </row>
    <row r="490" customFormat="1" s="86">
      <c r="A490" s="16" t="n"/>
      <c r="C490" s="19" t="n"/>
      <c r="D490" s="19" t="n"/>
    </row>
    <row r="491" customFormat="1" s="86">
      <c r="A491" s="16" t="n"/>
      <c r="C491" s="19" t="n"/>
      <c r="D491" s="19" t="n"/>
    </row>
    <row r="492" customFormat="1" s="86">
      <c r="A492" s="16" t="n"/>
      <c r="C492" s="19" t="n"/>
      <c r="D492" s="19" t="n"/>
    </row>
    <row r="493" customFormat="1" s="86">
      <c r="A493" s="16" t="n"/>
      <c r="C493" s="19" t="n"/>
      <c r="D493" s="19" t="n"/>
    </row>
    <row r="494" customFormat="1" s="86">
      <c r="A494" s="16" t="n"/>
      <c r="C494" s="19" t="n"/>
      <c r="D494" s="19" t="n"/>
    </row>
    <row r="495" customFormat="1" s="86">
      <c r="A495" s="16" t="n"/>
      <c r="C495" s="19" t="n"/>
      <c r="D495" s="19" t="n"/>
    </row>
    <row r="496" customFormat="1" s="86">
      <c r="A496" s="16" t="n"/>
      <c r="C496" s="19" t="n"/>
      <c r="D496" s="19" t="n"/>
    </row>
    <row r="497" customFormat="1" s="86">
      <c r="A497" s="16" t="n"/>
      <c r="C497" s="19" t="n"/>
      <c r="D497" s="19" t="n"/>
    </row>
    <row r="498" customFormat="1" s="86">
      <c r="A498" s="16" t="n"/>
      <c r="C498" s="19" t="n"/>
      <c r="D498" s="19" t="n"/>
    </row>
    <row r="499" customFormat="1" s="86">
      <c r="A499" s="16" t="n"/>
      <c r="C499" s="19" t="n"/>
      <c r="D499" s="19" t="n"/>
    </row>
    <row r="500" customFormat="1" s="86">
      <c r="A500" s="16" t="n"/>
      <c r="C500" s="19" t="n"/>
      <c r="D500" s="19" t="n"/>
    </row>
    <row r="501" customFormat="1" s="86">
      <c r="A501" s="16" t="n"/>
      <c r="C501" s="19" t="n"/>
      <c r="D501" s="19" t="n"/>
    </row>
    <row r="502" customFormat="1" s="86">
      <c r="A502" s="16" t="n"/>
      <c r="C502" s="19" t="n"/>
      <c r="D502" s="19" t="n"/>
    </row>
    <row r="503" customFormat="1" s="86">
      <c r="A503" s="16" t="n"/>
      <c r="C503" s="19" t="n"/>
      <c r="D503" s="19" t="n"/>
    </row>
    <row r="504" customFormat="1" s="86">
      <c r="A504" s="16" t="n"/>
      <c r="C504" s="19" t="n"/>
      <c r="D504" s="19" t="n"/>
    </row>
    <row r="505" customFormat="1" s="86">
      <c r="A505" s="16" t="n"/>
      <c r="C505" s="19" t="n"/>
      <c r="D505" s="19" t="n"/>
    </row>
    <row r="506" customFormat="1" s="86">
      <c r="A506" s="16" t="n"/>
      <c r="C506" s="19" t="n"/>
      <c r="D506" s="19" t="n"/>
    </row>
    <row r="507" customFormat="1" s="86">
      <c r="A507" s="16" t="n"/>
      <c r="C507" s="19" t="n"/>
      <c r="D507" s="19" t="n"/>
    </row>
    <row r="508" customFormat="1" s="86">
      <c r="A508" s="16" t="n"/>
      <c r="C508" s="19" t="n"/>
      <c r="D508" s="19" t="n"/>
    </row>
    <row r="509" customFormat="1" s="86">
      <c r="A509" s="16" t="n"/>
      <c r="C509" s="19" t="n"/>
      <c r="D509" s="19" t="n"/>
    </row>
    <row r="510" customFormat="1" s="86">
      <c r="A510" s="16" t="n"/>
      <c r="C510" s="19" t="n"/>
      <c r="D510" s="19" t="n"/>
    </row>
    <row r="511" customFormat="1" s="86">
      <c r="A511" s="16" t="n"/>
      <c r="C511" s="19" t="n"/>
      <c r="D511" s="19" t="n"/>
    </row>
    <row r="512" customFormat="1" s="86">
      <c r="A512" s="16" t="n"/>
      <c r="C512" s="19" t="n"/>
      <c r="D512" s="19" t="n"/>
    </row>
    <row r="513" customFormat="1" s="86">
      <c r="A513" s="16" t="n"/>
      <c r="C513" s="19" t="n"/>
      <c r="D513" s="19" t="n"/>
    </row>
    <row r="514" customFormat="1" s="86">
      <c r="A514" s="16" t="n"/>
      <c r="C514" s="19" t="n"/>
      <c r="D514" s="19" t="n"/>
    </row>
    <row r="515" customFormat="1" s="86">
      <c r="A515" s="16" t="n"/>
      <c r="C515" s="19" t="n"/>
      <c r="D515" s="19" t="n"/>
    </row>
    <row r="516" customFormat="1" s="86">
      <c r="A516" s="16" t="n"/>
      <c r="C516" s="19" t="n"/>
      <c r="D516" s="19" t="n"/>
    </row>
    <row r="517" customFormat="1" s="86">
      <c r="A517" s="16" t="n"/>
      <c r="C517" s="19" t="n"/>
      <c r="D517" s="19" t="n"/>
    </row>
    <row r="518" customFormat="1" s="86">
      <c r="A518" s="16" t="n"/>
      <c r="C518" s="19" t="n"/>
      <c r="D518" s="19" t="n"/>
    </row>
    <row r="519" customFormat="1" s="86">
      <c r="A519" s="16" t="n"/>
      <c r="C519" s="19" t="n"/>
      <c r="D519" s="19" t="n"/>
    </row>
    <row r="520" customFormat="1" s="86">
      <c r="A520" s="16" t="n"/>
      <c r="C520" s="19" t="n"/>
      <c r="D520" s="19" t="n"/>
    </row>
    <row r="521" customFormat="1" s="86">
      <c r="A521" s="16" t="n"/>
      <c r="C521" s="19" t="n"/>
      <c r="D521" s="19" t="n"/>
    </row>
    <row r="522" customFormat="1" s="86">
      <c r="A522" s="16" t="n"/>
      <c r="C522" s="19" t="n"/>
      <c r="D522" s="19" t="n"/>
    </row>
    <row r="523" customFormat="1" s="86">
      <c r="A523" s="16" t="n"/>
      <c r="C523" s="19" t="n"/>
      <c r="D523" s="19" t="n"/>
    </row>
    <row r="524" customFormat="1" s="86">
      <c r="A524" s="16" t="n"/>
      <c r="C524" s="19" t="n"/>
      <c r="D524" s="19" t="n"/>
    </row>
    <row r="525" customFormat="1" s="86">
      <c r="A525" s="16" t="n"/>
      <c r="C525" s="19" t="n"/>
      <c r="D525" s="19" t="n"/>
    </row>
    <row r="526" customFormat="1" s="86">
      <c r="A526" s="16" t="n"/>
      <c r="C526" s="19" t="n"/>
      <c r="D526" s="19" t="n"/>
    </row>
    <row r="527" customFormat="1" s="86">
      <c r="A527" s="16" t="n"/>
      <c r="C527" s="19" t="n"/>
      <c r="D527" s="19" t="n"/>
    </row>
    <row r="528" customFormat="1" s="86">
      <c r="A528" s="16" t="n"/>
      <c r="C528" s="19" t="n"/>
      <c r="D528" s="19" t="n"/>
    </row>
    <row r="529" customFormat="1" s="86">
      <c r="A529" s="16" t="n"/>
      <c r="C529" s="19" t="n"/>
      <c r="D529" s="19" t="n"/>
    </row>
    <row r="530" customFormat="1" s="86">
      <c r="A530" s="16" t="n"/>
      <c r="C530" s="19" t="n"/>
      <c r="D530" s="19" t="n"/>
    </row>
    <row r="531" customFormat="1" s="86">
      <c r="A531" s="16" t="n"/>
      <c r="C531" s="19" t="n"/>
      <c r="D531" s="19" t="n"/>
    </row>
    <row r="532" customFormat="1" s="86">
      <c r="A532" s="16" t="n"/>
      <c r="C532" s="19" t="n"/>
      <c r="D532" s="19" t="n"/>
    </row>
    <row r="533" customFormat="1" s="86">
      <c r="A533" s="16" t="n"/>
      <c r="C533" s="19" t="n"/>
      <c r="D533" s="19" t="n"/>
    </row>
    <row r="534" customFormat="1" s="86">
      <c r="A534" s="16" t="n"/>
      <c r="C534" s="19" t="n"/>
      <c r="D534" s="19" t="n"/>
    </row>
    <row r="535" customFormat="1" s="86">
      <c r="A535" s="16" t="n"/>
      <c r="C535" s="19" t="n"/>
      <c r="D535" s="19" t="n"/>
    </row>
    <row r="536" customFormat="1" s="86">
      <c r="A536" s="16" t="n"/>
      <c r="C536" s="19" t="n"/>
      <c r="D536" s="19" t="n"/>
    </row>
    <row r="537" customFormat="1" s="86">
      <c r="A537" s="16" t="n"/>
      <c r="C537" s="19" t="n"/>
      <c r="D537" s="19" t="n"/>
    </row>
    <row r="538" customFormat="1" s="86">
      <c r="A538" s="16" t="n"/>
      <c r="C538" s="19" t="n"/>
      <c r="D538" s="19" t="n"/>
    </row>
    <row r="539" customFormat="1" s="86">
      <c r="A539" s="16" t="n"/>
      <c r="C539" s="19" t="n"/>
      <c r="D539" s="19" t="n"/>
    </row>
    <row r="540" customFormat="1" s="86">
      <c r="A540" s="16" t="n"/>
      <c r="C540" s="19" t="n"/>
      <c r="D540" s="19" t="n"/>
    </row>
    <row r="541" customFormat="1" s="86">
      <c r="A541" s="16" t="n"/>
      <c r="C541" s="19" t="n"/>
      <c r="D541" s="19" t="n"/>
    </row>
    <row r="542" customFormat="1" s="86">
      <c r="A542" s="16" t="n"/>
      <c r="C542" s="19" t="n"/>
      <c r="D542" s="19" t="n"/>
    </row>
    <row r="543" customFormat="1" s="86">
      <c r="A543" s="16" t="n"/>
      <c r="C543" s="19" t="n"/>
      <c r="D543" s="19" t="n"/>
    </row>
    <row r="544" customFormat="1" s="86">
      <c r="A544" s="16" t="n"/>
      <c r="C544" s="19" t="n"/>
      <c r="D544" s="19" t="n"/>
    </row>
    <row r="545" customFormat="1" s="86">
      <c r="A545" s="16" t="n"/>
      <c r="C545" s="19" t="n"/>
      <c r="D545" s="19" t="n"/>
    </row>
    <row r="546" customFormat="1" s="86">
      <c r="A546" s="16" t="n"/>
      <c r="C546" s="19" t="n"/>
      <c r="D546" s="19" t="n"/>
    </row>
    <row r="547" customFormat="1" s="86">
      <c r="A547" s="16" t="n"/>
      <c r="C547" s="19" t="n"/>
      <c r="D547" s="19" t="n"/>
    </row>
    <row r="548" customFormat="1" s="86">
      <c r="A548" s="16" t="n"/>
      <c r="C548" s="19" t="n"/>
      <c r="D548" s="19" t="n"/>
    </row>
    <row r="549" customFormat="1" s="86">
      <c r="A549" s="16" t="n"/>
      <c r="C549" s="19" t="n"/>
      <c r="D549" s="19" t="n"/>
    </row>
    <row r="550" customFormat="1" s="86">
      <c r="A550" s="16" t="n"/>
      <c r="C550" s="19" t="n"/>
      <c r="D550" s="19" t="n"/>
    </row>
    <row r="551" customFormat="1" s="86">
      <c r="A551" s="16" t="n"/>
      <c r="C551" s="19" t="n"/>
      <c r="D551" s="19" t="n"/>
    </row>
    <row r="552" customFormat="1" s="86">
      <c r="A552" s="16" t="n"/>
      <c r="C552" s="19" t="n"/>
      <c r="D552" s="19" t="n"/>
    </row>
    <row r="553" customFormat="1" s="86">
      <c r="A553" s="16" t="n"/>
      <c r="C553" s="19" t="n"/>
      <c r="D553" s="19" t="n"/>
    </row>
    <row r="554" customFormat="1" s="86">
      <c r="A554" s="16" t="n"/>
      <c r="C554" s="19" t="n"/>
      <c r="D554" s="19" t="n"/>
    </row>
    <row r="555" customFormat="1" s="86">
      <c r="A555" s="16" t="n"/>
      <c r="C555" s="19" t="n"/>
      <c r="D555" s="19" t="n"/>
    </row>
    <row r="556" customFormat="1" s="86">
      <c r="A556" s="16" t="n"/>
      <c r="C556" s="19" t="n"/>
      <c r="D556" s="19" t="n"/>
    </row>
    <row r="557" customFormat="1" s="86">
      <c r="A557" s="16" t="n"/>
      <c r="C557" s="19" t="n"/>
      <c r="D557" s="19" t="n"/>
    </row>
    <row r="558" customFormat="1" s="86">
      <c r="A558" s="16" t="n"/>
      <c r="C558" s="19" t="n"/>
      <c r="D558" s="19" t="n"/>
    </row>
    <row r="559" customFormat="1" s="86">
      <c r="A559" s="16" t="n"/>
      <c r="C559" s="19" t="n"/>
      <c r="D559" s="19" t="n"/>
    </row>
    <row r="560" customFormat="1" s="86">
      <c r="A560" s="16" t="n"/>
      <c r="C560" s="19" t="n"/>
      <c r="D560" s="19" t="n"/>
    </row>
    <row r="561" customFormat="1" s="86">
      <c r="A561" s="16" t="n"/>
      <c r="C561" s="19" t="n"/>
      <c r="D561" s="19" t="n"/>
    </row>
    <row r="562" customFormat="1" s="86">
      <c r="A562" s="16" t="n"/>
      <c r="C562" s="19" t="n"/>
      <c r="D562" s="19" t="n"/>
    </row>
    <row r="563" customFormat="1" s="86">
      <c r="A563" s="16" t="n"/>
      <c r="C563" s="19" t="n"/>
      <c r="D563" s="19" t="n"/>
    </row>
    <row r="564" customFormat="1" s="86">
      <c r="A564" s="16" t="n"/>
      <c r="C564" s="19" t="n"/>
      <c r="D564" s="19" t="n"/>
    </row>
    <row r="565" customFormat="1" s="86">
      <c r="A565" s="16" t="n"/>
      <c r="C565" s="19" t="n"/>
      <c r="D565" s="19" t="n"/>
    </row>
    <row r="566" customFormat="1" s="86">
      <c r="A566" s="16" t="n"/>
      <c r="C566" s="19" t="n"/>
      <c r="D566" s="19" t="n"/>
    </row>
    <row r="567" customFormat="1" s="86">
      <c r="A567" s="16" t="n"/>
      <c r="C567" s="19" t="n"/>
      <c r="D567" s="19" t="n"/>
    </row>
    <row r="568" customFormat="1" s="86">
      <c r="A568" s="16" t="n"/>
      <c r="C568" s="19" t="n"/>
      <c r="D568" s="19" t="n"/>
    </row>
    <row r="569" customFormat="1" s="86">
      <c r="A569" s="16" t="n"/>
      <c r="C569" s="19" t="n"/>
      <c r="D569" s="19" t="n"/>
    </row>
    <row r="570" customFormat="1" s="86">
      <c r="A570" s="16" t="n"/>
      <c r="C570" s="19" t="n"/>
      <c r="D570" s="19" t="n"/>
    </row>
    <row r="571" customFormat="1" s="86">
      <c r="A571" s="16" t="n"/>
      <c r="C571" s="19" t="n"/>
      <c r="D571" s="19" t="n"/>
    </row>
    <row r="572" customFormat="1" s="86">
      <c r="A572" s="16" t="n"/>
      <c r="C572" s="19" t="n"/>
      <c r="D572" s="19" t="n"/>
    </row>
    <row r="573" customFormat="1" s="86">
      <c r="A573" s="16" t="n"/>
      <c r="C573" s="19" t="n"/>
      <c r="D573" s="19" t="n"/>
    </row>
    <row r="574" customFormat="1" s="86">
      <c r="A574" s="16" t="n"/>
      <c r="C574" s="19" t="n"/>
      <c r="D574" s="19" t="n"/>
    </row>
    <row r="575" customFormat="1" s="86">
      <c r="A575" s="16" t="n"/>
      <c r="C575" s="19" t="n"/>
      <c r="D575" s="19" t="n"/>
    </row>
    <row r="576" customFormat="1" s="86">
      <c r="A576" s="16" t="n"/>
      <c r="C576" s="19" t="n"/>
      <c r="D576" s="19" t="n"/>
    </row>
    <row r="577" customFormat="1" s="86">
      <c r="A577" s="16" t="n"/>
      <c r="C577" s="19" t="n"/>
      <c r="D577" s="19" t="n"/>
    </row>
    <row r="578" customFormat="1" s="86">
      <c r="A578" s="16" t="n"/>
      <c r="C578" s="19" t="n"/>
      <c r="D578" s="19" t="n"/>
    </row>
    <row r="579" customFormat="1" s="86">
      <c r="A579" s="16" t="n"/>
      <c r="C579" s="19" t="n"/>
      <c r="D579" s="19" t="n"/>
    </row>
    <row r="580" customFormat="1" s="86">
      <c r="A580" s="16" t="n"/>
      <c r="C580" s="19" t="n"/>
      <c r="D580" s="19" t="n"/>
    </row>
    <row r="581" customFormat="1" s="86">
      <c r="A581" s="16" t="n"/>
      <c r="C581" s="19" t="n"/>
      <c r="D581" s="19" t="n"/>
    </row>
    <row r="582" customFormat="1" s="86">
      <c r="A582" s="16" t="n"/>
      <c r="C582" s="19" t="n"/>
      <c r="D582" s="19" t="n"/>
    </row>
    <row r="583" customFormat="1" s="86">
      <c r="A583" s="16" t="n"/>
      <c r="C583" s="19" t="n"/>
      <c r="D583" s="19" t="n"/>
    </row>
    <row r="584" customFormat="1" s="86">
      <c r="A584" s="16" t="n"/>
      <c r="C584" s="19" t="n"/>
      <c r="D584" s="19" t="n"/>
    </row>
    <row r="585" customFormat="1" s="86">
      <c r="A585" s="16" t="n"/>
      <c r="C585" s="19" t="n"/>
      <c r="D585" s="19" t="n"/>
    </row>
    <row r="586" customFormat="1" s="86">
      <c r="A586" s="16" t="n"/>
      <c r="C586" s="19" t="n"/>
      <c r="D586" s="19" t="n"/>
    </row>
    <row r="587" customFormat="1" s="86">
      <c r="A587" s="16" t="n"/>
      <c r="C587" s="19" t="n"/>
      <c r="D587" s="19" t="n"/>
    </row>
    <row r="588" customFormat="1" s="86">
      <c r="A588" s="16" t="n"/>
      <c r="C588" s="19" t="n"/>
      <c r="D588" s="19" t="n"/>
    </row>
    <row r="589" customFormat="1" s="86">
      <c r="A589" s="16" t="n"/>
      <c r="C589" s="19" t="n"/>
      <c r="D589" s="19" t="n"/>
    </row>
    <row r="590" customFormat="1" s="86">
      <c r="A590" s="16" t="n"/>
      <c r="C590" s="19" t="n"/>
      <c r="D590" s="19" t="n"/>
    </row>
    <row r="591" customFormat="1" s="86">
      <c r="A591" s="16" t="n"/>
      <c r="C591" s="19" t="n"/>
      <c r="D591" s="19" t="n"/>
    </row>
    <row r="592" customFormat="1" s="86">
      <c r="A592" s="16" t="n"/>
      <c r="C592" s="19" t="n"/>
      <c r="D592" s="19" t="n"/>
    </row>
    <row r="593" customFormat="1" s="86">
      <c r="A593" s="16" t="n"/>
      <c r="C593" s="19" t="n"/>
      <c r="D593" s="19" t="n"/>
    </row>
    <row r="594" customFormat="1" s="86">
      <c r="A594" s="16" t="n"/>
      <c r="C594" s="19" t="n"/>
      <c r="D594" s="19" t="n"/>
    </row>
    <row r="595" customFormat="1" s="86">
      <c r="A595" s="16" t="n"/>
      <c r="C595" s="19" t="n"/>
      <c r="D595" s="19" t="n"/>
    </row>
    <row r="596" customFormat="1" s="86">
      <c r="A596" s="16" t="n"/>
      <c r="C596" s="19" t="n"/>
      <c r="D596" s="19" t="n"/>
    </row>
    <row r="597" customFormat="1" s="86">
      <c r="A597" s="16" t="n"/>
      <c r="C597" s="19" t="n"/>
      <c r="D597" s="19" t="n"/>
    </row>
    <row r="598" customFormat="1" s="86">
      <c r="A598" s="16" t="n"/>
      <c r="C598" s="19" t="n"/>
      <c r="D598" s="19" t="n"/>
    </row>
    <row r="599" customFormat="1" s="86">
      <c r="A599" s="16" t="n"/>
      <c r="C599" s="19" t="n"/>
      <c r="D599" s="19" t="n"/>
    </row>
    <row r="600" customFormat="1" s="86">
      <c r="A600" s="16" t="n"/>
      <c r="C600" s="19" t="n"/>
      <c r="D600" s="19" t="n"/>
    </row>
    <row r="601" customFormat="1" s="86">
      <c r="A601" s="16" t="n"/>
      <c r="C601" s="19" t="n"/>
      <c r="D601" s="19" t="n"/>
    </row>
    <row r="602" customFormat="1" s="86">
      <c r="A602" s="16" t="n"/>
      <c r="C602" s="19" t="n"/>
      <c r="D602" s="19" t="n"/>
    </row>
    <row r="603" customFormat="1" s="86">
      <c r="A603" s="16" t="n"/>
      <c r="C603" s="19" t="n"/>
      <c r="D603" s="19" t="n"/>
    </row>
    <row r="604" customFormat="1" s="86">
      <c r="A604" s="16" t="n"/>
      <c r="C604" s="19" t="n"/>
      <c r="D604" s="19" t="n"/>
    </row>
    <row r="605" customFormat="1" s="86">
      <c r="A605" s="16" t="n"/>
      <c r="C605" s="19" t="n"/>
      <c r="D605" s="19" t="n"/>
    </row>
    <row r="606" customFormat="1" s="86">
      <c r="A606" s="16" t="n"/>
      <c r="C606" s="19" t="n"/>
      <c r="D606" s="19" t="n"/>
    </row>
    <row r="607" customFormat="1" s="86">
      <c r="A607" s="16" t="n"/>
      <c r="C607" s="19" t="n"/>
      <c r="D607" s="19" t="n"/>
    </row>
    <row r="608" customFormat="1" s="86">
      <c r="A608" s="16" t="n"/>
      <c r="C608" s="19" t="n"/>
      <c r="D608" s="19" t="n"/>
    </row>
    <row r="609" customFormat="1" s="86">
      <c r="A609" s="16" t="n"/>
      <c r="C609" s="19" t="n"/>
      <c r="D609" s="19" t="n"/>
    </row>
    <row r="610" customFormat="1" s="86">
      <c r="A610" s="16" t="n"/>
      <c r="C610" s="19" t="n"/>
      <c r="D610" s="19" t="n"/>
    </row>
    <row r="611" customFormat="1" s="86">
      <c r="A611" s="16" t="n"/>
      <c r="C611" s="19" t="n"/>
      <c r="D611" s="19" t="n"/>
    </row>
    <row r="612" customFormat="1" s="86">
      <c r="A612" s="16" t="n"/>
      <c r="C612" s="19" t="n"/>
      <c r="D612" s="19" t="n"/>
    </row>
    <row r="613" customFormat="1" s="86">
      <c r="A613" s="16" t="n"/>
      <c r="C613" s="19" t="n"/>
      <c r="D613" s="19" t="n"/>
    </row>
    <row r="614" customFormat="1" s="86">
      <c r="A614" s="16" t="n"/>
      <c r="C614" s="19" t="n"/>
      <c r="D614" s="19" t="n"/>
    </row>
    <row r="615" customFormat="1" s="86">
      <c r="A615" s="16" t="n"/>
      <c r="C615" s="19" t="n"/>
      <c r="D615" s="19" t="n"/>
    </row>
    <row r="616" customFormat="1" s="86">
      <c r="A616" s="16" t="n"/>
      <c r="C616" s="19" t="n"/>
      <c r="D616" s="19" t="n"/>
    </row>
    <row r="617" customFormat="1" s="86">
      <c r="A617" s="16" t="n"/>
      <c r="C617" s="19" t="n"/>
      <c r="D617" s="19" t="n"/>
    </row>
    <row r="618" customFormat="1" s="86">
      <c r="A618" s="16" t="n"/>
      <c r="C618" s="19" t="n"/>
      <c r="D618" s="19" t="n"/>
    </row>
    <row r="619" customFormat="1" s="86">
      <c r="A619" s="16" t="n"/>
      <c r="C619" s="19" t="n"/>
      <c r="D619" s="19" t="n"/>
    </row>
    <row r="620" customFormat="1" s="86">
      <c r="A620" s="16" t="n"/>
      <c r="C620" s="19" t="n"/>
      <c r="D620" s="19" t="n"/>
    </row>
    <row r="621" customFormat="1" s="86">
      <c r="A621" s="16" t="n"/>
      <c r="C621" s="19" t="n"/>
      <c r="D621" s="19" t="n"/>
    </row>
    <row r="622" customFormat="1" s="86">
      <c r="A622" s="16" t="n"/>
      <c r="C622" s="19" t="n"/>
      <c r="D622" s="19" t="n"/>
    </row>
    <row r="623" customFormat="1" s="86">
      <c r="A623" s="16" t="n"/>
      <c r="C623" s="19" t="n"/>
      <c r="D623" s="19" t="n"/>
    </row>
    <row r="624" customFormat="1" s="86">
      <c r="A624" s="16" t="n"/>
      <c r="C624" s="19" t="n"/>
      <c r="D624" s="19" t="n"/>
    </row>
    <row r="625" customFormat="1" s="86">
      <c r="A625" s="16" t="n"/>
      <c r="C625" s="19" t="n"/>
      <c r="D625" s="19" t="n"/>
    </row>
    <row r="626" customFormat="1" s="86">
      <c r="A626" s="16" t="n"/>
      <c r="C626" s="19" t="n"/>
      <c r="D626" s="19" t="n"/>
    </row>
    <row r="627" customFormat="1" s="86">
      <c r="A627" s="16" t="n"/>
      <c r="C627" s="19" t="n"/>
      <c r="D627" s="19" t="n"/>
    </row>
    <row r="628" customFormat="1" s="86">
      <c r="A628" s="16" t="n"/>
      <c r="C628" s="19" t="n"/>
      <c r="D628" s="19" t="n"/>
    </row>
    <row r="629" customFormat="1" s="86">
      <c r="A629" s="16" t="n"/>
      <c r="C629" s="19" t="n"/>
      <c r="D629" s="19" t="n"/>
    </row>
    <row r="630" customFormat="1" s="86">
      <c r="A630" s="16" t="n"/>
      <c r="C630" s="19" t="n"/>
      <c r="D630" s="19" t="n"/>
    </row>
    <row r="631" customFormat="1" s="86">
      <c r="A631" s="16" t="n"/>
      <c r="C631" s="19" t="n"/>
      <c r="D631" s="19" t="n"/>
    </row>
    <row r="632" customFormat="1" s="86">
      <c r="A632" s="16" t="n"/>
      <c r="C632" s="19" t="n"/>
      <c r="D632" s="19" t="n"/>
    </row>
    <row r="633" customFormat="1" s="86">
      <c r="A633" s="16" t="n"/>
      <c r="C633" s="19" t="n"/>
      <c r="D633" s="19" t="n"/>
    </row>
    <row r="634" customFormat="1" s="86">
      <c r="A634" s="16" t="n"/>
      <c r="C634" s="19" t="n"/>
      <c r="D634" s="19" t="n"/>
    </row>
    <row r="635" customFormat="1" s="86">
      <c r="A635" s="16" t="n"/>
      <c r="C635" s="19" t="n"/>
      <c r="D635" s="19" t="n"/>
    </row>
    <row r="636" customFormat="1" s="86">
      <c r="A636" s="16" t="n"/>
      <c r="C636" s="19" t="n"/>
      <c r="D636" s="19" t="n"/>
    </row>
    <row r="637" customFormat="1" s="86">
      <c r="A637" s="16" t="n"/>
      <c r="C637" s="19" t="n"/>
      <c r="D637" s="19" t="n"/>
    </row>
    <row r="638" customFormat="1" s="86">
      <c r="A638" s="16" t="n"/>
      <c r="C638" s="19" t="n"/>
      <c r="D638" s="19" t="n"/>
    </row>
    <row r="639" customFormat="1" s="86">
      <c r="A639" s="16" t="n"/>
      <c r="C639" s="19" t="n"/>
      <c r="D639" s="19" t="n"/>
    </row>
    <row r="640" customFormat="1" s="86">
      <c r="A640" s="16" t="n"/>
      <c r="C640" s="19" t="n"/>
      <c r="D640" s="19" t="n"/>
    </row>
    <row r="641" customFormat="1" s="86">
      <c r="A641" s="16" t="n"/>
      <c r="C641" s="19" t="n"/>
      <c r="D641" s="19" t="n"/>
    </row>
    <row r="642" customFormat="1" s="86">
      <c r="A642" s="16" t="n"/>
      <c r="C642" s="19" t="n"/>
      <c r="D642" s="19" t="n"/>
    </row>
    <row r="643" customFormat="1" s="86">
      <c r="A643" s="16" t="n"/>
      <c r="C643" s="19" t="n"/>
      <c r="D643" s="19" t="n"/>
    </row>
    <row r="644" customFormat="1" s="86">
      <c r="A644" s="16" t="n"/>
      <c r="C644" s="19" t="n"/>
      <c r="D644" s="19" t="n"/>
    </row>
    <row r="645" customFormat="1" s="86">
      <c r="A645" s="16" t="n"/>
      <c r="C645" s="19" t="n"/>
      <c r="D645" s="19" t="n"/>
    </row>
    <row r="646" customFormat="1" s="86">
      <c r="A646" s="16" t="n"/>
      <c r="C646" s="19" t="n"/>
      <c r="D646" s="19" t="n"/>
    </row>
    <row r="647" customFormat="1" s="86">
      <c r="A647" s="16" t="n"/>
      <c r="C647" s="19" t="n"/>
      <c r="D647" s="19" t="n"/>
    </row>
    <row r="648" customFormat="1" s="86">
      <c r="A648" s="16" t="n"/>
      <c r="C648" s="19" t="n"/>
      <c r="D648" s="19" t="n"/>
    </row>
    <row r="649" customFormat="1" s="86">
      <c r="A649" s="16" t="n"/>
      <c r="C649" s="19" t="n"/>
      <c r="D649" s="19" t="n"/>
    </row>
    <row r="650" customFormat="1" s="86">
      <c r="A650" s="16" t="n"/>
      <c r="C650" s="19" t="n"/>
      <c r="D650" s="19" t="n"/>
    </row>
    <row r="651" customFormat="1" s="86">
      <c r="A651" s="16" t="n"/>
      <c r="C651" s="19" t="n"/>
      <c r="D651" s="19" t="n"/>
    </row>
    <row r="652" customFormat="1" s="86">
      <c r="A652" s="16" t="n"/>
      <c r="C652" s="19" t="n"/>
      <c r="D652" s="19" t="n"/>
    </row>
    <row r="653" customFormat="1" s="86">
      <c r="A653" s="16" t="n"/>
      <c r="C653" s="19" t="n"/>
      <c r="D653" s="19" t="n"/>
    </row>
    <row r="654" customFormat="1" s="86">
      <c r="A654" s="16" t="n"/>
      <c r="C654" s="19" t="n"/>
      <c r="D654" s="19" t="n"/>
    </row>
    <row r="655" customFormat="1" s="86">
      <c r="A655" s="16" t="n"/>
      <c r="C655" s="19" t="n"/>
      <c r="D655" s="19" t="n"/>
    </row>
    <row r="656" customFormat="1" s="86">
      <c r="A656" s="16" t="n"/>
      <c r="C656" s="19" t="n"/>
      <c r="D656" s="19" t="n"/>
    </row>
    <row r="657" customFormat="1" s="86">
      <c r="A657" s="16" t="n"/>
      <c r="C657" s="19" t="n"/>
      <c r="D657" s="19" t="n"/>
    </row>
    <row r="658" customFormat="1" s="86">
      <c r="A658" s="16" t="n"/>
      <c r="C658" s="19" t="n"/>
      <c r="D658" s="19" t="n"/>
    </row>
    <row r="659" customFormat="1" s="86">
      <c r="A659" s="16" t="n"/>
      <c r="C659" s="19" t="n"/>
      <c r="D659" s="19" t="n"/>
    </row>
    <row r="660" customFormat="1" s="86">
      <c r="A660" s="16" t="n"/>
      <c r="C660" s="19" t="n"/>
      <c r="D660" s="19" t="n"/>
    </row>
    <row r="661" customFormat="1" s="86">
      <c r="A661" s="16" t="n"/>
      <c r="C661" s="19" t="n"/>
      <c r="D661" s="19" t="n"/>
    </row>
    <row r="662" customFormat="1" s="86">
      <c r="A662" s="16" t="n"/>
      <c r="C662" s="19" t="n"/>
      <c r="D662" s="19" t="n"/>
    </row>
    <row r="663" customFormat="1" s="86">
      <c r="A663" s="16" t="n"/>
      <c r="C663" s="19" t="n"/>
      <c r="D663" s="19" t="n"/>
    </row>
    <row r="664" customFormat="1" s="86">
      <c r="A664" s="16" t="n"/>
      <c r="C664" s="19" t="n"/>
      <c r="D664" s="19" t="n"/>
    </row>
    <row r="665" customFormat="1" s="86">
      <c r="A665" s="16" t="n"/>
      <c r="C665" s="19" t="n"/>
      <c r="D665" s="19" t="n"/>
    </row>
    <row r="666" customFormat="1" s="86">
      <c r="A666" s="16" t="n"/>
      <c r="C666" s="19" t="n"/>
      <c r="D666" s="19" t="n"/>
    </row>
    <row r="667" customFormat="1" s="86">
      <c r="A667" s="16" t="n"/>
      <c r="C667" s="19" t="n"/>
      <c r="D667" s="19" t="n"/>
    </row>
    <row r="668" customFormat="1" s="86">
      <c r="A668" s="16" t="n"/>
      <c r="C668" s="19" t="n"/>
      <c r="D668" s="19" t="n"/>
    </row>
    <row r="669" customFormat="1" s="86">
      <c r="A669" s="16" t="n"/>
      <c r="C669" s="19" t="n"/>
      <c r="D669" s="19" t="n"/>
    </row>
    <row r="670" customFormat="1" s="86">
      <c r="A670" s="16" t="n"/>
      <c r="C670" s="19" t="n"/>
      <c r="D670" s="19" t="n"/>
    </row>
    <row r="671" customFormat="1" s="86">
      <c r="A671" s="16" t="n"/>
      <c r="C671" s="19" t="n"/>
      <c r="D671" s="19" t="n"/>
    </row>
    <row r="672" customFormat="1" s="86">
      <c r="A672" s="16" t="n"/>
      <c r="C672" s="19" t="n"/>
      <c r="D672" s="19" t="n"/>
    </row>
    <row r="673" customFormat="1" s="86">
      <c r="A673" s="16" t="n"/>
      <c r="C673" s="19" t="n"/>
      <c r="D673" s="19" t="n"/>
    </row>
    <row r="674" customFormat="1" s="86">
      <c r="A674" s="16" t="n"/>
      <c r="C674" s="19" t="n"/>
      <c r="D674" s="19" t="n"/>
    </row>
    <row r="675" customFormat="1" s="86">
      <c r="A675" s="16" t="n"/>
      <c r="C675" s="19" t="n"/>
      <c r="D675" s="19" t="n"/>
    </row>
    <row r="676" customFormat="1" s="86">
      <c r="A676" s="16" t="n"/>
      <c r="C676" s="19" t="n"/>
      <c r="D676" s="19" t="n"/>
    </row>
    <row r="677" customFormat="1" s="86">
      <c r="A677" s="16" t="n"/>
      <c r="C677" s="19" t="n"/>
      <c r="D677" s="19" t="n"/>
    </row>
    <row r="678" customFormat="1" s="86">
      <c r="A678" s="16" t="n"/>
      <c r="C678" s="19" t="n"/>
      <c r="D678" s="19" t="n"/>
    </row>
    <row r="679" customFormat="1" s="86">
      <c r="A679" s="16" t="n"/>
      <c r="C679" s="19" t="n"/>
      <c r="D679" s="19" t="n"/>
    </row>
    <row r="680" customFormat="1" s="86">
      <c r="A680" s="16" t="n"/>
      <c r="C680" s="19" t="n"/>
      <c r="D680" s="19" t="n"/>
    </row>
    <row r="681" customFormat="1" s="86">
      <c r="A681" s="16" t="n"/>
      <c r="C681" s="19" t="n"/>
      <c r="D681" s="19" t="n"/>
    </row>
    <row r="682" customFormat="1" s="86">
      <c r="A682" s="16" t="n"/>
      <c r="C682" s="19" t="n"/>
      <c r="D682" s="19" t="n"/>
    </row>
    <row r="683" customFormat="1" s="86">
      <c r="A683" s="16" t="n"/>
      <c r="C683" s="19" t="n"/>
      <c r="D683" s="19" t="n"/>
    </row>
    <row r="684" customFormat="1" s="86">
      <c r="A684" s="16" t="n"/>
      <c r="C684" s="19" t="n"/>
      <c r="D684" s="19" t="n"/>
    </row>
    <row r="685" customFormat="1" s="86">
      <c r="A685" s="16" t="n"/>
      <c r="C685" s="19" t="n"/>
      <c r="D685" s="19" t="n"/>
    </row>
    <row r="686" customFormat="1" s="86">
      <c r="A686" s="16" t="n"/>
      <c r="C686" s="19" t="n"/>
      <c r="D686" s="19" t="n"/>
    </row>
    <row r="687" customFormat="1" s="86">
      <c r="A687" s="16" t="n"/>
      <c r="C687" s="19" t="n"/>
      <c r="D687" s="19" t="n"/>
    </row>
    <row r="688" customFormat="1" s="86">
      <c r="A688" s="16" t="n"/>
      <c r="C688" s="19" t="n"/>
      <c r="D688" s="19" t="n"/>
    </row>
    <row r="689" customFormat="1" s="86">
      <c r="A689" s="16" t="n"/>
      <c r="C689" s="19" t="n"/>
      <c r="D689" s="19" t="n"/>
    </row>
    <row r="690" customFormat="1" s="86">
      <c r="A690" s="16" t="n"/>
      <c r="C690" s="19" t="n"/>
      <c r="D690" s="19" t="n"/>
    </row>
    <row r="691" customFormat="1" s="86">
      <c r="A691" s="16" t="n"/>
      <c r="C691" s="19" t="n"/>
      <c r="D691" s="19" t="n"/>
    </row>
    <row r="692" customFormat="1" s="86">
      <c r="A692" s="16" t="n"/>
      <c r="C692" s="19" t="n"/>
      <c r="D692" s="19" t="n"/>
    </row>
    <row r="693" customFormat="1" s="86">
      <c r="A693" s="16" t="n"/>
      <c r="C693" s="19" t="n"/>
      <c r="D693" s="19" t="n"/>
    </row>
    <row r="694" customFormat="1" s="86">
      <c r="A694" s="16" t="n"/>
      <c r="C694" s="19" t="n"/>
      <c r="D694" s="19" t="n"/>
    </row>
    <row r="695" customFormat="1" s="86">
      <c r="A695" s="16" t="n"/>
      <c r="C695" s="19" t="n"/>
      <c r="D695" s="19" t="n"/>
    </row>
    <row r="696" customFormat="1" s="86">
      <c r="A696" s="16" t="n"/>
      <c r="C696" s="19" t="n"/>
      <c r="D696" s="19" t="n"/>
    </row>
    <row r="697" customFormat="1" s="86">
      <c r="A697" s="16" t="n"/>
      <c r="C697" s="19" t="n"/>
      <c r="D697" s="19" t="n"/>
    </row>
    <row r="698" customFormat="1" s="86">
      <c r="A698" s="16" t="n"/>
      <c r="C698" s="19" t="n"/>
      <c r="D698" s="19" t="n"/>
    </row>
    <row r="699" customFormat="1" s="86">
      <c r="A699" s="16" t="n"/>
      <c r="C699" s="19" t="n"/>
      <c r="D699" s="19" t="n"/>
    </row>
    <row r="700" customFormat="1" s="86">
      <c r="A700" s="16" t="n"/>
      <c r="C700" s="19" t="n"/>
      <c r="D700" s="19" t="n"/>
    </row>
    <row r="701" customFormat="1" s="86">
      <c r="A701" s="16" t="n"/>
      <c r="C701" s="19" t="n"/>
      <c r="D701" s="19" t="n"/>
    </row>
    <row r="702" customFormat="1" s="86">
      <c r="A702" s="16" t="n"/>
      <c r="C702" s="19" t="n"/>
      <c r="D702" s="19" t="n"/>
    </row>
    <row r="703" customFormat="1" s="86">
      <c r="A703" s="16" t="n"/>
      <c r="C703" s="19" t="n"/>
      <c r="D703" s="19" t="n"/>
    </row>
    <row r="704" customFormat="1" s="86">
      <c r="A704" s="16" t="n"/>
      <c r="C704" s="19" t="n"/>
      <c r="D704" s="19" t="n"/>
    </row>
    <row r="705" customFormat="1" s="86">
      <c r="A705" s="16" t="n"/>
      <c r="C705" s="19" t="n"/>
      <c r="D705" s="19" t="n"/>
    </row>
    <row r="706" customFormat="1" s="86">
      <c r="A706" s="16" t="n"/>
      <c r="C706" s="19" t="n"/>
      <c r="D706" s="19" t="n"/>
    </row>
    <row r="707" customFormat="1" s="86">
      <c r="A707" s="16" t="n"/>
      <c r="C707" s="19" t="n"/>
      <c r="D707" s="19" t="n"/>
    </row>
    <row r="708" customFormat="1" s="86">
      <c r="A708" s="16" t="n"/>
      <c r="C708" s="19" t="n"/>
      <c r="D708" s="19" t="n"/>
    </row>
    <row r="709" customFormat="1" s="86">
      <c r="A709" s="16" t="n"/>
      <c r="C709" s="19" t="n"/>
      <c r="D709" s="19" t="n"/>
    </row>
    <row r="710" customFormat="1" s="86">
      <c r="A710" s="16" t="n"/>
      <c r="C710" s="19" t="n"/>
      <c r="D710" s="19" t="n"/>
    </row>
    <row r="711" customFormat="1" s="86">
      <c r="A711" s="16" t="n"/>
      <c r="C711" s="19" t="n"/>
      <c r="D711" s="19" t="n"/>
    </row>
    <row r="712" customFormat="1" s="86">
      <c r="A712" s="16" t="n"/>
      <c r="C712" s="19" t="n"/>
      <c r="D712" s="19" t="n"/>
    </row>
    <row r="713" customFormat="1" s="86">
      <c r="A713" s="16" t="n"/>
      <c r="C713" s="19" t="n"/>
      <c r="D713" s="19" t="n"/>
    </row>
    <row r="714" customFormat="1" s="86">
      <c r="A714" s="16" t="n"/>
      <c r="C714" s="19" t="n"/>
      <c r="D714" s="19" t="n"/>
    </row>
    <row r="715" customFormat="1" s="86">
      <c r="A715" s="16" t="n"/>
      <c r="C715" s="19" t="n"/>
      <c r="D715" s="19" t="n"/>
    </row>
    <row r="716" customFormat="1" s="86">
      <c r="A716" s="16" t="n"/>
      <c r="C716" s="19" t="n"/>
      <c r="D716" s="19" t="n"/>
    </row>
    <row r="717" customFormat="1" s="86">
      <c r="A717" s="16" t="n"/>
      <c r="C717" s="19" t="n"/>
      <c r="D717" s="19" t="n"/>
    </row>
    <row r="718" customFormat="1" s="86">
      <c r="A718" s="16" t="n"/>
      <c r="C718" s="19" t="n"/>
      <c r="D718" s="19" t="n"/>
    </row>
    <row r="719" customFormat="1" s="86">
      <c r="A719" s="16" t="n"/>
      <c r="C719" s="19" t="n"/>
      <c r="D719" s="19" t="n"/>
    </row>
    <row r="720" customFormat="1" s="86">
      <c r="A720" s="16" t="n"/>
      <c r="C720" s="19" t="n"/>
      <c r="D720" s="19" t="n"/>
    </row>
    <row r="721" customFormat="1" s="86">
      <c r="A721" s="16" t="n"/>
      <c r="C721" s="19" t="n"/>
      <c r="D721" s="19" t="n"/>
    </row>
    <row r="722" customFormat="1" s="86">
      <c r="A722" s="16" t="n"/>
      <c r="C722" s="19" t="n"/>
      <c r="D722" s="19" t="n"/>
    </row>
    <row r="723" customFormat="1" s="86">
      <c r="A723" s="16" t="n"/>
      <c r="C723" s="19" t="n"/>
      <c r="D723" s="19" t="n"/>
    </row>
    <row r="724" customFormat="1" s="86">
      <c r="A724" s="16" t="n"/>
      <c r="C724" s="19" t="n"/>
      <c r="D724" s="19" t="n"/>
    </row>
    <row r="725" customFormat="1" s="86">
      <c r="A725" s="16" t="n"/>
      <c r="C725" s="19" t="n"/>
      <c r="D725" s="19" t="n"/>
    </row>
    <row r="726" customFormat="1" s="86">
      <c r="A726" s="16" t="n"/>
      <c r="C726" s="19" t="n"/>
      <c r="D726" s="19" t="n"/>
    </row>
    <row r="727" customFormat="1" s="86">
      <c r="A727" s="16" t="n"/>
      <c r="C727" s="19" t="n"/>
      <c r="D727" s="19" t="n"/>
    </row>
    <row r="728" customFormat="1" s="86">
      <c r="A728" s="16" t="n"/>
      <c r="C728" s="19" t="n"/>
      <c r="D728" s="19" t="n"/>
    </row>
    <row r="729" customFormat="1" s="86">
      <c r="A729" s="16" t="n"/>
      <c r="C729" s="19" t="n"/>
      <c r="D729" s="19" t="n"/>
    </row>
    <row r="730" customFormat="1" s="86">
      <c r="A730" s="16" t="n"/>
      <c r="C730" s="19" t="n"/>
      <c r="D730" s="19" t="n"/>
    </row>
    <row r="731" customFormat="1" s="86">
      <c r="A731" s="16" t="n"/>
      <c r="C731" s="19" t="n"/>
      <c r="D731" s="19" t="n"/>
    </row>
    <row r="732" customFormat="1" s="86">
      <c r="A732" s="16" t="n"/>
      <c r="C732" s="19" t="n"/>
      <c r="D732" s="19" t="n"/>
    </row>
    <row r="733" customFormat="1" s="86">
      <c r="A733" s="16" t="n"/>
      <c r="C733" s="19" t="n"/>
      <c r="D733" s="19" t="n"/>
    </row>
    <row r="734" customFormat="1" s="86">
      <c r="A734" s="16" t="n"/>
      <c r="C734" s="19" t="n"/>
      <c r="D734" s="19" t="n"/>
    </row>
    <row r="735" customFormat="1" s="86">
      <c r="A735" s="16" t="n"/>
      <c r="C735" s="19" t="n"/>
      <c r="D735" s="19" t="n"/>
    </row>
    <row r="736" customFormat="1" s="86">
      <c r="A736" s="16" t="n"/>
      <c r="C736" s="19" t="n"/>
      <c r="D736" s="19" t="n"/>
    </row>
    <row r="737" customFormat="1" s="86">
      <c r="A737" s="16" t="n"/>
      <c r="C737" s="19" t="n"/>
      <c r="D737" s="19" t="n"/>
    </row>
    <row r="738" customFormat="1" s="86">
      <c r="A738" s="16" t="n"/>
      <c r="C738" s="19" t="n"/>
      <c r="D738" s="19" t="n"/>
    </row>
    <row r="739" customFormat="1" s="86">
      <c r="A739" s="16" t="n"/>
      <c r="C739" s="19" t="n"/>
      <c r="D739" s="19" t="n"/>
    </row>
    <row r="740" customFormat="1" s="86">
      <c r="A740" s="16" t="n"/>
      <c r="C740" s="19" t="n"/>
      <c r="D740" s="19" t="n"/>
    </row>
    <row r="741" customFormat="1" s="86">
      <c r="A741" s="16" t="n"/>
      <c r="C741" s="19" t="n"/>
      <c r="D741" s="19" t="n"/>
    </row>
    <row r="742" customFormat="1" s="86">
      <c r="A742" s="16" t="n"/>
      <c r="C742" s="19" t="n"/>
      <c r="D742" s="19" t="n"/>
    </row>
    <row r="743" customFormat="1" s="86">
      <c r="A743" s="16" t="n"/>
      <c r="C743" s="19" t="n"/>
      <c r="D743" s="19" t="n"/>
    </row>
    <row r="744" customFormat="1" s="86">
      <c r="A744" s="16" t="n"/>
      <c r="C744" s="19" t="n"/>
      <c r="D744" s="19" t="n"/>
    </row>
    <row r="745" customFormat="1" s="86">
      <c r="A745" s="16" t="n"/>
      <c r="C745" s="19" t="n"/>
      <c r="D745" s="19" t="n"/>
    </row>
    <row r="746" customFormat="1" s="86">
      <c r="A746" s="16" t="n"/>
      <c r="C746" s="19" t="n"/>
      <c r="D746" s="19" t="n"/>
    </row>
    <row r="747" customFormat="1" s="86">
      <c r="A747" s="16" t="n"/>
      <c r="C747" s="19" t="n"/>
      <c r="D747" s="19" t="n"/>
    </row>
    <row r="748" customFormat="1" s="86">
      <c r="A748" s="16" t="n"/>
      <c r="C748" s="19" t="n"/>
      <c r="D748" s="19" t="n"/>
    </row>
    <row r="749" customFormat="1" s="86">
      <c r="A749" s="16" t="n"/>
      <c r="C749" s="19" t="n"/>
      <c r="D749" s="19" t="n"/>
    </row>
    <row r="750" customFormat="1" s="86">
      <c r="A750" s="16" t="n"/>
      <c r="C750" s="19" t="n"/>
      <c r="D750" s="19" t="n"/>
    </row>
    <row r="751" customFormat="1" s="86">
      <c r="A751" s="16" t="n"/>
      <c r="C751" s="19" t="n"/>
      <c r="D751" s="19" t="n"/>
    </row>
    <row r="752" customFormat="1" s="86">
      <c r="A752" s="16" t="n"/>
      <c r="C752" s="19" t="n"/>
      <c r="D752" s="19" t="n"/>
    </row>
    <row r="753" customFormat="1" s="86">
      <c r="A753" s="16" t="n"/>
      <c r="C753" s="19" t="n"/>
      <c r="D753" s="19" t="n"/>
    </row>
    <row r="754" customFormat="1" s="86">
      <c r="A754" s="16" t="n"/>
      <c r="C754" s="19" t="n"/>
      <c r="D754" s="19" t="n"/>
    </row>
    <row r="755" customFormat="1" s="86">
      <c r="A755" s="16" t="n"/>
      <c r="C755" s="19" t="n"/>
      <c r="D755" s="19" t="n"/>
    </row>
    <row r="756" customFormat="1" s="86">
      <c r="A756" s="16" t="n"/>
      <c r="C756" s="19" t="n"/>
      <c r="D756" s="19" t="n"/>
    </row>
    <row r="757" customFormat="1" s="86">
      <c r="A757" s="16" t="n"/>
      <c r="C757" s="19" t="n"/>
      <c r="D757" s="19" t="n"/>
    </row>
    <row r="758" customFormat="1" s="86">
      <c r="A758" s="16" t="n"/>
      <c r="C758" s="19" t="n"/>
      <c r="D758" s="19" t="n"/>
    </row>
    <row r="759" customFormat="1" s="86">
      <c r="A759" s="16" t="n"/>
      <c r="C759" s="19" t="n"/>
      <c r="D759" s="19" t="n"/>
    </row>
    <row r="760" customFormat="1" s="86">
      <c r="A760" s="16" t="n"/>
      <c r="C760" s="19" t="n"/>
      <c r="D760" s="19" t="n"/>
    </row>
    <row r="761" customFormat="1" s="86">
      <c r="A761" s="16" t="n"/>
      <c r="C761" s="19" t="n"/>
      <c r="D761" s="19" t="n"/>
    </row>
    <row r="762" customFormat="1" s="86">
      <c r="A762" s="16" t="n"/>
      <c r="C762" s="19" t="n"/>
      <c r="D762" s="19" t="n"/>
    </row>
    <row r="763" customFormat="1" s="86">
      <c r="A763" s="16" t="n"/>
      <c r="C763" s="19" t="n"/>
      <c r="D763" s="19" t="n"/>
    </row>
    <row r="764" customFormat="1" s="86">
      <c r="A764" s="16" t="n"/>
      <c r="C764" s="19" t="n"/>
      <c r="D764" s="19" t="n"/>
    </row>
    <row r="765" customFormat="1" s="86">
      <c r="A765" s="16" t="n"/>
      <c r="C765" s="19" t="n"/>
      <c r="D765" s="19" t="n"/>
    </row>
    <row r="766" customFormat="1" s="86">
      <c r="A766" s="16" t="n"/>
      <c r="C766" s="19" t="n"/>
      <c r="D766" s="19" t="n"/>
    </row>
    <row r="767" customFormat="1" s="86">
      <c r="A767" s="16" t="n"/>
      <c r="C767" s="19" t="n"/>
      <c r="D767" s="19" t="n"/>
    </row>
    <row r="768" customFormat="1" s="86">
      <c r="A768" s="16" t="n"/>
      <c r="C768" s="19" t="n"/>
      <c r="D768" s="19" t="n"/>
    </row>
    <row r="769" customFormat="1" s="86">
      <c r="A769" s="16" t="n"/>
      <c r="C769" s="19" t="n"/>
      <c r="D769" s="19" t="n"/>
    </row>
    <row r="770" customFormat="1" s="86">
      <c r="A770" s="16" t="n"/>
      <c r="C770" s="19" t="n"/>
      <c r="D770" s="19" t="n"/>
    </row>
    <row r="771" customFormat="1" s="86">
      <c r="A771" s="16" t="n"/>
      <c r="C771" s="19" t="n"/>
      <c r="D771" s="19" t="n"/>
    </row>
    <row r="772" customFormat="1" s="86">
      <c r="A772" s="16" t="n"/>
      <c r="C772" s="19" t="n"/>
      <c r="D772" s="19" t="n"/>
    </row>
    <row r="773" customFormat="1" s="86">
      <c r="A773" s="16" t="n"/>
      <c r="C773" s="19" t="n"/>
      <c r="D773" s="19" t="n"/>
    </row>
    <row r="774" customFormat="1" s="86">
      <c r="A774" s="16" t="n"/>
      <c r="C774" s="19" t="n"/>
      <c r="D774" s="19" t="n"/>
    </row>
    <row r="775" customFormat="1" s="86">
      <c r="A775" s="16" t="n"/>
      <c r="C775" s="19" t="n"/>
      <c r="D775" s="19" t="n"/>
    </row>
    <row r="776" customFormat="1" s="86">
      <c r="A776" s="16" t="n"/>
      <c r="C776" s="19" t="n"/>
      <c r="D776" s="19" t="n"/>
    </row>
    <row r="777" customFormat="1" s="86">
      <c r="A777" s="16" t="n"/>
      <c r="C777" s="19" t="n"/>
      <c r="D777" s="19" t="n"/>
    </row>
    <row r="778" customFormat="1" s="86">
      <c r="A778" s="16" t="n"/>
      <c r="C778" s="19" t="n"/>
      <c r="D778" s="19" t="n"/>
    </row>
    <row r="779" customFormat="1" s="86">
      <c r="A779" s="16" t="n"/>
      <c r="C779" s="19" t="n"/>
      <c r="D779" s="19" t="n"/>
    </row>
    <row r="780" customFormat="1" s="86">
      <c r="A780" s="16" t="n"/>
      <c r="C780" s="19" t="n"/>
      <c r="D780" s="19" t="n"/>
    </row>
    <row r="781" customFormat="1" s="86">
      <c r="A781" s="16" t="n"/>
      <c r="C781" s="19" t="n"/>
      <c r="D781" s="19" t="n"/>
    </row>
    <row r="782" customFormat="1" s="86">
      <c r="A782" s="16" t="n"/>
      <c r="C782" s="19" t="n"/>
      <c r="D782" s="19" t="n"/>
    </row>
    <row r="783" customFormat="1" s="86">
      <c r="A783" s="16" t="n"/>
      <c r="C783" s="19" t="n"/>
      <c r="D783" s="19" t="n"/>
    </row>
    <row r="784" customFormat="1" s="86">
      <c r="A784" s="16" t="n"/>
      <c r="C784" s="19" t="n"/>
      <c r="D784" s="19" t="n"/>
    </row>
    <row r="785" customFormat="1" s="86">
      <c r="A785" s="16" t="n"/>
      <c r="C785" s="19" t="n"/>
      <c r="D785" s="19" t="n"/>
    </row>
    <row r="786" customFormat="1" s="86">
      <c r="A786" s="16" t="n"/>
      <c r="C786" s="19" t="n"/>
      <c r="D786" s="19" t="n"/>
    </row>
    <row r="787" customFormat="1" s="86">
      <c r="A787" s="16" t="n"/>
      <c r="C787" s="19" t="n"/>
      <c r="D787" s="19" t="n"/>
    </row>
    <row r="788" customFormat="1" s="86">
      <c r="A788" s="16" t="n"/>
      <c r="C788" s="19" t="n"/>
      <c r="D788" s="19" t="n"/>
    </row>
    <row r="789" customFormat="1" s="86">
      <c r="A789" s="16" t="n"/>
      <c r="C789" s="19" t="n"/>
      <c r="D789" s="19" t="n"/>
    </row>
    <row r="790" customFormat="1" s="86">
      <c r="A790" s="16" t="n"/>
      <c r="C790" s="19" t="n"/>
      <c r="D790" s="19" t="n"/>
    </row>
    <row r="791" customFormat="1" s="86">
      <c r="A791" s="16" t="n"/>
      <c r="C791" s="19" t="n"/>
      <c r="D791" s="19" t="n"/>
    </row>
    <row r="792" customFormat="1" s="86">
      <c r="A792" s="16" t="n"/>
      <c r="C792" s="19" t="n"/>
      <c r="D792" s="19" t="n"/>
    </row>
    <row r="793" customFormat="1" s="86">
      <c r="A793" s="16" t="n"/>
      <c r="C793" s="19" t="n"/>
      <c r="D793" s="19" t="n"/>
    </row>
    <row r="794" customFormat="1" s="86">
      <c r="A794" s="16" t="n"/>
      <c r="C794" s="19" t="n"/>
      <c r="D794" s="19" t="n"/>
    </row>
    <row r="795" customFormat="1" s="86">
      <c r="A795" s="16" t="n"/>
      <c r="C795" s="19" t="n"/>
      <c r="D795" s="19" t="n"/>
    </row>
    <row r="796" customFormat="1" s="86">
      <c r="A796" s="16" t="n"/>
      <c r="C796" s="19" t="n"/>
      <c r="D796" s="19" t="n"/>
    </row>
    <row r="797" customFormat="1" s="86">
      <c r="A797" s="16" t="n"/>
      <c r="C797" s="19" t="n"/>
      <c r="D797" s="19" t="n"/>
    </row>
    <row r="798" customFormat="1" s="86">
      <c r="A798" s="16" t="n"/>
      <c r="C798" s="19" t="n"/>
      <c r="D798" s="19" t="n"/>
    </row>
    <row r="799" customFormat="1" s="86">
      <c r="A799" s="16" t="n"/>
      <c r="C799" s="19" t="n"/>
      <c r="D799" s="19" t="n"/>
    </row>
    <row r="800" customFormat="1" s="86">
      <c r="A800" s="16" t="n"/>
      <c r="C800" s="19" t="n"/>
      <c r="D800" s="19" t="n"/>
    </row>
    <row r="801" customFormat="1" s="86">
      <c r="A801" s="16" t="n"/>
      <c r="C801" s="19" t="n"/>
      <c r="D801" s="19" t="n"/>
    </row>
    <row r="802" customFormat="1" s="86">
      <c r="A802" s="16" t="n"/>
      <c r="C802" s="19" t="n"/>
      <c r="D802" s="19" t="n"/>
    </row>
    <row r="803" customFormat="1" s="86">
      <c r="A803" s="16" t="n"/>
      <c r="C803" s="19" t="n"/>
      <c r="D803" s="19" t="n"/>
    </row>
    <row r="804" customFormat="1" s="86">
      <c r="A804" s="16" t="n"/>
      <c r="C804" s="19" t="n"/>
      <c r="D804" s="19" t="n"/>
    </row>
    <row r="805" customFormat="1" s="86">
      <c r="A805" s="16" t="n"/>
      <c r="C805" s="19" t="n"/>
      <c r="D805" s="19" t="n"/>
    </row>
    <row r="806" customFormat="1" s="86">
      <c r="A806" s="16" t="n"/>
      <c r="C806" s="19" t="n"/>
      <c r="D806" s="19" t="n"/>
    </row>
    <row r="807" customFormat="1" s="86">
      <c r="A807" s="16" t="n"/>
      <c r="C807" s="19" t="n"/>
      <c r="D807" s="19" t="n"/>
    </row>
    <row r="808" customFormat="1" s="86">
      <c r="A808" s="16" t="n"/>
      <c r="C808" s="19" t="n"/>
      <c r="D808" s="19" t="n"/>
    </row>
    <row r="809" customFormat="1" s="86">
      <c r="A809" s="16" t="n"/>
      <c r="C809" s="19" t="n"/>
      <c r="D809" s="19" t="n"/>
    </row>
    <row r="810" customFormat="1" s="86">
      <c r="A810" s="16" t="n"/>
      <c r="C810" s="19" t="n"/>
      <c r="D810" s="19" t="n"/>
    </row>
    <row r="811" customFormat="1" s="86">
      <c r="A811" s="16" t="n"/>
      <c r="C811" s="19" t="n"/>
      <c r="D811" s="19" t="n"/>
    </row>
    <row r="812" customFormat="1" s="86">
      <c r="A812" s="16" t="n"/>
      <c r="C812" s="19" t="n"/>
      <c r="D812" s="19" t="n"/>
    </row>
    <row r="813" customFormat="1" s="86">
      <c r="A813" s="16" t="n"/>
      <c r="C813" s="19" t="n"/>
      <c r="D813" s="19" t="n"/>
    </row>
    <row r="814" customFormat="1" s="86">
      <c r="A814" s="16" t="n"/>
      <c r="C814" s="19" t="n"/>
      <c r="D814" s="19" t="n"/>
    </row>
    <row r="815" customFormat="1" s="86">
      <c r="A815" s="16" t="n"/>
      <c r="C815" s="19" t="n"/>
      <c r="D815" s="19" t="n"/>
    </row>
    <row r="816" customFormat="1" s="86">
      <c r="A816" s="16" t="n"/>
      <c r="C816" s="19" t="n"/>
      <c r="D816" s="19" t="n"/>
    </row>
    <row r="817" customFormat="1" s="86">
      <c r="A817" s="16" t="n"/>
      <c r="C817" s="19" t="n"/>
      <c r="D817" s="19" t="n"/>
    </row>
    <row r="818" customFormat="1" s="86">
      <c r="A818" s="16" t="n"/>
      <c r="C818" s="19" t="n"/>
      <c r="D818" s="19" t="n"/>
    </row>
    <row r="819" customFormat="1" s="86">
      <c r="A819" s="16" t="n"/>
      <c r="C819" s="19" t="n"/>
      <c r="D819" s="19" t="n"/>
    </row>
    <row r="820" customFormat="1" s="86">
      <c r="A820" s="16" t="n"/>
      <c r="C820" s="19" t="n"/>
      <c r="D820" s="19" t="n"/>
    </row>
    <row r="821" customFormat="1" s="86">
      <c r="A821" s="16" t="n"/>
      <c r="C821" s="19" t="n"/>
      <c r="D821" s="19" t="n"/>
    </row>
    <row r="822" customFormat="1" s="86">
      <c r="A822" s="16" t="n"/>
      <c r="C822" s="19" t="n"/>
      <c r="D822" s="19" t="n"/>
    </row>
    <row r="823" customFormat="1" s="86">
      <c r="A823" s="16" t="n"/>
      <c r="C823" s="19" t="n"/>
      <c r="D823" s="19" t="n"/>
    </row>
    <row r="824" customFormat="1" s="86">
      <c r="A824" s="16" t="n"/>
      <c r="C824" s="19" t="n"/>
      <c r="D824" s="19" t="n"/>
    </row>
    <row r="825" customFormat="1" s="86">
      <c r="A825" s="16" t="n"/>
      <c r="C825" s="19" t="n"/>
      <c r="D825" s="19" t="n"/>
    </row>
    <row r="826" customFormat="1" s="86">
      <c r="A826" s="16" t="n"/>
      <c r="C826" s="19" t="n"/>
      <c r="D826" s="19" t="n"/>
    </row>
    <row r="827" customFormat="1" s="86">
      <c r="A827" s="16" t="n"/>
      <c r="C827" s="19" t="n"/>
      <c r="D827" s="19" t="n"/>
    </row>
    <row r="828" customFormat="1" s="86">
      <c r="A828" s="16" t="n"/>
      <c r="C828" s="19" t="n"/>
      <c r="D828" s="19" t="n"/>
    </row>
    <row r="829" customFormat="1" s="86">
      <c r="A829" s="16" t="n"/>
      <c r="C829" s="19" t="n"/>
      <c r="D829" s="19" t="n"/>
    </row>
    <row r="830" customFormat="1" s="86">
      <c r="A830" s="16" t="n"/>
      <c r="C830" s="19" t="n"/>
      <c r="D830" s="19" t="n"/>
    </row>
    <row r="831" customFormat="1" s="86">
      <c r="A831" s="16" t="n"/>
      <c r="C831" s="19" t="n"/>
      <c r="D831" s="19" t="n"/>
    </row>
    <row r="832" customFormat="1" s="86">
      <c r="A832" s="16" t="n"/>
      <c r="C832" s="19" t="n"/>
      <c r="D832" s="19" t="n"/>
    </row>
    <row r="833" customFormat="1" s="86">
      <c r="A833" s="16" t="n"/>
      <c r="C833" s="19" t="n"/>
      <c r="D833" s="19" t="n"/>
    </row>
    <row r="834" customFormat="1" s="86">
      <c r="A834" s="16" t="n"/>
      <c r="C834" s="19" t="n"/>
      <c r="D834" s="19" t="n"/>
    </row>
    <row r="835" customFormat="1" s="86">
      <c r="A835" s="16" t="n"/>
      <c r="C835" s="19" t="n"/>
      <c r="D835" s="19" t="n"/>
    </row>
    <row r="836" customFormat="1" s="86">
      <c r="A836" s="16" t="n"/>
      <c r="C836" s="19" t="n"/>
      <c r="D836" s="19" t="n"/>
    </row>
    <row r="837" customFormat="1" s="86">
      <c r="A837" s="16" t="n"/>
      <c r="C837" s="19" t="n"/>
      <c r="D837" s="19" t="n"/>
    </row>
    <row r="838" customFormat="1" s="86">
      <c r="A838" s="16" t="n"/>
      <c r="C838" s="19" t="n"/>
      <c r="D838" s="19" t="n"/>
    </row>
    <row r="839" customFormat="1" s="86">
      <c r="A839" s="16" t="n"/>
      <c r="C839" s="19" t="n"/>
      <c r="D839" s="19" t="n"/>
    </row>
    <row r="840" customFormat="1" s="86">
      <c r="A840" s="16" t="n"/>
      <c r="C840" s="19" t="n"/>
      <c r="D840" s="19" t="n"/>
    </row>
    <row r="841" customFormat="1" s="86">
      <c r="A841" s="16" t="n"/>
      <c r="C841" s="19" t="n"/>
      <c r="D841" s="19" t="n"/>
    </row>
    <row r="842" customFormat="1" s="86">
      <c r="A842" s="16" t="n"/>
      <c r="C842" s="19" t="n"/>
      <c r="D842" s="19" t="n"/>
    </row>
    <row r="843" customFormat="1" s="86">
      <c r="A843" s="16" t="n"/>
      <c r="C843" s="19" t="n"/>
      <c r="D843" s="19" t="n"/>
    </row>
    <row r="844" customFormat="1" s="86">
      <c r="A844" s="16" t="n"/>
      <c r="C844" s="19" t="n"/>
      <c r="D844" s="19" t="n"/>
    </row>
    <row r="845" customFormat="1" s="86">
      <c r="A845" s="16" t="n"/>
      <c r="C845" s="19" t="n"/>
      <c r="D845" s="19" t="n"/>
    </row>
    <row r="846" customFormat="1" s="86">
      <c r="A846" s="16" t="n"/>
      <c r="C846" s="19" t="n"/>
      <c r="D846" s="19" t="n"/>
    </row>
    <row r="847" customFormat="1" s="86">
      <c r="A847" s="16" t="n"/>
      <c r="C847" s="19" t="n"/>
      <c r="D847" s="19" t="n"/>
    </row>
    <row r="848" customFormat="1" s="86">
      <c r="A848" s="16" t="n"/>
      <c r="C848" s="19" t="n"/>
      <c r="D848" s="19" t="n"/>
    </row>
    <row r="849" customFormat="1" s="86">
      <c r="A849" s="16" t="n"/>
      <c r="C849" s="19" t="n"/>
      <c r="D849" s="19" t="n"/>
    </row>
    <row r="850" customFormat="1" s="86">
      <c r="A850" s="16" t="n"/>
      <c r="C850" s="19" t="n"/>
      <c r="D850" s="19" t="n"/>
    </row>
    <row r="851" customFormat="1" s="86">
      <c r="A851" s="16" t="n"/>
      <c r="C851" s="19" t="n"/>
      <c r="D851" s="19" t="n"/>
    </row>
    <row r="852" customFormat="1" s="86">
      <c r="A852" s="16" t="n"/>
      <c r="C852" s="19" t="n"/>
      <c r="D852" s="19" t="n"/>
    </row>
    <row r="853" customFormat="1" s="86">
      <c r="A853" s="16" t="n"/>
      <c r="C853" s="19" t="n"/>
      <c r="D853" s="19" t="n"/>
    </row>
    <row r="854" customFormat="1" s="86">
      <c r="A854" s="16" t="n"/>
      <c r="C854" s="19" t="n"/>
      <c r="D854" s="19" t="n"/>
    </row>
    <row r="855" customFormat="1" s="86">
      <c r="A855" s="16" t="n"/>
      <c r="C855" s="19" t="n"/>
      <c r="D855" s="19" t="n"/>
    </row>
    <row r="856" customFormat="1" s="86">
      <c r="A856" s="16" t="n"/>
      <c r="C856" s="19" t="n"/>
      <c r="D856" s="19" t="n"/>
    </row>
    <row r="857" customFormat="1" s="86">
      <c r="A857" s="16" t="n"/>
      <c r="C857" s="19" t="n"/>
      <c r="D857" s="19" t="n"/>
    </row>
    <row r="858" customFormat="1" s="86">
      <c r="A858" s="16" t="n"/>
      <c r="C858" s="19" t="n"/>
      <c r="D858" s="19" t="n"/>
    </row>
    <row r="859" customFormat="1" s="86">
      <c r="A859" s="16" t="n"/>
      <c r="C859" s="19" t="n"/>
      <c r="D859" s="19" t="n"/>
    </row>
    <row r="860" customFormat="1" s="86">
      <c r="A860" s="16" t="n"/>
      <c r="C860" s="19" t="n"/>
      <c r="D860" s="19" t="n"/>
    </row>
    <row r="861" customFormat="1" s="86">
      <c r="A861" s="16" t="n"/>
      <c r="C861" s="19" t="n"/>
      <c r="D861" s="19" t="n"/>
    </row>
    <row r="862" customFormat="1" s="86">
      <c r="A862" s="16" t="n"/>
      <c r="C862" s="19" t="n"/>
      <c r="D862" s="19" t="n"/>
    </row>
    <row r="863" customFormat="1" s="86">
      <c r="A863" s="16" t="n"/>
      <c r="C863" s="19" t="n"/>
      <c r="D863" s="19" t="n"/>
    </row>
    <row r="864" customFormat="1" s="86">
      <c r="A864" s="16" t="n"/>
      <c r="C864" s="19" t="n"/>
      <c r="D864" s="19" t="n"/>
    </row>
    <row r="865" customFormat="1" s="86">
      <c r="A865" s="16" t="n"/>
      <c r="C865" s="19" t="n"/>
      <c r="D865" s="19" t="n"/>
    </row>
    <row r="866" customFormat="1" s="86">
      <c r="A866" s="16" t="n"/>
      <c r="C866" s="19" t="n"/>
      <c r="D866" s="19" t="n"/>
    </row>
    <row r="867" customFormat="1" s="86">
      <c r="A867" s="16" t="n"/>
      <c r="C867" s="19" t="n"/>
      <c r="D867" s="19" t="n"/>
    </row>
    <row r="868" customFormat="1" s="86">
      <c r="A868" s="16" t="n"/>
      <c r="C868" s="19" t="n"/>
      <c r="D868" s="19" t="n"/>
    </row>
    <row r="869" customFormat="1" s="86">
      <c r="A869" s="16" t="n"/>
      <c r="C869" s="19" t="n"/>
      <c r="D869" s="19" t="n"/>
    </row>
    <row r="870" customFormat="1" s="86">
      <c r="A870" s="16" t="n"/>
      <c r="C870" s="19" t="n"/>
      <c r="D870" s="19" t="n"/>
    </row>
    <row r="871" customFormat="1" s="86">
      <c r="A871" s="16" t="n"/>
      <c r="C871" s="19" t="n"/>
      <c r="D871" s="19" t="n"/>
    </row>
    <row r="872" customFormat="1" s="86">
      <c r="A872" s="16" t="n"/>
      <c r="C872" s="19" t="n"/>
      <c r="D872" s="19" t="n"/>
    </row>
    <row r="873" customFormat="1" s="86">
      <c r="A873" s="16" t="n"/>
      <c r="C873" s="19" t="n"/>
      <c r="D873" s="19" t="n"/>
    </row>
    <row r="874" customFormat="1" s="86">
      <c r="A874" s="16" t="n"/>
      <c r="C874" s="19" t="n"/>
      <c r="D874" s="19" t="n"/>
    </row>
    <row r="875" customFormat="1" s="86">
      <c r="A875" s="16" t="n"/>
      <c r="C875" s="19" t="n"/>
      <c r="D875" s="19" t="n"/>
    </row>
    <row r="876" customFormat="1" s="86">
      <c r="A876" s="16" t="n"/>
      <c r="C876" s="19" t="n"/>
      <c r="D876" s="19" t="n"/>
    </row>
    <row r="877" customFormat="1" s="86">
      <c r="A877" s="16" t="n"/>
      <c r="C877" s="19" t="n"/>
      <c r="D877" s="19" t="n"/>
    </row>
    <row r="878" customFormat="1" s="86">
      <c r="A878" s="16" t="n"/>
      <c r="C878" s="19" t="n"/>
      <c r="D878" s="19" t="n"/>
    </row>
    <row r="879" customFormat="1" s="86">
      <c r="A879" s="16" t="n"/>
      <c r="C879" s="19" t="n"/>
      <c r="D879" s="19" t="n"/>
    </row>
    <row r="880" customFormat="1" s="86">
      <c r="A880" s="16" t="n"/>
      <c r="C880" s="19" t="n"/>
      <c r="D880" s="19" t="n"/>
    </row>
    <row r="881" customFormat="1" s="86">
      <c r="A881" s="16" t="n"/>
      <c r="C881" s="19" t="n"/>
      <c r="D881" s="19" t="n"/>
    </row>
    <row r="882" customFormat="1" s="86">
      <c r="A882" s="16" t="n"/>
      <c r="C882" s="19" t="n"/>
      <c r="D882" s="19" t="n"/>
    </row>
    <row r="883" customFormat="1" s="86">
      <c r="A883" s="16" t="n"/>
      <c r="C883" s="19" t="n"/>
      <c r="D883" s="19" t="n"/>
    </row>
    <row r="884" customFormat="1" s="86">
      <c r="A884" s="16" t="n"/>
      <c r="C884" s="19" t="n"/>
      <c r="D884" s="19" t="n"/>
    </row>
    <row r="885" customFormat="1" s="86">
      <c r="A885" s="16" t="n"/>
      <c r="C885" s="19" t="n"/>
      <c r="D885" s="19" t="n"/>
    </row>
    <row r="886" customFormat="1" s="86">
      <c r="A886" s="16" t="n"/>
      <c r="C886" s="19" t="n"/>
      <c r="D886" s="19" t="n"/>
    </row>
    <row r="887" customFormat="1" s="86">
      <c r="A887" s="16" t="n"/>
      <c r="C887" s="19" t="n"/>
      <c r="D887" s="19" t="n"/>
    </row>
    <row r="888" customFormat="1" s="86">
      <c r="A888" s="16" t="n"/>
      <c r="C888" s="19" t="n"/>
      <c r="D888" s="19" t="n"/>
    </row>
    <row r="889" customFormat="1" s="86">
      <c r="A889" s="16" t="n"/>
      <c r="C889" s="19" t="n"/>
      <c r="D889" s="19" t="n"/>
    </row>
    <row r="890" customFormat="1" s="86">
      <c r="A890" s="16" t="n"/>
      <c r="C890" s="19" t="n"/>
      <c r="D890" s="19" t="n"/>
    </row>
    <row r="891" customFormat="1" s="86">
      <c r="A891" s="16" t="n"/>
      <c r="C891" s="19" t="n"/>
      <c r="D891" s="19" t="n"/>
    </row>
    <row r="892" customFormat="1" s="86">
      <c r="A892" s="16" t="n"/>
      <c r="C892" s="19" t="n"/>
      <c r="D892" s="19" t="n"/>
    </row>
    <row r="893" customFormat="1" s="86">
      <c r="A893" s="16" t="n"/>
      <c r="C893" s="19" t="n"/>
      <c r="D893" s="19" t="n"/>
    </row>
    <row r="894" customFormat="1" s="86">
      <c r="A894" s="16" t="n"/>
      <c r="C894" s="19" t="n"/>
      <c r="D894" s="19" t="n"/>
    </row>
    <row r="895" customFormat="1" s="86">
      <c r="A895" s="16" t="n"/>
      <c r="C895" s="19" t="n"/>
      <c r="D895" s="19" t="n"/>
    </row>
    <row r="896" customFormat="1" s="86">
      <c r="A896" s="16" t="n"/>
      <c r="C896" s="19" t="n"/>
      <c r="D896" s="19" t="n"/>
    </row>
    <row r="897" customFormat="1" s="86">
      <c r="A897" s="16" t="n"/>
      <c r="C897" s="19" t="n"/>
      <c r="D897" s="19" t="n"/>
    </row>
    <row r="898" customFormat="1" s="86">
      <c r="A898" s="16" t="n"/>
      <c r="C898" s="19" t="n"/>
      <c r="D898" s="19" t="n"/>
    </row>
    <row r="899" customFormat="1" s="86">
      <c r="A899" s="16" t="n"/>
      <c r="C899" s="19" t="n"/>
      <c r="D899" s="19" t="n"/>
    </row>
    <row r="900" customFormat="1" s="86">
      <c r="A900" s="16" t="n"/>
      <c r="C900" s="19" t="n"/>
      <c r="D900" s="19" t="n"/>
    </row>
    <row r="901" customFormat="1" s="86">
      <c r="A901" s="16" t="n"/>
      <c r="C901" s="19" t="n"/>
      <c r="D901" s="19" t="n"/>
    </row>
    <row r="902" customFormat="1" s="86">
      <c r="A902" s="16" t="n"/>
      <c r="C902" s="19" t="n"/>
      <c r="D902" s="19" t="n"/>
    </row>
    <row r="903" customFormat="1" s="86">
      <c r="A903" s="16" t="n"/>
      <c r="C903" s="19" t="n"/>
      <c r="D903" s="19" t="n"/>
    </row>
    <row r="904" customFormat="1" s="86">
      <c r="A904" s="16" t="n"/>
      <c r="C904" s="19" t="n"/>
      <c r="D904" s="19" t="n"/>
    </row>
    <row r="905" customFormat="1" s="86">
      <c r="A905" s="16" t="n"/>
      <c r="C905" s="19" t="n"/>
      <c r="D905" s="19" t="n"/>
    </row>
    <row r="906" customFormat="1" s="86">
      <c r="A906" s="16" t="n"/>
      <c r="C906" s="19" t="n"/>
      <c r="D906" s="19" t="n"/>
    </row>
    <row r="907" customFormat="1" s="86">
      <c r="A907" s="16" t="n"/>
      <c r="C907" s="19" t="n"/>
      <c r="D907" s="19" t="n"/>
    </row>
    <row r="908" customFormat="1" s="86">
      <c r="A908" s="16" t="n"/>
      <c r="C908" s="19" t="n"/>
      <c r="D908" s="19" t="n"/>
    </row>
    <row r="909" customFormat="1" s="86">
      <c r="A909" s="16" t="n"/>
      <c r="C909" s="19" t="n"/>
      <c r="D909" s="19" t="n"/>
    </row>
    <row r="910" customFormat="1" s="86">
      <c r="A910" s="16" t="n"/>
      <c r="C910" s="19" t="n"/>
      <c r="D910" s="19" t="n"/>
    </row>
    <row r="911" customFormat="1" s="86">
      <c r="A911" s="16" t="n"/>
      <c r="C911" s="19" t="n"/>
      <c r="D911" s="19" t="n"/>
    </row>
    <row r="912" customFormat="1" s="86">
      <c r="A912" s="16" t="n"/>
      <c r="C912" s="19" t="n"/>
      <c r="D912" s="19" t="n"/>
    </row>
    <row r="913" customFormat="1" s="86">
      <c r="A913" s="16" t="n"/>
      <c r="C913" s="19" t="n"/>
      <c r="D913" s="19" t="n"/>
    </row>
    <row r="914" customFormat="1" s="86">
      <c r="A914" s="16" t="n"/>
      <c r="C914" s="19" t="n"/>
      <c r="D914" s="19" t="n"/>
    </row>
    <row r="915" customFormat="1" s="86">
      <c r="A915" s="16" t="n"/>
      <c r="C915" s="19" t="n"/>
      <c r="D915" s="19" t="n"/>
    </row>
    <row r="916" customFormat="1" s="86">
      <c r="A916" s="16" t="n"/>
      <c r="C916" s="19" t="n"/>
      <c r="D916" s="19" t="n"/>
    </row>
    <row r="917" customFormat="1" s="86">
      <c r="A917" s="16" t="n"/>
      <c r="C917" s="19" t="n"/>
      <c r="D917" s="19" t="n"/>
    </row>
    <row r="918" customFormat="1" s="86">
      <c r="A918" s="16" t="n"/>
      <c r="C918" s="19" t="n"/>
      <c r="D918" s="19" t="n"/>
    </row>
    <row r="919" customFormat="1" s="86">
      <c r="A919" s="16" t="n"/>
      <c r="C919" s="19" t="n"/>
      <c r="D919" s="19" t="n"/>
    </row>
    <row r="920" customFormat="1" s="86">
      <c r="A920" s="16" t="n"/>
      <c r="C920" s="19" t="n"/>
      <c r="D920" s="19" t="n"/>
    </row>
    <row r="921" customFormat="1" s="86">
      <c r="A921" s="16" t="n"/>
      <c r="C921" s="19" t="n"/>
      <c r="D921" s="19" t="n"/>
    </row>
    <row r="922" customFormat="1" s="86">
      <c r="A922" s="16" t="n"/>
      <c r="C922" s="19" t="n"/>
      <c r="D922" s="19" t="n"/>
    </row>
    <row r="923" customFormat="1" s="86">
      <c r="A923" s="16" t="n"/>
      <c r="C923" s="19" t="n"/>
      <c r="D923" s="19" t="n"/>
    </row>
    <row r="924" customFormat="1" s="86">
      <c r="A924" s="16" t="n"/>
      <c r="C924" s="19" t="n"/>
      <c r="D924" s="19" t="n"/>
    </row>
    <row r="925" customFormat="1" s="86">
      <c r="A925" s="16" t="n"/>
      <c r="C925" s="19" t="n"/>
      <c r="D925" s="19" t="n"/>
    </row>
    <row r="926" customFormat="1" s="86">
      <c r="A926" s="16" t="n"/>
      <c r="C926" s="19" t="n"/>
      <c r="D926" s="19" t="n"/>
    </row>
    <row r="927" customFormat="1" s="86">
      <c r="A927" s="16" t="n"/>
      <c r="C927" s="19" t="n"/>
      <c r="D927" s="19" t="n"/>
    </row>
    <row r="928" customFormat="1" s="86">
      <c r="A928" s="16" t="n"/>
      <c r="C928" s="19" t="n"/>
      <c r="D928" s="19" t="n"/>
    </row>
    <row r="929" customFormat="1" s="86">
      <c r="A929" s="16" t="n"/>
      <c r="C929" s="19" t="n"/>
      <c r="D929" s="19" t="n"/>
    </row>
    <row r="930" customFormat="1" s="86">
      <c r="A930" s="16" t="n"/>
      <c r="C930" s="19" t="n"/>
      <c r="D930" s="19" t="n"/>
    </row>
    <row r="931" customFormat="1" s="86">
      <c r="A931" s="16" t="n"/>
      <c r="C931" s="19" t="n"/>
      <c r="D931" s="19" t="n"/>
    </row>
    <row r="932" customFormat="1" s="86">
      <c r="A932" s="16" t="n"/>
      <c r="C932" s="19" t="n"/>
      <c r="D932" s="19" t="n"/>
    </row>
    <row r="933" customFormat="1" s="86">
      <c r="A933" s="16" t="n"/>
      <c r="C933" s="19" t="n"/>
      <c r="D933" s="19" t="n"/>
    </row>
    <row r="934" customFormat="1" s="86">
      <c r="A934" s="16" t="n"/>
      <c r="C934" s="19" t="n"/>
      <c r="D934" s="19" t="n"/>
    </row>
    <row r="935" customFormat="1" s="86">
      <c r="A935" s="16" t="n"/>
      <c r="C935" s="19" t="n"/>
      <c r="D935" s="19" t="n"/>
    </row>
    <row r="936" customFormat="1" s="86">
      <c r="A936" s="16" t="n"/>
      <c r="C936" s="19" t="n"/>
      <c r="D936" s="19" t="n"/>
    </row>
    <row r="937" customFormat="1" s="86">
      <c r="A937" s="16" t="n"/>
      <c r="C937" s="19" t="n"/>
      <c r="D937" s="19" t="n"/>
    </row>
    <row r="938" customFormat="1" s="86">
      <c r="A938" s="16" t="n"/>
      <c r="C938" s="19" t="n"/>
      <c r="D938" s="19" t="n"/>
    </row>
    <row r="939" customFormat="1" s="86">
      <c r="A939" s="16" t="n"/>
      <c r="C939" s="19" t="n"/>
      <c r="D939" s="19" t="n"/>
    </row>
    <row r="940" customFormat="1" s="86">
      <c r="A940" s="16" t="n"/>
      <c r="C940" s="19" t="n"/>
      <c r="D940" s="19" t="n"/>
    </row>
    <row r="941" customFormat="1" s="86">
      <c r="A941" s="16" t="n"/>
      <c r="C941" s="19" t="n"/>
      <c r="D941" s="19" t="n"/>
    </row>
    <row r="942" customFormat="1" s="86">
      <c r="A942" s="16" t="n"/>
      <c r="C942" s="19" t="n"/>
      <c r="D942" s="19" t="n"/>
    </row>
    <row r="943" customFormat="1" s="86">
      <c r="A943" s="16" t="n"/>
      <c r="C943" s="19" t="n"/>
      <c r="D943" s="19" t="n"/>
    </row>
    <row r="944" customFormat="1" s="86">
      <c r="A944" s="16" t="n"/>
      <c r="C944" s="19" t="n"/>
      <c r="D944" s="19" t="n"/>
    </row>
    <row r="945" customFormat="1" s="86">
      <c r="A945" s="16" t="n"/>
      <c r="C945" s="19" t="n"/>
      <c r="D945" s="19" t="n"/>
    </row>
    <row r="946" customFormat="1" s="86">
      <c r="A946" s="16" t="n"/>
      <c r="C946" s="19" t="n"/>
      <c r="D946" s="19" t="n"/>
    </row>
    <row r="947" customFormat="1" s="86">
      <c r="A947" s="16" t="n"/>
      <c r="C947" s="19" t="n"/>
      <c r="D947" s="19" t="n"/>
    </row>
    <row r="948" customFormat="1" s="86">
      <c r="A948" s="16" t="n"/>
      <c r="C948" s="19" t="n"/>
      <c r="D948" s="19" t="n"/>
    </row>
    <row r="949" customFormat="1" s="86">
      <c r="A949" s="16" t="n"/>
      <c r="C949" s="19" t="n"/>
      <c r="D949" s="19" t="n"/>
    </row>
    <row r="950" customFormat="1" s="86">
      <c r="A950" s="16" t="n"/>
      <c r="C950" s="19" t="n"/>
      <c r="D950" s="19" t="n"/>
    </row>
    <row r="951" customFormat="1" s="86">
      <c r="A951" s="16" t="n"/>
      <c r="C951" s="19" t="n"/>
      <c r="D951" s="19" t="n"/>
    </row>
    <row r="952" customFormat="1" s="86">
      <c r="A952" s="16" t="n"/>
      <c r="C952" s="19" t="n"/>
      <c r="D952" s="19" t="n"/>
    </row>
    <row r="953" customFormat="1" s="86">
      <c r="A953" s="16" t="n"/>
      <c r="C953" s="19" t="n"/>
      <c r="D953" s="19" t="n"/>
    </row>
    <row r="954" customFormat="1" s="86">
      <c r="A954" s="16" t="n"/>
      <c r="C954" s="19" t="n"/>
      <c r="D954" s="19" t="n"/>
    </row>
    <row r="955" customFormat="1" s="86">
      <c r="A955" s="16" t="n"/>
      <c r="C955" s="19" t="n"/>
      <c r="D955" s="19" t="n"/>
    </row>
    <row r="956" customFormat="1" s="86">
      <c r="A956" s="16" t="n"/>
      <c r="C956" s="19" t="n"/>
      <c r="D956" s="19" t="n"/>
    </row>
    <row r="957" customFormat="1" s="86">
      <c r="A957" s="16" t="n"/>
      <c r="C957" s="19" t="n"/>
      <c r="D957" s="19" t="n"/>
    </row>
    <row r="958" customFormat="1" s="86">
      <c r="A958" s="16" t="n"/>
      <c r="C958" s="19" t="n"/>
      <c r="D958" s="19" t="n"/>
    </row>
    <row r="959" customFormat="1" s="86">
      <c r="A959" s="16" t="n"/>
      <c r="C959" s="19" t="n"/>
      <c r="D959" s="19" t="n"/>
    </row>
    <row r="960" customFormat="1" s="86">
      <c r="A960" s="16" t="n"/>
      <c r="C960" s="19" t="n"/>
      <c r="D960" s="19" t="n"/>
    </row>
    <row r="961" customFormat="1" s="86">
      <c r="A961" s="16" t="n"/>
      <c r="C961" s="19" t="n"/>
      <c r="D961" s="19" t="n"/>
    </row>
    <row r="962" customFormat="1" s="86">
      <c r="A962" s="16" t="n"/>
      <c r="C962" s="19" t="n"/>
      <c r="D962" s="19" t="n"/>
    </row>
    <row r="963" customFormat="1" s="86">
      <c r="A963" s="16" t="n"/>
      <c r="C963" s="19" t="n"/>
      <c r="D963" s="19" t="n"/>
    </row>
    <row r="964" customFormat="1" s="86">
      <c r="A964" s="16" t="n"/>
      <c r="C964" s="19" t="n"/>
      <c r="D964" s="19" t="n"/>
    </row>
    <row r="965" customFormat="1" s="86">
      <c r="A965" s="16" t="n"/>
      <c r="C965" s="19" t="n"/>
      <c r="D965" s="19" t="n"/>
    </row>
    <row r="966" customFormat="1" s="86">
      <c r="A966" s="16" t="n"/>
      <c r="C966" s="19" t="n"/>
      <c r="D966" s="19" t="n"/>
    </row>
    <row r="967" customFormat="1" s="86">
      <c r="A967" s="16" t="n"/>
      <c r="C967" s="19" t="n"/>
      <c r="D967" s="19" t="n"/>
    </row>
    <row r="968" customFormat="1" s="86">
      <c r="A968" s="16" t="n"/>
      <c r="C968" s="19" t="n"/>
      <c r="D968" s="19" t="n"/>
    </row>
    <row r="969" customFormat="1" s="86">
      <c r="A969" s="16" t="n"/>
      <c r="C969" s="19" t="n"/>
      <c r="D969" s="19" t="n"/>
    </row>
    <row r="970" customFormat="1" s="86">
      <c r="A970" s="16" t="n"/>
      <c r="C970" s="19" t="n"/>
      <c r="D970" s="19" t="n"/>
    </row>
    <row r="971" customFormat="1" s="86">
      <c r="A971" s="16" t="n"/>
      <c r="C971" s="19" t="n"/>
      <c r="D971" s="19" t="n"/>
    </row>
    <row r="972" customFormat="1" s="86">
      <c r="A972" s="16" t="n"/>
      <c r="C972" s="19" t="n"/>
      <c r="D972" s="19" t="n"/>
    </row>
    <row r="973" customFormat="1" s="86">
      <c r="A973" s="16" t="n"/>
      <c r="C973" s="19" t="n"/>
      <c r="D973" s="19" t="n"/>
    </row>
    <row r="974" customFormat="1" s="86">
      <c r="A974" s="16" t="n"/>
      <c r="C974" s="19" t="n"/>
      <c r="D974" s="19" t="n"/>
    </row>
    <row r="975" customFormat="1" s="86">
      <c r="A975" s="16" t="n"/>
      <c r="C975" s="19" t="n"/>
      <c r="D975" s="19" t="n"/>
    </row>
    <row r="976" customFormat="1" s="86">
      <c r="A976" s="16" t="n"/>
      <c r="C976" s="19" t="n"/>
      <c r="D976" s="19" t="n"/>
    </row>
    <row r="977" customFormat="1" s="86">
      <c r="A977" s="16" t="n"/>
      <c r="C977" s="19" t="n"/>
      <c r="D977" s="19" t="n"/>
    </row>
    <row r="978" customFormat="1" s="86">
      <c r="A978" s="16" t="n"/>
      <c r="C978" s="19" t="n"/>
      <c r="D978" s="19" t="n"/>
    </row>
    <row r="979" customFormat="1" s="86">
      <c r="A979" s="16" t="n"/>
      <c r="C979" s="19" t="n"/>
      <c r="D979" s="19" t="n"/>
    </row>
    <row r="980" customFormat="1" s="86">
      <c r="A980" s="16" t="n"/>
      <c r="C980" s="19" t="n"/>
      <c r="D980" s="19" t="n"/>
    </row>
    <row r="981" customFormat="1" s="86">
      <c r="A981" s="16" t="n"/>
      <c r="C981" s="19" t="n"/>
      <c r="D981" s="19" t="n"/>
    </row>
    <row r="982" customFormat="1" s="86">
      <c r="A982" s="16" t="n"/>
      <c r="C982" s="19" t="n"/>
      <c r="D982" s="19" t="n"/>
    </row>
    <row r="983" customFormat="1" s="86">
      <c r="A983" s="16" t="n"/>
      <c r="C983" s="19" t="n"/>
      <c r="D983" s="19" t="n"/>
    </row>
    <row r="984" customFormat="1" s="86">
      <c r="A984" s="16" t="n"/>
      <c r="C984" s="19" t="n"/>
      <c r="D984" s="19" t="n"/>
    </row>
    <row r="985" customFormat="1" s="86">
      <c r="A985" s="16" t="n"/>
      <c r="C985" s="19" t="n"/>
      <c r="D985" s="19" t="n"/>
    </row>
    <row r="986" customFormat="1" s="86">
      <c r="A986" s="16" t="n"/>
      <c r="C986" s="19" t="n"/>
      <c r="D986" s="19" t="n"/>
    </row>
    <row r="987" customFormat="1" s="86">
      <c r="A987" s="16" t="n"/>
      <c r="C987" s="19" t="n"/>
      <c r="D987" s="19" t="n"/>
    </row>
    <row r="988" customFormat="1" s="86">
      <c r="A988" s="16" t="n"/>
      <c r="C988" s="19" t="n"/>
      <c r="D988" s="19" t="n"/>
    </row>
    <row r="989" customFormat="1" s="86">
      <c r="A989" s="16" t="n"/>
      <c r="C989" s="19" t="n"/>
      <c r="D989" s="19" t="n"/>
    </row>
    <row r="990" customFormat="1" s="86">
      <c r="A990" s="16" t="n"/>
      <c r="C990" s="19" t="n"/>
      <c r="D990" s="19" t="n"/>
    </row>
    <row r="991" customFormat="1" s="86">
      <c r="A991" s="16" t="n"/>
      <c r="C991" s="19" t="n"/>
      <c r="D991" s="19" t="n"/>
    </row>
    <row r="992" customFormat="1" s="86">
      <c r="A992" s="16" t="n"/>
      <c r="C992" s="19" t="n"/>
      <c r="D992" s="19" t="n"/>
    </row>
    <row r="993" customFormat="1" s="86">
      <c r="A993" s="16" t="n"/>
      <c r="C993" s="19" t="n"/>
      <c r="D993" s="19" t="n"/>
    </row>
    <row r="994" customFormat="1" s="86">
      <c r="A994" s="16" t="n"/>
      <c r="C994" s="19" t="n"/>
      <c r="D994" s="19" t="n"/>
    </row>
    <row r="995" customFormat="1" s="86">
      <c r="A995" s="16" t="n"/>
      <c r="C995" s="19" t="n"/>
      <c r="D995" s="19" t="n"/>
    </row>
    <row r="996" customFormat="1" s="86">
      <c r="A996" s="16" t="n"/>
      <c r="C996" s="19" t="n"/>
      <c r="D996" s="19" t="n"/>
    </row>
    <row r="997" customFormat="1" s="86">
      <c r="A997" s="16" t="n"/>
      <c r="C997" s="19" t="n"/>
      <c r="D997" s="19" t="n"/>
    </row>
    <row r="998" customFormat="1" s="86">
      <c r="A998" s="16" t="n"/>
      <c r="C998" s="19" t="n"/>
      <c r="D998" s="19" t="n"/>
    </row>
    <row r="999" customFormat="1" s="86">
      <c r="A999" s="16" t="n"/>
      <c r="C999" s="19" t="n"/>
      <c r="D999" s="19" t="n"/>
    </row>
    <row r="1000" customFormat="1" s="86">
      <c r="A1000" s="16" t="n"/>
      <c r="C1000" s="19" t="n"/>
      <c r="D1000" s="19" t="n"/>
    </row>
    <row r="1001" customFormat="1" s="86">
      <c r="A1001" s="16" t="n"/>
      <c r="C1001" s="19" t="n"/>
      <c r="D1001" s="19" t="n"/>
    </row>
  </sheetData>
  <conditionalFormatting sqref="C234:C39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9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89"/>
  <sheetViews>
    <sheetView zoomScale="90" zoomScaleNormal="90" workbookViewId="0">
      <pane ySplit="7" topLeftCell="A368" activePane="bottomLeft" state="frozen"/>
      <selection activeCell="X1249" sqref="X1249"/>
      <selection pane="bottomLeft" activeCell="A379" sqref="A379:C389"/>
    </sheetView>
  </sheetViews>
  <sheetFormatPr baseColWidth="8" defaultColWidth="9.1796875" defaultRowHeight="14.5"/>
  <cols>
    <col width="11.36328125" customWidth="1" style="43" min="1" max="1"/>
    <col width="23.1796875" customWidth="1" style="78" min="2" max="2"/>
    <col width="19.6328125" customWidth="1" style="79" min="3" max="3"/>
    <col width="10.6328125" bestFit="1" customWidth="1" style="86" min="4" max="4"/>
    <col width="9.1796875" customWidth="1" style="86" min="5" max="65"/>
    <col width="9.1796875" customWidth="1" style="86" min="66" max="16384"/>
  </cols>
  <sheetData>
    <row r="1">
      <c r="A1" s="72" t="inlineStr">
        <is>
          <t>https://www.investing.com/economic-calendar/chinese-industrial-production-462</t>
        </is>
      </c>
    </row>
    <row r="6" ht="16" customHeight="1" thickBot="1"/>
    <row r="7" ht="44.25" customHeight="1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4" t="n">
        <v>32963</v>
      </c>
      <c r="B8" s="67">
        <f>VLOOKUP(A8,'China Production data'!$A$1:$C$488,3,FALSE)</f>
        <v/>
      </c>
    </row>
    <row r="9">
      <c r="A9" s="73" t="n">
        <v>32993</v>
      </c>
      <c r="B9" s="67">
        <f>VLOOKUP(A9,'China Production data'!$A$1:$C$488,3,FALSE)</f>
        <v/>
      </c>
    </row>
    <row r="10">
      <c r="A10" s="74" t="n">
        <v>33024</v>
      </c>
      <c r="B10" s="67">
        <f>VLOOKUP(A10,'China Production data'!$A$1:$C$488,3,FALSE)</f>
        <v/>
      </c>
    </row>
    <row r="11">
      <c r="A11" s="73" t="n">
        <v>33054</v>
      </c>
      <c r="B11" s="67">
        <f>VLOOKUP(A11,'China Production data'!$A$1:$C$488,3,FALSE)</f>
        <v/>
      </c>
    </row>
    <row r="12">
      <c r="A12" s="74" t="n">
        <v>33085</v>
      </c>
      <c r="B12" s="67">
        <f>VLOOKUP(A12,'China Production data'!$A$1:$C$488,3,FALSE)</f>
        <v/>
      </c>
    </row>
    <row r="13">
      <c r="A13" s="73" t="n">
        <v>33116</v>
      </c>
      <c r="B13" s="67">
        <f>VLOOKUP(A13,'China Production data'!$A$1:$C$488,3,FALSE)</f>
        <v/>
      </c>
    </row>
    <row r="14">
      <c r="A14" s="74" t="n">
        <v>33146</v>
      </c>
      <c r="B14" s="67">
        <f>VLOOKUP(A14,'China Production data'!$A$1:$C$488,3,FALSE)</f>
        <v/>
      </c>
    </row>
    <row r="15">
      <c r="A15" s="73" t="n">
        <v>33177</v>
      </c>
      <c r="B15" s="67">
        <f>VLOOKUP(A15,'China Production data'!$A$1:$C$488,3,FALSE)</f>
        <v/>
      </c>
    </row>
    <row r="16">
      <c r="A16" s="74" t="n">
        <v>33207</v>
      </c>
      <c r="B16" s="67">
        <f>VLOOKUP(A16,'China Production data'!$A$1:$C$488,3,FALSE)</f>
        <v/>
      </c>
    </row>
    <row r="17">
      <c r="A17" s="73" t="n">
        <v>33238</v>
      </c>
      <c r="B17" s="67">
        <f>VLOOKUP(A17,'China Production data'!$A$1:$C$488,3,FALSE)</f>
        <v/>
      </c>
    </row>
    <row r="18">
      <c r="A18" s="74" t="n">
        <v>33269</v>
      </c>
      <c r="B18" s="67">
        <f>VLOOKUP(A18,'China Production data'!$A$1:$C$488,3,FALSE)</f>
        <v/>
      </c>
    </row>
    <row r="19">
      <c r="A19" s="73" t="n">
        <v>33297</v>
      </c>
      <c r="B19" s="67">
        <f>VLOOKUP(A19,'China Production data'!$A$1:$C$488,3,FALSE)</f>
        <v/>
      </c>
    </row>
    <row r="20">
      <c r="A20" s="74" t="n">
        <v>33328</v>
      </c>
      <c r="B20" s="67">
        <f>VLOOKUP(A20,'China Production data'!$A$1:$C$488,3,FALSE)</f>
        <v/>
      </c>
    </row>
    <row r="21">
      <c r="A21" s="73" t="n">
        <v>33358</v>
      </c>
      <c r="B21" s="67">
        <f>VLOOKUP(A21,'China Production data'!$A$1:$C$488,3,FALSE)</f>
        <v/>
      </c>
    </row>
    <row r="22">
      <c r="A22" s="74" t="n">
        <v>33389</v>
      </c>
      <c r="B22" s="67">
        <f>VLOOKUP(A22,'China Production data'!$A$1:$C$488,3,FALSE)</f>
        <v/>
      </c>
    </row>
    <row r="23">
      <c r="A23" s="73" t="n">
        <v>33419</v>
      </c>
      <c r="B23" s="67">
        <f>VLOOKUP(A23,'China Production data'!$A$1:$C$488,3,FALSE)</f>
        <v/>
      </c>
    </row>
    <row r="24">
      <c r="A24" s="74" t="n">
        <v>33450</v>
      </c>
      <c r="B24" s="67">
        <f>VLOOKUP(A24,'China Production data'!$A$1:$C$488,3,FALSE)</f>
        <v/>
      </c>
    </row>
    <row r="25">
      <c r="A25" s="73" t="n">
        <v>33481</v>
      </c>
      <c r="B25" s="67">
        <f>VLOOKUP(A25,'China Production data'!$A$1:$C$488,3,FALSE)</f>
        <v/>
      </c>
    </row>
    <row r="26">
      <c r="A26" s="74" t="n">
        <v>33511</v>
      </c>
      <c r="B26" s="67">
        <f>VLOOKUP(A26,'China Production data'!$A$1:$C$488,3,FALSE)</f>
        <v/>
      </c>
    </row>
    <row r="27">
      <c r="A27" s="73" t="n">
        <v>33542</v>
      </c>
      <c r="B27" s="67">
        <f>VLOOKUP(A27,'China Production data'!$A$1:$C$488,3,FALSE)</f>
        <v/>
      </c>
    </row>
    <row r="28">
      <c r="A28" s="74" t="n">
        <v>33572</v>
      </c>
      <c r="B28" s="67">
        <f>VLOOKUP(A28,'China Production data'!$A$1:$C$488,3,FALSE)</f>
        <v/>
      </c>
    </row>
    <row r="29">
      <c r="A29" s="73" t="n">
        <v>33603</v>
      </c>
      <c r="B29" s="67">
        <f>VLOOKUP(A29,'China Production data'!$A$1:$C$488,3,FALSE)</f>
        <v/>
      </c>
    </row>
    <row r="30">
      <c r="A30" s="74" t="n">
        <v>33634</v>
      </c>
      <c r="B30" s="67">
        <f>VLOOKUP(A30,'China Production data'!$A$1:$C$488,3,FALSE)</f>
        <v/>
      </c>
    </row>
    <row r="31">
      <c r="A31" s="73" t="n">
        <v>33663</v>
      </c>
      <c r="B31" s="67">
        <f>VLOOKUP(A31,'China Production data'!$A$1:$C$488,3,FALSE)</f>
        <v/>
      </c>
    </row>
    <row r="32">
      <c r="A32" s="74" t="n">
        <v>33694</v>
      </c>
      <c r="B32" s="67">
        <f>VLOOKUP(A32,'China Production data'!$A$1:$C$488,3,FALSE)</f>
        <v/>
      </c>
    </row>
    <row r="33">
      <c r="A33" s="73" t="n">
        <v>33724</v>
      </c>
      <c r="B33" s="67">
        <f>VLOOKUP(A33,'China Production data'!$A$1:$C$488,3,FALSE)</f>
        <v/>
      </c>
    </row>
    <row r="34">
      <c r="A34" s="74" t="n">
        <v>33755</v>
      </c>
      <c r="B34" s="67">
        <f>VLOOKUP(A34,'China Production data'!$A$1:$C$488,3,FALSE)</f>
        <v/>
      </c>
    </row>
    <row r="35">
      <c r="A35" s="73" t="n">
        <v>33785</v>
      </c>
      <c r="B35" s="67">
        <f>VLOOKUP(A35,'China Production data'!$A$1:$C$488,3,FALSE)</f>
        <v/>
      </c>
    </row>
    <row r="36">
      <c r="A36" s="74" t="n">
        <v>33816</v>
      </c>
      <c r="B36" s="67">
        <f>VLOOKUP(A36,'China Production data'!$A$1:$C$488,3,FALSE)</f>
        <v/>
      </c>
    </row>
    <row r="37">
      <c r="A37" s="73" t="n">
        <v>33847</v>
      </c>
      <c r="B37" s="67">
        <f>VLOOKUP(A37,'China Production data'!$A$1:$C$488,3,FALSE)</f>
        <v/>
      </c>
    </row>
    <row r="38">
      <c r="A38" s="74" t="n">
        <v>33877</v>
      </c>
      <c r="B38" s="67">
        <f>VLOOKUP(A38,'China Production data'!$A$1:$C$488,3,FALSE)</f>
        <v/>
      </c>
    </row>
    <row r="39">
      <c r="A39" s="73" t="n">
        <v>33908</v>
      </c>
      <c r="B39" s="67">
        <f>VLOOKUP(A39,'China Production data'!$A$1:$C$488,3,FALSE)</f>
        <v/>
      </c>
    </row>
    <row r="40">
      <c r="A40" s="74" t="n">
        <v>33938</v>
      </c>
      <c r="B40" s="67">
        <f>VLOOKUP(A40,'China Production data'!$A$1:$C$488,3,FALSE)</f>
        <v/>
      </c>
    </row>
    <row r="41">
      <c r="A41" s="73" t="n">
        <v>33969</v>
      </c>
      <c r="B41" s="67">
        <f>VLOOKUP(A41,'China Production data'!$A$1:$C$488,3,FALSE)</f>
        <v/>
      </c>
    </row>
    <row r="42">
      <c r="A42" s="74" t="n">
        <v>34000</v>
      </c>
      <c r="B42" s="67">
        <f>VLOOKUP(A42,'China Production data'!$A$1:$C$488,3,FALSE)</f>
        <v/>
      </c>
    </row>
    <row r="43">
      <c r="A43" s="73" t="n">
        <v>34028</v>
      </c>
      <c r="B43" s="67">
        <f>VLOOKUP(A43,'China Production data'!$A$1:$C$488,3,FALSE)</f>
        <v/>
      </c>
    </row>
    <row r="44">
      <c r="A44" s="74" t="n">
        <v>34059</v>
      </c>
      <c r="B44" s="67">
        <f>VLOOKUP(A44,'China Production data'!$A$1:$C$488,3,FALSE)</f>
        <v/>
      </c>
    </row>
    <row r="45">
      <c r="A45" s="73" t="n">
        <v>34089</v>
      </c>
      <c r="B45" s="67">
        <f>VLOOKUP(A45,'China Production data'!$A$1:$C$488,3,FALSE)</f>
        <v/>
      </c>
    </row>
    <row r="46">
      <c r="A46" s="74" t="n">
        <v>34120</v>
      </c>
      <c r="B46" s="67">
        <f>VLOOKUP(A46,'China Production data'!$A$1:$C$488,3,FALSE)</f>
        <v/>
      </c>
    </row>
    <row r="47">
      <c r="A47" s="73" t="n">
        <v>34150</v>
      </c>
      <c r="B47" s="67">
        <f>VLOOKUP(A47,'China Production data'!$A$1:$C$488,3,FALSE)</f>
        <v/>
      </c>
    </row>
    <row r="48">
      <c r="A48" s="74" t="n">
        <v>34181</v>
      </c>
      <c r="B48" s="67">
        <f>VLOOKUP(A48,'China Production data'!$A$1:$C$488,3,FALSE)</f>
        <v/>
      </c>
    </row>
    <row r="49">
      <c r="A49" s="73" t="n">
        <v>34212</v>
      </c>
      <c r="B49" s="67">
        <f>VLOOKUP(A49,'China Production data'!$A$1:$C$488,3,FALSE)</f>
        <v/>
      </c>
    </row>
    <row r="50">
      <c r="A50" s="74" t="n">
        <v>34242</v>
      </c>
      <c r="B50" s="67">
        <f>VLOOKUP(A50,'China Production data'!$A$1:$C$488,3,FALSE)</f>
        <v/>
      </c>
    </row>
    <row r="51">
      <c r="A51" s="73" t="n">
        <v>34273</v>
      </c>
      <c r="B51" s="67">
        <f>VLOOKUP(A51,'China Production data'!$A$1:$C$488,3,FALSE)</f>
        <v/>
      </c>
    </row>
    <row r="52">
      <c r="A52" s="74" t="n">
        <v>34303</v>
      </c>
      <c r="B52" s="67">
        <f>VLOOKUP(A52,'China Production data'!$A$1:$C$488,3,FALSE)</f>
        <v/>
      </c>
    </row>
    <row r="53">
      <c r="A53" s="73" t="n">
        <v>34334</v>
      </c>
      <c r="B53" s="67">
        <f>VLOOKUP(A53,'China Production data'!$A$1:$C$488,3,FALSE)</f>
        <v/>
      </c>
    </row>
    <row r="54">
      <c r="A54" s="74" t="n">
        <v>34365</v>
      </c>
      <c r="B54" s="67">
        <f>VLOOKUP(A54,'China Production data'!$A$1:$C$488,3,FALSE)</f>
        <v/>
      </c>
    </row>
    <row r="55">
      <c r="A55" s="73" t="n">
        <v>34393</v>
      </c>
      <c r="B55" s="67">
        <f>VLOOKUP(A55,'China Production data'!$A$1:$C$488,3,FALSE)</f>
        <v/>
      </c>
    </row>
    <row r="56">
      <c r="A56" s="74" t="n">
        <v>34424</v>
      </c>
      <c r="B56" s="67">
        <f>VLOOKUP(A56,'China Production data'!$A$1:$C$488,3,FALSE)</f>
        <v/>
      </c>
    </row>
    <row r="57">
      <c r="A57" s="73" t="n">
        <v>34454</v>
      </c>
      <c r="B57" s="67">
        <f>VLOOKUP(A57,'China Production data'!$A$1:$C$488,3,FALSE)</f>
        <v/>
      </c>
    </row>
    <row r="58">
      <c r="A58" s="74" t="n">
        <v>34485</v>
      </c>
      <c r="B58" s="67">
        <f>VLOOKUP(A58,'China Production data'!$A$1:$C$488,3,FALSE)</f>
        <v/>
      </c>
    </row>
    <row r="59">
      <c r="A59" s="73" t="n">
        <v>34515</v>
      </c>
      <c r="B59" s="67">
        <f>VLOOKUP(A59,'China Production data'!$A$1:$C$488,3,FALSE)</f>
        <v/>
      </c>
    </row>
    <row r="60">
      <c r="A60" s="74" t="n">
        <v>34546</v>
      </c>
      <c r="B60" s="67">
        <f>VLOOKUP(A60,'China Production data'!$A$1:$C$488,3,FALSE)</f>
        <v/>
      </c>
    </row>
    <row r="61">
      <c r="A61" s="73" t="n">
        <v>34577</v>
      </c>
      <c r="B61" s="67">
        <f>VLOOKUP(A61,'China Production data'!$A$1:$C$488,3,FALSE)</f>
        <v/>
      </c>
    </row>
    <row r="62">
      <c r="A62" s="74" t="n">
        <v>34607</v>
      </c>
      <c r="B62" s="67">
        <f>VLOOKUP(A62,'China Production data'!$A$1:$C$488,3,FALSE)</f>
        <v/>
      </c>
    </row>
    <row r="63">
      <c r="A63" s="73" t="n">
        <v>34638</v>
      </c>
      <c r="B63" s="67">
        <f>VLOOKUP(A63,'China Production data'!$A$1:$C$488,3,FALSE)</f>
        <v/>
      </c>
    </row>
    <row r="64">
      <c r="A64" s="74" t="n">
        <v>34668</v>
      </c>
      <c r="B64" s="67">
        <f>VLOOKUP(A64,'China Production data'!$A$1:$C$488,3,FALSE)</f>
        <v/>
      </c>
    </row>
    <row r="65">
      <c r="A65" s="73" t="n">
        <v>34699</v>
      </c>
      <c r="B65" s="67">
        <f>VLOOKUP(A65,'China Production data'!$A$1:$C$488,3,FALSE)</f>
        <v/>
      </c>
    </row>
    <row r="66">
      <c r="A66" s="74" t="n">
        <v>34730</v>
      </c>
      <c r="B66" s="67">
        <f>VLOOKUP(A66,'China Production data'!$A$1:$C$488,3,FALSE)</f>
        <v/>
      </c>
    </row>
    <row r="67">
      <c r="A67" s="73" t="n">
        <v>34758</v>
      </c>
      <c r="B67" s="67">
        <f>VLOOKUP(A67,'China Production data'!$A$1:$C$488,3,FALSE)</f>
        <v/>
      </c>
    </row>
    <row r="68">
      <c r="A68" s="74" t="n">
        <v>34789</v>
      </c>
      <c r="B68" s="67">
        <f>VLOOKUP(A68,'China Production data'!$A$1:$C$488,3,FALSE)</f>
        <v/>
      </c>
    </row>
    <row r="69">
      <c r="A69" s="73" t="n">
        <v>34819</v>
      </c>
      <c r="B69" s="67">
        <f>VLOOKUP(A69,'China Production data'!$A$1:$C$488,3,FALSE)</f>
        <v/>
      </c>
    </row>
    <row r="70">
      <c r="A70" s="74" t="n">
        <v>34850</v>
      </c>
      <c r="B70" s="67">
        <f>VLOOKUP(A70,'China Production data'!$A$1:$C$488,3,FALSE)</f>
        <v/>
      </c>
    </row>
    <row r="71">
      <c r="A71" s="73" t="n">
        <v>34880</v>
      </c>
      <c r="B71" s="67">
        <f>VLOOKUP(A71,'China Production data'!$A$1:$C$488,3,FALSE)</f>
        <v/>
      </c>
    </row>
    <row r="72">
      <c r="A72" s="74" t="n">
        <v>34911</v>
      </c>
      <c r="B72" s="67">
        <f>VLOOKUP(A72,'China Production data'!$A$1:$C$488,3,FALSE)</f>
        <v/>
      </c>
    </row>
    <row r="73">
      <c r="A73" s="73" t="n">
        <v>34942</v>
      </c>
      <c r="B73" s="67">
        <f>VLOOKUP(A73,'China Production data'!$A$1:$C$488,3,FALSE)</f>
        <v/>
      </c>
    </row>
    <row r="74">
      <c r="A74" s="74" t="n">
        <v>34972</v>
      </c>
      <c r="B74" s="67">
        <f>VLOOKUP(A74,'China Production data'!$A$1:$C$488,3,FALSE)</f>
        <v/>
      </c>
    </row>
    <row r="75">
      <c r="A75" s="73" t="n">
        <v>35003</v>
      </c>
      <c r="B75" s="67">
        <f>VLOOKUP(A75,'China Production data'!$A$1:$C$488,3,FALSE)</f>
        <v/>
      </c>
    </row>
    <row r="76">
      <c r="A76" s="74" t="n">
        <v>35033</v>
      </c>
      <c r="B76" s="67">
        <f>VLOOKUP(A76,'China Production data'!$A$1:$C$488,3,FALSE)</f>
        <v/>
      </c>
    </row>
    <row r="77">
      <c r="A77" s="73" t="n">
        <v>35064</v>
      </c>
      <c r="B77" s="67">
        <f>VLOOKUP(A77,'China Production data'!$A$1:$C$488,3,FALSE)</f>
        <v/>
      </c>
    </row>
    <row r="78">
      <c r="A78" s="74" t="n">
        <v>35095</v>
      </c>
      <c r="B78" s="67">
        <f>VLOOKUP(A78,'China Production data'!$A$1:$C$488,3,FALSE)</f>
        <v/>
      </c>
    </row>
    <row r="79">
      <c r="A79" s="73" t="n">
        <v>35124</v>
      </c>
      <c r="B79" s="67">
        <f>VLOOKUP(A79,'China Production data'!$A$1:$C$488,3,FALSE)</f>
        <v/>
      </c>
    </row>
    <row r="80">
      <c r="A80" s="74" t="n">
        <v>35155</v>
      </c>
      <c r="B80" s="67">
        <f>VLOOKUP(A80,'China Production data'!$A$1:$C$488,3,FALSE)</f>
        <v/>
      </c>
    </row>
    <row r="81">
      <c r="A81" s="73" t="n">
        <v>35185</v>
      </c>
      <c r="B81" s="67">
        <f>VLOOKUP(A81,'China Production data'!$A$1:$C$488,3,FALSE)</f>
        <v/>
      </c>
    </row>
    <row r="82">
      <c r="A82" s="74" t="n">
        <v>35216</v>
      </c>
      <c r="B82" s="67">
        <f>VLOOKUP(A82,'China Production data'!$A$1:$C$488,3,FALSE)</f>
        <v/>
      </c>
    </row>
    <row r="83">
      <c r="A83" s="73" t="n">
        <v>35246</v>
      </c>
      <c r="B83" s="67">
        <f>VLOOKUP(A83,'China Production data'!$A$1:$C$488,3,FALSE)</f>
        <v/>
      </c>
    </row>
    <row r="84">
      <c r="A84" s="74" t="n">
        <v>35277</v>
      </c>
      <c r="B84" s="67">
        <f>VLOOKUP(A84,'China Production data'!$A$1:$C$488,3,FALSE)</f>
        <v/>
      </c>
    </row>
    <row r="85">
      <c r="A85" s="73" t="n">
        <v>35308</v>
      </c>
      <c r="B85" s="67">
        <f>VLOOKUP(A85,'China Production data'!$A$1:$C$488,3,FALSE)</f>
        <v/>
      </c>
    </row>
    <row r="86">
      <c r="A86" s="74" t="n">
        <v>35338</v>
      </c>
      <c r="B86" s="67">
        <f>VLOOKUP(A86,'China Production data'!$A$1:$C$488,3,FALSE)</f>
        <v/>
      </c>
    </row>
    <row r="87">
      <c r="A87" s="73" t="n">
        <v>35369</v>
      </c>
      <c r="B87" s="67">
        <f>VLOOKUP(A87,'China Production data'!$A$1:$C$488,3,FALSE)</f>
        <v/>
      </c>
    </row>
    <row r="88">
      <c r="A88" s="74" t="n">
        <v>35399</v>
      </c>
      <c r="B88" s="67">
        <f>VLOOKUP(A88,'China Production data'!$A$1:$C$488,3,FALSE)</f>
        <v/>
      </c>
    </row>
    <row r="89">
      <c r="A89" s="73" t="n">
        <v>35430</v>
      </c>
      <c r="B89" s="67">
        <f>VLOOKUP(A89,'China Production data'!$A$1:$C$488,3,FALSE)</f>
        <v/>
      </c>
    </row>
    <row r="90">
      <c r="A90" s="74" t="n">
        <v>35461</v>
      </c>
      <c r="B90" s="67">
        <f>VLOOKUP(A90,'China Production data'!$A$1:$C$488,3,FALSE)</f>
        <v/>
      </c>
    </row>
    <row r="91">
      <c r="A91" s="73" t="n">
        <v>35489</v>
      </c>
      <c r="B91" s="67">
        <f>VLOOKUP(A91,'China Production data'!$A$1:$C$488,3,FALSE)</f>
        <v/>
      </c>
    </row>
    <row r="92">
      <c r="A92" s="74" t="n">
        <v>35520</v>
      </c>
      <c r="B92" s="67">
        <f>VLOOKUP(A92,'China Production data'!$A$1:$C$488,3,FALSE)</f>
        <v/>
      </c>
    </row>
    <row r="93">
      <c r="A93" s="73" t="n">
        <v>35550</v>
      </c>
      <c r="B93" s="67">
        <f>VLOOKUP(A93,'China Production data'!$A$1:$C$488,3,FALSE)</f>
        <v/>
      </c>
    </row>
    <row r="94">
      <c r="A94" s="74" t="n">
        <v>35581</v>
      </c>
      <c r="B94" s="67">
        <f>VLOOKUP(A94,'China Production data'!$A$1:$C$488,3,FALSE)</f>
        <v/>
      </c>
    </row>
    <row r="95">
      <c r="A95" s="73" t="n">
        <v>35611</v>
      </c>
      <c r="B95" s="67">
        <f>VLOOKUP(A95,'China Production data'!$A$1:$C$488,3,FALSE)</f>
        <v/>
      </c>
    </row>
    <row r="96">
      <c r="A96" s="74" t="n">
        <v>35642</v>
      </c>
      <c r="B96" s="67">
        <f>VLOOKUP(A96,'China Production data'!$A$1:$C$488,3,FALSE)</f>
        <v/>
      </c>
    </row>
    <row r="97">
      <c r="A97" s="73" t="n">
        <v>35673</v>
      </c>
      <c r="B97" s="67">
        <f>VLOOKUP(A97,'China Production data'!$A$1:$C$488,3,FALSE)</f>
        <v/>
      </c>
    </row>
    <row r="98">
      <c r="A98" s="74" t="n">
        <v>35703</v>
      </c>
      <c r="B98" s="67">
        <f>VLOOKUP(A98,'China Production data'!$A$1:$C$488,3,FALSE)</f>
        <v/>
      </c>
    </row>
    <row r="99">
      <c r="A99" s="73" t="n">
        <v>35734</v>
      </c>
      <c r="B99" s="67">
        <f>VLOOKUP(A99,'China Production data'!$A$1:$C$488,3,FALSE)</f>
        <v/>
      </c>
    </row>
    <row r="100">
      <c r="A100" s="74" t="n">
        <v>35764</v>
      </c>
      <c r="B100" s="67">
        <f>VLOOKUP(A100,'China Production data'!$A$1:$C$488,3,FALSE)</f>
        <v/>
      </c>
    </row>
    <row r="101">
      <c r="A101" s="73" t="n">
        <v>35795</v>
      </c>
      <c r="B101" s="67">
        <f>VLOOKUP(A101,'China Production data'!$A$1:$C$488,3,FALSE)</f>
        <v/>
      </c>
    </row>
    <row r="102">
      <c r="A102" s="74" t="n">
        <v>35826</v>
      </c>
      <c r="B102" s="67">
        <f>VLOOKUP(A102,'China Production data'!$A$1:$C$488,3,FALSE)</f>
        <v/>
      </c>
    </row>
    <row r="103">
      <c r="A103" s="73" t="n">
        <v>35854</v>
      </c>
      <c r="B103" s="67">
        <f>VLOOKUP(A103,'China Production data'!$A$1:$C$488,3,FALSE)</f>
        <v/>
      </c>
    </row>
    <row r="104">
      <c r="A104" s="74" t="n">
        <v>35885</v>
      </c>
      <c r="B104" s="67">
        <f>VLOOKUP(A104,'China Production data'!$A$1:$C$488,3,FALSE)</f>
        <v/>
      </c>
    </row>
    <row r="105">
      <c r="A105" s="73" t="n">
        <v>35915</v>
      </c>
      <c r="B105" s="67">
        <f>VLOOKUP(A105,'China Production data'!$A$1:$C$488,3,FALSE)</f>
        <v/>
      </c>
    </row>
    <row r="106">
      <c r="A106" s="74" t="n">
        <v>35946</v>
      </c>
      <c r="B106" s="67">
        <f>VLOOKUP(A106,'China Production data'!$A$1:$C$488,3,FALSE)</f>
        <v/>
      </c>
    </row>
    <row r="107">
      <c r="A107" s="73" t="n">
        <v>35976</v>
      </c>
      <c r="B107" s="67">
        <f>VLOOKUP(A107,'China Production data'!$A$1:$C$488,3,FALSE)</f>
        <v/>
      </c>
    </row>
    <row r="108">
      <c r="A108" s="74" t="n">
        <v>36007</v>
      </c>
      <c r="B108" s="67">
        <f>VLOOKUP(A108,'China Production data'!$A$1:$C$488,3,FALSE)</f>
        <v/>
      </c>
    </row>
    <row r="109">
      <c r="A109" s="73" t="n">
        <v>36038</v>
      </c>
      <c r="B109" s="67">
        <f>VLOOKUP(A109,'China Production data'!$A$1:$C$488,3,FALSE)</f>
        <v/>
      </c>
    </row>
    <row r="110">
      <c r="A110" s="74" t="n">
        <v>36068</v>
      </c>
      <c r="B110" s="67">
        <f>VLOOKUP(A110,'China Production data'!$A$1:$C$488,3,FALSE)</f>
        <v/>
      </c>
    </row>
    <row r="111">
      <c r="A111" s="73" t="n">
        <v>36099</v>
      </c>
      <c r="B111" s="67">
        <f>VLOOKUP(A111,'China Production data'!$A$1:$C$488,3,FALSE)</f>
        <v/>
      </c>
    </row>
    <row r="112">
      <c r="A112" s="74" t="n">
        <v>36129</v>
      </c>
      <c r="B112" s="67">
        <f>VLOOKUP(A112,'China Production data'!$A$1:$C$488,3,FALSE)</f>
        <v/>
      </c>
    </row>
    <row r="113">
      <c r="A113" s="73" t="n">
        <v>36160</v>
      </c>
      <c r="B113" s="67">
        <f>VLOOKUP(A113,'China Production data'!$A$1:$C$488,3,FALSE)</f>
        <v/>
      </c>
    </row>
    <row r="114">
      <c r="A114" s="74" t="n">
        <v>36191</v>
      </c>
      <c r="B114" s="67">
        <f>VLOOKUP(A114,'China Production data'!$A$1:$C$488,3,FALSE)</f>
        <v/>
      </c>
    </row>
    <row r="115">
      <c r="A115" s="73" t="n">
        <v>36219</v>
      </c>
      <c r="B115" s="67">
        <f>VLOOKUP(A115,'China Production data'!$A$1:$C$488,3,FALSE)</f>
        <v/>
      </c>
    </row>
    <row r="116">
      <c r="A116" s="74" t="n">
        <v>36250</v>
      </c>
      <c r="B116" s="67">
        <f>VLOOKUP(A116,'China Production data'!$A$1:$C$488,3,FALSE)</f>
        <v/>
      </c>
    </row>
    <row r="117">
      <c r="A117" s="73" t="n">
        <v>36280</v>
      </c>
      <c r="B117" s="67">
        <f>VLOOKUP(A117,'China Production data'!$A$1:$C$488,3,FALSE)</f>
        <v/>
      </c>
    </row>
    <row r="118">
      <c r="A118" s="74" t="n">
        <v>36311</v>
      </c>
      <c r="B118" s="67">
        <f>VLOOKUP(A118,'China Production data'!$A$1:$C$488,3,FALSE)</f>
        <v/>
      </c>
    </row>
    <row r="119">
      <c r="A119" s="73" t="n">
        <v>36341</v>
      </c>
      <c r="B119" s="67">
        <f>VLOOKUP(A119,'China Production data'!$A$1:$C$488,3,FALSE)</f>
        <v/>
      </c>
    </row>
    <row r="120">
      <c r="A120" s="74" t="n">
        <v>36372</v>
      </c>
      <c r="B120" s="67">
        <f>VLOOKUP(A120,'China Production data'!$A$1:$C$488,3,FALSE)</f>
        <v/>
      </c>
    </row>
    <row r="121">
      <c r="A121" s="73" t="n">
        <v>36403</v>
      </c>
      <c r="B121" s="67">
        <f>VLOOKUP(A121,'China Production data'!$A$1:$C$488,3,FALSE)</f>
        <v/>
      </c>
    </row>
    <row r="122">
      <c r="A122" s="74" t="n">
        <v>36433</v>
      </c>
      <c r="B122" s="67">
        <f>VLOOKUP(A122,'China Production data'!$A$1:$C$488,3,FALSE)</f>
        <v/>
      </c>
    </row>
    <row r="123">
      <c r="A123" s="73" t="n">
        <v>36464</v>
      </c>
      <c r="B123" s="67">
        <f>VLOOKUP(A123,'China Production data'!$A$1:$C$488,3,FALSE)</f>
        <v/>
      </c>
    </row>
    <row r="124">
      <c r="A124" s="74" t="n">
        <v>36494</v>
      </c>
      <c r="B124" s="67">
        <f>VLOOKUP(A124,'China Production data'!$A$1:$C$488,3,FALSE)</f>
        <v/>
      </c>
    </row>
    <row r="125">
      <c r="A125" s="73" t="n">
        <v>36525</v>
      </c>
      <c r="B125" s="67">
        <f>VLOOKUP(A125,'China Production data'!$A$1:$C$488,3,FALSE)</f>
        <v/>
      </c>
    </row>
    <row r="126">
      <c r="A126" s="74" t="n">
        <v>36556</v>
      </c>
      <c r="B126" s="67">
        <f>VLOOKUP(A126,'China Production data'!$A$1:$C$488,3,FALSE)</f>
        <v/>
      </c>
    </row>
    <row r="127">
      <c r="A127" s="73" t="n">
        <v>36585</v>
      </c>
      <c r="B127" s="67">
        <f>VLOOKUP(A127,'China Production data'!$A$1:$C$488,3,FALSE)</f>
        <v/>
      </c>
    </row>
    <row r="128">
      <c r="A128" s="74" t="n">
        <v>36616</v>
      </c>
      <c r="B128" s="67">
        <f>VLOOKUP(A128,'China Production data'!$A$1:$C$488,3,FALSE)</f>
        <v/>
      </c>
    </row>
    <row r="129">
      <c r="A129" s="73" t="n">
        <v>36646</v>
      </c>
      <c r="B129" s="67">
        <f>VLOOKUP(A129,'China Production data'!$A$1:$C$488,3,FALSE)</f>
        <v/>
      </c>
    </row>
    <row r="130">
      <c r="A130" s="74" t="n">
        <v>36677</v>
      </c>
      <c r="B130" s="67">
        <f>VLOOKUP(A130,'China Production data'!$A$1:$C$488,3,FALSE)</f>
        <v/>
      </c>
    </row>
    <row r="131">
      <c r="A131" s="73" t="n">
        <v>36707</v>
      </c>
      <c r="B131" s="67">
        <f>VLOOKUP(A131,'China Production data'!$A$1:$C$488,3,FALSE)</f>
        <v/>
      </c>
    </row>
    <row r="132">
      <c r="A132" s="74" t="n">
        <v>36738</v>
      </c>
      <c r="B132" s="67">
        <f>VLOOKUP(A132,'China Production data'!$A$1:$C$488,3,FALSE)</f>
        <v/>
      </c>
    </row>
    <row r="133">
      <c r="A133" s="73" t="n">
        <v>36769</v>
      </c>
      <c r="B133" s="67">
        <f>VLOOKUP(A133,'China Production data'!$A$1:$C$488,3,FALSE)</f>
        <v/>
      </c>
    </row>
    <row r="134">
      <c r="A134" s="74" t="n">
        <v>36799</v>
      </c>
      <c r="B134" s="67">
        <f>VLOOKUP(A134,'China Production data'!$A$1:$C$488,3,FALSE)</f>
        <v/>
      </c>
    </row>
    <row r="135">
      <c r="A135" s="73" t="n">
        <v>36830</v>
      </c>
      <c r="B135" s="67">
        <f>VLOOKUP(A135,'China Production data'!$A$1:$C$488,3,FALSE)</f>
        <v/>
      </c>
    </row>
    <row r="136">
      <c r="A136" s="74" t="n">
        <v>36860</v>
      </c>
      <c r="B136" s="67">
        <f>VLOOKUP(A136,'China Production data'!$A$1:$C$488,3,FALSE)</f>
        <v/>
      </c>
    </row>
    <row r="137">
      <c r="A137" s="73" t="n">
        <v>36891</v>
      </c>
      <c r="B137" s="67">
        <f>VLOOKUP(A137,'China Production data'!$A$1:$C$488,3,FALSE)</f>
        <v/>
      </c>
    </row>
    <row r="138">
      <c r="A138" s="74" t="n">
        <v>36922</v>
      </c>
      <c r="B138" s="67">
        <f>VLOOKUP(A138,'China Production data'!$A$1:$C$488,3,FALSE)</f>
        <v/>
      </c>
    </row>
    <row r="139">
      <c r="A139" s="73" t="n">
        <v>36950</v>
      </c>
      <c r="B139" s="67">
        <f>VLOOKUP(A139,'China Production data'!$A$1:$C$488,3,FALSE)</f>
        <v/>
      </c>
    </row>
    <row r="140">
      <c r="A140" s="74" t="n">
        <v>36981</v>
      </c>
      <c r="B140" s="67">
        <f>VLOOKUP(A140,'China Production data'!$A$1:$C$488,3,FALSE)</f>
        <v/>
      </c>
    </row>
    <row r="141">
      <c r="A141" s="73" t="n">
        <v>37011</v>
      </c>
      <c r="B141" s="67">
        <f>VLOOKUP(A141,'China Production data'!$A$1:$C$488,3,FALSE)</f>
        <v/>
      </c>
    </row>
    <row r="142">
      <c r="A142" s="74" t="n">
        <v>37042</v>
      </c>
      <c r="B142" s="67">
        <f>VLOOKUP(A142,'China Production data'!$A$1:$C$488,3,FALSE)</f>
        <v/>
      </c>
    </row>
    <row r="143">
      <c r="A143" s="73" t="n">
        <v>37072</v>
      </c>
      <c r="B143" s="67">
        <f>VLOOKUP(A143,'China Production data'!$A$1:$C$488,3,FALSE)</f>
        <v/>
      </c>
    </row>
    <row r="144">
      <c r="A144" s="74" t="n">
        <v>37103</v>
      </c>
      <c r="B144" s="67">
        <f>VLOOKUP(A144,'China Production data'!$A$1:$C$488,3,FALSE)</f>
        <v/>
      </c>
    </row>
    <row r="145">
      <c r="A145" s="73" t="n">
        <v>37134</v>
      </c>
      <c r="B145" s="67">
        <f>VLOOKUP(A145,'China Production data'!$A$1:$C$488,3,FALSE)</f>
        <v/>
      </c>
    </row>
    <row r="146">
      <c r="A146" s="74" t="n">
        <v>37164</v>
      </c>
      <c r="B146" s="67">
        <f>VLOOKUP(A146,'China Production data'!$A$1:$C$488,3,FALSE)</f>
        <v/>
      </c>
    </row>
    <row r="147">
      <c r="A147" s="73" t="n">
        <v>37195</v>
      </c>
      <c r="B147" s="67">
        <f>VLOOKUP(A147,'China Production data'!$A$1:$C$488,3,FALSE)</f>
        <v/>
      </c>
    </row>
    <row r="148">
      <c r="A148" s="74" t="n">
        <v>37225</v>
      </c>
      <c r="B148" s="67">
        <f>VLOOKUP(A148,'China Production data'!$A$1:$C$488,3,FALSE)</f>
        <v/>
      </c>
    </row>
    <row r="149">
      <c r="A149" s="73" t="n">
        <v>37256</v>
      </c>
      <c r="B149" s="67">
        <f>VLOOKUP(A149,'China Production data'!$A$1:$C$488,3,FALSE)</f>
        <v/>
      </c>
    </row>
    <row r="150">
      <c r="A150" s="74" t="n">
        <v>37287</v>
      </c>
      <c r="B150" s="67">
        <f>VLOOKUP(A150,'China Production data'!$A$1:$C$488,3,FALSE)</f>
        <v/>
      </c>
    </row>
    <row r="151">
      <c r="A151" s="73" t="n">
        <v>37315</v>
      </c>
      <c r="B151" s="67">
        <f>VLOOKUP(A151,'China Production data'!$A$1:$C$488,3,FALSE)</f>
        <v/>
      </c>
    </row>
    <row r="152">
      <c r="A152" s="74" t="n">
        <v>37346</v>
      </c>
      <c r="B152" s="67">
        <f>VLOOKUP(A152,'China Production data'!$A$1:$C$488,3,FALSE)</f>
        <v/>
      </c>
    </row>
    <row r="153">
      <c r="A153" s="73" t="n">
        <v>37376</v>
      </c>
      <c r="B153" s="67">
        <f>VLOOKUP(A153,'China Production data'!$A$1:$C$488,3,FALSE)</f>
        <v/>
      </c>
    </row>
    <row r="154">
      <c r="A154" s="74" t="n">
        <v>37407</v>
      </c>
      <c r="B154" s="67">
        <f>VLOOKUP(A154,'China Production data'!$A$1:$C$488,3,FALSE)</f>
        <v/>
      </c>
    </row>
    <row r="155">
      <c r="A155" s="73" t="n">
        <v>37437</v>
      </c>
      <c r="B155" s="67">
        <f>VLOOKUP(A155,'China Production data'!$A$1:$C$488,3,FALSE)</f>
        <v/>
      </c>
    </row>
    <row r="156">
      <c r="A156" s="74" t="n">
        <v>37468</v>
      </c>
      <c r="B156" s="67">
        <f>VLOOKUP(A156,'China Production data'!$A$1:$C$488,3,FALSE)</f>
        <v/>
      </c>
    </row>
    <row r="157">
      <c r="A157" s="73" t="n">
        <v>37499</v>
      </c>
      <c r="B157" s="67">
        <f>VLOOKUP(A157,'China Production data'!$A$1:$C$488,3,FALSE)</f>
        <v/>
      </c>
    </row>
    <row r="158">
      <c r="A158" s="74" t="n">
        <v>37529</v>
      </c>
      <c r="B158" s="67">
        <f>VLOOKUP(A158,'China Production data'!$A$1:$C$488,3,FALSE)</f>
        <v/>
      </c>
    </row>
    <row r="159">
      <c r="A159" s="68" t="n">
        <v>37560</v>
      </c>
      <c r="B159" s="67">
        <f>VLOOKUP(A159,'China Production data'!$A$1:$C$488,3,FALSE)</f>
        <v/>
      </c>
    </row>
    <row r="160">
      <c r="A160" s="75" t="n">
        <v>37590</v>
      </c>
      <c r="B160" s="67">
        <f>VLOOKUP(A160,'China Production data'!$A$1:$C$488,3,FALSE)</f>
        <v/>
      </c>
      <c r="C160" s="76" t="n"/>
    </row>
    <row r="161">
      <c r="A161" s="77" t="n">
        <v>37621</v>
      </c>
      <c r="B161" s="67">
        <f>VLOOKUP(A161,'China Production data'!$A$1:$C$488,3,FALSE)</f>
        <v/>
      </c>
      <c r="C161" s="76" t="n"/>
    </row>
    <row r="162">
      <c r="A162" s="75" t="n">
        <v>37652</v>
      </c>
      <c r="B162" s="67">
        <f>VLOOKUP(A162,'China Production data'!$A$1:$C$488,3,FALSE)</f>
        <v/>
      </c>
      <c r="C162" s="76" t="n"/>
    </row>
    <row r="163">
      <c r="A163" s="77" t="n">
        <v>37680</v>
      </c>
      <c r="B163" s="67">
        <f>VLOOKUP(A163,'China Production data'!$A$1:$C$488,3,FALSE)</f>
        <v/>
      </c>
      <c r="C163" s="76" t="n"/>
    </row>
    <row r="164">
      <c r="A164" s="75" t="n">
        <v>37711</v>
      </c>
      <c r="B164" s="67">
        <f>VLOOKUP(A164,'China Production data'!$A$1:$C$488,3,FALSE)</f>
        <v/>
      </c>
      <c r="C164" s="76" t="n"/>
    </row>
    <row r="165">
      <c r="A165" s="77" t="n">
        <v>37741</v>
      </c>
      <c r="B165" s="67">
        <f>VLOOKUP(A165,'China Production data'!$A$1:$C$488,3,FALSE)</f>
        <v/>
      </c>
      <c r="C165" s="76" t="n"/>
    </row>
    <row r="166">
      <c r="A166" s="75" t="n">
        <v>37772</v>
      </c>
      <c r="B166" s="67">
        <f>VLOOKUP(A166,'China Production data'!$A$1:$C$488,3,FALSE)</f>
        <v/>
      </c>
      <c r="C166" s="76" t="n"/>
    </row>
    <row r="167">
      <c r="A167" s="77" t="n">
        <v>37802</v>
      </c>
      <c r="B167" s="67">
        <f>VLOOKUP(A167,'China Production data'!$A$1:$C$488,3,FALSE)</f>
        <v/>
      </c>
      <c r="C167" s="76" t="n"/>
    </row>
    <row r="168">
      <c r="A168" s="75" t="n">
        <v>37833</v>
      </c>
      <c r="B168" s="67">
        <f>VLOOKUP(A168,'China Production data'!$A$1:$C$488,3,FALSE)</f>
        <v/>
      </c>
      <c r="C168" s="76" t="n"/>
    </row>
    <row r="169">
      <c r="A169" s="77" t="n">
        <v>37864</v>
      </c>
      <c r="B169" s="67">
        <f>VLOOKUP(A169,'China Production data'!$A$1:$C$488,3,FALSE)</f>
        <v/>
      </c>
      <c r="C169" s="76" t="n"/>
    </row>
    <row r="170">
      <c r="A170" s="75" t="n">
        <v>37894</v>
      </c>
      <c r="B170" s="67">
        <f>VLOOKUP(A170,'China Production data'!$A$1:$C$488,3,FALSE)</f>
        <v/>
      </c>
      <c r="C170" s="76" t="n"/>
    </row>
    <row r="171">
      <c r="A171" s="77" t="n">
        <v>37925</v>
      </c>
      <c r="B171" s="67">
        <f>VLOOKUP(A171,'China Production data'!$A$1:$C$488,3,FALSE)</f>
        <v/>
      </c>
      <c r="C171" s="76" t="n"/>
    </row>
    <row r="172">
      <c r="A172" s="75" t="n">
        <v>37955</v>
      </c>
      <c r="B172" s="67">
        <f>VLOOKUP(A172,'China Production data'!$A$1:$C$488,3,FALSE)</f>
        <v/>
      </c>
      <c r="C172" s="76" t="n"/>
    </row>
    <row r="173">
      <c r="A173" s="77" t="n">
        <v>37986</v>
      </c>
      <c r="B173" s="67">
        <f>VLOOKUP(A173,'China Production data'!$A$1:$C$488,3,FALSE)</f>
        <v/>
      </c>
      <c r="C173" s="76" t="n"/>
    </row>
    <row r="174">
      <c r="A174" s="75" t="n">
        <v>38017</v>
      </c>
      <c r="B174" s="67">
        <f>VLOOKUP(A174,'China Production data'!$A$1:$C$488,3,FALSE)</f>
        <v/>
      </c>
      <c r="C174" s="76" t="n"/>
    </row>
    <row r="175">
      <c r="A175" s="77" t="n">
        <v>38046</v>
      </c>
      <c r="B175" s="67">
        <f>VLOOKUP(A175,'China Production data'!$A$1:$C$488,3,FALSE)</f>
        <v/>
      </c>
      <c r="C175" s="76" t="n"/>
    </row>
    <row r="176">
      <c r="A176" s="75" t="n">
        <v>38077</v>
      </c>
      <c r="B176" s="67">
        <f>VLOOKUP(A176,'China Production data'!$A$1:$C$488,3,FALSE)</f>
        <v/>
      </c>
      <c r="C176" s="76" t="n"/>
    </row>
    <row r="177">
      <c r="A177" s="77" t="n">
        <v>38107</v>
      </c>
      <c r="B177" s="67">
        <f>VLOOKUP(A177,'China Production data'!$A$1:$C$488,3,FALSE)</f>
        <v/>
      </c>
      <c r="C177" s="76" t="n"/>
    </row>
    <row r="178">
      <c r="A178" s="75" t="n">
        <v>38138</v>
      </c>
      <c r="B178" s="67">
        <f>VLOOKUP(A178,'China Production data'!$A$1:$C$488,3,FALSE)</f>
        <v/>
      </c>
      <c r="C178" s="76" t="n"/>
    </row>
    <row r="179">
      <c r="A179" s="77" t="n">
        <v>38168</v>
      </c>
      <c r="B179" s="67">
        <f>VLOOKUP(A179,'China Production data'!$A$1:$C$488,3,FALSE)</f>
        <v/>
      </c>
      <c r="C179" s="76" t="n"/>
    </row>
    <row r="180">
      <c r="A180" s="75" t="n">
        <v>38199</v>
      </c>
      <c r="B180" s="67">
        <f>VLOOKUP(A180,'China Production data'!$A$1:$C$488,3,FALSE)</f>
        <v/>
      </c>
      <c r="C180" s="76" t="n"/>
    </row>
    <row r="181">
      <c r="A181" s="77" t="n">
        <v>38230</v>
      </c>
      <c r="B181" s="67">
        <f>VLOOKUP(A181,'China Production data'!$A$1:$C$488,3,FALSE)</f>
        <v/>
      </c>
      <c r="C181" s="76" t="n"/>
    </row>
    <row r="182">
      <c r="A182" s="75" t="n">
        <v>38260</v>
      </c>
      <c r="B182" s="67">
        <f>VLOOKUP(A182,'China Production data'!$A$1:$C$488,3,FALSE)</f>
        <v/>
      </c>
      <c r="C182" s="76" t="n"/>
    </row>
    <row r="183">
      <c r="A183" s="77" t="n">
        <v>38291</v>
      </c>
      <c r="B183" s="67">
        <f>VLOOKUP(A183,'China Production data'!$A$1:$C$488,3,FALSE)</f>
        <v/>
      </c>
      <c r="C183" s="76" t="n"/>
    </row>
    <row r="184">
      <c r="A184" s="75" t="n">
        <v>38321</v>
      </c>
      <c r="B184" s="67">
        <f>VLOOKUP(A184,'China Production data'!$A$1:$C$488,3,FALSE)</f>
        <v/>
      </c>
      <c r="C184" s="76" t="n"/>
    </row>
    <row r="185">
      <c r="A185" s="77" t="n">
        <v>38352</v>
      </c>
      <c r="B185" s="67">
        <f>VLOOKUP(A185,'China Production data'!$A$1:$C$488,3,FALSE)</f>
        <v/>
      </c>
      <c r="C185" s="76" t="n"/>
    </row>
    <row r="186">
      <c r="A186" s="75" t="n">
        <v>38383</v>
      </c>
      <c r="B186" s="67">
        <f>VLOOKUP(A186,'China Production data'!$A$1:$C$488,3,FALSE)</f>
        <v/>
      </c>
      <c r="C186" s="76">
        <f>VLOOKUP(A186,'China Production data'!$A$1:$C$488,2,FALSE)</f>
        <v/>
      </c>
    </row>
    <row r="187">
      <c r="A187" s="75" t="n">
        <v>38411</v>
      </c>
      <c r="B187" s="67">
        <f>VLOOKUP(A187,'China Production data'!$A$1:$C$488,3,FALSE)</f>
        <v/>
      </c>
      <c r="C187" s="76">
        <f>VLOOKUP(A187,'China Production data'!$A$1:$C$488,2,FALSE)</f>
        <v/>
      </c>
    </row>
    <row r="188">
      <c r="A188" s="77" t="n">
        <v>38442</v>
      </c>
      <c r="B188" s="67">
        <f>VLOOKUP(A188,'China Production data'!$A$1:$C$488,3,FALSE)</f>
        <v/>
      </c>
      <c r="C188" s="76">
        <f>VLOOKUP(A188,'China Production data'!$A$1:$C$488,2,FALSE)</f>
        <v/>
      </c>
    </row>
    <row r="189">
      <c r="A189" s="75" t="n">
        <v>38472</v>
      </c>
      <c r="B189" s="67">
        <f>VLOOKUP(A189,'China Production data'!$A$1:$C$488,3,FALSE)</f>
        <v/>
      </c>
      <c r="C189" s="76">
        <f>VLOOKUP(A189,'China Production data'!$A$1:$C$488,2,FALSE)</f>
        <v/>
      </c>
    </row>
    <row r="190">
      <c r="A190" s="77" t="n">
        <v>38503</v>
      </c>
      <c r="B190" s="67">
        <f>VLOOKUP(A190,'China Production data'!$A$1:$C$488,3,FALSE)</f>
        <v/>
      </c>
      <c r="C190" s="76">
        <f>VLOOKUP(A190,'China Production data'!$A$1:$C$488,2,FALSE)</f>
        <v/>
      </c>
    </row>
    <row r="191">
      <c r="A191" s="75" t="n">
        <v>38533</v>
      </c>
      <c r="B191" s="67">
        <f>VLOOKUP(A191,'China Production data'!$A$1:$C$488,3,FALSE)</f>
        <v/>
      </c>
      <c r="C191" s="76">
        <f>VLOOKUP(A191,'China Production data'!$A$1:$C$488,2,FALSE)</f>
        <v/>
      </c>
    </row>
    <row r="192">
      <c r="A192" s="77" t="n">
        <v>38564</v>
      </c>
      <c r="B192" s="67">
        <f>VLOOKUP(A192,'China Production data'!$A$1:$C$488,3,FALSE)</f>
        <v/>
      </c>
      <c r="C192" s="76">
        <f>VLOOKUP(A192,'China Production data'!$A$1:$C$488,2,FALSE)</f>
        <v/>
      </c>
    </row>
    <row r="193">
      <c r="A193" s="75" t="n">
        <v>38595</v>
      </c>
      <c r="B193" s="67">
        <f>VLOOKUP(A193,'China Production data'!$A$1:$C$488,3,FALSE)</f>
        <v/>
      </c>
      <c r="C193" s="76">
        <f>VLOOKUP(A193,'China Production data'!$A$1:$C$488,2,FALSE)</f>
        <v/>
      </c>
    </row>
    <row r="194">
      <c r="A194" s="77" t="n">
        <v>38625</v>
      </c>
      <c r="B194" s="67">
        <f>VLOOKUP(A194,'China Production data'!$A$1:$C$488,3,FALSE)</f>
        <v/>
      </c>
      <c r="C194" s="76">
        <f>VLOOKUP(A194,'China Production data'!$A$1:$C$488,2,FALSE)</f>
        <v/>
      </c>
    </row>
    <row r="195">
      <c r="A195" s="75" t="n">
        <v>38656</v>
      </c>
      <c r="B195" s="67">
        <f>VLOOKUP(A195,'China Production data'!$A$1:$C$488,3,FALSE)</f>
        <v/>
      </c>
      <c r="C195" s="76">
        <f>VLOOKUP(A195,'China Production data'!$A$1:$C$488,2,FALSE)</f>
        <v/>
      </c>
    </row>
    <row r="196">
      <c r="A196" s="77" t="n">
        <v>38686</v>
      </c>
      <c r="B196" s="67">
        <f>VLOOKUP(A196,'China Production data'!$A$1:$C$488,3,FALSE)</f>
        <v/>
      </c>
      <c r="C196" s="76">
        <f>VLOOKUP(A196,'China Production data'!$A$1:$C$488,2,FALSE)</f>
        <v/>
      </c>
    </row>
    <row r="197">
      <c r="A197" s="75" t="n">
        <v>38717</v>
      </c>
      <c r="B197" s="67">
        <f>VLOOKUP(A197,'China Production data'!$A$1:$C$488,3,FALSE)</f>
        <v/>
      </c>
      <c r="C197" s="76">
        <f>VLOOKUP(A197,'China Production data'!$A$1:$C$488,2,FALSE)</f>
        <v/>
      </c>
    </row>
    <row r="198">
      <c r="A198" s="75" t="n">
        <v>38776</v>
      </c>
      <c r="B198" s="67">
        <f>VLOOKUP(A198,'China Production data'!$A$1:$C$488,3,FALSE)</f>
        <v/>
      </c>
      <c r="C198" s="76">
        <f>VLOOKUP(A198,'China Production data'!$A$1:$C$488,2,FALSE)</f>
        <v/>
      </c>
    </row>
    <row r="199">
      <c r="A199" s="77" t="n">
        <v>38807</v>
      </c>
      <c r="B199" s="67">
        <f>VLOOKUP(A199,'China Production data'!$A$1:$C$488,3,FALSE)</f>
        <v/>
      </c>
      <c r="C199" s="76">
        <f>VLOOKUP(A199,'China Production data'!$A$1:$C$488,2,FALSE)</f>
        <v/>
      </c>
    </row>
    <row r="200">
      <c r="A200" s="75" t="n">
        <v>38837</v>
      </c>
      <c r="B200" s="67">
        <f>VLOOKUP(A200,'China Production data'!$A$1:$C$488,3,FALSE)</f>
        <v/>
      </c>
      <c r="C200" s="76">
        <f>VLOOKUP(A200,'China Production data'!$A$1:$C$488,2,FALSE)</f>
        <v/>
      </c>
    </row>
    <row r="201">
      <c r="A201" s="77" t="n">
        <v>38868</v>
      </c>
      <c r="B201" s="67">
        <f>VLOOKUP(A201,'China Production data'!$A$1:$C$488,3,FALSE)</f>
        <v/>
      </c>
      <c r="C201" s="76">
        <f>VLOOKUP(A201,'China Production data'!$A$1:$C$488,2,FALSE)</f>
        <v/>
      </c>
    </row>
    <row r="202">
      <c r="A202" s="75" t="n">
        <v>38898</v>
      </c>
      <c r="B202" s="67">
        <f>VLOOKUP(A202,'China Production data'!$A$1:$C$488,3,FALSE)</f>
        <v/>
      </c>
      <c r="C202" s="76">
        <f>VLOOKUP(A202,'China Production data'!$A$1:$C$488,2,FALSE)</f>
        <v/>
      </c>
    </row>
    <row r="203">
      <c r="A203" s="77" t="n">
        <v>38929</v>
      </c>
      <c r="B203" s="67">
        <f>VLOOKUP(A203,'China Production data'!$A$1:$C$488,3,FALSE)</f>
        <v/>
      </c>
      <c r="C203" s="76">
        <f>VLOOKUP(A203,'China Production data'!$A$1:$C$488,2,FALSE)</f>
        <v/>
      </c>
    </row>
    <row r="204">
      <c r="A204" s="75" t="n">
        <v>38960</v>
      </c>
      <c r="B204" s="67">
        <f>VLOOKUP(A204,'China Production data'!$A$1:$C$488,3,FALSE)</f>
        <v/>
      </c>
      <c r="C204" s="76">
        <f>VLOOKUP(A204,'China Production data'!$A$1:$C$488,2,FALSE)</f>
        <v/>
      </c>
    </row>
    <row r="205">
      <c r="A205" s="77" t="n">
        <v>38990</v>
      </c>
      <c r="B205" s="67">
        <f>VLOOKUP(A205,'China Production data'!$A$1:$C$488,3,FALSE)</f>
        <v/>
      </c>
      <c r="C205" s="76">
        <f>VLOOKUP(A205,'China Production data'!$A$1:$C$488,2,FALSE)</f>
        <v/>
      </c>
    </row>
    <row r="206">
      <c r="A206" s="75" t="n">
        <v>39021</v>
      </c>
      <c r="B206" s="67">
        <f>VLOOKUP(A206,'China Production data'!$A$1:$C$488,3,FALSE)</f>
        <v/>
      </c>
      <c r="C206" s="76">
        <f>VLOOKUP(A206,'China Production data'!$A$1:$C$488,2,FALSE)</f>
        <v/>
      </c>
    </row>
    <row r="207">
      <c r="A207" s="77" t="n">
        <v>39051</v>
      </c>
      <c r="B207" s="67">
        <f>VLOOKUP(A207,'China Production data'!$A$1:$C$488,3,FALSE)</f>
        <v/>
      </c>
      <c r="C207" s="76">
        <f>VLOOKUP(A207,'China Production data'!$A$1:$C$488,2,FALSE)</f>
        <v/>
      </c>
    </row>
    <row r="208">
      <c r="A208" s="75" t="n">
        <v>39082</v>
      </c>
      <c r="B208" s="67">
        <f>VLOOKUP(A208,'China Production data'!$A$1:$C$488,3,FALSE)</f>
        <v/>
      </c>
      <c r="C208" s="76">
        <f>VLOOKUP(A208,'China Production data'!$A$1:$C$488,2,FALSE)</f>
        <v/>
      </c>
    </row>
    <row r="209">
      <c r="A209" s="77" t="n">
        <v>39141</v>
      </c>
      <c r="B209" s="67">
        <f>VLOOKUP(A209,'China Production data'!$A$1:$C$488,3,FALSE)</f>
        <v/>
      </c>
      <c r="C209" s="76">
        <f>VLOOKUP(A209,'China Production data'!$A$1:$C$488,2,FALSE)</f>
        <v/>
      </c>
    </row>
    <row r="210">
      <c r="A210" s="77" t="n">
        <v>39172</v>
      </c>
      <c r="B210" s="67">
        <f>VLOOKUP(A210,'China Production data'!$A$1:$C$488,3,FALSE)</f>
        <v/>
      </c>
      <c r="C210" s="76">
        <f>VLOOKUP(A210,'China Production data'!$A$1:$C$488,2,FALSE)</f>
        <v/>
      </c>
    </row>
    <row r="211">
      <c r="A211" s="75" t="n">
        <v>39202</v>
      </c>
      <c r="B211" s="67">
        <f>VLOOKUP(A211,'China Production data'!$A$1:$C$488,3,FALSE)</f>
        <v/>
      </c>
      <c r="C211" s="76">
        <f>VLOOKUP(A211,'China Production data'!$A$1:$C$488,2,FALSE)</f>
        <v/>
      </c>
    </row>
    <row r="212">
      <c r="A212" s="77" t="n">
        <v>39233</v>
      </c>
      <c r="B212" s="67">
        <f>VLOOKUP(A212,'China Production data'!$A$1:$C$488,3,FALSE)</f>
        <v/>
      </c>
      <c r="C212" s="76">
        <f>VLOOKUP(A212,'China Production data'!$A$1:$C$488,2,FALSE)</f>
        <v/>
      </c>
    </row>
    <row r="213">
      <c r="A213" s="75" t="n">
        <v>39263</v>
      </c>
      <c r="B213" s="67">
        <f>VLOOKUP(A213,'China Production data'!$A$1:$C$488,3,FALSE)</f>
        <v/>
      </c>
      <c r="C213" s="76">
        <f>VLOOKUP(A213,'China Production data'!$A$1:$C$488,2,FALSE)</f>
        <v/>
      </c>
    </row>
    <row r="214">
      <c r="A214" s="77" t="n">
        <v>39294</v>
      </c>
      <c r="B214" s="67">
        <f>VLOOKUP(A214,'China Production data'!$A$1:$C$488,3,FALSE)</f>
        <v/>
      </c>
      <c r="C214" s="76">
        <f>VLOOKUP(A214,'China Production data'!$A$1:$C$488,2,FALSE)</f>
        <v/>
      </c>
    </row>
    <row r="215">
      <c r="A215" s="75" t="n">
        <v>39325</v>
      </c>
      <c r="B215" s="67">
        <f>VLOOKUP(A215,'China Production data'!$A$1:$C$488,3,FALSE)</f>
        <v/>
      </c>
      <c r="C215" s="76">
        <f>VLOOKUP(A215,'China Production data'!$A$1:$C$488,2,FALSE)</f>
        <v/>
      </c>
    </row>
    <row r="216">
      <c r="A216" s="77" t="n">
        <v>39355</v>
      </c>
      <c r="B216" s="67">
        <f>VLOOKUP(A216,'China Production data'!$A$1:$C$488,3,FALSE)</f>
        <v/>
      </c>
      <c r="C216" s="76">
        <f>VLOOKUP(A216,'China Production data'!$A$1:$C$488,2,FALSE)</f>
        <v/>
      </c>
    </row>
    <row r="217">
      <c r="A217" s="75" t="n">
        <v>39386</v>
      </c>
      <c r="B217" s="67">
        <f>VLOOKUP(A217,'China Production data'!$A$1:$C$488,3,FALSE)</f>
        <v/>
      </c>
      <c r="C217" s="76">
        <f>VLOOKUP(A217,'China Production data'!$A$1:$C$488,2,FALSE)</f>
        <v/>
      </c>
    </row>
    <row r="218">
      <c r="A218" s="77" t="n">
        <v>39416</v>
      </c>
      <c r="B218" s="67">
        <f>VLOOKUP(A218,'China Production data'!$A$1:$C$488,3,FALSE)</f>
        <v/>
      </c>
      <c r="C218" s="76">
        <f>VLOOKUP(A218,'China Production data'!$A$1:$C$488,2,FALSE)</f>
        <v/>
      </c>
    </row>
    <row r="219">
      <c r="A219" s="75" t="n">
        <v>39447</v>
      </c>
      <c r="B219" s="67">
        <f>VLOOKUP(A219,'China Production data'!$A$1:$C$488,3,FALSE)</f>
        <v/>
      </c>
      <c r="C219" s="76">
        <f>VLOOKUP(A219,'China Production data'!$A$1:$C$488,2,FALSE)</f>
        <v/>
      </c>
    </row>
    <row r="220">
      <c r="A220" s="77" t="n">
        <v>39507</v>
      </c>
      <c r="B220" s="67">
        <f>VLOOKUP(A220,'China Production data'!$A$1:$C$488,3,FALSE)</f>
        <v/>
      </c>
      <c r="C220" s="76">
        <f>VLOOKUP(A220,'China Production data'!$A$1:$C$488,2,FALSE)</f>
        <v/>
      </c>
    </row>
    <row r="221">
      <c r="A221" s="75" t="n">
        <v>39538</v>
      </c>
      <c r="B221" s="67">
        <f>VLOOKUP(A221,'China Production data'!$A$1:$C$488,3,FALSE)</f>
        <v/>
      </c>
      <c r="C221" s="76">
        <f>VLOOKUP(A221,'China Production data'!$A$1:$C$488,2,FALSE)</f>
        <v/>
      </c>
    </row>
    <row r="222">
      <c r="A222" s="77" t="n">
        <v>39568</v>
      </c>
      <c r="B222" s="67">
        <f>VLOOKUP(A222,'China Production data'!$A$1:$C$488,3,FALSE)</f>
        <v/>
      </c>
      <c r="C222" s="76">
        <f>VLOOKUP(A222,'China Production data'!$A$1:$C$488,2,FALSE)</f>
        <v/>
      </c>
    </row>
    <row r="223">
      <c r="A223" s="75" t="n">
        <v>39599</v>
      </c>
      <c r="B223" s="67">
        <f>VLOOKUP(A223,'China Production data'!$A$1:$C$488,3,FALSE)</f>
        <v/>
      </c>
      <c r="C223" s="76">
        <f>VLOOKUP(A223,'China Production data'!$A$1:$C$488,2,FALSE)</f>
        <v/>
      </c>
    </row>
    <row r="224">
      <c r="A224" s="77" t="n">
        <v>39629</v>
      </c>
      <c r="B224" s="67">
        <f>VLOOKUP(A224,'China Production data'!$A$1:$C$488,3,FALSE)</f>
        <v/>
      </c>
      <c r="C224" s="76">
        <f>VLOOKUP(A224,'China Production data'!$A$1:$C$488,2,FALSE)</f>
        <v/>
      </c>
    </row>
    <row r="225">
      <c r="A225" s="75" t="n">
        <v>39660</v>
      </c>
      <c r="B225" s="67">
        <f>VLOOKUP(A225,'China Production data'!$A$1:$C$488,3,FALSE)</f>
        <v/>
      </c>
      <c r="C225" s="76">
        <f>VLOOKUP(A225,'China Production data'!$A$1:$C$488,2,FALSE)</f>
        <v/>
      </c>
    </row>
    <row r="226">
      <c r="A226" s="77" t="n">
        <v>39691</v>
      </c>
      <c r="B226" s="67">
        <f>VLOOKUP(A226,'China Production data'!$A$1:$C$488,3,FALSE)</f>
        <v/>
      </c>
      <c r="C226" s="76">
        <f>VLOOKUP(A226,'China Production data'!$A$1:$C$488,2,FALSE)</f>
        <v/>
      </c>
    </row>
    <row r="227">
      <c r="A227" s="75" t="n">
        <v>39721</v>
      </c>
      <c r="B227" s="67">
        <f>VLOOKUP(A227,'China Production data'!$A$1:$C$488,3,FALSE)</f>
        <v/>
      </c>
      <c r="C227" s="76">
        <f>VLOOKUP(A227,'China Production data'!$A$1:$C$488,2,FALSE)</f>
        <v/>
      </c>
    </row>
    <row r="228">
      <c r="A228" s="77" t="n">
        <v>39752</v>
      </c>
      <c r="B228" s="67">
        <f>VLOOKUP(A228,'China Production data'!$A$1:$C$488,3,FALSE)</f>
        <v/>
      </c>
      <c r="C228" s="76">
        <f>VLOOKUP(A228,'China Production data'!$A$1:$C$488,2,FALSE)</f>
        <v/>
      </c>
    </row>
    <row r="229">
      <c r="A229" s="75" t="n">
        <v>39782</v>
      </c>
      <c r="B229" s="67">
        <f>VLOOKUP(A229,'China Production data'!$A$1:$C$488,3,FALSE)</f>
        <v/>
      </c>
      <c r="C229" s="76">
        <f>VLOOKUP(A229,'China Production data'!$A$1:$C$488,2,FALSE)</f>
        <v/>
      </c>
    </row>
    <row r="230">
      <c r="A230" s="77" t="n">
        <v>39813</v>
      </c>
      <c r="B230" s="67">
        <f>VLOOKUP(A230,'China Production data'!$A$1:$C$488,3,FALSE)</f>
        <v/>
      </c>
      <c r="C230" s="76">
        <f>VLOOKUP(A230,'China Production data'!$A$1:$C$488,2,FALSE)</f>
        <v/>
      </c>
    </row>
    <row r="231">
      <c r="A231" s="75" t="n">
        <v>39872</v>
      </c>
      <c r="B231" s="67">
        <f>VLOOKUP(A231,'China Production data'!$A$1:$C$488,3,FALSE)</f>
        <v/>
      </c>
      <c r="C231" s="76">
        <f>VLOOKUP(A231,'China Production data'!$A$1:$C$488,2,FALSE)</f>
        <v/>
      </c>
    </row>
    <row r="232">
      <c r="A232" s="75" t="n">
        <v>39903</v>
      </c>
      <c r="B232" s="67">
        <f>VLOOKUP(A232,'China Production data'!$A$1:$C$488,3,FALSE)</f>
        <v/>
      </c>
      <c r="C232" s="76">
        <f>VLOOKUP(A232,'China Production data'!$A$1:$C$488,2,FALSE)</f>
        <v/>
      </c>
    </row>
    <row r="233">
      <c r="A233" s="77" t="n">
        <v>39933</v>
      </c>
      <c r="B233" s="67">
        <f>VLOOKUP(A233,'China Production data'!$A$1:$C$488,3,FALSE)</f>
        <v/>
      </c>
      <c r="C233" s="76">
        <f>VLOOKUP(A233,'China Production data'!$A$1:$C$488,2,FALSE)</f>
        <v/>
      </c>
    </row>
    <row r="234">
      <c r="A234" s="75" t="n">
        <v>39964</v>
      </c>
      <c r="B234" s="67">
        <f>VLOOKUP(A234,'China Production data'!$A$1:$C$488,3,FALSE)</f>
        <v/>
      </c>
      <c r="C234" s="76">
        <f>VLOOKUP(A234,'China Production data'!$A$1:$C$488,2,FALSE)</f>
        <v/>
      </c>
    </row>
    <row r="235">
      <c r="A235" s="77" t="n">
        <v>39994</v>
      </c>
      <c r="B235" s="67">
        <f>VLOOKUP(A235,'China Production data'!$A$1:$C$488,3,FALSE)</f>
        <v/>
      </c>
      <c r="C235" s="76">
        <f>VLOOKUP(A235,'China Production data'!$A$1:$C$488,2,FALSE)</f>
        <v/>
      </c>
    </row>
    <row r="236">
      <c r="A236" s="75" t="n">
        <v>40025</v>
      </c>
      <c r="B236" s="67">
        <f>VLOOKUP(A236,'China Production data'!$A$1:$C$488,3,FALSE)</f>
        <v/>
      </c>
      <c r="C236" s="76">
        <f>VLOOKUP(A236,'China Production data'!$A$1:$C$488,2,FALSE)</f>
        <v/>
      </c>
    </row>
    <row r="237">
      <c r="A237" s="77" t="n">
        <v>40056</v>
      </c>
      <c r="B237" s="67">
        <f>VLOOKUP(A237,'China Production data'!$A$1:$C$488,3,FALSE)</f>
        <v/>
      </c>
      <c r="C237" s="76">
        <f>VLOOKUP(A237,'China Production data'!$A$1:$C$488,2,FALSE)</f>
        <v/>
      </c>
    </row>
    <row r="238">
      <c r="A238" s="75" t="n">
        <v>40086</v>
      </c>
      <c r="B238" s="67">
        <f>VLOOKUP(A238,'China Production data'!$A$1:$C$488,3,FALSE)</f>
        <v/>
      </c>
      <c r="C238" s="76">
        <f>VLOOKUP(A238,'China Production data'!$A$1:$C$488,2,FALSE)</f>
        <v/>
      </c>
    </row>
    <row r="239">
      <c r="A239" s="77" t="n">
        <v>40117</v>
      </c>
      <c r="B239" s="67">
        <f>VLOOKUP(A239,'China Production data'!$A$1:$C$488,3,FALSE)</f>
        <v/>
      </c>
      <c r="C239" s="76">
        <f>VLOOKUP(A239,'China Production data'!$A$1:$C$488,2,FALSE)</f>
        <v/>
      </c>
    </row>
    <row r="240">
      <c r="A240" s="75" t="n">
        <v>40147</v>
      </c>
      <c r="B240" s="67">
        <f>VLOOKUP(A240,'China Production data'!$A$1:$C$488,3,FALSE)</f>
        <v/>
      </c>
      <c r="C240" s="76">
        <f>VLOOKUP(A240,'China Production data'!$A$1:$C$488,2,FALSE)</f>
        <v/>
      </c>
    </row>
    <row r="241">
      <c r="A241" s="77" t="n">
        <v>40178</v>
      </c>
      <c r="B241" s="67">
        <f>VLOOKUP(A241,'China Production data'!$A$1:$C$488,3,FALSE)</f>
        <v/>
      </c>
      <c r="C241" s="76">
        <f>VLOOKUP(A241,'China Production data'!$A$1:$C$488,2,FALSE)</f>
        <v/>
      </c>
    </row>
    <row r="242">
      <c r="A242" s="77" t="n">
        <v>40237</v>
      </c>
      <c r="B242" s="67">
        <f>VLOOKUP(A242,'China Production data'!$A$1:$C$488,3,FALSE)</f>
        <v/>
      </c>
      <c r="C242" s="76">
        <f>VLOOKUP(A242,'China Production data'!$A$1:$C$488,2,FALSE)</f>
        <v/>
      </c>
    </row>
    <row r="243">
      <c r="A243" s="75" t="n">
        <v>40268</v>
      </c>
      <c r="B243" s="67">
        <f>VLOOKUP(A243,'China Production data'!$A$1:$C$488,3,FALSE)</f>
        <v/>
      </c>
      <c r="C243" s="76">
        <f>VLOOKUP(A243,'China Production data'!$A$1:$C$488,2,FALSE)</f>
        <v/>
      </c>
    </row>
    <row r="244">
      <c r="A244" s="77" t="n">
        <v>40298</v>
      </c>
      <c r="B244" s="67">
        <f>VLOOKUP(A244,'China Production data'!$A$1:$C$488,3,FALSE)</f>
        <v/>
      </c>
      <c r="C244" s="76">
        <f>VLOOKUP(A244,'China Production data'!$A$1:$C$488,2,FALSE)</f>
        <v/>
      </c>
    </row>
    <row r="245">
      <c r="A245" s="75" t="n">
        <v>40329</v>
      </c>
      <c r="B245" s="67">
        <f>VLOOKUP(A245,'China Production data'!$A$1:$C$488,3,FALSE)</f>
        <v/>
      </c>
      <c r="C245" s="76">
        <f>VLOOKUP(A245,'China Production data'!$A$1:$C$488,2,FALSE)</f>
        <v/>
      </c>
    </row>
    <row r="246">
      <c r="A246" s="77" t="n">
        <v>40359</v>
      </c>
      <c r="B246" s="67">
        <f>VLOOKUP(A246,'China Production data'!$A$1:$C$488,3,FALSE)</f>
        <v/>
      </c>
      <c r="C246" s="76">
        <f>VLOOKUP(A246,'China Production data'!$A$1:$C$488,2,FALSE)</f>
        <v/>
      </c>
    </row>
    <row r="247">
      <c r="A247" s="75" t="n">
        <v>40390</v>
      </c>
      <c r="B247" s="67">
        <f>VLOOKUP(A247,'China Production data'!$A$1:$C$488,3,FALSE)</f>
        <v/>
      </c>
      <c r="C247" s="76">
        <f>VLOOKUP(A247,'China Production data'!$A$1:$C$488,2,FALSE)</f>
        <v/>
      </c>
    </row>
    <row r="248">
      <c r="A248" s="77" t="n">
        <v>40421</v>
      </c>
      <c r="B248" s="67">
        <f>VLOOKUP(A248,'China Production data'!$A$1:$C$488,3,FALSE)</f>
        <v/>
      </c>
      <c r="C248" s="76">
        <f>VLOOKUP(A248,'China Production data'!$A$1:$C$488,2,FALSE)</f>
        <v/>
      </c>
    </row>
    <row r="249">
      <c r="A249" s="75" t="n">
        <v>40451</v>
      </c>
      <c r="B249" s="67">
        <f>VLOOKUP(A249,'China Production data'!$A$1:$C$488,3,FALSE)</f>
        <v/>
      </c>
      <c r="C249" s="76">
        <f>VLOOKUP(A249,'China Production data'!$A$1:$C$488,2,FALSE)</f>
        <v/>
      </c>
    </row>
    <row r="250">
      <c r="A250" s="77" t="n">
        <v>40482</v>
      </c>
      <c r="B250" s="67">
        <f>VLOOKUP(A250,'China Production data'!$A$1:$C$488,3,FALSE)</f>
        <v/>
      </c>
      <c r="C250" s="76">
        <f>VLOOKUP(A250,'China Production data'!$A$1:$C$488,2,FALSE)</f>
        <v/>
      </c>
    </row>
    <row r="251">
      <c r="A251" s="75" t="n">
        <v>40512</v>
      </c>
      <c r="B251" s="67">
        <f>VLOOKUP(A251,'China Production data'!$A$1:$C$488,3,FALSE)</f>
        <v/>
      </c>
      <c r="C251" s="76">
        <f>VLOOKUP(A251,'China Production data'!$A$1:$C$488,2,FALSE)</f>
        <v/>
      </c>
    </row>
    <row r="252">
      <c r="A252" s="77" t="n">
        <v>40543</v>
      </c>
      <c r="B252" s="67">
        <f>VLOOKUP(A252,'China Production data'!$A$1:$C$488,3,FALSE)</f>
        <v/>
      </c>
      <c r="C252" s="76">
        <f>VLOOKUP(A252,'China Production data'!$A$1:$C$488,2,FALSE)</f>
        <v/>
      </c>
    </row>
    <row r="253">
      <c r="A253" s="75" t="n">
        <v>40602</v>
      </c>
      <c r="B253" s="67">
        <f>VLOOKUP(A253,'China Production data'!$A$1:$C$488,3,FALSE)</f>
        <v/>
      </c>
      <c r="C253" s="76">
        <f>VLOOKUP(A253,'China Production data'!$A$1:$C$488,2,FALSE)</f>
        <v/>
      </c>
    </row>
    <row r="254">
      <c r="A254" s="75" t="n">
        <v>40633</v>
      </c>
      <c r="B254" s="67">
        <f>VLOOKUP(A254,'China Production data'!$A$1:$C$488,3,FALSE)</f>
        <v/>
      </c>
      <c r="C254" s="76">
        <f>VLOOKUP(A254,'China Production data'!$A$1:$C$488,2,FALSE)</f>
        <v/>
      </c>
    </row>
    <row r="255">
      <c r="A255" s="77" t="n">
        <v>40663</v>
      </c>
      <c r="B255" s="67">
        <f>VLOOKUP(A255,'China Production data'!$A$1:$C$488,3,FALSE)</f>
        <v/>
      </c>
      <c r="C255" s="76">
        <f>VLOOKUP(A255,'China Production data'!$A$1:$C$488,2,FALSE)</f>
        <v/>
      </c>
    </row>
    <row r="256">
      <c r="A256" s="75" t="n">
        <v>40694</v>
      </c>
      <c r="B256" s="67">
        <f>VLOOKUP(A256,'China Production data'!$A$1:$C$488,3,FALSE)</f>
        <v/>
      </c>
      <c r="C256" s="76">
        <f>VLOOKUP(A256,'China Production data'!$A$1:$C$488,2,FALSE)</f>
        <v/>
      </c>
    </row>
    <row r="257">
      <c r="A257" s="77" t="n">
        <v>40724</v>
      </c>
      <c r="B257" s="67">
        <f>VLOOKUP(A257,'China Production data'!$A$1:$C$488,3,FALSE)</f>
        <v/>
      </c>
      <c r="C257" s="76">
        <f>VLOOKUP(A257,'China Production data'!$A$1:$C$488,2,FALSE)</f>
        <v/>
      </c>
    </row>
    <row r="258">
      <c r="A258" s="75" t="n">
        <v>40755</v>
      </c>
      <c r="B258" s="67">
        <f>VLOOKUP(A258,'China Production data'!$A$1:$C$488,3,FALSE)</f>
        <v/>
      </c>
      <c r="C258" s="76">
        <f>VLOOKUP(A258,'China Production data'!$A$1:$C$488,2,FALSE)</f>
        <v/>
      </c>
    </row>
    <row r="259">
      <c r="A259" s="77" t="n">
        <v>40786</v>
      </c>
      <c r="B259" s="67">
        <f>VLOOKUP(A259,'China Production data'!$A$1:$C$488,3,FALSE)</f>
        <v/>
      </c>
      <c r="C259" s="76">
        <f>VLOOKUP(A259,'China Production data'!$A$1:$C$488,2,FALSE)</f>
        <v/>
      </c>
    </row>
    <row r="260">
      <c r="A260" s="75" t="n">
        <v>40816</v>
      </c>
      <c r="B260" s="67">
        <f>VLOOKUP(A260,'China Production data'!$A$1:$C$488,3,FALSE)</f>
        <v/>
      </c>
      <c r="C260" s="76">
        <f>VLOOKUP(A260,'China Production data'!$A$1:$C$488,2,FALSE)</f>
        <v/>
      </c>
    </row>
    <row r="261">
      <c r="A261" s="77" t="n">
        <v>40847</v>
      </c>
      <c r="B261" s="67">
        <f>VLOOKUP(A261,'China Production data'!$A$1:$C$488,3,FALSE)</f>
        <v/>
      </c>
      <c r="C261" s="76">
        <f>VLOOKUP(A261,'China Production data'!$A$1:$C$488,2,FALSE)</f>
        <v/>
      </c>
    </row>
    <row r="262">
      <c r="A262" s="75" t="n">
        <v>40877</v>
      </c>
      <c r="B262" s="67">
        <f>VLOOKUP(A262,'China Production data'!$A$1:$C$488,3,FALSE)</f>
        <v/>
      </c>
      <c r="C262" s="76">
        <f>VLOOKUP(A262,'China Production data'!$A$1:$C$488,2,FALSE)</f>
        <v/>
      </c>
    </row>
    <row r="263">
      <c r="A263" s="77" t="n">
        <v>40908</v>
      </c>
      <c r="B263" s="67">
        <f>VLOOKUP(A263,'China Production data'!$A$1:$C$488,3,FALSE)</f>
        <v/>
      </c>
      <c r="C263" s="76">
        <f>VLOOKUP(A263,'China Production data'!$A$1:$C$488,2,FALSE)</f>
        <v/>
      </c>
    </row>
    <row r="264">
      <c r="A264" s="75" t="n">
        <v>40968</v>
      </c>
      <c r="B264" s="67">
        <f>VLOOKUP(A264,'China Production data'!$A$1:$C$488,3,FALSE)</f>
        <v/>
      </c>
      <c r="C264" s="76">
        <f>VLOOKUP(A264,'China Production data'!$A$1:$C$488,2,FALSE)</f>
        <v/>
      </c>
    </row>
    <row r="265">
      <c r="A265" s="77" t="n">
        <v>40999</v>
      </c>
      <c r="B265" s="67">
        <f>VLOOKUP(A265,'China Production data'!$A$1:$C$488,3,FALSE)</f>
        <v/>
      </c>
      <c r="C265" s="76">
        <f>VLOOKUP(A265,'China Production data'!$A$1:$C$488,2,FALSE)</f>
        <v/>
      </c>
    </row>
    <row r="266">
      <c r="A266" s="75" t="n">
        <v>41029</v>
      </c>
      <c r="B266" s="67">
        <f>VLOOKUP(A266,'China Production data'!$A$1:$C$488,3,FALSE)</f>
        <v/>
      </c>
      <c r="C266" s="76">
        <f>VLOOKUP(A266,'China Production data'!$A$1:$C$488,2,FALSE)</f>
        <v/>
      </c>
    </row>
    <row r="267">
      <c r="A267" s="77" t="n">
        <v>41060</v>
      </c>
      <c r="B267" s="67">
        <f>VLOOKUP(A267,'China Production data'!$A$1:$C$488,3,FALSE)</f>
        <v/>
      </c>
      <c r="C267" s="76">
        <f>VLOOKUP(A267,'China Production data'!$A$1:$C$488,2,FALSE)</f>
        <v/>
      </c>
    </row>
    <row r="268">
      <c r="A268" s="75" t="n">
        <v>41090</v>
      </c>
      <c r="B268" s="67">
        <f>VLOOKUP(A268,'China Production data'!$A$1:$C$488,3,FALSE)</f>
        <v/>
      </c>
      <c r="C268" s="76">
        <f>VLOOKUP(A268,'China Production data'!$A$1:$C$488,2,FALSE)</f>
        <v/>
      </c>
    </row>
    <row r="269">
      <c r="A269" s="77" t="n">
        <v>41121</v>
      </c>
      <c r="B269" s="67">
        <f>VLOOKUP(A269,'China Production data'!$A$1:$C$488,3,FALSE)</f>
        <v/>
      </c>
      <c r="C269" s="76">
        <f>VLOOKUP(A269,'China Production data'!$A$1:$C$488,2,FALSE)</f>
        <v/>
      </c>
    </row>
    <row r="270">
      <c r="A270" s="75" t="n">
        <v>41152</v>
      </c>
      <c r="B270" s="67">
        <f>VLOOKUP(A270,'China Production data'!$A$1:$C$488,3,FALSE)</f>
        <v/>
      </c>
      <c r="C270" s="76">
        <f>VLOOKUP(A270,'China Production data'!$A$1:$C$488,2,FALSE)</f>
        <v/>
      </c>
    </row>
    <row r="271">
      <c r="A271" s="77" t="n">
        <v>41182</v>
      </c>
      <c r="B271" s="67">
        <f>VLOOKUP(A271,'China Production data'!$A$1:$C$488,3,FALSE)</f>
        <v/>
      </c>
      <c r="C271" s="76">
        <f>VLOOKUP(A271,'China Production data'!$A$1:$C$488,2,FALSE)</f>
        <v/>
      </c>
    </row>
    <row r="272">
      <c r="A272" s="75" t="n">
        <v>41213</v>
      </c>
      <c r="B272" s="67">
        <f>VLOOKUP(A272,'China Production data'!$A$1:$C$488,3,FALSE)</f>
        <v/>
      </c>
      <c r="C272" s="76">
        <f>VLOOKUP(A272,'China Production data'!$A$1:$C$488,2,FALSE)</f>
        <v/>
      </c>
    </row>
    <row r="273">
      <c r="A273" s="77" t="n">
        <v>41243</v>
      </c>
      <c r="B273" s="67">
        <f>VLOOKUP(A273,'China Production data'!$A$1:$C$488,3,FALSE)</f>
        <v/>
      </c>
      <c r="C273" s="76">
        <f>VLOOKUP(A273,'China Production data'!$A$1:$C$488,2,FALSE)</f>
        <v/>
      </c>
    </row>
    <row r="274">
      <c r="A274" s="75" t="n">
        <v>41274</v>
      </c>
      <c r="B274" s="67">
        <f>VLOOKUP(A274,'China Production data'!$A$1:$C$488,3,FALSE)</f>
        <v/>
      </c>
      <c r="C274" s="76">
        <f>VLOOKUP(A274,'China Production data'!$A$1:$C$488,2,FALSE)</f>
        <v/>
      </c>
    </row>
    <row r="275">
      <c r="A275" s="77" t="n">
        <v>41333</v>
      </c>
      <c r="B275" s="67">
        <f>VLOOKUP(A275,'China Production data'!$A$1:$C$488,3,FALSE)</f>
        <v/>
      </c>
      <c r="C275" s="76">
        <f>VLOOKUP(A275,'China Production data'!$A$1:$C$488,2,FALSE)</f>
        <v/>
      </c>
    </row>
    <row r="276">
      <c r="A276" s="75" t="n">
        <v>41364</v>
      </c>
      <c r="B276" s="67">
        <f>VLOOKUP(A276,'China Production data'!$A$1:$C$488,3,FALSE)</f>
        <v/>
      </c>
      <c r="C276" s="76">
        <f>VLOOKUP(A276,'China Production data'!$A$1:$C$488,2,FALSE)</f>
        <v/>
      </c>
    </row>
    <row r="277">
      <c r="A277" s="77" t="n">
        <v>41394</v>
      </c>
      <c r="B277" s="67">
        <f>VLOOKUP(A277,'China Production data'!$A$1:$C$488,3,FALSE)</f>
        <v/>
      </c>
      <c r="C277" s="76">
        <f>VLOOKUP(A277,'China Production data'!$A$1:$C$488,2,FALSE)</f>
        <v/>
      </c>
    </row>
    <row r="278">
      <c r="A278" s="75" t="n">
        <v>41425</v>
      </c>
      <c r="B278" s="67">
        <f>VLOOKUP(A278,'China Production data'!$A$1:$C$488,3,FALSE)</f>
        <v/>
      </c>
      <c r="C278" s="76">
        <f>VLOOKUP(A278,'China Production data'!$A$1:$C$488,2,FALSE)</f>
        <v/>
      </c>
    </row>
    <row r="279">
      <c r="A279" s="77" t="n">
        <v>41455</v>
      </c>
      <c r="B279" s="67">
        <f>VLOOKUP(A279,'China Production data'!$A$1:$C$488,3,FALSE)</f>
        <v/>
      </c>
      <c r="C279" s="76">
        <f>VLOOKUP(A279,'China Production data'!$A$1:$C$488,2,FALSE)</f>
        <v/>
      </c>
    </row>
    <row r="280">
      <c r="A280" s="75" t="n">
        <v>41486</v>
      </c>
      <c r="B280" s="67">
        <f>VLOOKUP(A280,'China Production data'!$A$1:$C$488,3,FALSE)</f>
        <v/>
      </c>
      <c r="C280" s="76">
        <f>VLOOKUP(A280,'China Production data'!$A$1:$C$488,2,FALSE)</f>
        <v/>
      </c>
    </row>
    <row r="281">
      <c r="A281" s="77" t="n">
        <v>41517</v>
      </c>
      <c r="B281" s="67">
        <f>VLOOKUP(A281,'China Production data'!$A$1:$C$488,3,FALSE)</f>
        <v/>
      </c>
      <c r="C281" s="76">
        <f>VLOOKUP(A281,'China Production data'!$A$1:$C$488,2,FALSE)</f>
        <v/>
      </c>
    </row>
    <row r="282">
      <c r="A282" s="75" t="n">
        <v>41547</v>
      </c>
      <c r="B282" s="67">
        <f>VLOOKUP(A282,'China Production data'!$A$1:$C$488,3,FALSE)</f>
        <v/>
      </c>
      <c r="C282" s="76">
        <f>VLOOKUP(A282,'China Production data'!$A$1:$C$488,2,FALSE)</f>
        <v/>
      </c>
    </row>
    <row r="283">
      <c r="A283" s="77" t="n">
        <v>41578</v>
      </c>
      <c r="B283" s="67">
        <f>VLOOKUP(A283,'China Production data'!$A$1:$C$488,3,FALSE)</f>
        <v/>
      </c>
      <c r="C283" s="76">
        <f>VLOOKUP(A283,'China Production data'!$A$1:$C$488,2,FALSE)</f>
        <v/>
      </c>
    </row>
    <row r="284">
      <c r="A284" s="75" t="n">
        <v>41608</v>
      </c>
      <c r="B284" s="67">
        <f>VLOOKUP(A284,'China Production data'!$A$1:$C$488,3,FALSE)</f>
        <v/>
      </c>
      <c r="C284" s="76">
        <f>VLOOKUP(A284,'China Production data'!$A$1:$C$488,2,FALSE)</f>
        <v/>
      </c>
    </row>
    <row r="285">
      <c r="A285" s="77" t="n">
        <v>41639</v>
      </c>
      <c r="B285" s="67">
        <f>VLOOKUP(A285,'China Production data'!$A$1:$C$488,3,FALSE)</f>
        <v/>
      </c>
      <c r="C285" s="76">
        <f>VLOOKUP(A285,'China Production data'!$A$1:$C$488,2,FALSE)</f>
        <v/>
      </c>
    </row>
    <row r="286">
      <c r="A286" s="75" t="n">
        <v>41698</v>
      </c>
      <c r="B286" s="67">
        <f>VLOOKUP(A286,'China Production data'!$A$1:$C$488,3,FALSE)</f>
        <v/>
      </c>
      <c r="C286" s="76">
        <f>VLOOKUP(A286,'China Production data'!$A$1:$C$488,2,FALSE)</f>
        <v/>
      </c>
    </row>
    <row r="287">
      <c r="A287" s="77" t="n">
        <v>41729</v>
      </c>
      <c r="B287" s="67">
        <f>VLOOKUP(A287,'China Production data'!$A$1:$C$488,3,FALSE)</f>
        <v/>
      </c>
      <c r="C287" s="76">
        <f>VLOOKUP(A287,'China Production data'!$A$1:$C$488,2,FALSE)</f>
        <v/>
      </c>
    </row>
    <row r="288">
      <c r="A288" s="75" t="n">
        <v>41759</v>
      </c>
      <c r="B288" s="67">
        <f>VLOOKUP(A288,'China Production data'!$A$1:$C$488,3,FALSE)</f>
        <v/>
      </c>
      <c r="C288" s="76">
        <f>VLOOKUP(A288,'China Production data'!$A$1:$C$488,2,FALSE)</f>
        <v/>
      </c>
    </row>
    <row r="289">
      <c r="A289" s="77" t="n">
        <v>41790</v>
      </c>
      <c r="B289" s="67">
        <f>VLOOKUP(A289,'China Production data'!$A$1:$C$488,3,FALSE)</f>
        <v/>
      </c>
      <c r="C289" s="76">
        <f>VLOOKUP(A289,'China Production data'!$A$1:$C$488,2,FALSE)</f>
        <v/>
      </c>
    </row>
    <row r="290">
      <c r="A290" s="75" t="n">
        <v>41820</v>
      </c>
      <c r="B290" s="67">
        <f>VLOOKUP(A290,'China Production data'!$A$1:$C$488,3,FALSE)</f>
        <v/>
      </c>
      <c r="C290" s="76">
        <f>VLOOKUP(A290,'China Production data'!$A$1:$C$488,2,FALSE)</f>
        <v/>
      </c>
    </row>
    <row r="291">
      <c r="A291" s="77" t="n">
        <v>41851</v>
      </c>
      <c r="B291" s="67">
        <f>VLOOKUP(A291,'China Production data'!$A$1:$C$488,3,FALSE)</f>
        <v/>
      </c>
      <c r="C291" s="76">
        <f>VLOOKUP(A291,'China Production data'!$A$1:$C$488,2,FALSE)</f>
        <v/>
      </c>
    </row>
    <row r="292">
      <c r="A292" s="75" t="n">
        <v>41882</v>
      </c>
      <c r="B292" s="67">
        <f>VLOOKUP(A292,'China Production data'!$A$1:$C$488,3,FALSE)</f>
        <v/>
      </c>
      <c r="C292" s="76">
        <f>VLOOKUP(A292,'China Production data'!$A$1:$C$488,2,FALSE)</f>
        <v/>
      </c>
    </row>
    <row r="293">
      <c r="A293" s="77" t="n">
        <v>41912</v>
      </c>
      <c r="B293" s="67">
        <f>VLOOKUP(A293,'China Production data'!$A$1:$C$488,3,FALSE)</f>
        <v/>
      </c>
      <c r="C293" s="76">
        <f>VLOOKUP(A293,'China Production data'!$A$1:$C$488,2,FALSE)</f>
        <v/>
      </c>
    </row>
    <row r="294">
      <c r="A294" s="75" t="n">
        <v>41943</v>
      </c>
      <c r="B294" s="67">
        <f>VLOOKUP(A294,'China Production data'!$A$1:$C$488,3,FALSE)</f>
        <v/>
      </c>
      <c r="C294" s="76">
        <f>VLOOKUP(A294,'China Production data'!$A$1:$C$488,2,FALSE)</f>
        <v/>
      </c>
    </row>
    <row r="295">
      <c r="A295" s="77" t="n">
        <v>41973</v>
      </c>
      <c r="B295" s="67">
        <f>VLOOKUP(A295,'China Production data'!$A$1:$C$488,3,FALSE)</f>
        <v/>
      </c>
      <c r="C295" s="76">
        <f>VLOOKUP(A295,'China Production data'!$A$1:$C$488,2,FALSE)</f>
        <v/>
      </c>
    </row>
    <row r="296">
      <c r="A296" s="75" t="n">
        <v>42004</v>
      </c>
      <c r="B296" s="67">
        <f>VLOOKUP(A296,'China Production data'!$A$1:$C$488,3,FALSE)</f>
        <v/>
      </c>
      <c r="C296" s="76">
        <f>VLOOKUP(A296,'China Production data'!$A$1:$C$488,2,FALSE)</f>
        <v/>
      </c>
    </row>
    <row r="297">
      <c r="A297" s="77" t="n">
        <v>42063</v>
      </c>
      <c r="B297" s="67">
        <f>VLOOKUP(A297,'China Production data'!$A$1:$C$488,3,FALSE)</f>
        <v/>
      </c>
      <c r="C297" s="76">
        <f>VLOOKUP(A297,'China Production data'!$A$1:$C$488,2,FALSE)</f>
        <v/>
      </c>
    </row>
    <row r="298">
      <c r="A298" s="75" t="n">
        <v>42094</v>
      </c>
      <c r="B298" s="67">
        <f>VLOOKUP(A298,'China Production data'!$A$1:$C$488,3,FALSE)</f>
        <v/>
      </c>
      <c r="C298" s="76">
        <f>VLOOKUP(A298,'China Production data'!$A$1:$C$488,2,FALSE)</f>
        <v/>
      </c>
    </row>
    <row r="299">
      <c r="A299" s="77" t="n">
        <v>42124</v>
      </c>
      <c r="B299" s="67">
        <f>VLOOKUP(A299,'China Production data'!$A$1:$C$488,3,FALSE)</f>
        <v/>
      </c>
      <c r="C299" s="76">
        <f>VLOOKUP(A299,'China Production data'!$A$1:$C$488,2,FALSE)</f>
        <v/>
      </c>
    </row>
    <row r="300">
      <c r="A300" s="75" t="n">
        <v>42155</v>
      </c>
      <c r="B300" s="67">
        <f>VLOOKUP(A300,'China Production data'!$A$1:$C$488,3,FALSE)</f>
        <v/>
      </c>
      <c r="C300" s="76">
        <f>VLOOKUP(A300,'China Production data'!$A$1:$C$488,2,FALSE)</f>
        <v/>
      </c>
    </row>
    <row r="301">
      <c r="A301" s="77" t="n">
        <v>42185</v>
      </c>
      <c r="B301" s="67">
        <f>VLOOKUP(A301,'China Production data'!$A$1:$C$488,3,FALSE)</f>
        <v/>
      </c>
      <c r="C301" s="76">
        <f>VLOOKUP(A301,'China Production data'!$A$1:$C$488,2,FALSE)</f>
        <v/>
      </c>
    </row>
    <row r="302">
      <c r="A302" s="75" t="n">
        <v>42216</v>
      </c>
      <c r="B302" s="67">
        <f>VLOOKUP(A302,'China Production data'!$A$1:$C$488,3,FALSE)</f>
        <v/>
      </c>
      <c r="C302" s="76">
        <f>VLOOKUP(A302,'China Production data'!$A$1:$C$488,2,FALSE)</f>
        <v/>
      </c>
    </row>
    <row r="303">
      <c r="A303" s="77" t="n">
        <v>42247</v>
      </c>
      <c r="B303" s="67">
        <f>VLOOKUP(A303,'China Production data'!$A$1:$C$488,3,FALSE)</f>
        <v/>
      </c>
      <c r="C303" s="76">
        <f>VLOOKUP(A303,'China Production data'!$A$1:$C$488,2,FALSE)</f>
        <v/>
      </c>
    </row>
    <row r="304">
      <c r="A304" s="75" t="n">
        <v>42277</v>
      </c>
      <c r="B304" s="67">
        <f>VLOOKUP(A304,'China Production data'!$A$1:$C$488,3,FALSE)</f>
        <v/>
      </c>
      <c r="C304" s="76">
        <f>VLOOKUP(A304,'China Production data'!$A$1:$C$488,2,FALSE)</f>
        <v/>
      </c>
    </row>
    <row r="305">
      <c r="A305" s="77" t="n">
        <v>42308</v>
      </c>
      <c r="B305" s="67">
        <f>VLOOKUP(A305,'China Production data'!$A$1:$C$488,3,FALSE)</f>
        <v/>
      </c>
      <c r="C305" s="76">
        <f>VLOOKUP(A305,'China Production data'!$A$1:$C$488,2,FALSE)</f>
        <v/>
      </c>
    </row>
    <row r="306">
      <c r="A306" s="75" t="n">
        <v>42338</v>
      </c>
      <c r="B306" s="67">
        <f>VLOOKUP(A306,'China Production data'!$A$1:$C$488,3,FALSE)</f>
        <v/>
      </c>
      <c r="C306" s="76">
        <f>VLOOKUP(A306,'China Production data'!$A$1:$C$488,2,FALSE)</f>
        <v/>
      </c>
    </row>
    <row r="307">
      <c r="A307" s="77" t="n">
        <v>42369</v>
      </c>
      <c r="B307" s="67">
        <f>VLOOKUP(A307,'China Production data'!$A$1:$C$488,3,FALSE)</f>
        <v/>
      </c>
      <c r="C307" s="76">
        <f>VLOOKUP(A307,'China Production data'!$A$1:$C$488,2,FALSE)</f>
        <v/>
      </c>
    </row>
    <row r="308">
      <c r="A308" s="75" t="n">
        <v>42400</v>
      </c>
      <c r="B308" s="67">
        <f>VLOOKUP(A308,'China Production data'!$A$1:$C$488,3,FALSE)</f>
        <v/>
      </c>
      <c r="C308" s="76">
        <f>VLOOKUP(A308,'China Production data'!$A$1:$C$488,2,FALSE)</f>
        <v/>
      </c>
    </row>
    <row r="309">
      <c r="A309" s="77" t="n">
        <v>42460</v>
      </c>
      <c r="B309" s="67">
        <f>VLOOKUP(A309,'China Production data'!$A$1:$C$488,3,FALSE)</f>
        <v/>
      </c>
      <c r="C309" s="76">
        <f>VLOOKUP(A309,'China Production data'!$A$1:$C$488,2,FALSE)</f>
        <v/>
      </c>
    </row>
    <row r="310">
      <c r="A310" s="75" t="n">
        <v>42490</v>
      </c>
      <c r="B310" s="67">
        <f>VLOOKUP(A310,'China Production data'!$A$1:$C$488,3,FALSE)</f>
        <v/>
      </c>
      <c r="C310" s="76">
        <f>VLOOKUP(A310,'China Production data'!$A$1:$C$488,2,FALSE)</f>
        <v/>
      </c>
    </row>
    <row r="311">
      <c r="A311" s="77" t="n">
        <v>42521</v>
      </c>
      <c r="B311" s="67">
        <f>VLOOKUP(A311,'China Production data'!$A$1:$C$488,3,FALSE)</f>
        <v/>
      </c>
      <c r="C311" s="76">
        <f>VLOOKUP(A311,'China Production data'!$A$1:$C$488,2,FALSE)</f>
        <v/>
      </c>
    </row>
    <row r="312">
      <c r="A312" s="75" t="n">
        <v>42551</v>
      </c>
      <c r="B312" s="67">
        <f>VLOOKUP(A312,'China Production data'!$A$1:$C$488,3,FALSE)</f>
        <v/>
      </c>
      <c r="C312" s="76">
        <f>VLOOKUP(A312,'China Production data'!$A$1:$C$488,2,FALSE)</f>
        <v/>
      </c>
    </row>
    <row r="313">
      <c r="A313" s="77" t="n">
        <v>42582</v>
      </c>
      <c r="B313" s="67">
        <f>VLOOKUP(A313,'China Production data'!$A$1:$C$488,3,FALSE)</f>
        <v/>
      </c>
      <c r="C313" s="76">
        <f>VLOOKUP(A313,'China Production data'!$A$1:$C$488,2,FALSE)</f>
        <v/>
      </c>
    </row>
    <row r="314">
      <c r="A314" s="75" t="n">
        <v>42613</v>
      </c>
      <c r="B314" s="67">
        <f>VLOOKUP(A314,'China Production data'!$A$1:$C$488,3,FALSE)</f>
        <v/>
      </c>
      <c r="C314" s="76">
        <f>VLOOKUP(A314,'China Production data'!$A$1:$C$488,2,FALSE)</f>
        <v/>
      </c>
    </row>
    <row r="315">
      <c r="A315" s="77" t="n">
        <v>42643</v>
      </c>
      <c r="B315" s="67">
        <f>VLOOKUP(A315,'China Production data'!$A$1:$C$488,3,FALSE)</f>
        <v/>
      </c>
      <c r="C315" s="76">
        <f>VLOOKUP(A315,'China Production data'!$A$1:$C$488,2,FALSE)</f>
        <v/>
      </c>
    </row>
    <row r="316">
      <c r="A316" s="75" t="n">
        <v>42674</v>
      </c>
      <c r="B316" s="67">
        <f>VLOOKUP(A316,'China Production data'!$A$1:$C$488,3,FALSE)</f>
        <v/>
      </c>
      <c r="C316" s="76">
        <f>VLOOKUP(A316,'China Production data'!$A$1:$C$488,2,FALSE)</f>
        <v/>
      </c>
    </row>
    <row r="317">
      <c r="A317" s="77" t="n">
        <v>42704</v>
      </c>
      <c r="B317" s="67">
        <f>VLOOKUP(A317,'China Production data'!$A$1:$C$488,3,FALSE)</f>
        <v/>
      </c>
      <c r="C317" s="76">
        <f>VLOOKUP(A317,'China Production data'!$A$1:$C$488,2,FALSE)</f>
        <v/>
      </c>
    </row>
    <row r="318">
      <c r="A318" s="75" t="n">
        <v>42735</v>
      </c>
      <c r="B318" s="67">
        <f>VLOOKUP(A318,'China Production data'!$A$1:$C$488,3,FALSE)</f>
        <v/>
      </c>
      <c r="C318" s="76">
        <f>VLOOKUP(A318,'China Production data'!$A$1:$C$488,2,FALSE)</f>
        <v/>
      </c>
    </row>
    <row r="319">
      <c r="A319" s="77" t="n">
        <v>42766</v>
      </c>
      <c r="B319" s="67">
        <f>VLOOKUP(A319,'China Production data'!$A$1:$C$488,3,FALSE)</f>
        <v/>
      </c>
      <c r="C319" s="76">
        <f>VLOOKUP(A319,'China Production data'!$A$1:$C$488,2,FALSE)</f>
        <v/>
      </c>
    </row>
    <row r="320">
      <c r="A320" s="75" t="n">
        <v>42825</v>
      </c>
      <c r="B320" s="67">
        <f>VLOOKUP(A320,'China Production data'!$A$1:$C$488,3,FALSE)</f>
        <v/>
      </c>
      <c r="C320" s="76">
        <f>VLOOKUP(A320,'China Production data'!$A$1:$C$488,2,FALSE)</f>
        <v/>
      </c>
    </row>
    <row r="321">
      <c r="A321" s="77" t="n">
        <v>42855</v>
      </c>
      <c r="B321" s="67">
        <f>VLOOKUP(A321,'China Production data'!$A$1:$C$488,3,FALSE)</f>
        <v/>
      </c>
      <c r="C321" s="76">
        <f>VLOOKUP(A321,'China Production data'!$A$1:$C$488,2,FALSE)</f>
        <v/>
      </c>
    </row>
    <row r="322">
      <c r="A322" s="75" t="n">
        <v>42886</v>
      </c>
      <c r="B322" s="67">
        <f>VLOOKUP(A322,'China Production data'!$A$1:$C$488,3,FALSE)</f>
        <v/>
      </c>
      <c r="C322" s="76">
        <f>VLOOKUP(A322,'China Production data'!$A$1:$C$488,2,FALSE)</f>
        <v/>
      </c>
    </row>
    <row r="323">
      <c r="A323" s="77" t="n">
        <v>42916</v>
      </c>
      <c r="B323" s="67">
        <f>VLOOKUP(A323,'China Production data'!$A$1:$C$488,3,FALSE)</f>
        <v/>
      </c>
      <c r="C323" s="76">
        <f>VLOOKUP(A323,'China Production data'!$A$1:$C$488,2,FALSE)</f>
        <v/>
      </c>
    </row>
    <row r="324">
      <c r="A324" s="75" t="n">
        <v>42947</v>
      </c>
      <c r="B324" s="67">
        <f>VLOOKUP(A324,'China Production data'!$A$1:$C$488,3,FALSE)</f>
        <v/>
      </c>
      <c r="C324" s="76">
        <f>VLOOKUP(A324,'China Production data'!$A$1:$C$488,2,FALSE)</f>
        <v/>
      </c>
    </row>
    <row r="325">
      <c r="A325" s="77" t="n">
        <v>42978</v>
      </c>
      <c r="B325" s="67">
        <f>VLOOKUP(A325,'China Production data'!$A$1:$C$488,3,FALSE)</f>
        <v/>
      </c>
      <c r="C325" s="76">
        <f>VLOOKUP(A325,'China Production data'!$A$1:$C$488,2,FALSE)</f>
        <v/>
      </c>
    </row>
    <row r="326">
      <c r="A326" s="75" t="n">
        <v>43008</v>
      </c>
      <c r="B326" s="67">
        <f>VLOOKUP(A326,'China Production data'!$A$1:$C$488,3,FALSE)</f>
        <v/>
      </c>
      <c r="C326" s="76">
        <f>VLOOKUP(A326,'China Production data'!$A$1:$C$488,2,FALSE)</f>
        <v/>
      </c>
    </row>
    <row r="327">
      <c r="A327" s="77" t="n">
        <v>43039</v>
      </c>
      <c r="B327" s="67">
        <f>VLOOKUP(A327,'China Production data'!$A$1:$C$488,3,FALSE)</f>
        <v/>
      </c>
      <c r="C327" s="76">
        <f>VLOOKUP(A327,'China Production data'!$A$1:$C$488,2,FALSE)</f>
        <v/>
      </c>
    </row>
    <row r="328">
      <c r="A328" s="75" t="n">
        <v>43069</v>
      </c>
      <c r="B328" s="67">
        <f>VLOOKUP(A328,'China Production data'!$A$1:$C$488,3,FALSE)</f>
        <v/>
      </c>
      <c r="C328" s="76">
        <f>VLOOKUP(A328,'China Production data'!$A$1:$C$488,2,FALSE)</f>
        <v/>
      </c>
    </row>
    <row r="329">
      <c r="A329" s="77" t="n">
        <v>43100</v>
      </c>
      <c r="B329" s="67">
        <f>VLOOKUP(A329,'China Production data'!$A$1:$C$488,3,FALSE)</f>
        <v/>
      </c>
      <c r="C329" s="76">
        <f>VLOOKUP(A329,'China Production data'!$A$1:$C$488,2,FALSE)</f>
        <v/>
      </c>
    </row>
    <row r="330">
      <c r="A330" s="75" t="n">
        <v>43159</v>
      </c>
      <c r="B330" s="67">
        <f>VLOOKUP(A330,'China Production data'!$A$1:$C$488,3,FALSE)</f>
        <v/>
      </c>
      <c r="C330" s="76">
        <f>VLOOKUP(A330,'China Production data'!$A$1:$C$488,2,FALSE)</f>
        <v/>
      </c>
    </row>
    <row r="331">
      <c r="A331" s="77" t="n">
        <v>43190</v>
      </c>
      <c r="B331" s="67">
        <f>VLOOKUP(A331,'China Production data'!$A$1:$C$488,3,FALSE)</f>
        <v/>
      </c>
      <c r="C331" s="76">
        <f>VLOOKUP(A331,'China Production data'!$A$1:$C$488,2,FALSE)</f>
        <v/>
      </c>
    </row>
    <row r="332">
      <c r="A332" s="75" t="n">
        <v>43220</v>
      </c>
      <c r="B332" s="67">
        <f>VLOOKUP(A332,'China Production data'!$A$1:$C$488,3,FALSE)</f>
        <v/>
      </c>
      <c r="C332" s="76">
        <f>VLOOKUP(A332,'China Production data'!$A$1:$C$488,2,FALSE)</f>
        <v/>
      </c>
    </row>
    <row r="333">
      <c r="A333" s="77" t="n">
        <v>43251</v>
      </c>
      <c r="B333" s="67">
        <f>VLOOKUP(A333,'China Production data'!$A$1:$C$488,3,FALSE)</f>
        <v/>
      </c>
      <c r="C333" s="76">
        <f>VLOOKUP(A333,'China Production data'!$A$1:$C$488,2,FALSE)</f>
        <v/>
      </c>
    </row>
    <row r="334">
      <c r="A334" s="75" t="n">
        <v>43281</v>
      </c>
      <c r="B334" s="67">
        <f>VLOOKUP(A334,'China Production data'!$A$1:$C$488,3,FALSE)</f>
        <v/>
      </c>
      <c r="C334" s="76">
        <f>VLOOKUP(A334,'China Production data'!$A$1:$C$488,2,FALSE)</f>
        <v/>
      </c>
    </row>
    <row r="335">
      <c r="A335" s="77" t="n">
        <v>43312</v>
      </c>
      <c r="B335" s="67">
        <f>VLOOKUP(A335,'China Production data'!$A$1:$C$488,3,FALSE)</f>
        <v/>
      </c>
      <c r="C335" s="76">
        <f>VLOOKUP(A335,'China Production data'!$A$1:$C$488,2,FALSE)</f>
        <v/>
      </c>
    </row>
    <row r="336">
      <c r="A336" s="75" t="n">
        <v>43343</v>
      </c>
      <c r="B336" s="67">
        <f>VLOOKUP(A336,'China Production data'!$A$1:$C$488,3,FALSE)</f>
        <v/>
      </c>
      <c r="C336" s="76">
        <f>VLOOKUP(A336,'China Production data'!$A$1:$C$488,2,FALSE)</f>
        <v/>
      </c>
    </row>
    <row r="337">
      <c r="A337" s="77" t="n">
        <v>43373</v>
      </c>
      <c r="B337" s="67">
        <f>VLOOKUP(A337,'China Production data'!$A$1:$C$488,3,FALSE)</f>
        <v/>
      </c>
      <c r="C337" s="76">
        <f>VLOOKUP(A337,'China Production data'!$A$1:$C$488,2,FALSE)</f>
        <v/>
      </c>
    </row>
    <row r="338">
      <c r="A338" s="75" t="n">
        <v>43404</v>
      </c>
      <c r="B338" s="67">
        <f>VLOOKUP(A338,'China Production data'!$A$1:$C$488,3,FALSE)</f>
        <v/>
      </c>
      <c r="C338" s="76">
        <f>VLOOKUP(A338,'China Production data'!$A$1:$C$488,2,FALSE)</f>
        <v/>
      </c>
    </row>
    <row r="339">
      <c r="A339" s="77" t="n">
        <v>43434</v>
      </c>
      <c r="B339" s="67">
        <f>VLOOKUP(A339,'China Production data'!$A$1:$C$488,3,FALSE)</f>
        <v/>
      </c>
      <c r="C339" s="76">
        <f>VLOOKUP(A339,'China Production data'!$A$1:$C$488,2,FALSE)</f>
        <v/>
      </c>
    </row>
    <row r="340">
      <c r="A340" s="75" t="n">
        <v>43465</v>
      </c>
      <c r="B340" s="67">
        <f>VLOOKUP(A340,'China Production data'!$A$1:$C$488,3,FALSE)</f>
        <v/>
      </c>
      <c r="C340" s="76">
        <f>VLOOKUP(A340,'China Production data'!$A$1:$C$488,2,FALSE)</f>
        <v/>
      </c>
    </row>
    <row r="341">
      <c r="A341" s="77" t="n">
        <v>43496</v>
      </c>
      <c r="B341" s="67">
        <f>VLOOKUP(A341,'China Production data'!$A$1:$C$488,3,FALSE)</f>
        <v/>
      </c>
      <c r="C341" s="76">
        <f>VLOOKUP(A341,'China Production data'!$A$1:$C$488,2,FALSE)</f>
        <v/>
      </c>
    </row>
    <row r="342">
      <c r="A342" s="75" t="n">
        <v>43524</v>
      </c>
      <c r="B342" s="67">
        <f>VLOOKUP(A342,'China Production data'!$A$1:$C$488,3,FALSE)</f>
        <v/>
      </c>
      <c r="C342" s="76">
        <f>VLOOKUP(A342,'China Production data'!$A$1:$C$488,2,FALSE)</f>
        <v/>
      </c>
    </row>
    <row r="343">
      <c r="A343" s="77" t="n">
        <v>43555</v>
      </c>
      <c r="B343" s="67">
        <f>VLOOKUP(A343,'China Production data'!$A$1:$C$488,3,FALSE)</f>
        <v/>
      </c>
      <c r="C343" s="76">
        <f>VLOOKUP(A343,'China Production data'!$A$1:$C$488,2,FALSE)</f>
        <v/>
      </c>
    </row>
    <row r="344">
      <c r="A344" s="77" t="n">
        <v>43585</v>
      </c>
      <c r="B344" s="67">
        <f>VLOOKUP(A344,'China Production data'!$A$1:$C$488,3,FALSE)</f>
        <v/>
      </c>
      <c r="C344" s="76">
        <f>VLOOKUP(A344,'China Production data'!$A$1:$C$488,2,FALSE)</f>
        <v/>
      </c>
    </row>
    <row r="345">
      <c r="A345" s="75" t="n">
        <v>43616</v>
      </c>
      <c r="B345" s="67">
        <f>VLOOKUP(A345,'China Production data'!$A$1:$C$488,3,FALSE)</f>
        <v/>
      </c>
      <c r="C345" s="76">
        <f>VLOOKUP(A345,'China Production data'!$A$1:$C$488,2,FALSE)</f>
        <v/>
      </c>
    </row>
    <row r="346">
      <c r="A346" s="75" t="n">
        <v>43646</v>
      </c>
      <c r="B346" s="67">
        <f>VLOOKUP(A346,'China Production data'!$A$1:$C$488,3,FALSE)</f>
        <v/>
      </c>
      <c r="C346" s="76">
        <f>VLOOKUP(A346,'China Production data'!$A$1:$C$488,2,FALSE)</f>
        <v/>
      </c>
    </row>
    <row r="347">
      <c r="A347" s="77" t="n">
        <v>43677</v>
      </c>
      <c r="B347" s="67">
        <f>VLOOKUP(A347,'China Production data'!$A$1:$C$488,3,FALSE)</f>
        <v/>
      </c>
      <c r="C347" s="76">
        <f>VLOOKUP(A347,'China Production data'!$A$1:$C$488,2,FALSE)</f>
        <v/>
      </c>
    </row>
    <row r="348">
      <c r="A348" s="75" t="n">
        <v>43708</v>
      </c>
      <c r="B348" s="67">
        <f>VLOOKUP(A348,'China Production data'!$A$1:$C$488,3,FALSE)</f>
        <v/>
      </c>
      <c r="C348" s="76">
        <f>VLOOKUP(A348,'China Production data'!$A$1:$C$488,2,FALSE)</f>
        <v/>
      </c>
    </row>
    <row r="349">
      <c r="A349" s="77" t="n">
        <v>43738</v>
      </c>
      <c r="B349" s="67">
        <f>VLOOKUP(A349,'China Production data'!$A$1:$C$488,3,FALSE)</f>
        <v/>
      </c>
      <c r="C349" s="76">
        <f>VLOOKUP(A349,'China Production data'!$A$1:$C$488,2,FALSE)</f>
        <v/>
      </c>
    </row>
    <row r="350">
      <c r="A350" s="75" t="n">
        <v>43769</v>
      </c>
      <c r="B350" s="67">
        <f>VLOOKUP(A350,'China Production data'!$A$1:$C$488,3,FALSE)</f>
        <v/>
      </c>
      <c r="C350" s="76">
        <f>VLOOKUP(A350,'China Production data'!$A$1:$C$488,2,FALSE)</f>
        <v/>
      </c>
    </row>
    <row r="351">
      <c r="A351" s="75" t="n">
        <v>43799</v>
      </c>
      <c r="B351" s="67">
        <f>VLOOKUP(A351,'China Production data'!$A$1:$C$488,3,FALSE)</f>
        <v/>
      </c>
      <c r="C351" s="76">
        <f>VLOOKUP(A351,'China Production data'!$A$1:$C$488,2,FALSE)</f>
        <v/>
      </c>
    </row>
    <row r="352">
      <c r="A352" s="75" t="n">
        <v>43830</v>
      </c>
      <c r="B352" s="67">
        <f>VLOOKUP(A352,'China Production data'!$A$1:$C$488,3,FALSE)</f>
        <v/>
      </c>
      <c r="C352" s="76">
        <f>VLOOKUP(A352,'China Production data'!$A$1:$C$488,2,FALSE)</f>
        <v/>
      </c>
    </row>
    <row r="353">
      <c r="A353" s="75" t="n">
        <v>43890</v>
      </c>
      <c r="B353" s="67">
        <f>VLOOKUP(A353,'China Production data'!$A$1:$C$488,3,FALSE)</f>
        <v/>
      </c>
      <c r="C353" s="76">
        <f>VLOOKUP(A353,'China Production data'!$A$1:$C$488,2,FALSE)</f>
        <v/>
      </c>
    </row>
    <row r="354">
      <c r="A354" s="75" t="n">
        <v>43921</v>
      </c>
      <c r="B354" s="67">
        <f>VLOOKUP(A354,'China Production data'!$A$1:$C$488,3,FALSE)</f>
        <v/>
      </c>
      <c r="C354" s="76">
        <f>VLOOKUP(A354,'China Production data'!$A$1:$C$488,2,FALSE)</f>
        <v/>
      </c>
    </row>
    <row r="355">
      <c r="A355" s="75" t="n">
        <v>43951</v>
      </c>
      <c r="B355" s="67">
        <f>VLOOKUP(A355,'China Production data'!$A$1:$C$488,3,FALSE)</f>
        <v/>
      </c>
      <c r="C355" s="76">
        <f>VLOOKUP(A355,'China Production data'!$A$1:$C$488,2,FALSE)</f>
        <v/>
      </c>
    </row>
    <row r="356">
      <c r="A356" s="75" t="n">
        <v>43982</v>
      </c>
      <c r="B356" s="67">
        <f>VLOOKUP(A356,'China Production data'!$A$1:$C$488,3,FALSE)</f>
        <v/>
      </c>
      <c r="C356" s="76">
        <f>VLOOKUP(A356,'China Production data'!$A$1:$C$488,2,FALSE)</f>
        <v/>
      </c>
    </row>
    <row r="357">
      <c r="A357" s="75" t="n">
        <v>44012</v>
      </c>
      <c r="B357" s="67">
        <f>VLOOKUP(A357,'China Production data'!$A$1:$C$488,3,FALSE)</f>
        <v/>
      </c>
      <c r="C357" s="76">
        <f>VLOOKUP(A357,'China Production data'!$A$1:$C$488,2,FALSE)</f>
        <v/>
      </c>
    </row>
    <row r="358">
      <c r="A358" s="75" t="n">
        <v>44043</v>
      </c>
      <c r="B358" s="67">
        <f>VLOOKUP(A358,'China Production data'!$A$1:$C$488,3,FALSE)</f>
        <v/>
      </c>
      <c r="C358" s="76">
        <f>VLOOKUP(A358,'China Production data'!$A$1:$C$488,2,FALSE)</f>
        <v/>
      </c>
    </row>
    <row r="359">
      <c r="A359" s="75" t="n">
        <v>44074</v>
      </c>
      <c r="B359" s="67">
        <f>VLOOKUP(A359,'China Production data'!$A$1:$C$488,3,FALSE)</f>
        <v/>
      </c>
      <c r="C359" s="76">
        <f>VLOOKUP(A359,'China Production data'!$A$1:$C$488,2,FALSE)</f>
        <v/>
      </c>
    </row>
    <row r="360">
      <c r="A360" s="75" t="n">
        <v>44104</v>
      </c>
      <c r="B360" s="67">
        <f>VLOOKUP(A360,'China Production data'!$A$1:$C$488,3,FALSE)</f>
        <v/>
      </c>
      <c r="C360" s="76">
        <f>VLOOKUP(A360,'China Production data'!$A$1:$C$488,2,FALSE)</f>
        <v/>
      </c>
    </row>
    <row r="361">
      <c r="A361" s="75" t="n">
        <v>44135</v>
      </c>
      <c r="B361" s="67">
        <f>VLOOKUP(A361,'China Production data'!$A$1:$C$488,3,FALSE)</f>
        <v/>
      </c>
      <c r="C361" s="76">
        <f>VLOOKUP(A361,'China Production data'!$A$1:$C$488,2,FALSE)</f>
        <v/>
      </c>
    </row>
    <row r="362">
      <c r="A362" s="75" t="n">
        <v>44165</v>
      </c>
      <c r="B362" s="67">
        <f>VLOOKUP(A362,'China Production data'!$A$1:$C$488,3,FALSE)</f>
        <v/>
      </c>
      <c r="C362" s="76">
        <f>VLOOKUP(A362,'China Production data'!$A$1:$C$488,2,FALSE)</f>
        <v/>
      </c>
    </row>
    <row r="363">
      <c r="A363" s="75" t="n">
        <v>44196</v>
      </c>
      <c r="B363" s="67">
        <f>VLOOKUP(A363,'China Production data'!$A$1:$C$488,3,FALSE)</f>
        <v/>
      </c>
      <c r="C363" s="76">
        <f>VLOOKUP(A363,'China Production data'!$A$1:$C$488,2,FALSE)</f>
        <v/>
      </c>
    </row>
    <row r="364">
      <c r="A364" s="75" t="n">
        <v>44227</v>
      </c>
      <c r="B364" s="67">
        <f>VLOOKUP(A364,'China Production data'!$A$1:$C$488,3,FALSE)</f>
        <v/>
      </c>
      <c r="C364" s="76">
        <f>VLOOKUP(A364,'China Production data'!$A$1:$C$488,2,FALSE)</f>
        <v/>
      </c>
    </row>
    <row r="365">
      <c r="A365" s="75" t="n">
        <v>44255</v>
      </c>
      <c r="B365" s="67">
        <f>VLOOKUP(A365,'China Production data'!$A$1:$C$488,3,FALSE)</f>
        <v/>
      </c>
      <c r="C365" s="76">
        <f>VLOOKUP(A365,'China Production data'!$A$1:$C$488,2,FALSE)</f>
        <v/>
      </c>
    </row>
    <row r="366">
      <c r="A366" s="75" t="n">
        <v>44286</v>
      </c>
      <c r="B366" s="67">
        <f>VLOOKUP(A366,'China Production data'!$A$1:$C$488,3,FALSE)</f>
        <v/>
      </c>
      <c r="C366" s="76">
        <f>VLOOKUP(A366,'China Production data'!$A$1:$C$488,2,FALSE)</f>
        <v/>
      </c>
    </row>
    <row r="367">
      <c r="A367" s="75" t="n">
        <v>44316</v>
      </c>
      <c r="B367" s="67">
        <f>VLOOKUP(A367,'China Production data'!$A$1:$C$488,3,FALSE)</f>
        <v/>
      </c>
      <c r="C367" s="76">
        <f>VLOOKUP(A367,'China Production data'!$A$1:$C$488,2,FALSE)</f>
        <v/>
      </c>
    </row>
    <row r="368">
      <c r="A368" s="75" t="n">
        <v>44347</v>
      </c>
      <c r="B368" s="67">
        <f>VLOOKUP(A368,'China Production data'!$A$1:$C$488,3,FALSE)</f>
        <v/>
      </c>
      <c r="C368" s="76">
        <f>VLOOKUP(A368,'China Production data'!$A$1:$C$488,2,FALSE)</f>
        <v/>
      </c>
    </row>
    <row r="369">
      <c r="A369" s="75" t="n">
        <v>44377</v>
      </c>
      <c r="B369" s="67">
        <f>VLOOKUP(A369,'China Production data'!$A$1:$C$488,3,FALSE)</f>
        <v/>
      </c>
      <c r="C369" s="76">
        <f>VLOOKUP(A369,'China Production data'!$A$1:$C$488,2,FALSE)</f>
        <v/>
      </c>
    </row>
    <row r="370">
      <c r="A370" s="75" t="n">
        <v>44408</v>
      </c>
      <c r="B370" s="67">
        <f>VLOOKUP(A370,'China Production data'!$A$1:$C$488,3,FALSE)</f>
        <v/>
      </c>
      <c r="C370" s="76">
        <f>VLOOKUP(A370,'China Production data'!$A$1:$C$488,2,FALSE)</f>
        <v/>
      </c>
    </row>
    <row r="371">
      <c r="A371" s="75" t="n">
        <v>44439</v>
      </c>
      <c r="B371" s="67">
        <f>VLOOKUP(A371,'China Production data'!$A$1:$C$488,3,FALSE)</f>
        <v/>
      </c>
      <c r="C371" s="76">
        <f>VLOOKUP(A371,'China Production data'!$A$1:$C$488,2,FALSE)</f>
        <v/>
      </c>
    </row>
    <row r="372">
      <c r="A372" s="75" t="n">
        <v>44469</v>
      </c>
      <c r="B372" s="67">
        <f>VLOOKUP(A372,'China Production data'!$A$1:$C$488,3,FALSE)</f>
        <v/>
      </c>
      <c r="C372" s="76">
        <f>VLOOKUP(A372,'China Production data'!$A$1:$C$488,2,FALSE)</f>
        <v/>
      </c>
    </row>
    <row r="373">
      <c r="A373" s="75" t="n">
        <v>44500</v>
      </c>
      <c r="B373" s="67">
        <f>VLOOKUP(A373,'China Production data'!$A$1:$C$488,3,FALSE)</f>
        <v/>
      </c>
      <c r="C373" s="76">
        <f>VLOOKUP(A373,'China Production data'!$A$1:$C$488,2,FALSE)</f>
        <v/>
      </c>
    </row>
    <row r="374">
      <c r="A374" s="75" t="n">
        <v>44530</v>
      </c>
      <c r="B374" s="67">
        <f>VLOOKUP(A374,'China Production data'!$A$1:$C$488,3,FALSE)</f>
        <v/>
      </c>
      <c r="C374" s="76">
        <f>VLOOKUP(A374,'China Production data'!$A$1:$C$488,2,FALSE)</f>
        <v/>
      </c>
    </row>
    <row r="375">
      <c r="A375" s="75" t="n">
        <v>44561</v>
      </c>
      <c r="B375" s="67">
        <f>VLOOKUP(A375,'China Production data'!$A$1:$C$488,3,FALSE)</f>
        <v/>
      </c>
      <c r="C375" s="76">
        <f>VLOOKUP(A375,'China Production data'!$A$1:$C$488,2,FALSE)</f>
        <v/>
      </c>
    </row>
    <row r="376">
      <c r="A376" s="75" t="n">
        <v>44592</v>
      </c>
      <c r="B376" s="67">
        <f>VLOOKUP(A376,'China Production data'!$A$1:$C$488,3,FALSE)</f>
        <v/>
      </c>
      <c r="C376" s="76">
        <f>VLOOKUP(A376,'China Production data'!$A$1:$C$488,2,FALSE)</f>
        <v/>
      </c>
    </row>
    <row r="377">
      <c r="A377" s="75" t="n">
        <v>44620</v>
      </c>
      <c r="B377" s="67">
        <f>VLOOKUP(A377,'China Production data'!$A$1:$C$488,3,FALSE)</f>
        <v/>
      </c>
      <c r="C377" s="76">
        <f>VLOOKUP(A377,'China Production data'!$A$1:$C$488,2,FALSE)</f>
        <v/>
      </c>
    </row>
    <row r="378">
      <c r="A378" s="75" t="n">
        <v>44651</v>
      </c>
      <c r="B378" s="67">
        <f>VLOOKUP(A378,'China Production data'!$A$1:$C$488,3,FALSE)</f>
        <v/>
      </c>
      <c r="C378" s="76">
        <f>VLOOKUP(A378,'China Production data'!$A$1:$C$488,2,FALSE)</f>
        <v/>
      </c>
    </row>
    <row r="379">
      <c r="A379" s="75" t="n">
        <v>44681</v>
      </c>
      <c r="B379" s="67">
        <f>VLOOKUP(A379,'China Production data'!$A$1:$C$488,3,FALSE)</f>
        <v/>
      </c>
      <c r="C379" s="76">
        <f>VLOOKUP(A379,'China Production data'!$A$1:$C$488,2,FALSE)</f>
        <v/>
      </c>
    </row>
    <row r="380">
      <c r="A380" s="75" t="n">
        <v>44712</v>
      </c>
      <c r="B380" s="67">
        <f>VLOOKUP(A380,'China Production data'!$A$1:$C$488,3,FALSE)</f>
        <v/>
      </c>
      <c r="C380" s="76">
        <f>VLOOKUP(A380,'China Production data'!$A$1:$C$488,2,FALSE)</f>
        <v/>
      </c>
    </row>
    <row r="381">
      <c r="A381" s="75" t="n">
        <v>44742</v>
      </c>
      <c r="B381" s="67">
        <f>VLOOKUP(A381,'China Production data'!$A$1:$C$488,3,FALSE)</f>
        <v/>
      </c>
      <c r="C381" s="76">
        <f>VLOOKUP(A381,'China Production data'!$A$1:$C$488,2,FALSE)</f>
        <v/>
      </c>
    </row>
    <row r="382">
      <c r="A382" s="75" t="n">
        <v>44773</v>
      </c>
      <c r="B382" s="67">
        <f>VLOOKUP(A382,'China Production data'!$A$1:$C$488,3,FALSE)</f>
        <v/>
      </c>
      <c r="C382" s="76">
        <f>VLOOKUP(A382,'China Production data'!$A$1:$C$488,2,FALSE)</f>
        <v/>
      </c>
    </row>
    <row r="383">
      <c r="A383" s="75" t="n">
        <v>44804</v>
      </c>
      <c r="B383" s="67">
        <f>VLOOKUP(A383,'China Production data'!$A$1:$C$488,3,FALSE)</f>
        <v/>
      </c>
      <c r="C383" s="76">
        <f>VLOOKUP(A383,'China Production data'!$A$1:$C$488,2,FALSE)</f>
        <v/>
      </c>
    </row>
    <row r="384">
      <c r="A384" s="75" t="n">
        <v>44834</v>
      </c>
      <c r="B384" s="67">
        <f>VLOOKUP(A384,'China Production data'!$A$1:$C$488,3,FALSE)</f>
        <v/>
      </c>
      <c r="C384" s="76">
        <f>VLOOKUP(A384,'China Production data'!$A$1:$C$488,2,FALSE)</f>
        <v/>
      </c>
    </row>
    <row r="385">
      <c r="A385" s="75" t="n">
        <v>44865</v>
      </c>
      <c r="B385" s="67">
        <f>VLOOKUP(A385,'China Production data'!$A$1:$C$488,3,FALSE)</f>
        <v/>
      </c>
      <c r="C385" s="76">
        <f>VLOOKUP(A385,'China Production data'!$A$1:$C$488,2,FALSE)</f>
        <v/>
      </c>
    </row>
    <row r="386">
      <c r="A386" s="75" t="n">
        <v>44895</v>
      </c>
      <c r="B386" s="67">
        <f>VLOOKUP(A386,'China Production data'!$A$1:$C$488,3,FALSE)</f>
        <v/>
      </c>
      <c r="C386" s="76">
        <f>VLOOKUP(A386,'China Production data'!$A$1:$C$488,2,FALSE)</f>
        <v/>
      </c>
    </row>
    <row r="387">
      <c r="A387" s="75" t="n">
        <v>44926</v>
      </c>
      <c r="B387" s="67">
        <f>VLOOKUP(A387,'China Production data'!$A$1:$C$488,3,FALSE)</f>
        <v/>
      </c>
      <c r="C387" s="76">
        <f>VLOOKUP(A387,'China Production data'!$A$1:$C$488,2,FALSE)</f>
        <v/>
      </c>
    </row>
    <row r="388">
      <c r="A388" s="75" t="n">
        <v>44957</v>
      </c>
      <c r="B388" s="67">
        <f>VLOOKUP(A388,'China Production data'!$A$1:$C$488,3,FALSE)</f>
        <v/>
      </c>
      <c r="C388" s="76">
        <f>VLOOKUP(A388,'China Production data'!$A$1:$C$488,2,FALSE)</f>
        <v/>
      </c>
    </row>
    <row r="389">
      <c r="A389" s="75" t="n">
        <v>44985</v>
      </c>
      <c r="B389" s="67">
        <f>VLOOKUP(A389,'China Production data'!$A$1:$C$488,3,FALSE)</f>
        <v/>
      </c>
      <c r="C389" s="76">
        <f>VLOOKUP(A389,'China Production data'!$A$1:$C$488,2,FALSE)</f>
        <v/>
      </c>
    </row>
  </sheetData>
  <conditionalFormatting sqref="B242:B38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2023-03-16T08:12:53Z</dcterms:modified>
  <cp:lastModifiedBy>Mark Mukherjee</cp:lastModifiedBy>
</cp:coreProperties>
</file>